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ONDARY ORDER BOOKING REPORT " sheetId="1" r:id="rId5"/>
    <sheet state="visible" name="Primary Team Members 2026-27" sheetId="2" r:id="rId6"/>
    <sheet state="visible" name="Low Performers " sheetId="3" r:id="rId7"/>
    <sheet state="visible" name="Summary 26-27" sheetId="4" r:id="rId8"/>
    <sheet state="visible" name="Data" sheetId="5" r:id="rId9"/>
  </sheets>
  <definedNames>
    <definedName hidden="1" localSheetId="4" name="_xlnm._FilterDatabase">Data!$A$3:$CZ$186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6">
      <text>
        <t xml:space="preserve">01-12-2020</t>
      </text>
    </comment>
    <comment authorId="0" ref="F90">
      <text>
        <t xml:space="preserve">01.07.2019</t>
      </text>
    </comment>
    <comment authorId="0" ref="N1">
      <text>
        <t xml:space="preserve">primary team members order booking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J51">
      <text>
        <t xml:space="preserve">in April his working only 10 days and in May also he is leave on 11 days
</t>
      </text>
    </comment>
    <comment authorId="0" ref="BV72">
      <text>
        <t xml:space="preserve">From Aug Month 49810</t>
      </text>
    </comment>
    <comment authorId="0" ref="AG43">
      <text>
        <t xml:space="preserve">=22+22+24
</t>
      </text>
    </comment>
  </commentList>
</comments>
</file>

<file path=xl/sharedStrings.xml><?xml version="1.0" encoding="utf-8"?>
<sst xmlns="http://schemas.openxmlformats.org/spreadsheetml/2006/main" count="2205" uniqueCount="618">
  <si>
    <t xml:space="preserve"> SECONDARY ORDER BOOKING REPORT 2026-27 </t>
  </si>
  <si>
    <t xml:space="preserve"> </t>
  </si>
  <si>
    <t>TOTAL</t>
  </si>
  <si>
    <t>State Head</t>
  </si>
  <si>
    <t>Team Member</t>
  </si>
  <si>
    <t>H.Q</t>
  </si>
  <si>
    <t>Contact Number</t>
  </si>
  <si>
    <t>DOJ</t>
  </si>
  <si>
    <t>Week Off</t>
  </si>
  <si>
    <t>Market Hours</t>
  </si>
  <si>
    <t>Monthly CTC 25-26</t>
  </si>
  <si>
    <t>Monthly Target 26-27</t>
  </si>
  <si>
    <t>Total Dealer 26-27</t>
  </si>
  <si>
    <t>Business Plan 26-27</t>
  </si>
  <si>
    <t>Order Booked 26-27</t>
  </si>
  <si>
    <t>Final Achievement</t>
  </si>
  <si>
    <t>Sales 26-27</t>
  </si>
  <si>
    <t>Plan</t>
  </si>
  <si>
    <t>Order Booked</t>
  </si>
  <si>
    <t>% of Achievement</t>
  </si>
  <si>
    <t>Sales Received</t>
  </si>
  <si>
    <t>Amount</t>
  </si>
  <si>
    <t>Count</t>
  </si>
  <si>
    <t>Anant Singh</t>
  </si>
  <si>
    <t>Ravinder Puri</t>
  </si>
  <si>
    <t>Ghaziabad</t>
  </si>
  <si>
    <t>PRASUN CHATTERJEE</t>
  </si>
  <si>
    <t>Delhi</t>
  </si>
  <si>
    <t>Manish Gupta</t>
  </si>
  <si>
    <t>South East Delhi</t>
  </si>
  <si>
    <t>Rinku</t>
  </si>
  <si>
    <t>Moradabad</t>
  </si>
  <si>
    <t>Ashutosh Kumar (Rudrapur)</t>
  </si>
  <si>
    <t>Rudrapur</t>
  </si>
  <si>
    <t>Ravi (Faridabad)</t>
  </si>
  <si>
    <t>Faridabad</t>
  </si>
  <si>
    <t>Shivam Chauhan</t>
  </si>
  <si>
    <t>Haridwar</t>
  </si>
  <si>
    <t>Ankit Kumar</t>
  </si>
  <si>
    <t>Aligarh</t>
  </si>
  <si>
    <t>Tarun Giri</t>
  </si>
  <si>
    <t>Meerut</t>
  </si>
  <si>
    <t>Rahul Singh</t>
  </si>
  <si>
    <t>Sulinder Pal</t>
  </si>
  <si>
    <t>Ranjit Kumar</t>
  </si>
  <si>
    <t>Abohar</t>
  </si>
  <si>
    <t>Amit Tangri</t>
  </si>
  <si>
    <t>Ludhiana</t>
  </si>
  <si>
    <t>Pawan Sharma</t>
  </si>
  <si>
    <t>Dinesh Kumar Kaushik</t>
  </si>
  <si>
    <t>Bharatpur</t>
  </si>
  <si>
    <t>Kanhaiya Lal Salvi</t>
  </si>
  <si>
    <t>Chittorgarh</t>
  </si>
  <si>
    <t>Gulab SIngh</t>
  </si>
  <si>
    <t>Karnal</t>
  </si>
  <si>
    <t>Vikash Gour</t>
  </si>
  <si>
    <t>Neemrana</t>
  </si>
  <si>
    <t>Shoykaran Nai</t>
  </si>
  <si>
    <t>Churu</t>
  </si>
  <si>
    <t>Ishant</t>
  </si>
  <si>
    <t>Sonipat</t>
  </si>
  <si>
    <t>Mohit (Charkhi Dadri)</t>
  </si>
  <si>
    <t>Nasir Hussain Khan</t>
  </si>
  <si>
    <t>PAWAN KUMAR</t>
  </si>
  <si>
    <t>Jammu</t>
  </si>
  <si>
    <t>Tafazul Nazir</t>
  </si>
  <si>
    <t>Srinagar</t>
  </si>
  <si>
    <t>Vishant Bandhral</t>
  </si>
  <si>
    <t>Udhampur</t>
  </si>
  <si>
    <t>Basit Ahmad Pala</t>
  </si>
  <si>
    <t>Anantnag</t>
  </si>
  <si>
    <t>Deep Kumar</t>
  </si>
  <si>
    <t>Biju C.O</t>
  </si>
  <si>
    <t>BIJU C.O</t>
  </si>
  <si>
    <t>PRATHEESH CC</t>
  </si>
  <si>
    <t>PALAKKAD</t>
  </si>
  <si>
    <t>Girish B</t>
  </si>
  <si>
    <t>Kasaragod</t>
  </si>
  <si>
    <t>Ameerali Ek (Off Roll)</t>
  </si>
  <si>
    <t>Malappuram</t>
  </si>
  <si>
    <t>Riyas V</t>
  </si>
  <si>
    <t>Pattambi</t>
  </si>
  <si>
    <t>Shafeeq Parengal</t>
  </si>
  <si>
    <t>SANOJ M.</t>
  </si>
  <si>
    <t>Palakkad</t>
  </si>
  <si>
    <t>Jijo</t>
  </si>
  <si>
    <t>Manjeri</t>
  </si>
  <si>
    <t>K.V.THAMIZHSELVAN</t>
  </si>
  <si>
    <t>Vellore</t>
  </si>
  <si>
    <t>Saibulla S.</t>
  </si>
  <si>
    <t>Madurai</t>
  </si>
  <si>
    <t>K Suresh Kumar</t>
  </si>
  <si>
    <t>Virudhunagar</t>
  </si>
  <si>
    <t>J.SURESH KUMAR</t>
  </si>
  <si>
    <t>Thanjavur</t>
  </si>
  <si>
    <t>Milind Ashok Sadanand</t>
  </si>
  <si>
    <t>Hubli</t>
  </si>
  <si>
    <t>Amruth Shivappa Banakar</t>
  </si>
  <si>
    <t>Shivamogga</t>
  </si>
  <si>
    <t>Harsha K Rao</t>
  </si>
  <si>
    <t>Mangalore</t>
  </si>
  <si>
    <t>Abhishek Ravindra Padadar</t>
  </si>
  <si>
    <t>Pratham Kyasti</t>
  </si>
  <si>
    <t>Syed Aqil Rizvi</t>
  </si>
  <si>
    <t>AQIL RIZVI</t>
  </si>
  <si>
    <t>Rajan Srivastava</t>
  </si>
  <si>
    <t>Varanasi</t>
  </si>
  <si>
    <t>Ravi Kumar Verma</t>
  </si>
  <si>
    <t>Faizabad</t>
  </si>
  <si>
    <t>Jitender Birla</t>
  </si>
  <si>
    <t xml:space="preserve">Indore </t>
  </si>
  <si>
    <t>Faraz Khan</t>
  </si>
  <si>
    <t>Bhopal</t>
  </si>
  <si>
    <t>Nitin Prasad Baghel</t>
  </si>
  <si>
    <t>Raipur</t>
  </si>
  <si>
    <t>Hemant kumar srivastava</t>
  </si>
  <si>
    <t>Gorakhpur</t>
  </si>
  <si>
    <t>Himanshu Sable</t>
  </si>
  <si>
    <t>Amrawati</t>
  </si>
  <si>
    <t>Siddharth Shanker Singh</t>
  </si>
  <si>
    <t>Allahabad</t>
  </si>
  <si>
    <t>Neel Kamal choure</t>
  </si>
  <si>
    <t>Jabalpur</t>
  </si>
  <si>
    <t>Om dutt Dwivedi</t>
  </si>
  <si>
    <t>Lucknow</t>
  </si>
  <si>
    <t>Siddharth Srivastava</t>
  </si>
  <si>
    <t>Kanpur</t>
  </si>
  <si>
    <t>Ajeet Yadav</t>
  </si>
  <si>
    <t>Ghazipur</t>
  </si>
  <si>
    <t>Vishal Kumar Gaurav</t>
  </si>
  <si>
    <t>Azamgarh</t>
  </si>
  <si>
    <t>Nandkishor Upadhyay</t>
  </si>
  <si>
    <t>Akola</t>
  </si>
  <si>
    <t>Aman Khan</t>
  </si>
  <si>
    <t>Chhatarpur</t>
  </si>
  <si>
    <t>Saqib Juned</t>
  </si>
  <si>
    <t>Arun Sharma</t>
  </si>
  <si>
    <t>Vishal Dheer</t>
  </si>
  <si>
    <t>Wasim Ahmad</t>
  </si>
  <si>
    <t>Sultanpur</t>
  </si>
  <si>
    <t>Dhiraj Ravindra Patle</t>
  </si>
  <si>
    <t>Gondia</t>
  </si>
  <si>
    <t>Deependra Singh</t>
  </si>
  <si>
    <t>Ankur Srivastava</t>
  </si>
  <si>
    <t>Manoj Yadav</t>
  </si>
  <si>
    <t>Rohit Kumar</t>
  </si>
  <si>
    <t>Pradeep Rajak</t>
  </si>
  <si>
    <t>Bilaspur</t>
  </si>
  <si>
    <t>Pradeep Kumar Dwivedi</t>
  </si>
  <si>
    <t>Rewa</t>
  </si>
  <si>
    <t>Vikas Kumar (Bareilly)</t>
  </si>
  <si>
    <t>Bareill</t>
  </si>
  <si>
    <t>Rajesh Patel</t>
  </si>
  <si>
    <t>Indore</t>
  </si>
  <si>
    <t>Sunil Kumar</t>
  </si>
  <si>
    <t>Mandsaur</t>
  </si>
  <si>
    <t>Shubham Shukla</t>
  </si>
  <si>
    <t>Gwalior</t>
  </si>
  <si>
    <t>Abhishek Kumar Gupta</t>
  </si>
  <si>
    <t>Manish Kumar Kartikey</t>
  </si>
  <si>
    <t>Sandeep Dadheech</t>
  </si>
  <si>
    <t>Sujan Ghata</t>
  </si>
  <si>
    <t>Kolkata</t>
  </si>
  <si>
    <t>Surojit Mondal</t>
  </si>
  <si>
    <t>Andal</t>
  </si>
  <si>
    <t>Suven Sengupta</t>
  </si>
  <si>
    <t>Kailash Ch. Ghadei</t>
  </si>
  <si>
    <t>Cuttak</t>
  </si>
  <si>
    <t>Debasish Adhikary</t>
  </si>
  <si>
    <t>Midnapore</t>
  </si>
  <si>
    <t>Priyabrata Biswas</t>
  </si>
  <si>
    <t>Sarbjit Singh Chawla</t>
  </si>
  <si>
    <t>Sudipta Thom</t>
  </si>
  <si>
    <t>Sudip Guha Roy</t>
  </si>
  <si>
    <t>Sunil Kumar Pani</t>
  </si>
  <si>
    <t>Balasore</t>
  </si>
  <si>
    <t>Sasikant Prasad</t>
  </si>
  <si>
    <t>Rourkela</t>
  </si>
  <si>
    <t>Pramod Kumar</t>
  </si>
  <si>
    <t>Purnea</t>
  </si>
  <si>
    <t>Ashutosh Kumar</t>
  </si>
  <si>
    <t>Dhanbad</t>
  </si>
  <si>
    <t>Rakesh Kumar Sinha</t>
  </si>
  <si>
    <t>Deoghar</t>
  </si>
  <si>
    <t>Prabhakar Pratap Singh</t>
  </si>
  <si>
    <t>Patna</t>
  </si>
  <si>
    <t>Santanu Kalita</t>
  </si>
  <si>
    <t>Tezpur</t>
  </si>
  <si>
    <t>Litan Saha</t>
  </si>
  <si>
    <t>Agartala</t>
  </si>
  <si>
    <t>Pradeep Kumar</t>
  </si>
  <si>
    <t>Aurangabad</t>
  </si>
  <si>
    <t>Dipak Sharma</t>
  </si>
  <si>
    <t>Silchar</t>
  </si>
  <si>
    <t>SUBHAJIT KOLEY</t>
  </si>
  <si>
    <t>MECHADA</t>
  </si>
  <si>
    <t>VIKASH KUMAR SINGH</t>
  </si>
  <si>
    <t>PALAMAU</t>
  </si>
  <si>
    <t>GONESH DEY</t>
  </si>
  <si>
    <t>BURDWAN</t>
  </si>
  <si>
    <t>RONI GUPTA</t>
  </si>
  <si>
    <t>BURDHWAN</t>
  </si>
  <si>
    <t>SUMANTA SINGHA</t>
  </si>
  <si>
    <t>BANKURA</t>
  </si>
  <si>
    <t>RAJESH CHAKRABORTY</t>
  </si>
  <si>
    <t>ARUPANANDA MANDAL</t>
  </si>
  <si>
    <t>KOLKATA</t>
  </si>
  <si>
    <t>Dikart Kumar Borah</t>
  </si>
  <si>
    <t>Nagaon</t>
  </si>
  <si>
    <t>Sourav Samanta</t>
  </si>
  <si>
    <t>Macheda</t>
  </si>
  <si>
    <t>Biswajit Roy</t>
  </si>
  <si>
    <t>SUDHANSHU KUMAR</t>
  </si>
  <si>
    <t>Hazaribag</t>
  </si>
  <si>
    <t>AVINASH KUMAR</t>
  </si>
  <si>
    <t>Gaya</t>
  </si>
  <si>
    <t>Kumar Avinish</t>
  </si>
  <si>
    <t>Muzaffarpur</t>
  </si>
  <si>
    <t>Gaurav Kumar</t>
  </si>
  <si>
    <t>Chapra</t>
  </si>
  <si>
    <t>SRAVAN KUMAR SHARMA</t>
  </si>
  <si>
    <t>Dumka</t>
  </si>
  <si>
    <t>Hrusikesh Satapathy</t>
  </si>
  <si>
    <t>Berhampur</t>
  </si>
  <si>
    <t>Narayan Baishya</t>
  </si>
  <si>
    <t xml:space="preserve">Guwahati </t>
  </si>
  <si>
    <t>ATANU PAUL</t>
  </si>
  <si>
    <t>JAYANAGAR</t>
  </si>
  <si>
    <t>SHYAM KUMAR MISHRA</t>
  </si>
  <si>
    <t>Jamshedpur</t>
  </si>
  <si>
    <t>Manas Ranjan Das</t>
  </si>
  <si>
    <t>Bhubaneswar</t>
  </si>
  <si>
    <t>Sudip Sarkar</t>
  </si>
  <si>
    <t>Birbhum</t>
  </si>
  <si>
    <t>Ram Shankar Mishra</t>
  </si>
  <si>
    <t>Darbhanga</t>
  </si>
  <si>
    <t>RUDRAPRAKASH JANA</t>
  </si>
  <si>
    <t>Paschim Medinipur</t>
  </si>
  <si>
    <t>Nikhil Kumar</t>
  </si>
  <si>
    <t>Ranchi</t>
  </si>
  <si>
    <t>Vijay Kumar</t>
  </si>
  <si>
    <t>Katihar</t>
  </si>
  <si>
    <t>Sushanta Barman</t>
  </si>
  <si>
    <t>South Kolkata</t>
  </si>
  <si>
    <t>Susovan Singha</t>
  </si>
  <si>
    <t>East Mednipore</t>
  </si>
  <si>
    <t>Indrajit Ghosh</t>
  </si>
  <si>
    <t>Shuvadip Ghosh</t>
  </si>
  <si>
    <t>West Midnapore</t>
  </si>
  <si>
    <t>Jahir Abbas Halder</t>
  </si>
  <si>
    <t>Hooghly</t>
  </si>
  <si>
    <t>ANIRBAN BISWAS</t>
  </si>
  <si>
    <t>Tribeni</t>
  </si>
  <si>
    <t>Aditya Dasgupta</t>
  </si>
  <si>
    <t>Siliguri</t>
  </si>
  <si>
    <t>Pawan Kumar Pareek (Off-Roll)</t>
  </si>
  <si>
    <t>Balipara</t>
  </si>
  <si>
    <t>Lingaraj Moharana</t>
  </si>
  <si>
    <t>Susanta Behera</t>
  </si>
  <si>
    <t>Jithender Reddy Katukuri</t>
  </si>
  <si>
    <t>warangal</t>
  </si>
  <si>
    <t>Shaik Jani Basha</t>
  </si>
  <si>
    <t xml:space="preserve">Guntur </t>
  </si>
  <si>
    <t>Taninki Ramesh Babu</t>
  </si>
  <si>
    <t>Kakinada</t>
  </si>
  <si>
    <t>J.Kamal Kishore</t>
  </si>
  <si>
    <t>Tirupati</t>
  </si>
  <si>
    <t>S.Tirumala Rao</t>
  </si>
  <si>
    <t>Ajay Morthad</t>
  </si>
  <si>
    <t>Nizamabad</t>
  </si>
  <si>
    <t>Dasari Adiseshu</t>
  </si>
  <si>
    <t>Hyderabad</t>
  </si>
  <si>
    <t>Paripally Sridhar</t>
  </si>
  <si>
    <t>Lalan Kumar</t>
  </si>
  <si>
    <t>Amey Deodhar</t>
  </si>
  <si>
    <t>Miraj</t>
  </si>
  <si>
    <t>Tejas Lunawat</t>
  </si>
  <si>
    <t>Pune</t>
  </si>
  <si>
    <t>Sandeep Amrut Sonawane</t>
  </si>
  <si>
    <t>Dhule</t>
  </si>
  <si>
    <t>Amit Damodhar Jadhav</t>
  </si>
  <si>
    <t>TUSHAR RAVINDRA KANTHALE</t>
  </si>
  <si>
    <t>PUNE</t>
  </si>
  <si>
    <t>VIJAY DNYANESHWAR</t>
  </si>
  <si>
    <t>Jalgaon</t>
  </si>
  <si>
    <t>ANAND BHAGWAN MORE</t>
  </si>
  <si>
    <t>Syed Sohel Hashmi</t>
  </si>
  <si>
    <t>Nanded</t>
  </si>
  <si>
    <t>Kunal Sanjay Sasane</t>
  </si>
  <si>
    <t xml:space="preserve">Kolhapur </t>
  </si>
  <si>
    <t>CHANDRAKANT MANDAVE</t>
  </si>
  <si>
    <t>Mumbai</t>
  </si>
  <si>
    <t>Rahul Ramchandra Bhosale</t>
  </si>
  <si>
    <t>Latur</t>
  </si>
  <si>
    <t>Swapnil Rajput</t>
  </si>
  <si>
    <t>Nashik</t>
  </si>
  <si>
    <t>Prasad Pundalik Yedge</t>
  </si>
  <si>
    <t>Unmesh Dilip Thakar</t>
  </si>
  <si>
    <t>Sangli</t>
  </si>
  <si>
    <t>Vaibhav Bapurao Waghe</t>
  </si>
  <si>
    <t>Parbhani</t>
  </si>
  <si>
    <t>Sunil Patel</t>
  </si>
  <si>
    <t>Devdutt Joshi</t>
  </si>
  <si>
    <t>Vadodara</t>
  </si>
  <si>
    <t>Rathod Vijaybhai</t>
  </si>
  <si>
    <t>Surat</t>
  </si>
  <si>
    <t>Aniket Maheshwari</t>
  </si>
  <si>
    <t>Mandvi</t>
  </si>
  <si>
    <t>Dhaval Parmar</t>
  </si>
  <si>
    <t>Mehsana</t>
  </si>
  <si>
    <t>LEFT TEAM MEMBERS</t>
  </si>
  <si>
    <t>Tankeswor Barman</t>
  </si>
  <si>
    <t>Bongaigaon</t>
  </si>
  <si>
    <t>SUJIT DAS</t>
  </si>
  <si>
    <t>ANDAL</t>
  </si>
  <si>
    <t>Suman Mondal</t>
  </si>
  <si>
    <t>Krishna Nagar</t>
  </si>
  <si>
    <t>Biju CO</t>
  </si>
  <si>
    <t>M. Raman</t>
  </si>
  <si>
    <t>Trichy</t>
  </si>
  <si>
    <t>Jagdev</t>
  </si>
  <si>
    <t>Mathura</t>
  </si>
  <si>
    <t>Manish Kumar Trivedi</t>
  </si>
  <si>
    <t>Jaipur</t>
  </si>
  <si>
    <t>Neeraj</t>
  </si>
  <si>
    <t>Ateli-Mahendragarh</t>
  </si>
  <si>
    <t>Shakti Raj</t>
  </si>
  <si>
    <t>Primary Team Members 2026-27</t>
  </si>
  <si>
    <t>Reporting Head</t>
  </si>
  <si>
    <t>Distributor 26-27</t>
  </si>
  <si>
    <t>Direct Dealers 26-27</t>
  </si>
  <si>
    <t>Distributor &amp; Direct Dealer Visit</t>
  </si>
  <si>
    <t>Retailers 26-27</t>
  </si>
  <si>
    <t>Retailers Visit</t>
  </si>
  <si>
    <t>Secondary Order Booked 26-27</t>
  </si>
  <si>
    <t>Sulindar Pal</t>
  </si>
  <si>
    <t>Brinder Singh</t>
  </si>
  <si>
    <t>Hoshiarpur</t>
  </si>
  <si>
    <t>Arvind Kumar</t>
  </si>
  <si>
    <t>Kangra</t>
  </si>
  <si>
    <t>Ritesh Thakur</t>
  </si>
  <si>
    <t>Mandi</t>
  </si>
  <si>
    <t>Prashantha M</t>
  </si>
  <si>
    <t>Pawan Kumar Sharma</t>
  </si>
  <si>
    <t>Gourav Trivedi</t>
  </si>
  <si>
    <t>Gangapur</t>
  </si>
  <si>
    <t>Monmon Paul</t>
  </si>
  <si>
    <t>Soumen Ghosh</t>
  </si>
  <si>
    <t>Mechada</t>
  </si>
  <si>
    <t>Pravat Kumar Dash</t>
  </si>
  <si>
    <t>Sujeet Singh</t>
  </si>
  <si>
    <t>Motihari</t>
  </si>
  <si>
    <t>Ashok Das</t>
  </si>
  <si>
    <t>Dibyendu Saha</t>
  </si>
  <si>
    <t>Vivek Shankar</t>
  </si>
  <si>
    <t>Bhavesh N Ranpara</t>
  </si>
  <si>
    <t>Rajkot</t>
  </si>
  <si>
    <t>Sunil Mohanty</t>
  </si>
  <si>
    <t>Anuj Sharma</t>
  </si>
  <si>
    <t>Dibai</t>
  </si>
  <si>
    <t>Ram Kumar Vashishtha</t>
  </si>
  <si>
    <t>Kasganj</t>
  </si>
  <si>
    <t>Narendra Kumar Sharma</t>
  </si>
  <si>
    <t>Rupak Kumar</t>
  </si>
  <si>
    <t>Guwahati</t>
  </si>
  <si>
    <t>Below 50% Acheivement &amp; Cost Ratio Above 5%</t>
  </si>
  <si>
    <t>2026-27</t>
  </si>
  <si>
    <t>Below 25%</t>
  </si>
  <si>
    <t xml:space="preserve">Count </t>
  </si>
  <si>
    <t>State</t>
  </si>
  <si>
    <t>Name</t>
  </si>
  <si>
    <t>Headquarter</t>
  </si>
  <si>
    <t>D.O.J</t>
  </si>
  <si>
    <t>Working State</t>
  </si>
  <si>
    <t>Total Order 25-26</t>
  </si>
  <si>
    <t>Sale 25-26</t>
  </si>
  <si>
    <t>CTC Monthly</t>
  </si>
  <si>
    <t>Target monthly</t>
  </si>
  <si>
    <t>Direct Dealer Target</t>
  </si>
  <si>
    <t>Secondary Target</t>
  </si>
  <si>
    <t>Order Booking</t>
  </si>
  <si>
    <t>Direct Dealers Order</t>
  </si>
  <si>
    <t>Sale Report 26-27</t>
  </si>
  <si>
    <t>Target Achievement (%)</t>
  </si>
  <si>
    <t>Direct Dealer/Primary target achievement (%)</t>
  </si>
  <si>
    <t>Target Achievement (%) (Sale)</t>
  </si>
  <si>
    <t>Total Old Retailers</t>
  </si>
  <si>
    <t>Visited Parties</t>
  </si>
  <si>
    <t>New Retailers</t>
  </si>
  <si>
    <t>Number of New Retailers Orders Received</t>
  </si>
  <si>
    <t>Total Retailers</t>
  </si>
  <si>
    <t>Non Visited Retailers</t>
  </si>
  <si>
    <t>Old Party Business Order Booking</t>
  </si>
  <si>
    <t>New Party Order Booking</t>
  </si>
  <si>
    <t>Business  Achieved  By No. of Old Parties</t>
  </si>
  <si>
    <t>Business  Achieved  By No. of New Parties</t>
  </si>
  <si>
    <t>Business Achieved By</t>
  </si>
  <si>
    <t>Business Achieved By Direct Dealer</t>
  </si>
  <si>
    <t>Total Lead Counters</t>
  </si>
  <si>
    <t>Total Lead Visits</t>
  </si>
  <si>
    <t>Total Non Lead Visits</t>
  </si>
  <si>
    <t>Distributor Counter</t>
  </si>
  <si>
    <t>Distributor Visits</t>
  </si>
  <si>
    <t>Direct Dealer Counter</t>
  </si>
  <si>
    <t>Direct Dealer Visits</t>
  </si>
  <si>
    <t>Distributor/Direct Dealer Lead Counter</t>
  </si>
  <si>
    <t>Distributor/Direct Dealer Lead Visits</t>
  </si>
  <si>
    <t>Active Parties Visits</t>
  </si>
  <si>
    <t>Total Visits</t>
  </si>
  <si>
    <t>Working Days</t>
  </si>
  <si>
    <t>Average Order Per Day</t>
  </si>
  <si>
    <t>Average Visit Per Day</t>
  </si>
  <si>
    <t>CTC</t>
  </si>
  <si>
    <t>T.A. Bill ST. Cost</t>
  </si>
  <si>
    <t>Cost Ratio (%)</t>
  </si>
  <si>
    <t>Business Per Retailer</t>
  </si>
  <si>
    <t>No of Orders</t>
  </si>
  <si>
    <t>Total Working Hours</t>
  </si>
  <si>
    <t>Total GPS KM</t>
  </si>
  <si>
    <t>Avg Distance (KM)</t>
  </si>
  <si>
    <t>Business Received Parties Visits</t>
  </si>
  <si>
    <t>Visited But No Business Received</t>
  </si>
  <si>
    <t>No Visit No Business Received</t>
  </si>
  <si>
    <t>Left Date</t>
  </si>
  <si>
    <t>REMARKS</t>
  </si>
  <si>
    <t>Summary 25-26</t>
  </si>
  <si>
    <t>Old/New</t>
  </si>
  <si>
    <t>Secondary / Primary</t>
  </si>
  <si>
    <t xml:space="preserve">Number of Dealer Below 60 </t>
  </si>
  <si>
    <t>Business Achieved 50% of dealer and above Total Retailer</t>
  </si>
  <si>
    <t>Statehead</t>
  </si>
  <si>
    <t>Active / Left</t>
  </si>
  <si>
    <t>Active</t>
  </si>
  <si>
    <t>New Team Members</t>
  </si>
  <si>
    <t>No. Of Active Team Members</t>
  </si>
  <si>
    <t>Left Team Members</t>
  </si>
  <si>
    <t>Total</t>
  </si>
  <si>
    <t>70%-90%</t>
  </si>
  <si>
    <t>90%-100%</t>
  </si>
  <si>
    <t>Above 100%</t>
  </si>
  <si>
    <t>Below 50%</t>
  </si>
  <si>
    <t>Prashant Onam Naik</t>
  </si>
  <si>
    <t>Salary month / target count</t>
  </si>
  <si>
    <t>Order Booking 2024-2025</t>
  </si>
  <si>
    <t>Primary Target</t>
  </si>
  <si>
    <t>Target</t>
  </si>
  <si>
    <t>Achievement</t>
  </si>
  <si>
    <t>Direct Dealers order</t>
  </si>
  <si>
    <t>Visited in a Month</t>
  </si>
  <si>
    <t>Business Achived By No. of Old Parties</t>
  </si>
  <si>
    <t>Business Achived By No. of New Parties</t>
  </si>
  <si>
    <t>Average Sales Per Day</t>
  </si>
  <si>
    <t>New Party Orders</t>
  </si>
  <si>
    <t>Active/ Left</t>
  </si>
  <si>
    <t>old new</t>
  </si>
  <si>
    <t>Target range</t>
  </si>
  <si>
    <t>Jun</t>
  </si>
  <si>
    <t>days calculation</t>
  </si>
  <si>
    <t>Monthy Direct Dealer Primary Target</t>
  </si>
  <si>
    <t xml:space="preserve">Direct Dealer Primary Target </t>
  </si>
  <si>
    <t>Total target</t>
  </si>
  <si>
    <t>rEMARKS</t>
  </si>
  <si>
    <t>q1</t>
  </si>
  <si>
    <t>q2</t>
  </si>
  <si>
    <t>q3</t>
  </si>
  <si>
    <t>q4</t>
  </si>
  <si>
    <t>Cost Ratio (%)Sale</t>
  </si>
  <si>
    <t>ctc  2025</t>
  </si>
  <si>
    <t>designation</t>
  </si>
  <si>
    <t>emp code</t>
  </si>
  <si>
    <t>Old</t>
  </si>
  <si>
    <t>New</t>
  </si>
  <si>
    <t>Left</t>
  </si>
  <si>
    <t>BELOW 60 DEALER</t>
  </si>
  <si>
    <t>BUSINESS Achieved 50% AND ABOVE</t>
  </si>
  <si>
    <t>BUSINESS RECEIVED  TOTAL VISITS</t>
  </si>
  <si>
    <t>VISITED BUT BUSINESS NOT RECEIVED TOTAL VISITS</t>
  </si>
  <si>
    <t>PARTIES NOT VISITED</t>
  </si>
  <si>
    <t>Varitaion</t>
  </si>
  <si>
    <t>Remarks</t>
  </si>
  <si>
    <t>Secon</t>
  </si>
  <si>
    <t>prima</t>
  </si>
  <si>
    <t>target cross check</t>
  </si>
  <si>
    <t>West Bengal</t>
  </si>
  <si>
    <t>WEST BENGAL</t>
  </si>
  <si>
    <t>Primary</t>
  </si>
  <si>
    <t>Sr. Area Sales Manager</t>
  </si>
  <si>
    <t>Apr</t>
  </si>
  <si>
    <t>Secondary</t>
  </si>
  <si>
    <t>Area Sales Manager</t>
  </si>
  <si>
    <t>May</t>
  </si>
  <si>
    <t>Bihar</t>
  </si>
  <si>
    <t>East U.P</t>
  </si>
  <si>
    <t>East U.P, MADHYA PRADESH</t>
  </si>
  <si>
    <t>Regional Sales Manager</t>
  </si>
  <si>
    <t>Chattisgarh</t>
  </si>
  <si>
    <t>Jul</t>
  </si>
  <si>
    <t>Aug</t>
  </si>
  <si>
    <t>Delhi NCR</t>
  </si>
  <si>
    <t>Odisha</t>
  </si>
  <si>
    <t>ODISHA</t>
  </si>
  <si>
    <t>CUTTACK</t>
  </si>
  <si>
    <t>Sr. Executive - Sales &amp; Mktg.</t>
  </si>
  <si>
    <t>Sep</t>
  </si>
  <si>
    <t>BIHAR</t>
  </si>
  <si>
    <t>Oct</t>
  </si>
  <si>
    <t>Gujarat</t>
  </si>
  <si>
    <t>MEDNIPORE</t>
  </si>
  <si>
    <t>Nov</t>
  </si>
  <si>
    <t>Haryana</t>
  </si>
  <si>
    <t>BALASORE</t>
  </si>
  <si>
    <t>Dec</t>
  </si>
  <si>
    <t>Himachal Pradesh</t>
  </si>
  <si>
    <t>Faizbad</t>
  </si>
  <si>
    <t>Assistant Area Sales Manager</t>
  </si>
  <si>
    <t>Jan</t>
  </si>
  <si>
    <t>JAMMU AND KASHMIR</t>
  </si>
  <si>
    <t>Feb</t>
  </si>
  <si>
    <t>Jharkhand</t>
  </si>
  <si>
    <t>Madhya Pradesh</t>
  </si>
  <si>
    <t>MADHYA PRADESH</t>
  </si>
  <si>
    <t>Mar</t>
  </si>
  <si>
    <t>Karnataka</t>
  </si>
  <si>
    <t>Andhra Pradesh</t>
  </si>
  <si>
    <t>ANDHRA PRADESH</t>
  </si>
  <si>
    <t>Vizianagaram</t>
  </si>
  <si>
    <t>Executive - Sales &amp; Mkt.</t>
  </si>
  <si>
    <t>Kerala</t>
  </si>
  <si>
    <t>Maharashtra</t>
  </si>
  <si>
    <t>KARNATAKA, MAHARASHTRA</t>
  </si>
  <si>
    <t>Miraj (Mh)</t>
  </si>
  <si>
    <t>GUJARAT</t>
  </si>
  <si>
    <t>Baroda</t>
  </si>
  <si>
    <t>Maharashtra 2</t>
  </si>
  <si>
    <t>North East</t>
  </si>
  <si>
    <t>Telangana</t>
  </si>
  <si>
    <t>TELANGANA</t>
  </si>
  <si>
    <t>Warangal</t>
  </si>
  <si>
    <t>Punjab</t>
  </si>
  <si>
    <t>Rajasthan</t>
  </si>
  <si>
    <t>Tamil Nadu</t>
  </si>
  <si>
    <t>Shaik Jani basha</t>
  </si>
  <si>
    <t>Vijayawada</t>
  </si>
  <si>
    <t>Uttarakhand</t>
  </si>
  <si>
    <t>PONDICHERRY, TAMIL NADU</t>
  </si>
  <si>
    <t>West U.P</t>
  </si>
  <si>
    <t>Raurkela</t>
  </si>
  <si>
    <t>ARUNACHAL PRADESH, ASSAM, MANIPUR, MEGHALAYA, MIZORAM, NAGALAND, SIKKIM, TRIPURA</t>
  </si>
  <si>
    <t>TAMIL NADU</t>
  </si>
  <si>
    <t>VELLORE</t>
  </si>
  <si>
    <t>Sr. Executive</t>
  </si>
  <si>
    <t>JHARKHAND</t>
  </si>
  <si>
    <t>Nitin prasad baghel</t>
  </si>
  <si>
    <t>CHATTISGARH</t>
  </si>
  <si>
    <t>BIHAR, JHARKHAND</t>
  </si>
  <si>
    <t>MAHARASHTRA</t>
  </si>
  <si>
    <t>Amravati</t>
  </si>
  <si>
    <t>Prayagraj (Allahabad)</t>
  </si>
  <si>
    <t>JAMMU</t>
  </si>
  <si>
    <t>KERALA</t>
  </si>
  <si>
    <t>ARUNACHAL PRADESH, ASSAM, MANIPUR, MEGHALAYA, MIZORAM, NAGALAND, ODISHA, SIKKIM, TRIPURA</t>
  </si>
  <si>
    <t>Subhajit Koley</t>
  </si>
  <si>
    <t>Mecheda</t>
  </si>
  <si>
    <t>Prasun Chatterjee</t>
  </si>
  <si>
    <t>DELHI</t>
  </si>
  <si>
    <t>Vikash Kumar Singh</t>
  </si>
  <si>
    <t>Palamu</t>
  </si>
  <si>
    <t>Tushar Ravindra Kanthale</t>
  </si>
  <si>
    <t>Gonesh Dey</t>
  </si>
  <si>
    <t>Burdwan</t>
  </si>
  <si>
    <t>Roni Gupta</t>
  </si>
  <si>
    <t>Bankura</t>
  </si>
  <si>
    <t>Rajesh Chakraborty</t>
  </si>
  <si>
    <t>Gulab singh</t>
  </si>
  <si>
    <t>HARYANA</t>
  </si>
  <si>
    <t>Sujit Das</t>
  </si>
  <si>
    <t>West Burdwan</t>
  </si>
  <si>
    <t>ARUNACHAL PRADESH, ASSAM, MANIPUR, MEGHALAYA, MIZORAM, NAGALAND, SIKKIM</t>
  </si>
  <si>
    <t>AMAN KHAN</t>
  </si>
  <si>
    <t>CHHATARPUR</t>
  </si>
  <si>
    <t>Saqib juned</t>
  </si>
  <si>
    <t>Vijay Dnyaneshwar</t>
  </si>
  <si>
    <t>VIVEK SHANKAR</t>
  </si>
  <si>
    <t>Sudhanshu Kumar</t>
  </si>
  <si>
    <t>DIBYENDU SAHA</t>
  </si>
  <si>
    <t>ASSAM</t>
  </si>
  <si>
    <t>NARAYAN BAISHYA</t>
  </si>
  <si>
    <t>ASSAM, MEGHALAYA</t>
  </si>
  <si>
    <t>PUNJAB</t>
  </si>
  <si>
    <t>RAJASTHAN</t>
  </si>
  <si>
    <t>Karauli</t>
  </si>
  <si>
    <t>Territory Sales Officer</t>
  </si>
  <si>
    <t>Executive - Sales &amp; Mktg.</t>
  </si>
  <si>
    <t>Kolhapur</t>
  </si>
  <si>
    <t>DELHI, West U.P</t>
  </si>
  <si>
    <t>UTTARAKHAND, West U.P</t>
  </si>
  <si>
    <t>KARNATAKA</t>
  </si>
  <si>
    <t>UTTARAKHAND</t>
  </si>
  <si>
    <t>HIMACHAL PRADESH</t>
  </si>
  <si>
    <t>Chandrakant Mandave</t>
  </si>
  <si>
    <t>Asstt. Regional Sales Manager</t>
  </si>
  <si>
    <t>East Midnapore</t>
  </si>
  <si>
    <t>SHOYKARAN NAI</t>
  </si>
  <si>
    <t>JAHIR ABBAS HALDER</t>
  </si>
  <si>
    <t>Bengaluru</t>
  </si>
  <si>
    <t>Anirban Biswas</t>
  </si>
  <si>
    <t>ARUNACHAL PRADESH, ASSAM</t>
  </si>
  <si>
    <t>Deo Bhushan Sharma</t>
  </si>
  <si>
    <t>Charkhi Dadri</t>
  </si>
  <si>
    <t>Shiv Kumar</t>
  </si>
  <si>
    <t>North Delhi</t>
  </si>
  <si>
    <t>Belgaum</t>
  </si>
  <si>
    <t>Ravi Upadhyay</t>
  </si>
  <si>
    <t>Agra</t>
  </si>
  <si>
    <t>Ankola</t>
  </si>
  <si>
    <t>Himanshu Sharma</t>
  </si>
  <si>
    <t>Bulandshahr</t>
  </si>
  <si>
    <t>ARUNACHAL PRADESH, ASSAM, MANIPUR, MEGHALAYA, MIZORAM, NAGALAND, SIKKIM, TRIPURA, 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</si>
</sst>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##0"/>
    <numFmt numFmtId="165" formatCode="mmmm yyyy"/>
    <numFmt numFmtId="166" formatCode="dd&quot;-&quot;mmm&quot;-&quot;yy"/>
    <numFmt numFmtId="167" formatCode="dd-mmm-yy"/>
    <numFmt numFmtId="168" formatCode="d-mmm-yy"/>
    <numFmt numFmtId="169" formatCode="0.000"/>
    <numFmt numFmtId="170" formatCode="dd-mmmm-yy"/>
    <numFmt numFmtId="171" formatCode="d-mmmm-yy"/>
    <numFmt numFmtId="172" formatCode="0.0"/>
  </numFmts>
  <fonts count="73">
    <font>
      <sz val="10.0"/>
      <color rgb="FF000000"/>
      <name val="Arial"/>
      <scheme val="minor"/>
    </font>
    <font>
      <sz val="10.0"/>
      <color theme="1"/>
      <name val="Calibri"/>
    </font>
    <font>
      <b/>
      <sz val="17.0"/>
      <color theme="1"/>
      <name val="Calibri"/>
    </font>
    <font/>
    <font>
      <color theme="1"/>
      <name val="Arial"/>
    </font>
    <font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theme="1"/>
      <name val="Calibri"/>
    </font>
    <font>
      <b/>
      <sz val="9.0"/>
      <color theme="1"/>
      <name val="Calibri"/>
    </font>
    <font>
      <u/>
      <sz val="12.0"/>
      <color rgb="FF0000FF"/>
      <name val="Calibri"/>
    </font>
    <font>
      <u/>
      <sz val="10.0"/>
      <color rgb="FF1155CC"/>
      <name val="Calibri"/>
    </font>
    <font>
      <sz val="9.0"/>
      <color theme="1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sz val="12.0"/>
      <color theme="1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color theme="1"/>
      <name val="Arial"/>
      <scheme val="minor"/>
    </font>
    <font>
      <u/>
      <sz val="12.0"/>
      <color rgb="FF0000FF"/>
      <name val="Calibri"/>
    </font>
    <font>
      <sz val="11.0"/>
      <color theme="1"/>
      <name val="Inconsolata"/>
    </font>
    <font>
      <u/>
      <sz val="10.0"/>
      <color rgb="FF1155CC"/>
      <name val="Calibri"/>
    </font>
    <font>
      <u/>
      <sz val="10.0"/>
      <color rgb="FF0000FF"/>
      <name val="Calibri"/>
    </font>
    <font>
      <sz val="10.0"/>
      <color theme="1"/>
      <name val="Arial"/>
      <scheme val="minor"/>
    </font>
    <font>
      <u/>
      <color rgb="FF0000FF"/>
    </font>
    <font>
      <u/>
      <sz val="10.0"/>
      <color rgb="FF1155CC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color rgb="FF0000FF"/>
      <name val="Calibri"/>
    </font>
    <font>
      <u/>
      <color rgb="FF1155CC"/>
      <name val="Calibri"/>
    </font>
    <font>
      <u/>
      <color rgb="FF0000FF"/>
      <name val="Calibri"/>
    </font>
    <font>
      <u/>
      <color rgb="FF0000FF"/>
      <name val="Arial"/>
    </font>
    <font>
      <u/>
      <sz val="10.0"/>
      <color rgb="FF1155CC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color rgb="FF0000FF"/>
      <name val="Arial"/>
    </font>
    <font>
      <u/>
      <sz val="12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1155CC"/>
      <name val="Calibri"/>
    </font>
    <font>
      <u/>
      <sz val="10.0"/>
      <color rgb="FF0000FF"/>
      <name val="Calibri"/>
    </font>
    <font>
      <u/>
      <sz val="9.0"/>
      <color rgb="FF0000FF"/>
      <name val="Calibri"/>
    </font>
    <font>
      <u/>
      <color rgb="FF1155CC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z val="11.0"/>
      <color theme="1"/>
      <name val="Calibri"/>
    </font>
    <font>
      <sz val="9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rgb="FFFF0000"/>
      <name val="Calibri"/>
    </font>
    <font>
      <u/>
      <sz val="10.0"/>
      <color rgb="FFFF0000"/>
      <name val="Calibri"/>
    </font>
    <font>
      <u/>
      <sz val="10.0"/>
      <color rgb="FFFF0000"/>
      <name val="Calibri"/>
    </font>
    <font>
      <u/>
      <sz val="10.0"/>
      <color rgb="FFFF0000"/>
      <name val="Calibri"/>
    </font>
    <font>
      <u/>
      <sz val="10.0"/>
      <color rgb="FFFF0000"/>
      <name val="Calibri"/>
    </font>
    <font>
      <u/>
      <sz val="10.0"/>
      <color rgb="FFFF0000"/>
      <name val="Calibri"/>
    </font>
    <font>
      <u/>
      <sz val="10.0"/>
      <color rgb="FFFF0000"/>
      <name val="Calibri"/>
    </font>
    <font>
      <u/>
      <sz val="10.0"/>
      <color rgb="FFFF0000"/>
      <name val="Calibri"/>
    </font>
    <font>
      <b/>
      <color theme="1"/>
      <name val="Arial"/>
    </font>
    <font>
      <sz val="11.0"/>
      <color rgb="FF000000"/>
      <name val="Calibri"/>
    </font>
    <font>
      <u/>
      <color rgb="FF0000FF"/>
    </font>
    <font>
      <u/>
      <color rgb="FF0000FF"/>
    </font>
    <font>
      <b/>
      <sz val="15.0"/>
      <color theme="1"/>
      <name val="Arial"/>
    </font>
    <font>
      <b/>
      <sz val="11.0"/>
      <color rgb="FF222222"/>
      <name val="Google Sans"/>
    </font>
    <font>
      <b/>
      <sz val="12.0"/>
      <color theme="1"/>
      <name val="Calibri"/>
    </font>
    <font>
      <b/>
      <sz val="12.0"/>
      <color theme="1"/>
      <name val="Arial"/>
    </font>
    <font>
      <color rgb="FFFFFFFF"/>
      <name val="Arial"/>
    </font>
    <font>
      <sz val="12.0"/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82F782"/>
        <bgColor rgb="FF82F782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1E9F7"/>
        <bgColor rgb="FFE1E9F7"/>
      </patternFill>
    </fill>
    <fill>
      <patternFill patternType="solid">
        <fgColor rgb="FFB7E1CD"/>
        <bgColor rgb="FFB7E1CD"/>
      </patternFill>
    </fill>
    <fill>
      <patternFill patternType="solid">
        <fgColor rgb="FF95B3D7"/>
        <bgColor rgb="FF95B3D7"/>
      </patternFill>
    </fill>
    <fill>
      <patternFill patternType="solid">
        <fgColor rgb="FF57BB8A"/>
        <bgColor rgb="FF57BB8A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1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4" numFmtId="1" xfId="0" applyAlignment="1" applyFill="1" applyFont="1" applyNumberFormat="1">
      <alignment vertical="bottom"/>
    </xf>
    <xf borderId="0" fillId="0" fontId="5" numFmtId="1" xfId="0" applyAlignment="1" applyFont="1" applyNumberFormat="1">
      <alignment horizontal="center" readingOrder="0" vertical="bottom"/>
    </xf>
    <xf borderId="0" fillId="0" fontId="6" numFmtId="1" xfId="0" applyAlignment="1" applyFont="1" applyNumberFormat="1">
      <alignment horizontal="center" readingOrder="0" vertical="bottom"/>
    </xf>
    <xf borderId="0" fillId="0" fontId="4" numFmtId="1" xfId="0" applyAlignment="1" applyFont="1" applyNumberFormat="1">
      <alignment vertical="bottom"/>
    </xf>
    <xf borderId="0" fillId="0" fontId="7" numFmtId="1" xfId="0" applyAlignment="1" applyFont="1" applyNumberFormat="1">
      <alignment horizontal="center" readingOrder="0" vertical="bottom"/>
    </xf>
    <xf borderId="0" fillId="0" fontId="4" numFmtId="1" xfId="0" applyAlignment="1" applyFont="1" applyNumberFormat="1">
      <alignment horizontal="center" vertical="bottom"/>
    </xf>
    <xf borderId="0" fillId="3" fontId="4" numFmtId="1" xfId="0" applyAlignment="1" applyFill="1" applyFont="1" applyNumberFormat="1">
      <alignment vertical="bottom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7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vertical="bottom"/>
    </xf>
    <xf borderId="10" fillId="0" fontId="4" numFmtId="164" xfId="0" applyAlignment="1" applyBorder="1" applyFont="1" applyNumberFormat="1">
      <alignment vertical="bottom"/>
    </xf>
    <xf borderId="10" fillId="2" fontId="8" numFmtId="164" xfId="0" applyAlignment="1" applyBorder="1" applyFont="1" applyNumberFormat="1">
      <alignment horizontal="center" vertical="bottom"/>
    </xf>
    <xf borderId="10" fillId="0" fontId="8" numFmtId="164" xfId="0" applyAlignment="1" applyBorder="1" applyFont="1" applyNumberFormat="1">
      <alignment horizontal="center" vertical="bottom"/>
    </xf>
    <xf borderId="10" fillId="0" fontId="7" numFmtId="10" xfId="0" applyAlignment="1" applyBorder="1" applyFont="1" applyNumberFormat="1">
      <alignment horizontal="center" vertical="bottom"/>
    </xf>
    <xf borderId="10" fillId="0" fontId="9" numFmtId="10" xfId="0" applyAlignment="1" applyBorder="1" applyFont="1" applyNumberForma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10" fillId="0" fontId="1" numFmtId="0" xfId="0" applyAlignment="1" applyBorder="1" applyFont="1">
      <alignment horizontal="center"/>
    </xf>
    <xf borderId="11" fillId="0" fontId="8" numFmtId="0" xfId="0" applyAlignment="1" applyBorder="1" applyFont="1">
      <alignment horizontal="center" shrinkToFit="0" wrapText="1"/>
    </xf>
    <xf borderId="11" fillId="0" fontId="9" numFmtId="0" xfId="0" applyAlignment="1" applyBorder="1" applyFont="1">
      <alignment horizontal="center" shrinkToFit="0" wrapText="1"/>
    </xf>
    <xf borderId="11" fillId="2" fontId="9" numFmtId="1" xfId="0" applyAlignment="1" applyBorder="1" applyFont="1" applyNumberFormat="1">
      <alignment horizontal="center" readingOrder="0" shrinkToFit="0" wrapText="1"/>
    </xf>
    <xf borderId="11" fillId="0" fontId="9" numFmtId="3" xfId="0" applyAlignment="1" applyBorder="1" applyFont="1" applyNumberFormat="1">
      <alignment horizontal="center" readingOrder="0" shrinkToFit="0" wrapText="1"/>
    </xf>
    <xf borderId="11" fillId="0" fontId="9" numFmtId="0" xfId="0" applyAlignment="1" applyBorder="1" applyFont="1">
      <alignment horizontal="center" readingOrder="0" shrinkToFit="0" wrapText="1"/>
    </xf>
    <xf borderId="11" fillId="0" fontId="9" numFmtId="1" xfId="0" applyAlignment="1" applyBorder="1" applyFont="1" applyNumberFormat="1">
      <alignment horizontal="center" readingOrder="0" shrinkToFit="0" wrapText="1"/>
    </xf>
    <xf borderId="11" fillId="0" fontId="10" numFmtId="1" xfId="0" applyAlignment="1" applyBorder="1" applyFont="1" applyNumberFormat="1">
      <alignment horizontal="center" shrinkToFit="0" wrapText="1"/>
    </xf>
    <xf borderId="7" fillId="4" fontId="9" numFmtId="165" xfId="0" applyAlignment="1" applyBorder="1" applyFill="1" applyFont="1" applyNumberForma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0" fillId="0" fontId="9" numFmtId="165" xfId="0" applyAlignment="1" applyFont="1" applyNumberFormat="1">
      <alignment horizontal="center" readingOrder="0"/>
    </xf>
    <xf borderId="12" fillId="0" fontId="3" numFmtId="0" xfId="0" applyBorder="1" applyFont="1"/>
    <xf borderId="7" fillId="5" fontId="5" numFmtId="1" xfId="0" applyAlignment="1" applyBorder="1" applyFill="1" applyFont="1" applyNumberFormat="1">
      <alignment horizontal="center" shrinkToFit="0" wrapText="1"/>
    </xf>
    <xf borderId="7" fillId="6" fontId="5" numFmtId="1" xfId="0" applyAlignment="1" applyBorder="1" applyFill="1" applyFont="1" applyNumberFormat="1">
      <alignment horizontal="center" shrinkToFit="0" wrapText="1"/>
    </xf>
    <xf borderId="11" fillId="7" fontId="5" numFmtId="1" xfId="0" applyAlignment="1" applyBorder="1" applyFill="1" applyFont="1" applyNumberFormat="1">
      <alignment horizontal="center" shrinkToFit="0" wrapText="1"/>
    </xf>
    <xf borderId="7" fillId="8" fontId="5" numFmtId="1" xfId="0" applyAlignment="1" applyBorder="1" applyFill="1" applyFont="1" applyNumberFormat="1">
      <alignment horizontal="center" shrinkToFit="0" wrapText="1"/>
    </xf>
    <xf borderId="0" fillId="0" fontId="5" numFmtId="1" xfId="0" applyAlignment="1" applyFont="1" applyNumberFormat="1">
      <alignment horizontal="center" shrinkToFit="0" wrapText="1"/>
    </xf>
    <xf borderId="13" fillId="0" fontId="3" numFmtId="0" xfId="0" applyBorder="1" applyFont="1"/>
    <xf borderId="10" fillId="0" fontId="5" numFmtId="1" xfId="0" applyAlignment="1" applyBorder="1" applyFont="1" applyNumberFormat="1">
      <alignment horizontal="center"/>
    </xf>
    <xf borderId="10" fillId="0" fontId="9" numFmtId="1" xfId="0" applyAlignment="1" applyBorder="1" applyFont="1" applyNumberFormat="1">
      <alignment horizontal="center"/>
    </xf>
    <xf borderId="0" fillId="0" fontId="5" numFmtId="1" xfId="0" applyAlignment="1" applyFont="1" applyNumberFormat="1">
      <alignment horizontal="center"/>
    </xf>
    <xf borderId="11" fillId="0" fontId="11" numFmtId="0" xfId="0" applyAlignment="1" applyBorder="1" applyFont="1">
      <alignment horizontal="center" readingOrder="0" shrinkToFit="0" vertical="center" wrapText="1"/>
    </xf>
    <xf borderId="9" fillId="0" fontId="12" numFmtId="49" xfId="0" applyAlignment="1" applyBorder="1" applyFont="1" applyNumberFormat="1">
      <alignment vertical="bottom"/>
    </xf>
    <xf borderId="10" fillId="0" fontId="1" numFmtId="49" xfId="0" applyAlignment="1" applyBorder="1" applyFont="1" applyNumberFormat="1">
      <alignment horizontal="center" vertical="bottom"/>
    </xf>
    <xf borderId="10" fillId="0" fontId="1" numFmtId="0" xfId="0" applyAlignment="1" applyBorder="1" applyFont="1">
      <alignment horizontal="center" vertical="bottom"/>
    </xf>
    <xf borderId="10" fillId="0" fontId="1" numFmtId="166" xfId="0" applyAlignment="1" applyBorder="1" applyFont="1" applyNumberFormat="1">
      <alignment horizontal="center"/>
    </xf>
    <xf borderId="10" fillId="0" fontId="4" numFmtId="1" xfId="0" applyAlignment="1" applyBorder="1" applyFont="1" applyNumberFormat="1">
      <alignment vertical="bottom"/>
    </xf>
    <xf borderId="10" fillId="2" fontId="13" numFmtId="1" xfId="0" applyAlignment="1" applyBorder="1" applyFont="1" applyNumberFormat="1">
      <alignment horizontal="center" vertical="bottom"/>
    </xf>
    <xf borderId="10" fillId="0" fontId="5" numFmtId="1" xfId="0" applyAlignment="1" applyBorder="1" applyFont="1" applyNumberFormat="1">
      <alignment horizontal="center" readingOrder="0" vertical="bottom"/>
    </xf>
    <xf borderId="10" fillId="3" fontId="5" numFmtId="1" xfId="0" applyAlignment="1" applyBorder="1" applyFont="1" applyNumberFormat="1">
      <alignment horizontal="center" vertical="bottom"/>
    </xf>
    <xf borderId="10" fillId="0" fontId="6" numFmtId="10" xfId="0" applyAlignment="1" applyBorder="1" applyFont="1" applyNumberFormat="1">
      <alignment horizontal="center" vertical="bottom"/>
    </xf>
    <xf borderId="10" fillId="0" fontId="5" numFmtId="1" xfId="0" applyAlignment="1" applyBorder="1" applyFont="1" applyNumberFormat="1">
      <alignment horizontal="center" vertical="bottom"/>
    </xf>
    <xf borderId="10" fillId="0" fontId="4" numFmtId="10" xfId="0" applyAlignment="1" applyBorder="1" applyFont="1" applyNumberFormat="1">
      <alignment vertical="bottom"/>
    </xf>
    <xf borderId="10" fillId="0" fontId="5" numFmtId="10" xfId="0" applyAlignment="1" applyBorder="1" applyFont="1" applyNumberFormat="1">
      <alignment horizontal="center" vertical="bottom"/>
    </xf>
    <xf borderId="0" fillId="3" fontId="5" numFmtId="1" xfId="0" applyAlignment="1" applyFont="1" applyNumberFormat="1">
      <alignment horizontal="center" vertical="bottom"/>
    </xf>
    <xf borderId="9" fillId="0" fontId="14" numFmtId="49" xfId="0" applyAlignment="1" applyBorder="1" applyFont="1" applyNumberFormat="1">
      <alignment readingOrder="0" vertical="bottom"/>
    </xf>
    <xf borderId="10" fillId="0" fontId="4" numFmtId="1" xfId="0" applyAlignment="1" applyBorder="1" applyFont="1" applyNumberFormat="1">
      <alignment vertical="bottom"/>
    </xf>
    <xf borderId="7" fillId="0" fontId="1" numFmtId="0" xfId="0" applyAlignment="1" applyBorder="1" applyFont="1">
      <alignment horizontal="center" vertical="bottom"/>
    </xf>
    <xf borderId="9" fillId="0" fontId="15" numFmtId="0" xfId="0" applyAlignment="1" applyBorder="1" applyFont="1">
      <alignment readingOrder="0" vertical="bottom"/>
    </xf>
    <xf borderId="10" fillId="0" fontId="1" numFmtId="49" xfId="0" applyAlignment="1" applyBorder="1" applyFont="1" applyNumberFormat="1">
      <alignment horizontal="center" readingOrder="0" vertical="bottom"/>
    </xf>
    <xf borderId="10" fillId="0" fontId="1" numFmtId="166" xfId="0" applyAlignment="1" applyBorder="1" applyFont="1" applyNumberFormat="1">
      <alignment horizontal="center" readingOrder="0"/>
    </xf>
    <xf borderId="9" fillId="0" fontId="16" numFmtId="49" xfId="0" applyAlignment="1" applyBorder="1" applyFont="1" applyNumberFormat="1">
      <alignment horizontal="left" readingOrder="0" vertical="bottom"/>
    </xf>
    <xf borderId="10" fillId="0" fontId="1" numFmtId="0" xfId="0" applyAlignment="1" applyBorder="1" applyFont="1">
      <alignment horizontal="center" readingOrder="0" vertical="bottom"/>
    </xf>
    <xf borderId="10" fillId="0" fontId="17" numFmtId="49" xfId="0" applyAlignment="1" applyBorder="1" applyFont="1" applyNumberFormat="1">
      <alignment readingOrder="0" vertical="bottom"/>
    </xf>
    <xf borderId="10" fillId="2" fontId="13" numFmtId="1" xfId="0" applyAlignment="1" applyBorder="1" applyFont="1" applyNumberFormat="1">
      <alignment horizontal="center" readingOrder="0" vertical="bottom"/>
    </xf>
    <xf borderId="9" fillId="0" fontId="18" numFmtId="49" xfId="0" applyAlignment="1" applyBorder="1" applyFont="1" applyNumberFormat="1">
      <alignment readingOrder="0" vertical="bottom"/>
    </xf>
    <xf borderId="0" fillId="3" fontId="19" numFmtId="0" xfId="0" applyAlignment="1" applyFont="1">
      <alignment horizontal="center" readingOrder="0" vertical="center"/>
    </xf>
    <xf borderId="10" fillId="3" fontId="20" numFmtId="0" xfId="0" applyAlignment="1" applyBorder="1" applyFont="1">
      <alignment horizontal="center" readingOrder="0" shrinkToFit="0" vertical="center" wrapText="1"/>
    </xf>
    <xf borderId="9" fillId="0" fontId="21" numFmtId="49" xfId="0" applyAlignment="1" applyBorder="1" applyFont="1" applyNumberFormat="1">
      <alignment readingOrder="0" vertical="bottom"/>
    </xf>
    <xf borderId="11" fillId="3" fontId="22" numFmtId="0" xfId="0" applyAlignment="1" applyBorder="1" applyFont="1">
      <alignment horizontal="center" readingOrder="0" shrinkToFit="0" vertical="center" wrapText="1"/>
    </xf>
    <xf borderId="10" fillId="0" fontId="1" numFmtId="166" xfId="0" applyAlignment="1" applyBorder="1" applyFont="1" applyNumberFormat="1">
      <alignment horizontal="center" vertical="bottom"/>
    </xf>
    <xf borderId="10" fillId="0" fontId="23" numFmtId="0" xfId="0" applyBorder="1" applyFont="1"/>
    <xf borderId="0" fillId="3" fontId="19" numFmtId="0" xfId="0" applyAlignment="1" applyFont="1">
      <alignment horizontal="center" vertical="center"/>
    </xf>
    <xf borderId="11" fillId="3" fontId="24" numFmtId="0" xfId="0" applyAlignment="1" applyBorder="1" applyFont="1">
      <alignment horizontal="center" readingOrder="0" shrinkToFit="0" vertical="center" wrapText="1"/>
    </xf>
    <xf borderId="10" fillId="0" fontId="1" numFmtId="166" xfId="0" applyAlignment="1" applyBorder="1" applyFont="1" applyNumberFormat="1">
      <alignment horizontal="center" readingOrder="0" vertical="bottom"/>
    </xf>
    <xf borderId="10" fillId="3" fontId="25" numFmtId="1" xfId="0" applyAlignment="1" applyBorder="1" applyFont="1" applyNumberFormat="1">
      <alignment horizontal="center" vertical="bottom"/>
    </xf>
    <xf borderId="9" fillId="0" fontId="26" numFmtId="0" xfId="0" applyAlignment="1" applyBorder="1" applyFont="1">
      <alignment vertical="bottom"/>
    </xf>
    <xf borderId="10" fillId="0" fontId="27" numFmtId="49" xfId="0" applyAlignment="1" applyBorder="1" applyFont="1" applyNumberFormat="1">
      <alignment horizontal="left" readingOrder="0" vertical="bottom"/>
    </xf>
    <xf borderId="10" fillId="0" fontId="28" numFmtId="167" xfId="0" applyAlignment="1" applyBorder="1" applyFont="1" applyNumberFormat="1">
      <alignment horizontal="center" readingOrder="0"/>
    </xf>
    <xf borderId="10" fillId="2" fontId="13" numFmtId="0" xfId="0" applyAlignment="1" applyBorder="1" applyFont="1">
      <alignment horizontal="center" readingOrder="0"/>
    </xf>
    <xf borderId="10" fillId="0" fontId="29" numFmtId="0" xfId="0" applyAlignment="1" applyBorder="1" applyFont="1">
      <alignment readingOrder="0"/>
    </xf>
    <xf borderId="9" fillId="3" fontId="30" numFmtId="0" xfId="0" applyAlignment="1" applyBorder="1" applyFont="1">
      <alignment vertical="bottom"/>
    </xf>
    <xf borderId="10" fillId="3" fontId="4" numFmtId="1" xfId="0" applyAlignment="1" applyBorder="1" applyFont="1" applyNumberFormat="1">
      <alignment vertical="bottom"/>
    </xf>
    <xf borderId="10" fillId="3" fontId="1" numFmtId="49" xfId="0" applyAlignment="1" applyBorder="1" applyFont="1" applyNumberFormat="1">
      <alignment horizontal="center" vertical="bottom"/>
    </xf>
    <xf borderId="14" fillId="0" fontId="31" numFmtId="0" xfId="0" applyAlignment="1" applyBorder="1" applyFont="1">
      <alignment readingOrder="0" vertical="bottom"/>
    </xf>
    <xf borderId="10" fillId="3" fontId="1" numFmtId="49" xfId="0" applyAlignment="1" applyBorder="1" applyFont="1" applyNumberFormat="1">
      <alignment horizontal="center" readingOrder="0" vertical="bottom"/>
    </xf>
    <xf borderId="9" fillId="3" fontId="32" numFmtId="0" xfId="0" applyAlignment="1" applyBorder="1" applyFont="1">
      <alignment readingOrder="0" vertical="bottom"/>
    </xf>
    <xf borderId="9" fillId="0" fontId="33" numFmtId="0" xfId="0" applyAlignment="1" applyBorder="1" applyFont="1">
      <alignment readingOrder="0" vertical="bottom"/>
    </xf>
    <xf borderId="10" fillId="0" fontId="4" numFmtId="0" xfId="0" applyAlignment="1" applyBorder="1" applyFont="1">
      <alignment vertical="bottom"/>
    </xf>
    <xf borderId="10" fillId="2" fontId="13" numFmtId="0" xfId="0" applyAlignment="1" applyBorder="1" applyFont="1">
      <alignment horizontal="center" vertical="bottom"/>
    </xf>
    <xf borderId="9" fillId="0" fontId="34" numFmtId="0" xfId="0" applyAlignment="1" applyBorder="1" applyFont="1">
      <alignment vertical="bottom"/>
    </xf>
    <xf borderId="10" fillId="9" fontId="35" numFmtId="49" xfId="0" applyAlignment="1" applyBorder="1" applyFill="1" applyFont="1" applyNumberFormat="1">
      <alignment vertical="bottom"/>
    </xf>
    <xf borderId="9" fillId="0" fontId="36" numFmtId="0" xfId="0" applyAlignment="1" applyBorder="1" applyFont="1">
      <alignment vertical="bottom"/>
    </xf>
    <xf borderId="9" fillId="0" fontId="37" numFmtId="0" xfId="0" applyAlignment="1" applyBorder="1" applyFont="1">
      <alignment readingOrder="0" vertical="bottom"/>
    </xf>
    <xf borderId="10" fillId="0" fontId="38" numFmtId="0" xfId="0" applyAlignment="1" applyBorder="1" applyFont="1">
      <alignment readingOrder="0" vertical="bottom"/>
    </xf>
    <xf borderId="9" fillId="3" fontId="39" numFmtId="49" xfId="0" applyAlignment="1" applyBorder="1" applyFont="1" applyNumberFormat="1">
      <alignment vertical="bottom"/>
    </xf>
    <xf borderId="9" fillId="3" fontId="40" numFmtId="49" xfId="0" applyAlignment="1" applyBorder="1" applyFont="1" applyNumberFormat="1">
      <alignment readingOrder="0"/>
    </xf>
    <xf borderId="10" fillId="0" fontId="1" numFmtId="168" xfId="0" applyAlignment="1" applyBorder="1" applyFont="1" applyNumberFormat="1">
      <alignment horizontal="center" readingOrder="0" vertical="bottom"/>
    </xf>
    <xf borderId="0" fillId="0" fontId="41" numFmtId="0" xfId="0" applyAlignment="1" applyFont="1">
      <alignment readingOrder="0"/>
    </xf>
    <xf borderId="10" fillId="0" fontId="42" numFmtId="49" xfId="0" applyAlignment="1" applyBorder="1" applyFont="1" applyNumberFormat="1">
      <alignment readingOrder="0" vertical="bottom"/>
    </xf>
    <xf borderId="12" fillId="3" fontId="43" numFmtId="0" xfId="0" applyAlignment="1" applyBorder="1" applyFont="1">
      <alignment horizontal="center" readingOrder="0" shrinkToFit="0" vertical="center" wrapText="1"/>
    </xf>
    <xf borderId="9" fillId="0" fontId="44" numFmtId="0" xfId="0" applyAlignment="1" applyBorder="1" applyFont="1">
      <alignment horizontal="left" readingOrder="0" vertical="bottom"/>
    </xf>
    <xf borderId="10" fillId="0" fontId="45" numFmtId="0" xfId="0" applyAlignment="1" applyBorder="1" applyFont="1">
      <alignment readingOrder="0" vertical="bottom"/>
    </xf>
    <xf borderId="10" fillId="0" fontId="1" numFmtId="3" xfId="0" applyAlignment="1" applyBorder="1" applyFont="1" applyNumberFormat="1">
      <alignment horizontal="center" readingOrder="0" vertical="bottom"/>
    </xf>
    <xf borderId="10" fillId="0" fontId="46" numFmtId="0" xfId="0" applyAlignment="1" applyBorder="1" applyFont="1">
      <alignment vertical="bottom"/>
    </xf>
    <xf borderId="10" fillId="0" fontId="1" numFmtId="0" xfId="0" applyAlignment="1" applyBorder="1" applyFon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10" fillId="0" fontId="5" numFmtId="1" xfId="0" applyAlignment="1" applyBorder="1" applyFont="1" applyNumberFormat="1">
      <alignment horizontal="center" readingOrder="0" vertical="bottom"/>
    </xf>
    <xf borderId="10" fillId="0" fontId="47" numFmtId="49" xfId="0" applyAlignment="1" applyBorder="1" applyFont="1" applyNumberFormat="1">
      <alignment horizontal="left" vertical="bottom"/>
    </xf>
    <xf borderId="10" fillId="0" fontId="48" numFmtId="0" xfId="0" applyAlignment="1" applyBorder="1" applyFont="1">
      <alignment readingOrder="0"/>
    </xf>
    <xf borderId="10" fillId="0" fontId="13" numFmtId="49" xfId="0" applyAlignment="1" applyBorder="1" applyFont="1" applyNumberFormat="1">
      <alignment horizontal="center" readingOrder="0" vertical="bottom"/>
    </xf>
    <xf borderId="10" fillId="0" fontId="13" numFmtId="0" xfId="0" applyAlignment="1" applyBorder="1" applyFont="1">
      <alignment horizontal="center" readingOrder="0" vertical="bottom"/>
    </xf>
    <xf borderId="10" fillId="0" fontId="13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10" fillId="0" fontId="49" numFmtId="49" xfId="0" applyAlignment="1" applyBorder="1" applyFont="1" applyNumberFormat="1">
      <alignment vertical="bottom"/>
    </xf>
    <xf borderId="9" fillId="0" fontId="50" numFmtId="0" xfId="0" applyAlignment="1" applyBorder="1" applyFont="1">
      <alignment readingOrder="0"/>
    </xf>
    <xf borderId="9" fillId="0" fontId="1" numFmtId="0" xfId="0" applyAlignment="1" applyBorder="1" applyFont="1">
      <alignment readingOrder="0" vertical="bottom"/>
    </xf>
    <xf borderId="9" fillId="0" fontId="51" numFmtId="0" xfId="0" applyAlignment="1" applyBorder="1" applyFont="1">
      <alignment readingOrder="0" shrinkToFit="0" vertical="bottom" wrapText="0"/>
    </xf>
    <xf borderId="10" fillId="0" fontId="19" numFmtId="0" xfId="0" applyAlignment="1" applyBorder="1" applyFont="1">
      <alignment horizontal="center" readingOrder="0" shrinkToFit="0" vertical="bottom" wrapText="0"/>
    </xf>
    <xf borderId="10" fillId="0" fontId="1" numFmtId="168" xfId="0" applyAlignment="1" applyBorder="1" applyFont="1" applyNumberFormat="1">
      <alignment horizontal="center" vertical="bottom"/>
    </xf>
    <xf borderId="10" fillId="0" fontId="13" numFmtId="1" xfId="0" applyAlignment="1" applyBorder="1" applyFont="1" applyNumberFormat="1">
      <alignment horizontal="center" readingOrder="0" vertical="bottom"/>
    </xf>
    <xf borderId="10" fillId="0" fontId="1" numFmtId="168" xfId="0" applyAlignment="1" applyBorder="1" applyFont="1" applyNumberFormat="1">
      <alignment horizontal="center" readingOrder="0"/>
    </xf>
    <xf borderId="10" fillId="0" fontId="1" numFmtId="167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3" numFmtId="0" xfId="0" applyAlignment="1" applyFont="1">
      <alignment shrinkToFit="0" wrapText="1"/>
    </xf>
    <xf borderId="0" fillId="0" fontId="52" numFmtId="0" xfId="0" applyFont="1"/>
    <xf borderId="0" fillId="0" fontId="13" numFmtId="0" xfId="0" applyAlignment="1" applyFont="1">
      <alignment horizontal="center"/>
    </xf>
    <xf borderId="0" fillId="2" fontId="23" numFmtId="0" xfId="0" applyFont="1"/>
    <xf borderId="0" fillId="0" fontId="53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10" fontId="54" numFmtId="0" xfId="0" applyAlignment="1" applyFill="1" applyFont="1">
      <alignment horizontal="center" readingOrder="0" shrinkToFit="0" wrapText="1"/>
    </xf>
    <xf borderId="0" fillId="10" fontId="23" numFmtId="0" xfId="0" applyFont="1"/>
    <xf borderId="0" fillId="10" fontId="53" numFmtId="0" xfId="0" applyAlignment="1" applyFont="1">
      <alignment horizontal="center"/>
    </xf>
    <xf borderId="0" fillId="10" fontId="23" numFmtId="0" xfId="0" applyAlignment="1" applyFont="1">
      <alignment horizontal="center"/>
    </xf>
    <xf borderId="0" fillId="3" fontId="19" numFmtId="0" xfId="0" applyAlignment="1" applyFont="1">
      <alignment horizontal="center" readingOrder="0" shrinkToFit="0" vertical="center" wrapText="1"/>
    </xf>
    <xf borderId="0" fillId="0" fontId="55" numFmtId="49" xfId="0" applyAlignment="1" applyFont="1" applyNumberFormat="1">
      <alignment readingOrder="0" vertical="bottom"/>
    </xf>
    <xf borderId="0" fillId="0" fontId="13" numFmtId="49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3" numFmtId="166" xfId="0" applyAlignment="1" applyFont="1" applyNumberFormat="1">
      <alignment horizontal="center" readingOrder="0"/>
    </xf>
    <xf borderId="0" fillId="2" fontId="13" numFmtId="1" xfId="0" applyAlignment="1" applyFont="1" applyNumberFormat="1">
      <alignment horizontal="center" vertical="bottom"/>
    </xf>
    <xf borderId="0" fillId="0" fontId="5" numFmtId="1" xfId="0" applyAlignment="1" applyFont="1" applyNumberFormat="1">
      <alignment horizontal="center" vertical="bottom"/>
    </xf>
    <xf borderId="0" fillId="0" fontId="6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vertical="bottom"/>
    </xf>
    <xf borderId="0" fillId="3" fontId="25" numFmtId="1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12" fillId="3" fontId="20" numFmtId="0" xfId="0" applyAlignment="1" applyBorder="1" applyFont="1">
      <alignment horizontal="center" readingOrder="0" shrinkToFit="0" vertical="center" wrapText="1"/>
    </xf>
    <xf borderId="9" fillId="0" fontId="56" numFmtId="0" xfId="0" applyAlignment="1" applyBorder="1" applyFont="1">
      <alignment readingOrder="0" vertical="bottom"/>
    </xf>
    <xf borderId="10" fillId="0" fontId="57" numFmtId="49" xfId="0" applyAlignment="1" applyBorder="1" applyFont="1" applyNumberFormat="1">
      <alignment horizontal="left" vertical="bottom"/>
    </xf>
    <xf borderId="9" fillId="3" fontId="58" numFmtId="0" xfId="0" applyAlignment="1" applyBorder="1" applyFont="1">
      <alignment vertical="bottom"/>
    </xf>
    <xf borderId="0" fillId="0" fontId="23" numFmtId="0" xfId="0" applyAlignment="1" applyFont="1">
      <alignment readingOrder="0"/>
    </xf>
    <xf borderId="9" fillId="0" fontId="59" numFmtId="49" xfId="0" applyAlignment="1" applyBorder="1" applyFont="1" applyNumberFormat="1">
      <alignment vertical="bottom"/>
    </xf>
    <xf borderId="10" fillId="3" fontId="19" numFmtId="0" xfId="0" applyAlignment="1" applyBorder="1" applyFont="1">
      <alignment horizontal="center" vertical="center"/>
    </xf>
    <xf borderId="10" fillId="0" fontId="60" numFmtId="49" xfId="0" applyAlignment="1" applyBorder="1" applyFont="1" applyNumberFormat="1">
      <alignment horizontal="left" readingOrder="0" vertical="bottom"/>
    </xf>
    <xf borderId="9" fillId="0" fontId="61" numFmtId="49" xfId="0" applyAlignment="1" applyBorder="1" applyFont="1" applyNumberFormat="1">
      <alignment readingOrder="0" vertical="bottom"/>
    </xf>
    <xf borderId="9" fillId="0" fontId="62" numFmtId="49" xfId="0" applyAlignment="1" applyBorder="1" applyFont="1" applyNumberFormat="1">
      <alignment readingOrder="0" vertical="bottom"/>
    </xf>
    <xf borderId="12" fillId="0" fontId="20" numFmtId="0" xfId="0" applyAlignment="1" applyBorder="1" applyFont="1">
      <alignment horizontal="center" readingOrder="0" shrinkToFit="0" vertical="center" wrapText="1"/>
    </xf>
    <xf borderId="0" fillId="2" fontId="6" numFmtId="1" xfId="0" applyAlignment="1" applyFont="1" applyNumberFormat="1">
      <alignment horizontal="center" readingOrder="0" vertical="bottom"/>
    </xf>
    <xf borderId="5" fillId="2" fontId="4" numFmtId="0" xfId="0" applyAlignment="1" applyBorder="1" applyFont="1">
      <alignment vertical="bottom"/>
    </xf>
    <xf borderId="0" fillId="0" fontId="63" numFmtId="0" xfId="0" applyAlignment="1" applyFont="1">
      <alignment horizontal="center" shrinkToFit="0" vertical="bottom" wrapText="1"/>
    </xf>
    <xf borderId="10" fillId="2" fontId="4" numFmtId="164" xfId="0" applyAlignment="1" applyBorder="1" applyFont="1" applyNumberFormat="1">
      <alignment vertical="bottom"/>
    </xf>
    <xf borderId="11" fillId="0" fontId="8" numFmtId="0" xfId="0" applyAlignment="1" applyBorder="1" applyFont="1">
      <alignment horizontal="center" readingOrder="0" shrinkToFit="0" wrapText="1"/>
    </xf>
    <xf borderId="11" fillId="2" fontId="9" numFmtId="0" xfId="0" applyAlignment="1" applyBorder="1" applyFont="1">
      <alignment horizontal="center" shrinkToFit="0" wrapText="1"/>
    </xf>
    <xf borderId="11" fillId="2" fontId="9" numFmtId="0" xfId="0" applyAlignment="1" applyBorder="1" applyFont="1">
      <alignment horizontal="center" readingOrder="0" shrinkToFit="0" wrapText="1"/>
    </xf>
    <xf borderId="10" fillId="0" fontId="23" numFmtId="0" xfId="0" applyAlignment="1" applyBorder="1" applyFont="1">
      <alignment readingOrder="0"/>
    </xf>
    <xf borderId="10" fillId="0" fontId="28" numFmtId="166" xfId="0" applyAlignment="1" applyBorder="1" applyFont="1" applyNumberFormat="1">
      <alignment horizontal="center" vertical="bottom"/>
    </xf>
    <xf borderId="10" fillId="2" fontId="23" numFmtId="0" xfId="0" applyBorder="1" applyFont="1"/>
    <xf borderId="10" fillId="0" fontId="23" numFmtId="0" xfId="0" applyAlignment="1" applyBorder="1" applyFont="1">
      <alignment horizontal="center"/>
    </xf>
    <xf borderId="10" fillId="0" fontId="23" numFmtId="1" xfId="0" applyAlignment="1" applyBorder="1" applyFont="1" applyNumberFormat="1">
      <alignment horizontal="center"/>
    </xf>
    <xf borderId="10" fillId="2" fontId="23" numFmtId="0" xfId="0" applyAlignment="1" applyBorder="1" applyFont="1">
      <alignment horizontal="center"/>
    </xf>
    <xf borderId="10" fillId="2" fontId="23" numFmtId="1" xfId="0" applyAlignment="1" applyBorder="1" applyFont="1" applyNumberFormat="1">
      <alignment horizontal="center"/>
    </xf>
    <xf borderId="10" fillId="2" fontId="23" numFmtId="1" xfId="0" applyBorder="1" applyFont="1" applyNumberFormat="1"/>
    <xf borderId="10" fillId="0" fontId="64" numFmtId="0" xfId="0" applyAlignment="1" applyBorder="1" applyFont="1">
      <alignment readingOrder="0" shrinkToFit="0" vertical="bottom" wrapText="0"/>
    </xf>
    <xf borderId="10" fillId="0" fontId="64" numFmtId="0" xfId="0" applyAlignment="1" applyBorder="1" applyFont="1">
      <alignment horizontal="right" readingOrder="0" shrinkToFit="0" vertical="bottom" wrapText="0"/>
    </xf>
    <xf borderId="10" fillId="0" fontId="28" numFmtId="166" xfId="0" applyAlignment="1" applyBorder="1" applyFont="1" applyNumberFormat="1">
      <alignment horizontal="center" readingOrder="0" vertical="bottom"/>
    </xf>
    <xf borderId="10" fillId="2" fontId="23" numFmtId="0" xfId="0" applyAlignment="1" applyBorder="1" applyFont="1">
      <alignment readingOrder="0"/>
    </xf>
    <xf borderId="10" fillId="0" fontId="65" numFmtId="0" xfId="0" applyAlignment="1" applyBorder="1" applyFont="1">
      <alignment readingOrder="0"/>
    </xf>
    <xf borderId="10" fillId="0" fontId="4" numFmtId="1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center" vertical="bottom"/>
    </xf>
    <xf borderId="10" fillId="0" fontId="4" numFmtId="1" xfId="0" applyAlignment="1" applyBorder="1" applyFont="1" applyNumberFormat="1">
      <alignment horizontal="center" vertical="bottom"/>
    </xf>
    <xf borderId="10" fillId="2" fontId="4" numFmtId="0" xfId="0" applyAlignment="1" applyBorder="1" applyFont="1">
      <alignment horizontal="center" vertical="bottom"/>
    </xf>
    <xf borderId="10" fillId="2" fontId="4" numFmtId="1" xfId="0" applyAlignment="1" applyBorder="1" applyFont="1" applyNumberFormat="1">
      <alignment horizontal="center" vertical="bottom"/>
    </xf>
    <xf borderId="10" fillId="0" fontId="66" numFmtId="49" xfId="0" applyAlignment="1" applyBorder="1" applyFont="1" applyNumberFormat="1">
      <alignment readingOrder="0"/>
    </xf>
    <xf borderId="0" fillId="11" fontId="4" numFmtId="0" xfId="0" applyAlignment="1" applyFill="1" applyFont="1">
      <alignment vertical="bottom"/>
    </xf>
    <xf borderId="0" fillId="11" fontId="67" numFmtId="0" xfId="0" applyAlignment="1" applyFont="1">
      <alignment horizontal="center" shrinkToFit="0" vertical="bottom" wrapText="1"/>
    </xf>
    <xf borderId="0" fillId="12" fontId="68" numFmtId="0" xfId="0" applyAlignment="1" applyFill="1" applyFont="1">
      <alignment horizontal="center" readingOrder="0"/>
    </xf>
    <xf borderId="10" fillId="13" fontId="63" numFmtId="0" xfId="0" applyAlignment="1" applyBorder="1" applyFill="1" applyFont="1">
      <alignment horizontal="center" vertical="bottom"/>
    </xf>
    <xf borderId="10" fillId="13" fontId="4" numFmtId="0" xfId="0" applyAlignment="1" applyBorder="1" applyFont="1">
      <alignment vertical="bottom"/>
    </xf>
    <xf borderId="0" fillId="13" fontId="4" numFmtId="0" xfId="0" applyAlignment="1" applyFont="1">
      <alignment vertical="bottom"/>
    </xf>
    <xf borderId="0" fillId="13" fontId="63" numFmtId="0" xfId="0" applyAlignment="1" applyFont="1">
      <alignment horizontal="center" vertical="bottom"/>
    </xf>
    <xf borderId="10" fillId="0" fontId="63" numFmtId="0" xfId="0" applyAlignment="1" applyBorder="1" applyFont="1">
      <alignment shrinkToFit="0" vertical="bottom" wrapText="1"/>
    </xf>
    <xf borderId="10" fillId="0" fontId="69" numFmtId="0" xfId="0" applyAlignment="1" applyBorder="1" applyFont="1">
      <alignment shrinkToFit="0" vertical="bottom" wrapText="1"/>
    </xf>
    <xf borderId="10" fillId="0" fontId="69" numFmtId="0" xfId="0" applyAlignment="1" applyBorder="1" applyFont="1">
      <alignment horizontal="center" shrinkToFit="0" vertical="bottom" wrapText="1"/>
    </xf>
    <xf borderId="10" fillId="2" fontId="69" numFmtId="0" xfId="0" applyAlignment="1" applyBorder="1" applyFont="1">
      <alignment shrinkToFit="0" vertical="bottom" wrapText="1"/>
    </xf>
    <xf borderId="10" fillId="2" fontId="69" numFmtId="1" xfId="0" applyAlignment="1" applyBorder="1" applyFont="1" applyNumberFormat="1">
      <alignment horizontal="center" readingOrder="0" shrinkToFit="0" vertical="bottom" wrapText="1"/>
    </xf>
    <xf borderId="10" fillId="0" fontId="69" numFmtId="1" xfId="0" applyAlignment="1" applyBorder="1" applyFont="1" applyNumberFormat="1">
      <alignment horizontal="center" shrinkToFit="0" vertical="bottom" wrapText="1"/>
    </xf>
    <xf borderId="10" fillId="0" fontId="69" numFmtId="0" xfId="0" applyAlignment="1" applyBorder="1" applyFont="1">
      <alignment horizontal="center" readingOrder="0" shrinkToFit="0" vertical="bottom" wrapText="1"/>
    </xf>
    <xf borderId="10" fillId="0" fontId="69" numFmtId="10" xfId="0" applyAlignment="1" applyBorder="1" applyFont="1" applyNumberFormat="1">
      <alignment horizontal="center" shrinkToFit="0" vertical="bottom" wrapText="1"/>
    </xf>
    <xf borderId="10" fillId="2" fontId="69" numFmtId="1" xfId="0" applyAlignment="1" applyBorder="1" applyFont="1" applyNumberFormat="1">
      <alignment horizontal="center" shrinkToFit="0" vertical="bottom" wrapText="1"/>
    </xf>
    <xf borderId="10" fillId="2" fontId="69" numFmtId="0" xfId="0" applyAlignment="1" applyBorder="1" applyFont="1">
      <alignment horizontal="center" shrinkToFit="0" vertical="bottom" wrapText="1"/>
    </xf>
    <xf borderId="10" fillId="0" fontId="10" numFmtId="0" xfId="0" applyAlignment="1" applyBorder="1" applyFont="1">
      <alignment horizontal="center" shrinkToFit="0" vertical="bottom" wrapText="1"/>
    </xf>
    <xf borderId="10" fillId="2" fontId="69" numFmtId="9" xfId="0" applyAlignment="1" applyBorder="1" applyFont="1" applyNumberFormat="1">
      <alignment horizontal="center" shrinkToFit="0" vertical="bottom" wrapText="1"/>
    </xf>
    <xf borderId="13" fillId="0" fontId="69" numFmtId="0" xfId="0" applyAlignment="1" applyBorder="1" applyFont="1">
      <alignment horizontal="center" shrinkToFit="0" vertical="bottom" wrapText="1"/>
    </xf>
    <xf borderId="10" fillId="0" fontId="20" numFmtId="0" xfId="0" applyAlignment="1" applyBorder="1" applyFont="1">
      <alignment vertical="bottom"/>
    </xf>
    <xf borderId="10" fillId="0" fontId="4" numFmtId="168" xfId="0" applyAlignment="1" applyBorder="1" applyFont="1" applyNumberFormat="1">
      <alignment horizontal="right" vertical="bottom"/>
    </xf>
    <xf borderId="10" fillId="2" fontId="20" numFmtId="0" xfId="0" applyAlignment="1" applyBorder="1" applyFont="1">
      <alignment vertical="bottom"/>
    </xf>
    <xf borderId="10" fillId="2" fontId="4" numFmtId="3" xfId="0" applyAlignment="1" applyBorder="1" applyFont="1" applyNumberFormat="1">
      <alignment horizontal="center" vertical="bottom"/>
    </xf>
    <xf borderId="10" fillId="0" fontId="4" numFmtId="1" xfId="0" applyAlignment="1" applyBorder="1" applyFont="1" applyNumberFormat="1">
      <alignment horizontal="right" vertical="bottom"/>
    </xf>
    <xf borderId="10" fillId="0" fontId="4" numFmtId="3" xfId="0" applyAlignment="1" applyBorder="1" applyFont="1" applyNumberFormat="1">
      <alignment horizontal="center" vertical="bottom"/>
    </xf>
    <xf borderId="10" fillId="0" fontId="4" numFmtId="10" xfId="0" applyAlignment="1" applyBorder="1" applyFont="1" applyNumberFormat="1">
      <alignment horizontal="center" vertical="bottom"/>
    </xf>
    <xf borderId="10" fillId="2" fontId="4" numFmtId="0" xfId="0" applyAlignment="1" applyBorder="1" applyFont="1">
      <alignment horizontal="right" vertical="bottom"/>
    </xf>
    <xf borderId="10" fillId="2" fontId="4" numFmtId="1" xfId="0" applyAlignment="1" applyBorder="1" applyFont="1" applyNumberFormat="1">
      <alignment horizontal="right" vertical="bottom"/>
    </xf>
    <xf borderId="10" fillId="0" fontId="4" numFmtId="166" xfId="0" applyAlignment="1" applyBorder="1" applyFont="1" applyNumberFormat="1">
      <alignment vertical="bottom"/>
    </xf>
    <xf borderId="10" fillId="2" fontId="4" numFmtId="0" xfId="0" applyAlignment="1" applyBorder="1" applyFont="1">
      <alignment vertical="bottom"/>
    </xf>
    <xf borderId="0" fillId="8" fontId="4" numFmtId="0" xfId="0" applyFont="1"/>
    <xf borderId="0" fillId="8" fontId="70" numFmtId="0" xfId="0" applyAlignment="1" applyFont="1">
      <alignment horizontal="center" shrinkToFit="0" wrapText="1"/>
    </xf>
    <xf borderId="3" fillId="8" fontId="7" numFmtId="0" xfId="0" applyAlignment="1" applyBorder="1" applyFont="1">
      <alignment horizontal="center" shrinkToFit="0" vertical="bottom" wrapText="1"/>
    </xf>
    <xf borderId="0" fillId="0" fontId="71" numFmtId="1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4" numFmtId="9" xfId="0" applyAlignment="1" applyFont="1" applyNumberFormat="1">
      <alignment vertical="bottom"/>
    </xf>
    <xf borderId="0" fillId="2" fontId="4" numFmtId="1" xfId="0" applyAlignment="1" applyFont="1" applyNumberFormat="1">
      <alignment vertical="bottom"/>
    </xf>
    <xf borderId="0" fillId="8" fontId="4" numFmtId="0" xfId="0" applyAlignment="1" applyFont="1">
      <alignment vertical="bottom"/>
    </xf>
    <xf borderId="10" fillId="8" fontId="7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shrinkToFit="0" vertical="bottom" wrapText="1"/>
    </xf>
    <xf borderId="9" fillId="8" fontId="7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readingOrder="0" vertical="bottom"/>
    </xf>
    <xf borderId="10" fillId="3" fontId="4" numFmtId="0" xfId="0" applyAlignment="1" applyBorder="1" applyFont="1">
      <alignment vertical="bottom"/>
    </xf>
    <xf borderId="0" fillId="14" fontId="4" numFmtId="0" xfId="0" applyAlignment="1" applyFill="1" applyFont="1">
      <alignment vertical="bottom"/>
    </xf>
    <xf borderId="10" fillId="14" fontId="7" numFmtId="0" xfId="0" applyAlignment="1" applyBorder="1" applyFont="1">
      <alignment horizontal="center" shrinkToFit="0" vertical="bottom" wrapText="1"/>
    </xf>
    <xf borderId="10" fillId="0" fontId="7" numFmtId="0" xfId="0" applyAlignment="1" applyBorder="1" applyFont="1">
      <alignment horizontal="center" shrinkToFit="0" vertical="bottom" wrapText="1"/>
    </xf>
    <xf borderId="0" fillId="0" fontId="4" numFmtId="1" xfId="0" applyAlignment="1" applyFont="1" applyNumberFormat="1">
      <alignment horizontal="center" vertical="bottom"/>
    </xf>
    <xf borderId="0" fillId="0" fontId="4" numFmtId="9" xfId="0" applyAlignment="1" applyFont="1" applyNumberFormat="1">
      <alignment vertical="bottom"/>
    </xf>
    <xf borderId="10" fillId="15" fontId="63" numFmtId="0" xfId="0" applyAlignment="1" applyBorder="1" applyFill="1" applyFont="1">
      <alignment horizontal="center" vertical="bottom"/>
    </xf>
    <xf borderId="10" fillId="0" fontId="69" numFmtId="0" xfId="0" applyAlignment="1" applyBorder="1" applyFont="1">
      <alignment horizontal="center" vertical="bottom"/>
    </xf>
    <xf borderId="10" fillId="10" fontId="69" numFmtId="0" xfId="0" applyAlignment="1" applyBorder="1" applyFont="1">
      <alignment horizontal="center" vertical="bottom"/>
    </xf>
    <xf borderId="13" fillId="0" fontId="63" numFmtId="1" xfId="0" applyAlignment="1" applyBorder="1" applyFont="1" applyNumberFormat="1">
      <alignment horizontal="center" vertical="bottom"/>
    </xf>
    <xf borderId="10" fillId="0" fontId="63" numFmtId="1" xfId="0" applyAlignment="1" applyBorder="1" applyFont="1" applyNumberFormat="1">
      <alignment horizontal="center" vertical="bottom"/>
    </xf>
    <xf borderId="10" fillId="0" fontId="63" numFmtId="10" xfId="0" applyAlignment="1" applyBorder="1" applyFont="1" applyNumberFormat="1">
      <alignment horizontal="center" vertical="bottom"/>
    </xf>
    <xf borderId="10" fillId="2" fontId="4" numFmtId="9" xfId="0" applyAlignment="1" applyBorder="1" applyFont="1" applyNumberFormat="1">
      <alignment vertical="bottom"/>
    </xf>
    <xf borderId="10" fillId="2" fontId="4" numFmtId="1" xfId="0" applyAlignment="1" applyBorder="1" applyFont="1" applyNumberFormat="1">
      <alignment vertical="bottom"/>
    </xf>
    <xf borderId="7" fillId="2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4" numFmtId="0" xfId="0" applyAlignment="1" applyBorder="1" applyFont="1">
      <alignment shrinkToFit="0" vertical="bottom" wrapText="1"/>
    </xf>
    <xf borderId="0" fillId="0" fontId="4" numFmtId="1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9" fillId="0" fontId="4" numFmtId="0" xfId="0" applyAlignment="1" applyBorder="1" applyFont="1">
      <alignment horizontal="center" vertical="bottom"/>
    </xf>
    <xf borderId="10" fillId="0" fontId="4" numFmtId="168" xfId="0" applyAlignment="1" applyBorder="1" applyFont="1" applyNumberFormat="1">
      <alignment vertical="bottom"/>
    </xf>
    <xf borderId="10" fillId="2" fontId="4" numFmtId="3" xfId="0" applyAlignment="1" applyBorder="1" applyFont="1" applyNumberFormat="1">
      <alignment vertical="bottom"/>
    </xf>
    <xf borderId="10" fillId="0" fontId="4" numFmtId="3" xfId="0" applyAlignment="1" applyBorder="1" applyFont="1" applyNumberFormat="1">
      <alignment vertical="bottom"/>
    </xf>
    <xf borderId="10" fillId="0" fontId="4" numFmtId="166" xfId="0" applyAlignment="1" applyBorder="1" applyFont="1" applyNumberFormat="1">
      <alignment horizontal="right" vertical="bottom"/>
    </xf>
    <xf borderId="10" fillId="2" fontId="6" numFmtId="1" xfId="0" applyAlignment="1" applyBorder="1" applyFont="1" applyNumberFormat="1">
      <alignment horizontal="center" vertical="bottom"/>
    </xf>
    <xf borderId="10" fillId="2" fontId="6" numFmtId="0" xfId="0" applyAlignment="1" applyBorder="1" applyFont="1">
      <alignment horizontal="center" vertical="bottom"/>
    </xf>
    <xf borderId="10" fillId="0" fontId="6" numFmtId="166" xfId="0" applyAlignment="1" applyBorder="1" applyFont="1" applyNumberFormat="1">
      <alignment horizontal="center" vertical="bottom"/>
    </xf>
    <xf borderId="10" fillId="0" fontId="6" numFmtId="168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right" vertical="bottom"/>
    </xf>
    <xf borderId="10" fillId="0" fontId="4" numFmtId="3" xfId="0" applyAlignment="1" applyBorder="1" applyFont="1" applyNumberFormat="1">
      <alignment horizontal="right" vertical="bottom"/>
    </xf>
    <xf borderId="10" fillId="0" fontId="4" numFmtId="10" xfId="0" applyAlignment="1" applyBorder="1" applyFont="1" applyNumberFormat="1">
      <alignment horizontal="right" vertical="bottom"/>
    </xf>
    <xf borderId="13" fillId="10" fontId="69" numFmtId="0" xfId="0" applyAlignment="1" applyBorder="1" applyFont="1">
      <alignment horizontal="center" shrinkToFit="0" vertical="bottom" wrapText="1"/>
    </xf>
    <xf borderId="0" fillId="0" fontId="4" numFmtId="4" xfId="0" applyAlignment="1" applyFont="1" applyNumberFormat="1">
      <alignment vertical="bottom"/>
    </xf>
    <xf borderId="0" fillId="16" fontId="4" numFmtId="1" xfId="0" applyAlignment="1" applyFill="1" applyFont="1" applyNumberFormat="1">
      <alignment vertical="bottom"/>
    </xf>
    <xf borderId="0" fillId="16" fontId="20" numFmtId="1" xfId="0" applyAlignment="1" applyFont="1" applyNumberFormat="1">
      <alignment horizontal="right" vertical="bottom"/>
    </xf>
    <xf borderId="0" fillId="17" fontId="4" numFmtId="1" xfId="0" applyAlignment="1" applyFill="1" applyFont="1" applyNumberFormat="1">
      <alignment vertical="bottom"/>
    </xf>
    <xf borderId="0" fillId="18" fontId="4" numFmtId="1" xfId="0" applyAlignment="1" applyFill="1" applyFont="1" applyNumberFormat="1">
      <alignment vertical="bottom"/>
    </xf>
    <xf borderId="0" fillId="19" fontId="20" numFmtId="1" xfId="0" applyAlignment="1" applyFill="1" applyFont="1" applyNumberFormat="1">
      <alignment horizontal="center"/>
    </xf>
    <xf borderId="0" fillId="0" fontId="4" numFmtId="1" xfId="0" applyFont="1" applyNumberFormat="1"/>
    <xf borderId="0" fillId="20" fontId="4" numFmtId="1" xfId="0" applyFill="1" applyFont="1" applyNumberFormat="1"/>
    <xf borderId="0" fillId="19" fontId="4" numFmtId="3" xfId="0" applyFont="1" applyNumberFormat="1"/>
    <xf borderId="0" fillId="19" fontId="20" numFmtId="1" xfId="0" applyAlignment="1" applyFont="1" applyNumberFormat="1">
      <alignment horizontal="center" shrinkToFit="0" wrapText="1"/>
    </xf>
    <xf borderId="0" fillId="19" fontId="4" numFmtId="1" xfId="0" applyFont="1" applyNumberFormat="1"/>
    <xf borderId="0" fillId="0" fontId="20" numFmtId="3" xfId="0" applyAlignment="1" applyFont="1" applyNumberFormat="1">
      <alignment horizontal="center" shrinkToFit="0" wrapText="1"/>
    </xf>
    <xf borderId="0" fillId="0" fontId="4" numFmtId="3" xfId="0" applyFont="1" applyNumberFormat="1"/>
    <xf borderId="0" fillId="0" fontId="4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169" xfId="0" applyAlignment="1" applyFont="1" applyNumberFormat="1">
      <alignment horizontal="right" vertical="bottom"/>
    </xf>
    <xf borderId="0" fillId="2" fontId="20" numFmtId="0" xfId="0" applyAlignment="1" applyFont="1">
      <alignment horizontal="right" vertical="bottom"/>
    </xf>
    <xf borderId="0" fillId="0" fontId="20" numFmtId="1" xfId="0" applyAlignment="1" applyFont="1" applyNumberFormat="1">
      <alignment horizontal="right" vertical="bottom"/>
    </xf>
    <xf borderId="0" fillId="0" fontId="20" numFmtId="168" xfId="0" applyAlignment="1" applyFont="1" applyNumberFormat="1">
      <alignment horizontal="right" readingOrder="0" vertical="bottom"/>
    </xf>
    <xf borderId="0" fillId="0" fontId="69" numFmtId="0" xfId="0" applyAlignment="1" applyFont="1">
      <alignment shrinkToFit="0" vertical="bottom" wrapText="1"/>
    </xf>
    <xf borderId="0" fillId="2" fontId="69" numFmtId="1" xfId="0" applyAlignment="1" applyFont="1" applyNumberFormat="1">
      <alignment shrinkToFit="0" vertical="bottom" wrapText="1"/>
    </xf>
    <xf borderId="0" fillId="0" fontId="69" numFmtId="1" xfId="0" applyAlignment="1" applyFont="1" applyNumberFormat="1">
      <alignment shrinkToFit="0" vertical="bottom" wrapText="1"/>
    </xf>
    <xf borderId="0" fillId="2" fontId="69" numFmtId="0" xfId="0" applyAlignment="1" applyFont="1">
      <alignment shrinkToFit="0" vertical="bottom" wrapText="1"/>
    </xf>
    <xf borderId="0" fillId="19" fontId="69" numFmtId="0" xfId="0" applyAlignment="1" applyFont="1">
      <alignment shrinkToFit="0" vertical="bottom" wrapText="1"/>
    </xf>
    <xf borderId="0" fillId="2" fontId="69" numFmtId="10" xfId="0" applyAlignment="1" applyFont="1" applyNumberFormat="1">
      <alignment shrinkToFit="0" vertical="bottom" wrapText="1"/>
    </xf>
    <xf borderId="0" fillId="21" fontId="69" numFmtId="10" xfId="0" applyAlignment="1" applyFill="1" applyFont="1" applyNumberFormat="1">
      <alignment shrinkToFit="0" vertical="bottom" wrapText="1"/>
    </xf>
    <xf borderId="0" fillId="2" fontId="69" numFmtId="1" xfId="0" applyAlignment="1" applyFont="1" applyNumberFormat="1">
      <alignment readingOrder="0" shrinkToFit="0" vertical="bottom" wrapText="1"/>
    </xf>
    <xf borderId="0" fillId="22" fontId="69" numFmtId="166" xfId="0" applyAlignment="1" applyFill="1" applyFont="1" applyNumberFormat="1">
      <alignment shrinkToFit="0" vertical="bottom" wrapText="1"/>
    </xf>
    <xf borderId="0" fillId="2" fontId="69" numFmtId="0" xfId="0" applyAlignment="1" applyFont="1">
      <alignment readingOrder="0" shrinkToFit="0" vertical="bottom" wrapText="1"/>
    </xf>
    <xf borderId="0" fillId="18" fontId="69" numFmtId="1" xfId="0" applyAlignment="1" applyFont="1" applyNumberFormat="1">
      <alignment shrinkToFit="0" vertical="bottom" wrapText="1"/>
    </xf>
    <xf borderId="0" fillId="16" fontId="69" numFmtId="1" xfId="0" applyAlignment="1" applyFont="1" applyNumberFormat="1">
      <alignment readingOrder="0" shrinkToFit="0" vertical="bottom" wrapText="1"/>
    </xf>
    <xf borderId="0" fillId="17" fontId="69" numFmtId="1" xfId="0" applyAlignment="1" applyFont="1" applyNumberFormat="1">
      <alignment shrinkToFit="0" vertical="bottom" wrapText="1"/>
    </xf>
    <xf borderId="0" fillId="19" fontId="69" numFmtId="1" xfId="0" applyAlignment="1" applyFont="1" applyNumberFormat="1">
      <alignment shrinkToFit="0" vertical="bottom" wrapText="1"/>
    </xf>
    <xf borderId="0" fillId="20" fontId="69" numFmtId="1" xfId="0" applyAlignment="1" applyFont="1" applyNumberFormat="1">
      <alignment shrinkToFit="0" vertical="bottom" wrapText="1"/>
    </xf>
    <xf borderId="0" fillId="0" fontId="63" numFmtId="0" xfId="0" applyAlignment="1" applyFont="1">
      <alignment vertical="bottom"/>
    </xf>
    <xf borderId="0" fillId="19" fontId="63" numFmtId="3" xfId="0" applyAlignment="1" applyFont="1" applyNumberFormat="1">
      <alignment vertical="bottom"/>
    </xf>
    <xf borderId="0" fillId="0" fontId="4" numFmtId="3" xfId="0" applyAlignment="1" applyFont="1" applyNumberFormat="1">
      <alignment readingOrder="0" vertical="bottom"/>
    </xf>
    <xf borderId="0" fillId="0" fontId="20" numFmtId="0" xfId="0" applyAlignment="1" applyFont="1">
      <alignment vertical="bottom"/>
    </xf>
    <xf borderId="0" fillId="0" fontId="20" numFmtId="168" xfId="0" applyAlignment="1" applyFont="1" applyNumberFormat="1">
      <alignment horizontal="right" vertical="bottom"/>
    </xf>
    <xf borderId="0" fillId="2" fontId="20" numFmtId="1" xfId="0" applyAlignment="1" applyFont="1" applyNumberFormat="1">
      <alignment horizontal="right" vertical="bottom"/>
    </xf>
    <xf borderId="0" fillId="2" fontId="20" numFmtId="1" xfId="0" applyAlignment="1" applyFont="1" applyNumberFormat="1">
      <alignment horizontal="right" shrinkToFit="0" vertical="bottom" wrapText="1"/>
    </xf>
    <xf borderId="0" fillId="19" fontId="20" numFmtId="1" xfId="0" applyAlignment="1" applyFont="1" applyNumberFormat="1">
      <alignment horizontal="right" vertical="bottom"/>
    </xf>
    <xf borderId="0" fillId="2" fontId="20" numFmtId="3" xfId="0" applyAlignment="1" applyFont="1" applyNumberFormat="1">
      <alignment horizontal="right" vertical="bottom"/>
    </xf>
    <xf borderId="10" fillId="2" fontId="4" numFmtId="10" xfId="0" applyAlignment="1" applyBorder="1" applyFont="1" applyNumberFormat="1">
      <alignment horizontal="right" vertical="bottom"/>
    </xf>
    <xf borderId="0" fillId="2" fontId="20" numFmtId="10" xfId="0" applyAlignment="1" applyFont="1" applyNumberFormat="1">
      <alignment horizontal="right" vertical="bottom"/>
    </xf>
    <xf borderId="0" fillId="21" fontId="20" numFmtId="10" xfId="0" applyAlignment="1" applyFont="1" applyNumberFormat="1">
      <alignment horizontal="right" vertical="bottom"/>
    </xf>
    <xf borderId="0" fillId="22" fontId="4" numFmtId="166" xfId="0" applyAlignment="1" applyFont="1" applyNumberFormat="1">
      <alignment vertical="bottom"/>
    </xf>
    <xf borderId="0" fillId="18" fontId="20" numFmtId="0" xfId="0" applyAlignment="1" applyFont="1">
      <alignment vertical="bottom"/>
    </xf>
    <xf borderId="0" fillId="0" fontId="20" numFmtId="1" xfId="0" applyAlignment="1" applyFont="1" applyNumberFormat="1">
      <alignment vertical="bottom"/>
    </xf>
    <xf borderId="0" fillId="18" fontId="20" numFmtId="1" xfId="0" applyAlignment="1" applyFont="1" applyNumberFormat="1">
      <alignment horizontal="right" vertical="bottom"/>
    </xf>
    <xf borderId="0" fillId="20" fontId="20" numFmtId="1" xfId="0" applyAlignment="1" applyFont="1" applyNumberFormat="1">
      <alignment horizontal="right" vertical="bottom"/>
    </xf>
    <xf borderId="0" fillId="20" fontId="20" numFmtId="1" xfId="0" applyAlignment="1" applyFont="1" applyNumberFormat="1">
      <alignment vertical="bottom"/>
    </xf>
    <xf borderId="0" fillId="0" fontId="20" numFmtId="10" xfId="0" applyAlignment="1" applyFont="1" applyNumberFormat="1">
      <alignment horizontal="right" vertical="bottom"/>
    </xf>
    <xf borderId="0" fillId="19" fontId="20" numFmtId="3" xfId="0" applyAlignment="1" applyFont="1" applyNumberFormat="1">
      <alignment horizontal="right" vertical="bottom"/>
    </xf>
    <xf borderId="0" fillId="19" fontId="63" numFmtId="3" xfId="0" applyAlignment="1" applyFont="1" applyNumberFormat="1">
      <alignment horizontal="right" vertical="bottom"/>
    </xf>
    <xf borderId="0" fillId="19" fontId="4" numFmtId="0" xfId="0" applyAlignment="1" applyFont="1">
      <alignment vertical="bottom"/>
    </xf>
    <xf borderId="0" fillId="0" fontId="20" numFmtId="3" xfId="0" applyAlignment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0" fillId="18" fontId="20" numFmtId="0" xfId="0" applyAlignment="1" applyFont="1">
      <alignment horizontal="right" vertical="bottom"/>
    </xf>
    <xf borderId="0" fillId="0" fontId="20" numFmtId="167" xfId="0" applyAlignment="1" applyFont="1" applyNumberFormat="1">
      <alignment horizontal="right" vertical="bottom"/>
    </xf>
    <xf borderId="0" fillId="18" fontId="20" numFmtId="1" xfId="0" applyAlignment="1" applyFont="1" applyNumberFormat="1">
      <alignment horizontal="right" readingOrder="0" vertical="bottom"/>
    </xf>
    <xf borderId="0" fillId="19" fontId="20" numFmtId="10" xfId="0" applyAlignment="1" applyFont="1" applyNumberFormat="1">
      <alignment shrinkToFit="0" vertical="bottom" wrapText="1"/>
    </xf>
    <xf borderId="0" fillId="0" fontId="20" numFmtId="10" xfId="0" applyAlignment="1" applyFont="1" applyNumberFormat="1">
      <alignment vertical="bottom"/>
    </xf>
    <xf borderId="0" fillId="0" fontId="20" numFmtId="170" xfId="0" applyAlignment="1" applyFont="1" applyNumberFormat="1">
      <alignment horizontal="right" vertical="bottom"/>
    </xf>
    <xf borderId="10" fillId="2" fontId="4" numFmtId="10" xfId="0" applyAlignment="1" applyBorder="1" applyFont="1" applyNumberFormat="1">
      <alignment vertical="bottom"/>
    </xf>
    <xf borderId="0" fillId="18" fontId="4" numFmtId="0" xfId="0" applyAlignment="1" applyFont="1">
      <alignment vertical="bottom"/>
    </xf>
    <xf borderId="0" fillId="19" fontId="4" numFmtId="3" xfId="0" applyAlignment="1" applyFont="1" applyNumberFormat="1">
      <alignment vertical="bottom"/>
    </xf>
    <xf borderId="0" fillId="19" fontId="4" numFmtId="10" xfId="0" applyAlignment="1" applyFont="1" applyNumberFormat="1">
      <alignment vertical="bottom"/>
    </xf>
    <xf borderId="0" fillId="0" fontId="72" numFmtId="0" xfId="0" applyAlignment="1" applyFont="1">
      <alignment readingOrder="0" shrinkToFit="0" vertical="bottom" wrapText="0"/>
    </xf>
    <xf borderId="0" fillId="0" fontId="72" numFmtId="167" xfId="0" applyAlignment="1" applyFont="1" applyNumberFormat="1">
      <alignment horizontal="right" shrinkToFit="0" vertical="bottom" wrapText="0"/>
    </xf>
    <xf borderId="0" fillId="22" fontId="20" numFmtId="166" xfId="0" applyAlignment="1" applyFont="1" applyNumberFormat="1">
      <alignment horizontal="right" vertical="bottom"/>
    </xf>
    <xf borderId="0" fillId="17" fontId="20" numFmtId="2" xfId="0" applyAlignment="1" applyFont="1" applyNumberFormat="1">
      <alignment horizontal="right" vertical="bottom"/>
    </xf>
    <xf borderId="0" fillId="18" fontId="20" numFmtId="1" xfId="0" applyAlignment="1" applyFont="1" applyNumberFormat="1">
      <alignment vertical="bottom"/>
    </xf>
    <xf borderId="0" fillId="2" fontId="20" numFmtId="0" xfId="0" applyAlignment="1" applyFont="1">
      <alignment horizontal="right" readingOrder="0" vertical="bottom"/>
    </xf>
    <xf borderId="0" fillId="18" fontId="4" numFmtId="1" xfId="0" applyAlignment="1" applyFont="1" applyNumberFormat="1">
      <alignment readingOrder="0" vertical="bottom"/>
    </xf>
    <xf borderId="0" fillId="19" fontId="20" numFmtId="0" xfId="0" applyAlignment="1" applyFont="1">
      <alignment horizontal="right" vertical="bottom"/>
    </xf>
    <xf borderId="0" fillId="0" fontId="20" numFmtId="171" xfId="0" applyAlignment="1" applyFont="1" applyNumberFormat="1">
      <alignment horizontal="right" vertical="bottom"/>
    </xf>
    <xf borderId="0" fillId="2" fontId="20" numFmtId="2" xfId="0" applyAlignment="1" applyFont="1" applyNumberFormat="1">
      <alignment horizontal="right" vertical="bottom"/>
    </xf>
    <xf borderId="0" fillId="19" fontId="20" numFmtId="1" xfId="0" applyAlignment="1" applyFont="1" applyNumberFormat="1">
      <alignment horizontal="right" readingOrder="0" vertical="bottom"/>
    </xf>
    <xf borderId="0" fillId="20" fontId="4" numFmtId="1" xfId="0" applyAlignment="1" applyFont="1" applyNumberFormat="1">
      <alignment vertical="bottom"/>
    </xf>
    <xf borderId="0" fillId="17" fontId="4" numFmtId="2" xfId="0" applyAlignment="1" applyFont="1" applyNumberFormat="1">
      <alignment vertical="bottom"/>
    </xf>
    <xf borderId="0" fillId="17" fontId="20" numFmtId="172" xfId="0" applyAlignment="1" applyFont="1" applyNumberFormat="1">
      <alignment horizontal="right" vertical="bottom"/>
    </xf>
    <xf borderId="0" fillId="17" fontId="4" numFmtId="172" xfId="0" applyAlignment="1" applyFont="1" applyNumberFormat="1">
      <alignment vertical="bottom"/>
    </xf>
    <xf borderId="0" fillId="0" fontId="20" numFmtId="2" xfId="0" applyAlignment="1" applyFont="1" applyNumberFormat="1">
      <alignment horizontal="right" vertical="bottom"/>
    </xf>
    <xf borderId="0" fillId="0" fontId="4" numFmtId="2" xfId="0" applyAlignment="1" applyFont="1" applyNumberFormat="1">
      <alignment vertical="bottom"/>
    </xf>
    <xf borderId="0" fillId="2" fontId="4" numFmtId="3" xfId="0" applyAlignment="1" applyFont="1" applyNumberFormat="1">
      <alignment vertical="bottom"/>
    </xf>
    <xf borderId="0" fillId="0" fontId="23" numFmtId="0" xfId="0" applyFont="1"/>
    <xf borderId="0" fillId="0" fontId="23" numFmtId="1" xfId="0" applyFont="1" applyNumberFormat="1"/>
    <xf borderId="0" fillId="0" fontId="72" numFmtId="168" xfId="0" applyAlignment="1" applyFont="1" applyNumberFormat="1">
      <alignment horizontal="right" shrinkToFit="0" vertical="bottom" wrapText="0"/>
    </xf>
    <xf borderId="0" fillId="0" fontId="72" numFmtId="0" xfId="0" applyAlignment="1" applyFont="1">
      <alignment shrinkToFit="0" vertical="bottom" wrapText="0"/>
    </xf>
    <xf borderId="0" fillId="0" fontId="72" numFmtId="170" xfId="0" applyAlignment="1" applyFont="1" applyNumberFormat="1">
      <alignment horizontal="right" shrinkToFit="0" vertical="bottom" wrapText="0"/>
    </xf>
    <xf borderId="0" fillId="2" fontId="20" numFmtId="1" xfId="0" applyAlignment="1" applyFont="1" applyNumberFormat="1">
      <alignment horizontal="right" readingOrder="0" vertical="bottom"/>
    </xf>
    <xf borderId="0" fillId="0" fontId="20" numFmtId="0" xfId="0" applyAlignment="1" applyFont="1">
      <alignment readingOrder="0" vertical="bottom"/>
    </xf>
    <xf borderId="0" fillId="2" fontId="20" numFmtId="2" xfId="0" applyAlignment="1" applyFont="1" applyNumberFormat="1">
      <alignment horizontal="right" readingOrder="0" vertical="bottom"/>
    </xf>
    <xf borderId="0" fillId="0" fontId="23" numFmtId="169" xfId="0" applyAlignment="1" applyFont="1" applyNumberFormat="1">
      <alignment readingOrder="0"/>
    </xf>
    <xf borderId="0" fillId="0" fontId="72" numFmtId="171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sNnFcv3iHIauafka073bWpFaliYW5BNstKqG3FURhGo/edit?gid=0" TargetMode="External"/><Relationship Id="rId42" Type="http://schemas.openxmlformats.org/officeDocument/2006/relationships/hyperlink" Target="https://docs.google.com/spreadsheets/d/1wsszhlq6_ah5OYzZkVme-nY4menV6_rwzD2vaJvOGhU/edit?gid=0" TargetMode="External"/><Relationship Id="rId41" Type="http://schemas.openxmlformats.org/officeDocument/2006/relationships/hyperlink" Target="https://docs.google.com/spreadsheets/d/10qjixCWmRgLD1HnXMVXTEeu_DX0TaBbthcov2v2jZyQ/edit" TargetMode="External"/><Relationship Id="rId44" Type="http://schemas.openxmlformats.org/officeDocument/2006/relationships/hyperlink" Target="https://docs.google.com/spreadsheets/d/1YBT8hCgFe9nUhNdo9pGS2oMLXgn4s_p1opviQrazJPE/edit?gid=0" TargetMode="External"/><Relationship Id="rId43" Type="http://schemas.openxmlformats.org/officeDocument/2006/relationships/hyperlink" Target="https://docs.google.com/spreadsheets/d/1LF2Q3hf8PmqbCtIh_IYQwMCJfUjNd2x1JaohFk2YsSk/edit?gid=0" TargetMode="External"/><Relationship Id="rId46" Type="http://schemas.openxmlformats.org/officeDocument/2006/relationships/hyperlink" Target="https://docs.google.com/spreadsheets/d/1lTy8V1Bpac44zVynX8JD5XIdZoX9d2s-m-lQeTElVRc/edit?gid=0" TargetMode="External"/><Relationship Id="rId45" Type="http://schemas.openxmlformats.org/officeDocument/2006/relationships/hyperlink" Target="https://docs.google.com/spreadsheets/d/1R5iwNi-ALIg1NogdaLRy5rzN2gxbU6wjp-0fjOK7y2A/edit?gid=0" TargetMode="External"/><Relationship Id="rId107" Type="http://schemas.openxmlformats.org/officeDocument/2006/relationships/hyperlink" Target="https://docs.google.com/spreadsheets/d/1UteHRCCON4AO5JM7duOBoq72OM5x2CQQr2sJKgCMmOA/edit" TargetMode="External"/><Relationship Id="rId106" Type="http://schemas.openxmlformats.org/officeDocument/2006/relationships/hyperlink" Target="https://docs.google.com/spreadsheets/d/1BjyFlLZTYgD3mFAjCX0s67AY3qvKXaoe2hT6732MbyM/edit" TargetMode="External"/><Relationship Id="rId105" Type="http://schemas.openxmlformats.org/officeDocument/2006/relationships/hyperlink" Target="https://docs.google.com/spreadsheets/d/1nf1mZOdFw_I9WqkBXQwXHTbrrZ3qxgTnaC1u33tib50/edit" TargetMode="External"/><Relationship Id="rId104" Type="http://schemas.openxmlformats.org/officeDocument/2006/relationships/hyperlink" Target="https://docs.google.com/spreadsheets/d/1QP5E3bv2nQocHwhakijcUbpjfZXkhSHOEthvwHNKxmI/edit" TargetMode="External"/><Relationship Id="rId109" Type="http://schemas.openxmlformats.org/officeDocument/2006/relationships/hyperlink" Target="https://docs.google.com/spreadsheets/d/1caQXh8WGfK5sXydbQ1cFTMP2RiGHVTedJ7iCzX2Bmes/edit" TargetMode="External"/><Relationship Id="rId108" Type="http://schemas.openxmlformats.org/officeDocument/2006/relationships/hyperlink" Target="https://docs.google.com/spreadsheets/d/1nZS-t-cNO00Enmafk2x3CmLJnbno5WaD_EEIUOjJ93Q/edit" TargetMode="External"/><Relationship Id="rId48" Type="http://schemas.openxmlformats.org/officeDocument/2006/relationships/hyperlink" Target="https://docs.google.com/spreadsheets/d/1qB0wLF6n06Xjuz33RbhM7IXLGi5siQLFWFLO-uO9I_g/edit" TargetMode="External"/><Relationship Id="rId47" Type="http://schemas.openxmlformats.org/officeDocument/2006/relationships/hyperlink" Target="https://docs.google.com/spreadsheets/d/1dXjsNNWsq3NeEasNhZKW3zTL_0EUYBiJuigsxeiomGM/edit?gid=1622533107" TargetMode="External"/><Relationship Id="rId49" Type="http://schemas.openxmlformats.org/officeDocument/2006/relationships/hyperlink" Target="https://docs.google.com/spreadsheets/d/1782y0Ibe1yvSMN3u9Xl6eOr76HRhRm0OHFWC8W9DhHQ/edit" TargetMode="External"/><Relationship Id="rId103" Type="http://schemas.openxmlformats.org/officeDocument/2006/relationships/hyperlink" Target="https://docs.google.com/spreadsheets/d/1j7Nu-wU4q-UwGzcF5m-7_LFLSWRWonleD-DZtJT2GfY/edit" TargetMode="External"/><Relationship Id="rId102" Type="http://schemas.openxmlformats.org/officeDocument/2006/relationships/hyperlink" Target="https://docs.google.com/spreadsheets/d/15jee2k6DSN8nNrsGXt9fSygQKECjnTqi8q5bSr2fopI/edit" TargetMode="External"/><Relationship Id="rId101" Type="http://schemas.openxmlformats.org/officeDocument/2006/relationships/hyperlink" Target="https://docs.google.com/spreadsheets/d/1939lMQ_ymDDtVRAKKKpTg6-ciOV1sghbvYqRFhFaZi8/edit" TargetMode="External"/><Relationship Id="rId100" Type="http://schemas.openxmlformats.org/officeDocument/2006/relationships/hyperlink" Target="https://docs.google.com/spreadsheets/d/156SGblhGPrELnH1FKNY41p5c_9ctePyjdgoNlJkLR94/edit" TargetMode="External"/><Relationship Id="rId31" Type="http://schemas.openxmlformats.org/officeDocument/2006/relationships/hyperlink" Target="https://docs.google.com/spreadsheets/d/1BOdlvcbAzmhN6MUIGmMKbyx8OGarcJ2uhWJX8ES8y70/edit" TargetMode="External"/><Relationship Id="rId30" Type="http://schemas.openxmlformats.org/officeDocument/2006/relationships/hyperlink" Target="https://docs.google.com/spreadsheets/d/1L0n7Xcu5GH54qPWfCwTuvEGHikUgow9KEPwsiLVcX7M/edit?gid=1595002774" TargetMode="External"/><Relationship Id="rId33" Type="http://schemas.openxmlformats.org/officeDocument/2006/relationships/hyperlink" Target="https://docs.google.com/spreadsheets/d/1ClLrVOrOm2lRZkxwSRYk28lKgD3AqRr0eB6lbpUoAm8/edit?gid=968809898" TargetMode="External"/><Relationship Id="rId32" Type="http://schemas.openxmlformats.org/officeDocument/2006/relationships/hyperlink" Target="https://docs.google.com/spreadsheets/d/1u3amP6zdTUuwKNSkL2afwBWqTLQOc5-H5_uRmoN1Hog/edit?gid=0" TargetMode="External"/><Relationship Id="rId35" Type="http://schemas.openxmlformats.org/officeDocument/2006/relationships/hyperlink" Target="https://docs.google.com/spreadsheets/d/1o73DJbLFLgOXztUGvACDAPJQLjK9m6M0LmAIH6HjOBg/edit?gid=0" TargetMode="External"/><Relationship Id="rId34" Type="http://schemas.openxmlformats.org/officeDocument/2006/relationships/hyperlink" Target="https://docs.google.com/spreadsheets/d/1FDquPHJI6WZGHFmkKa-RqP1eEgjXcIOR6r4SpB9QkSA/edit?gid=0" TargetMode="External"/><Relationship Id="rId37" Type="http://schemas.openxmlformats.org/officeDocument/2006/relationships/hyperlink" Target="https://docs.google.com/spreadsheets/d/1ubsraNghFvZJ3YRRWKWb8P3SYuDS_RoIg08_j56vs68/edit?gid=0" TargetMode="External"/><Relationship Id="rId36" Type="http://schemas.openxmlformats.org/officeDocument/2006/relationships/hyperlink" Target="https://docs.google.com/spreadsheets/d/1BerZ1KBscl6gBUJpIfictQ2C6O0zIhMNM78goFcw5Hc/edit?gid=0" TargetMode="External"/><Relationship Id="rId39" Type="http://schemas.openxmlformats.org/officeDocument/2006/relationships/hyperlink" Target="https://docs.google.com/spreadsheets/d/1qD_dDXHvafaUuFnZ7gAkyxCmJQoO3BtBbnVLwHgMtpU/edit?gid=0" TargetMode="External"/><Relationship Id="rId38" Type="http://schemas.openxmlformats.org/officeDocument/2006/relationships/hyperlink" Target="https://docs.google.com/spreadsheets/d/1zTUZyCgpe5SHmuI9FrQBt0ogwnCca-y-tNqbAVBNwKA/edit" TargetMode="External"/><Relationship Id="rId173" Type="http://schemas.openxmlformats.org/officeDocument/2006/relationships/vmlDrawing" Target="../drawings/vmlDrawing1.vml"/><Relationship Id="rId20" Type="http://schemas.openxmlformats.org/officeDocument/2006/relationships/hyperlink" Target="https://docs.google.com/spreadsheets/d/1LxLvfF01hkJjA82h3lUiStXhCiLi6vZmRH5Kc6hYsVY/edit?gid=162659938" TargetMode="External"/><Relationship Id="rId22" Type="http://schemas.openxmlformats.org/officeDocument/2006/relationships/hyperlink" Target="https://docs.google.com/spreadsheets/d/1OTBjdj7HKLUdboQDmQulWdk3sem1C_Gc1u9CgZqoPZk/edit?gid=0" TargetMode="External"/><Relationship Id="rId21" Type="http://schemas.openxmlformats.org/officeDocument/2006/relationships/hyperlink" Target="https://docs.google.com/spreadsheets/d/15DQ8hh_awzBvwln7i3DA9s8321S_hSqWhFiBmw5ANFI/edit?gid=162659938" TargetMode="External"/><Relationship Id="rId24" Type="http://schemas.openxmlformats.org/officeDocument/2006/relationships/hyperlink" Target="https://docs.google.com/spreadsheets/d/1VlzFAjM7KwefTrw7c16y6XTpcptwNPDd-Vgr97p_oKk/edit?gid=981908056" TargetMode="External"/><Relationship Id="rId23" Type="http://schemas.openxmlformats.org/officeDocument/2006/relationships/hyperlink" Target="https://docs.google.com/spreadsheets/d/1qlDp_MFvkNatIqQetaTYmDFlyKleXkFQhGIJubYNiBw/edit?gid=0" TargetMode="External"/><Relationship Id="rId129" Type="http://schemas.openxmlformats.org/officeDocument/2006/relationships/hyperlink" Target="https://docs.google.com/spreadsheets/d/1h1TRZt74g3toSCg6X1zf04TRrPzTIJTRRHm-VtgXmkM/edit?gid=1586402276" TargetMode="External"/><Relationship Id="rId128" Type="http://schemas.openxmlformats.org/officeDocument/2006/relationships/hyperlink" Target="https://docs.google.com/spreadsheets/d/1s5jMeCFSNsddGLPhXVD2iHrblkJkWFU40qIKlTc8-ng/edit?gid=1679663775" TargetMode="External"/><Relationship Id="rId127" Type="http://schemas.openxmlformats.org/officeDocument/2006/relationships/hyperlink" Target="https://docs.google.com/spreadsheets/d/1RdylvZXl-yDfgXcLVoejtlCF0vSUFCYL9P78takYbNI/edit?gid=845831138" TargetMode="External"/><Relationship Id="rId126" Type="http://schemas.openxmlformats.org/officeDocument/2006/relationships/hyperlink" Target="https://docs.google.com/spreadsheets/d/18m5o7TTSu_7OYCCZkDgwq90DUL-KY0ZOGTL75E5bkIs/edit?gid=0" TargetMode="External"/><Relationship Id="rId26" Type="http://schemas.openxmlformats.org/officeDocument/2006/relationships/hyperlink" Target="https://docs.google.com/spreadsheets/d/1qTONJRlBa-WVOcjo_gO-Pc4UYQPCdFt2w4TVrB12iZM/edit" TargetMode="External"/><Relationship Id="rId121" Type="http://schemas.openxmlformats.org/officeDocument/2006/relationships/hyperlink" Target="https://docs.google.com/spreadsheets/d/1KK2Gk0v7qSg-tdyBI73crsdg5bq163NRRkpYHeQi_Y0/edit?gid=1996990278" TargetMode="External"/><Relationship Id="rId25" Type="http://schemas.openxmlformats.org/officeDocument/2006/relationships/hyperlink" Target="https://docs.google.com/spreadsheets/d/1w-3KAp1up5hLV6GlsNUXDHIiGxvCfYJy6ATEQaQp3Rw/edit" TargetMode="External"/><Relationship Id="rId120" Type="http://schemas.openxmlformats.org/officeDocument/2006/relationships/hyperlink" Target="https://docs.google.com/spreadsheets/d/1VqJ41KU2NHf3hBrQkQD7pFGKum8ws6X0cK6C5YetsgY/edit?gid=1996990278" TargetMode="External"/><Relationship Id="rId28" Type="http://schemas.openxmlformats.org/officeDocument/2006/relationships/hyperlink" Target="https://docs.google.com/spreadsheets/d/15vuWdE3tvOWMvAItA2lx50EAGi5e91LahWnrIBHKchE/edit?gid=0" TargetMode="External"/><Relationship Id="rId27" Type="http://schemas.openxmlformats.org/officeDocument/2006/relationships/hyperlink" Target="https://docs.google.com/spreadsheets/d/1YMf8VfbkH6lTtQQ7aEH-rvtJbFw__osbRSbSExrslWo/edit" TargetMode="External"/><Relationship Id="rId125" Type="http://schemas.openxmlformats.org/officeDocument/2006/relationships/hyperlink" Target="https://docs.google.com/spreadsheets/d/1fC3fyg60xd2eSSYcWdzoxTfCeKLcRbmaUzBDRvPxPB0/edit?gid=1996990278" TargetMode="External"/><Relationship Id="rId29" Type="http://schemas.openxmlformats.org/officeDocument/2006/relationships/hyperlink" Target="https://docs.google.com/spreadsheets/d/1bKzAjnffVfLhVGh4t5v_Vu2blA9yWMcWrMSSSkWyfww/edit?gid=0" TargetMode="External"/><Relationship Id="rId124" Type="http://schemas.openxmlformats.org/officeDocument/2006/relationships/hyperlink" Target="https://docs.google.com/spreadsheets/d/1C-PaiedLj2XOlFsshkO221ipgOAZuZ9nzOrc7VRBlHo/edit?gid=1996990278" TargetMode="External"/><Relationship Id="rId123" Type="http://schemas.openxmlformats.org/officeDocument/2006/relationships/hyperlink" Target="https://docs.google.com/spreadsheets/d/1jb97tsNPP32qu8ow9340R_Kgg7aVZi6E-LN-1JUDVf8/edit?gid=1996990278" TargetMode="External"/><Relationship Id="rId122" Type="http://schemas.openxmlformats.org/officeDocument/2006/relationships/hyperlink" Target="https://docs.google.com/spreadsheets/d/1fpEWqgaINLyqNjSB3fo6ETWVUzJpnCYOX4eKClQfQmE/edit?gid=1996990278" TargetMode="External"/><Relationship Id="rId95" Type="http://schemas.openxmlformats.org/officeDocument/2006/relationships/hyperlink" Target="https://docs.google.com/spreadsheets/d/1lrpW3ERBae84SZH5rLCIIaLpTHa8gnQDG_xpkiONU-Q/edit?gid=31348442" TargetMode="External"/><Relationship Id="rId94" Type="http://schemas.openxmlformats.org/officeDocument/2006/relationships/hyperlink" Target="https://docs.google.com/spreadsheets/d/1Qy4AhkrCwmDPPa9arKWOGV5jQtQ6fPEBUDl2sx_mLIg/edit" TargetMode="External"/><Relationship Id="rId97" Type="http://schemas.openxmlformats.org/officeDocument/2006/relationships/hyperlink" Target="https://docs.google.com/spreadsheets/d/1Cr2_pSX3-yhuS1Sayvgl6YpnuKxXHVGMTe6yyY45KCA/edit" TargetMode="External"/><Relationship Id="rId96" Type="http://schemas.openxmlformats.org/officeDocument/2006/relationships/hyperlink" Target="https://docs.google.com/spreadsheets/d/1SRwam8SNlw4sXl322moV7twW0wJxVm4N5PRJuC10VAA/edit" TargetMode="External"/><Relationship Id="rId11" Type="http://schemas.openxmlformats.org/officeDocument/2006/relationships/hyperlink" Target="https://docs.google.com/spreadsheets/d/1K_te1jkI-iFfbgNObYuqxjJkg-GYMv3I58ZA0lOYHRg/edit?gid=0" TargetMode="External"/><Relationship Id="rId99" Type="http://schemas.openxmlformats.org/officeDocument/2006/relationships/hyperlink" Target="https://docs.google.com/spreadsheets/d/1shTvs8XCxTEi4uArYvktfhVF3aaBcX8qXa6gu0Yrdy8/edit" TargetMode="External"/><Relationship Id="rId10" Type="http://schemas.openxmlformats.org/officeDocument/2006/relationships/hyperlink" Target="https://docs.google.com/spreadsheets/d/1rYn_Flgp7jo7mcfA8eUDen14LV_dF62DRjmNbnJEK7k/edit?gid=0" TargetMode="External"/><Relationship Id="rId98" Type="http://schemas.openxmlformats.org/officeDocument/2006/relationships/hyperlink" Target="https://docs.google.com/spreadsheets/d/1e9SaWVffUYtulZA0Qz11l6mchzaBCaXi023gDuCgG_A/edit" TargetMode="External"/><Relationship Id="rId13" Type="http://schemas.openxmlformats.org/officeDocument/2006/relationships/hyperlink" Target="https://docs.google.com/spreadsheets/d/1jsCUih7iouVHueHOvQT1r1v51elAYIzlBpAxZqE5i-I/edit?gid=0" TargetMode="External"/><Relationship Id="rId12" Type="http://schemas.openxmlformats.org/officeDocument/2006/relationships/hyperlink" Target="https://docs.google.com/spreadsheets/d/1oZiOB-uOkOH274-vJVj-7KfU6a1wi4EPcAR85Vyas10/edit?gid=0" TargetMode="External"/><Relationship Id="rId91" Type="http://schemas.openxmlformats.org/officeDocument/2006/relationships/hyperlink" Target="https://docs.google.com/spreadsheets/d/1AEqUI2za5g6wYjXj1or87EmS_1Xr5zeTeh75HX6TIRs/edit" TargetMode="External"/><Relationship Id="rId90" Type="http://schemas.openxmlformats.org/officeDocument/2006/relationships/hyperlink" Target="https://docs.google.com/spreadsheets/d/12NAF1MMl-z3SV6fkAOrVJEa7ZNuEoTL4waKw4vXLNes/edit" TargetMode="External"/><Relationship Id="rId93" Type="http://schemas.openxmlformats.org/officeDocument/2006/relationships/hyperlink" Target="https://docs.google.com/spreadsheets/d/1XawI1eeAYzxXaEtROeQ7asG4RKU9dbiD2rtpUdvB76A/edit" TargetMode="External"/><Relationship Id="rId92" Type="http://schemas.openxmlformats.org/officeDocument/2006/relationships/hyperlink" Target="https://docs.google.com/spreadsheets/d/1S4W1SsvjFN8z0hdXAYztswIPFnmI5owY4xgKT81w7ZE/edit" TargetMode="External"/><Relationship Id="rId118" Type="http://schemas.openxmlformats.org/officeDocument/2006/relationships/hyperlink" Target="https://docs.google.com/spreadsheets/d/1WBmn03mnxrtox5uWO2YKJB7PYVfHYAUNt150alXp7eg/edit?gid=1996990278" TargetMode="External"/><Relationship Id="rId117" Type="http://schemas.openxmlformats.org/officeDocument/2006/relationships/hyperlink" Target="https://docs.google.com/spreadsheets/d/1O8_IB27WHzeYapUtQjxSkdl_JCT9lSSz357rD743jfU/edit" TargetMode="External"/><Relationship Id="rId116" Type="http://schemas.openxmlformats.org/officeDocument/2006/relationships/hyperlink" Target="https://docs.google.com/spreadsheets/d/1Kbg-PEBsKwSxEO5N_-jXktJpPSl1uQP-6wpQXKr9BiM/edit" TargetMode="External"/><Relationship Id="rId115" Type="http://schemas.openxmlformats.org/officeDocument/2006/relationships/hyperlink" Target="https://docs.google.com/spreadsheets/d/1kXi-Po5tHh3RtsiZDCgyu75R5xrra0yqvmCs6fPdJr0/edit" TargetMode="External"/><Relationship Id="rId119" Type="http://schemas.openxmlformats.org/officeDocument/2006/relationships/hyperlink" Target="https://docs.google.com/spreadsheets/d/1H5ov6exB2KA-MsYBzkS8Gakd86NhbRUa-tEOe1wSAcY/edit?gid=1996990278" TargetMode="External"/><Relationship Id="rId15" Type="http://schemas.openxmlformats.org/officeDocument/2006/relationships/hyperlink" Target="https://docs.google.com/spreadsheets/d/1OCQdqqJIyWUmzr6sv4fbXUNAqVATScHotcGYSPP6YEs/edit" TargetMode="External"/><Relationship Id="rId110" Type="http://schemas.openxmlformats.org/officeDocument/2006/relationships/hyperlink" Target="https://docs.google.com/spreadsheets/d/1ePExRxwP6pYHNPcZoek1UEmUSlzyoQB26S6P0bkl_7w/edit" TargetMode="External"/><Relationship Id="rId14" Type="http://schemas.openxmlformats.org/officeDocument/2006/relationships/hyperlink" Target="https://docs.google.com/spreadsheets/d/1IoSPGtbL4ygnaTCF1Ct5WGA347GvBvKfaHJjalIvqh4/edit" TargetMode="External"/><Relationship Id="rId17" Type="http://schemas.openxmlformats.org/officeDocument/2006/relationships/hyperlink" Target="https://docs.google.com/spreadsheets/d/1WzUdmfnQDNkhWeXGDxfn71m4gjwTEw7ImG_HYmiR0VY/edit" TargetMode="External"/><Relationship Id="rId16" Type="http://schemas.openxmlformats.org/officeDocument/2006/relationships/hyperlink" Target="https://docs.google.com/spreadsheets/d/1CylMi4nRCvuLVvhUguHbKMX2CZ27MvMeYd7M3cbAsp4/edit?gid=1651515920" TargetMode="External"/><Relationship Id="rId19" Type="http://schemas.openxmlformats.org/officeDocument/2006/relationships/hyperlink" Target="https://docs.google.com/spreadsheets/d/1ix1-nYckIcOYO0crqDtE6JH1Dxftw4VAGpahfAnYGlk/edit" TargetMode="External"/><Relationship Id="rId114" Type="http://schemas.openxmlformats.org/officeDocument/2006/relationships/hyperlink" Target="https://docs.google.com/spreadsheets/d/1f-Q3GKpCdBCdJNXC0PAWbenumI9Kvif8dR3uM-wiA14/edit" TargetMode="External"/><Relationship Id="rId18" Type="http://schemas.openxmlformats.org/officeDocument/2006/relationships/hyperlink" Target="https://docs.google.com/spreadsheets/d/1zbKpAkjR5pwXNP3vlQNzKnZWdUfQd6EtmpoFtLBYJoY/edit?gid=1824619316" TargetMode="External"/><Relationship Id="rId113" Type="http://schemas.openxmlformats.org/officeDocument/2006/relationships/hyperlink" Target="https://docs.google.com/spreadsheets/d/14k9zl8QJZNDdLexy-mL85RC3KURzq9Zn4glvtZCxREk/edit" TargetMode="External"/><Relationship Id="rId112" Type="http://schemas.openxmlformats.org/officeDocument/2006/relationships/hyperlink" Target="https://docs.google.com/spreadsheets/d/1mi1sDldXWcjlwchNl1AQUNhqAUBYBIp7wc37TNeFjug/edit" TargetMode="External"/><Relationship Id="rId111" Type="http://schemas.openxmlformats.org/officeDocument/2006/relationships/hyperlink" Target="https://docs.google.com/spreadsheets/d/1lrzJ0bcPvcbipm39nmARSoKIg0_81LFUcUZBMTIXHW8/edit" TargetMode="External"/><Relationship Id="rId84" Type="http://schemas.openxmlformats.org/officeDocument/2006/relationships/hyperlink" Target="https://docs.google.com/spreadsheets/d/1zKPpIRi__6SVbgTzjvO6O1sQo3DfJF5zbe0T4GU19c0/edit?gid=1029588646" TargetMode="External"/><Relationship Id="rId83" Type="http://schemas.openxmlformats.org/officeDocument/2006/relationships/hyperlink" Target="https://docs.google.com/spreadsheets/d/1rAogo87KmLoM9x6aHBi4Bu9Yxi5qzdkfU9lA5e8X9NY/edit" TargetMode="External"/><Relationship Id="rId86" Type="http://schemas.openxmlformats.org/officeDocument/2006/relationships/hyperlink" Target="https://docs.google.com/spreadsheets/d/1FGGDrtOqFXFnIAqpV4VK1I_FD986CaP6bQUHv8xEIys/edit" TargetMode="External"/><Relationship Id="rId85" Type="http://schemas.openxmlformats.org/officeDocument/2006/relationships/hyperlink" Target="https://docs.google.com/spreadsheets/d/1Cvkmf9XW8YyoV2xL1JRa6rQ8PUxQVh1SUrLGjS3xCGY/edit" TargetMode="External"/><Relationship Id="rId88" Type="http://schemas.openxmlformats.org/officeDocument/2006/relationships/hyperlink" Target="https://docs.google.com/spreadsheets/d/1XBfiSuCmqOXHpS2F64iSZHyqzwuIwsQyxjk4aAoupus/edit" TargetMode="External"/><Relationship Id="rId150" Type="http://schemas.openxmlformats.org/officeDocument/2006/relationships/hyperlink" Target="https://docs.google.com/spreadsheets/d/13D9UbXPP75b58DcBlWgLxY0DVWj6aVq2oz2QDzKUZKg/edit?gid=1219811845" TargetMode="External"/><Relationship Id="rId87" Type="http://schemas.openxmlformats.org/officeDocument/2006/relationships/hyperlink" Target="https://docs.google.com/spreadsheets/d/19sd98Ma-lKiTrPsBhkwCFf0ACdf0Xphg3rWCORyhIMY/edit" TargetMode="External"/><Relationship Id="rId89" Type="http://schemas.openxmlformats.org/officeDocument/2006/relationships/hyperlink" Target="https://docs.google.com/spreadsheets/d/1gBSOlfPBM0xWQ6uvhSlxXPJioEdKdIHOyJPiizY4W2o/edit" TargetMode="External"/><Relationship Id="rId80" Type="http://schemas.openxmlformats.org/officeDocument/2006/relationships/hyperlink" Target="https://docs.google.com/spreadsheets/d/18bhc2Z-vQNqDfgcgQNZK1Xxb-B8sIVUYSpIDTOdVLv8/edit?gid=1383336816" TargetMode="External"/><Relationship Id="rId82" Type="http://schemas.openxmlformats.org/officeDocument/2006/relationships/hyperlink" Target="https://docs.google.com/spreadsheets/d/1yLhrKcjt1xaec0PTD-O5wT7tbQk_0C0O53JVUJ107no/edit?gid=2001455221" TargetMode="External"/><Relationship Id="rId81" Type="http://schemas.openxmlformats.org/officeDocument/2006/relationships/hyperlink" Target="https://docs.google.com/spreadsheets/d/1xiD-ftAMw5fqqFj6Gxi4X1d9CquBqV8fA6bcw0GeCQ8/edi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GeCTgGQp0UrzEQNlPyVcXYlwwEEdPBIZjFDTqY1BOg/edit?gid=998810200" TargetMode="External"/><Relationship Id="rId3" Type="http://schemas.openxmlformats.org/officeDocument/2006/relationships/hyperlink" Target="https://docs.google.com/spreadsheets/d/1WowgCGTCOMmqanUXVQIbYWHbXi0cuGFxvrPe3CdSDpA/edit" TargetMode="External"/><Relationship Id="rId149" Type="http://schemas.openxmlformats.org/officeDocument/2006/relationships/hyperlink" Target="https://docs.google.com/spreadsheets/d/12dKOgyOY9ZTIrAmx7mV_iLSm7hXEwbS1yATBaqnCBtc/edit?gid=1277429317" TargetMode="External"/><Relationship Id="rId4" Type="http://schemas.openxmlformats.org/officeDocument/2006/relationships/hyperlink" Target="https://docs.google.com/spreadsheets/d/1UEZK2L9OACV3t606hu8vkTn-5ekPDyqCYSBS2X6A5Jc/edit" TargetMode="External"/><Relationship Id="rId148" Type="http://schemas.openxmlformats.org/officeDocument/2006/relationships/hyperlink" Target="https://docs.google.com/spreadsheets/d/1WTwJOkEL-7pdLdu4DqeFqbDaTBRyZ2Y7K1Ui-q851JQ/edit" TargetMode="External"/><Relationship Id="rId9" Type="http://schemas.openxmlformats.org/officeDocument/2006/relationships/hyperlink" Target="https://docs.google.com/spreadsheets/d/132I0fvbfTDk_3h-QeYGrQ-F6z0A921MXbdqyLFsyN5Y/edit?gid=0" TargetMode="External"/><Relationship Id="rId143" Type="http://schemas.openxmlformats.org/officeDocument/2006/relationships/hyperlink" Target="https://docs.google.com/spreadsheets/d/1KKaNRQererfhhUXbeHD15wlFvS9PZGyfZNOKkbYV328/edit?gid=1816198426" TargetMode="External"/><Relationship Id="rId142" Type="http://schemas.openxmlformats.org/officeDocument/2006/relationships/hyperlink" Target="https://docs.google.com/spreadsheets/d/1yaKL6dBHXsNDJ0_lXkg8L3rNlCkvrgR8wnoDpNHB5YU/edit?gid=0" TargetMode="External"/><Relationship Id="rId141" Type="http://schemas.openxmlformats.org/officeDocument/2006/relationships/hyperlink" Target="https://docs.google.com/spreadsheets/d/1ocgsSn3L-88dzzTXvjPnm-mRwf9KNXUnPd--lUdR6oc/edit?gid=1572603678" TargetMode="External"/><Relationship Id="rId140" Type="http://schemas.openxmlformats.org/officeDocument/2006/relationships/hyperlink" Target="https://docs.google.com/spreadsheets/d/15AqdQm5YkAFRfu2r5LTF0YinlxQl1irlVpAkdhrGbJ0/edit?gid=0" TargetMode="External"/><Relationship Id="rId5" Type="http://schemas.openxmlformats.org/officeDocument/2006/relationships/hyperlink" Target="https://docs.google.com/spreadsheets/d/1Oujo8vUnwFLr-WkmYYfJwaGjmRsDy-q2Aq0vU4BlykA/edit?gid=0" TargetMode="External"/><Relationship Id="rId147" Type="http://schemas.openxmlformats.org/officeDocument/2006/relationships/hyperlink" Target="https://docs.google.com/spreadsheets/d/1MGgolYlaQvBNEw9oPfJ_rFftpPOa2GbsHdGvFEWLn20/edit?gid=1575341672" TargetMode="External"/><Relationship Id="rId6" Type="http://schemas.openxmlformats.org/officeDocument/2006/relationships/hyperlink" Target="https://docs.google.com/spreadsheets/d/1LJGS53NCp-odxIXkmSORKxH8_UeQo5bY4expBVdkFdk/edit?gid=1100372335" TargetMode="External"/><Relationship Id="rId146" Type="http://schemas.openxmlformats.org/officeDocument/2006/relationships/hyperlink" Target="https://docs.google.com/spreadsheets/d/1CL9AQCD6lDzVeoB1ZWNbvv3iQAnDc2XWAbufodLvVyE/edit" TargetMode="External"/><Relationship Id="rId7" Type="http://schemas.openxmlformats.org/officeDocument/2006/relationships/hyperlink" Target="https://docs.google.com/spreadsheets/d/13EYfcAewqPPQ83PA3ta2L46h2GIwi9k-mw8zx8HuEws/edit?gid=1838777318" TargetMode="External"/><Relationship Id="rId145" Type="http://schemas.openxmlformats.org/officeDocument/2006/relationships/hyperlink" Target="https://docs.google.com/spreadsheets/d/1MRc1o6yRbC1yz2vf27KvD-M1jrmImyc4pmYWn9yMT_Y/edit?gid=1405717089" TargetMode="External"/><Relationship Id="rId8" Type="http://schemas.openxmlformats.org/officeDocument/2006/relationships/hyperlink" Target="https://docs.google.com/spreadsheets/d/1jFDZ-XQ8Fuzz37_6c1Wi087O7eNCDVE8KbcMW9lSUac/edit?gid=0" TargetMode="External"/><Relationship Id="rId144" Type="http://schemas.openxmlformats.org/officeDocument/2006/relationships/hyperlink" Target="https://docs.google.com/spreadsheets/d/1hdnWim5IyU3odQS7qac9pteQzzcjKICRf0oXedBwc28/edit?gid=1805787177" TargetMode="External"/><Relationship Id="rId73" Type="http://schemas.openxmlformats.org/officeDocument/2006/relationships/hyperlink" Target="https://docs.google.com/spreadsheets/d/1cOCCtQejZMOc5M-X_uBY6P5Whx2uTl85m-_57_mUQg0/edit?gid=0" TargetMode="External"/><Relationship Id="rId72" Type="http://schemas.openxmlformats.org/officeDocument/2006/relationships/hyperlink" Target="https://docs.google.com/spreadsheets/d/1dUp9H9fQ-eRdYYXUl4RfyqoZHopWcp6rvHiswO-8olc/edit?gid=0" TargetMode="External"/><Relationship Id="rId75" Type="http://schemas.openxmlformats.org/officeDocument/2006/relationships/hyperlink" Target="https://docs.google.com/spreadsheets/d/1ii7mSZuwFsDeSKThBBKb777jYLe6wyBkEiBUpLVItGw/edit?gid=0" TargetMode="External"/><Relationship Id="rId74" Type="http://schemas.openxmlformats.org/officeDocument/2006/relationships/hyperlink" Target="https://docs.google.com/spreadsheets/d/1xU8paeZ0mv2aDj_IVEGT9OnonuXc8Lhfbz35yExNTVQ/edit?gid=0" TargetMode="External"/><Relationship Id="rId77" Type="http://schemas.openxmlformats.org/officeDocument/2006/relationships/hyperlink" Target="https://docs.google.com/spreadsheets/d/1PYshLg1OXx1pJptcckl0-wsx1cq1FqXl7CB7pBkMyXw/edit?gid=0" TargetMode="External"/><Relationship Id="rId76" Type="http://schemas.openxmlformats.org/officeDocument/2006/relationships/hyperlink" Target="https://docs.google.com/spreadsheets/d/1jDBw_zRV45g4GHvTxYAqTVyIfEtjeL3BgdcT4LOTyuo/edit?gid=0" TargetMode="External"/><Relationship Id="rId79" Type="http://schemas.openxmlformats.org/officeDocument/2006/relationships/hyperlink" Target="https://docs.google.com/spreadsheets/d/12lV-Fl7jFZ9xKdVrjo8td38uNtGVZVee4toXD179p0M/edit?gid=0" TargetMode="External"/><Relationship Id="rId78" Type="http://schemas.openxmlformats.org/officeDocument/2006/relationships/hyperlink" Target="https://docs.google.com/spreadsheets/d/1sHvSXi0AD3yzVisDp_Q80pgUI4xFY0cLGM19VDtecFY/edit?gid=0" TargetMode="External"/><Relationship Id="rId71" Type="http://schemas.openxmlformats.org/officeDocument/2006/relationships/hyperlink" Target="https://docs.google.com/spreadsheets/d/171w6KRBV2rba0q9n8Gbz_2pG5V9aYcwOZTrmc_2SUsg/edit?gid=0" TargetMode="External"/><Relationship Id="rId70" Type="http://schemas.openxmlformats.org/officeDocument/2006/relationships/hyperlink" Target="https://docs.google.com/spreadsheets/d/1C8zFo8Wr-G2dpe4FzFhr8ObF-1C64JPU2sDH3LNGo_Y/edit?gid=0" TargetMode="External"/><Relationship Id="rId139" Type="http://schemas.openxmlformats.org/officeDocument/2006/relationships/hyperlink" Target="https://docs.google.com/spreadsheets/d/1KtLc5obE_6VKCzPev5r5J9lFw6lt8gHztkItNMpjPvA/edit" TargetMode="External"/><Relationship Id="rId138" Type="http://schemas.openxmlformats.org/officeDocument/2006/relationships/hyperlink" Target="https://docs.google.com/spreadsheets/d/1h3OkZUk2XSA0l8e-AWxaJmXe7Z1U0attMzXCN4SdOQ8/edit" TargetMode="External"/><Relationship Id="rId137" Type="http://schemas.openxmlformats.org/officeDocument/2006/relationships/hyperlink" Target="https://docs.google.com/spreadsheets/d/1mt75vIKJmjJpjC3XhdItkTMn04Duusc2QWxpLJYvWbs/edit" TargetMode="External"/><Relationship Id="rId132" Type="http://schemas.openxmlformats.org/officeDocument/2006/relationships/hyperlink" Target="https://docs.google.com/spreadsheets/d/1WWW2zIyk5tLuZBmJ_SGRdLG9zfVVRBi6dj0APb4CYec/edit?gid=1748251694" TargetMode="External"/><Relationship Id="rId131" Type="http://schemas.openxmlformats.org/officeDocument/2006/relationships/hyperlink" Target="https://docs.google.com/spreadsheets/d/1zXPh69S6ryZEZcVhfjtAeevcaJY_x59C3APN5fjBE5Q/edit?gid=1748251694" TargetMode="External"/><Relationship Id="rId130" Type="http://schemas.openxmlformats.org/officeDocument/2006/relationships/hyperlink" Target="https://docs.google.com/spreadsheets/d/16St08vBtqG6cQ29Lh2yNSR8b82ABOrtscauHawL3SnA/edit?gid=1748251694" TargetMode="External"/><Relationship Id="rId136" Type="http://schemas.openxmlformats.org/officeDocument/2006/relationships/hyperlink" Target="https://docs.google.com/spreadsheets/d/1UwZVGRca4V7QbfCEKzKsInQfTfLYV5gkrTzD89b_gVg/edit" TargetMode="External"/><Relationship Id="rId135" Type="http://schemas.openxmlformats.org/officeDocument/2006/relationships/hyperlink" Target="https://docs.google.com/spreadsheets/d/1Hir2BSz1KtNe_zzhtoBurd4NvYToFy3OAbQvUmeocvQ/edit" TargetMode="External"/><Relationship Id="rId134" Type="http://schemas.openxmlformats.org/officeDocument/2006/relationships/hyperlink" Target="https://docs.google.com/spreadsheets/d/1lIjq4lqI_I2NTr_QMX-fDGS4warbHWtB6HUAekXAeY0/edit?gid=0" TargetMode="External"/><Relationship Id="rId133" Type="http://schemas.openxmlformats.org/officeDocument/2006/relationships/hyperlink" Target="https://docs.google.com/spreadsheets/d/18ae2uzQJOtuCf9wsXVRUJahP0nrzJqy8-QAB-gP6ztc/edit?gid=0" TargetMode="External"/><Relationship Id="rId62" Type="http://schemas.openxmlformats.org/officeDocument/2006/relationships/hyperlink" Target="https://docs.google.com/spreadsheets/d/1I8z6Xfl0SZLMgBnWxBRKoVK18zG4drUtjIQybtuJzxE/edit" TargetMode="External"/><Relationship Id="rId61" Type="http://schemas.openxmlformats.org/officeDocument/2006/relationships/hyperlink" Target="https://docs.google.com/spreadsheets/d/1KQTVmJDcGi8nV3_t1mE9kcnETLPWhuSu5rpSaRf3Hf4/edit?gid=825700891" TargetMode="External"/><Relationship Id="rId64" Type="http://schemas.openxmlformats.org/officeDocument/2006/relationships/hyperlink" Target="https://docs.google.com/spreadsheets/d/1jmBFvxVGKQdmVHp9imrnhkW5r-SmJ28k6LqBFIGDm6A/edit" TargetMode="External"/><Relationship Id="rId63" Type="http://schemas.openxmlformats.org/officeDocument/2006/relationships/hyperlink" Target="https://docs.google.com/spreadsheets/d/152AECjMPz2mnH4mgBJ75E4ggGRK2pwMrpTycQwGhS9o/edit" TargetMode="External"/><Relationship Id="rId66" Type="http://schemas.openxmlformats.org/officeDocument/2006/relationships/hyperlink" Target="https://docs.google.com/spreadsheets/d/1pcIpQIFPR-YUVv9ATwQfIVPOInmgM9-9wy6F6PXI-Q8/edit?gid=0" TargetMode="External"/><Relationship Id="rId172" Type="http://schemas.openxmlformats.org/officeDocument/2006/relationships/drawing" Target="../drawings/drawing1.xml"/><Relationship Id="rId65" Type="http://schemas.openxmlformats.org/officeDocument/2006/relationships/hyperlink" Target="https://docs.google.com/spreadsheets/d/1eZTb0NOMQD308IrvgRFKi0-gbtKGrUXc1Qg96NLMbgk/edit" TargetMode="External"/><Relationship Id="rId171" Type="http://schemas.openxmlformats.org/officeDocument/2006/relationships/hyperlink" Target="https://docs.google.com/spreadsheets/d/11pFFApGA7S_oLWWaBAH_IHu_-3C3t_PEHqBcOZme5lQ/edit?gid=0" TargetMode="External"/><Relationship Id="rId68" Type="http://schemas.openxmlformats.org/officeDocument/2006/relationships/hyperlink" Target="https://docs.google.com/spreadsheets/d/18LfbnJvue8ABkZqR8NiXNEy_rJ_H-rZcZ-ip9KE1ZmQ/edit?gid=0" TargetMode="External"/><Relationship Id="rId170" Type="http://schemas.openxmlformats.org/officeDocument/2006/relationships/hyperlink" Target="https://docs.google.com/spreadsheets/d/1hBER3zTZpkPEdxBS-u7qW1ycgJwvdCYaiyqb9HCWGHk/edit?gid=0" TargetMode="External"/><Relationship Id="rId67" Type="http://schemas.openxmlformats.org/officeDocument/2006/relationships/hyperlink" Target="https://docs.google.com/spreadsheets/d/1MWp85DrwBNK7tQ1tlVLrCDUimILFTDnvvv6FtNhbiEA/edit?gid=1397978039" TargetMode="External"/><Relationship Id="rId60" Type="http://schemas.openxmlformats.org/officeDocument/2006/relationships/hyperlink" Target="https://docs.google.com/spreadsheets/d/14M5jXuQsrQnNmVEk4qaGhkFZmAEG0r9kxepMstmBo44/edit" TargetMode="External"/><Relationship Id="rId165" Type="http://schemas.openxmlformats.org/officeDocument/2006/relationships/hyperlink" Target="https://docs.google.com/spreadsheets/d/1z4Dlg9-vhzqicqIM3aOVAq9C7BiGYht1wlKwymUb1rs/edit" TargetMode="External"/><Relationship Id="rId69" Type="http://schemas.openxmlformats.org/officeDocument/2006/relationships/hyperlink" Target="https://docs.google.com/spreadsheets/d/1BRUajD0ljy0AGH7V6VApyhC8CYImP4SFkM_02NmsTfQ/edit?gid=0" TargetMode="External"/><Relationship Id="rId164" Type="http://schemas.openxmlformats.org/officeDocument/2006/relationships/hyperlink" Target="https://docs.google.com/spreadsheets/d/1e8jkTtwi2aXiYRx1t-DdbLhvJgj08Uq9ZOXPl2yK5AY/edit" TargetMode="External"/><Relationship Id="rId163" Type="http://schemas.openxmlformats.org/officeDocument/2006/relationships/hyperlink" Target="https://docs.google.com/spreadsheets/u/0/d/1YvSh2rjgF0T-h2qLpMJUtjvUSYxrh1i61z24Ydm9_tI/edit" TargetMode="External"/><Relationship Id="rId162" Type="http://schemas.openxmlformats.org/officeDocument/2006/relationships/hyperlink" Target="https://docs.google.com/spreadsheets/d/1n5sVpozdF8VHwo-uFhrw_AnVhMcO3o9pnhcPjkIP1nQ/edit?gid=350932188" TargetMode="External"/><Relationship Id="rId169" Type="http://schemas.openxmlformats.org/officeDocument/2006/relationships/hyperlink" Target="https://docs.google.com/spreadsheets/u/0/d/1wgoE9YmekdfKzULca0LbO2VFRLCTKVsd9GkdeFDZMrU/edit" TargetMode="External"/><Relationship Id="rId168" Type="http://schemas.openxmlformats.org/officeDocument/2006/relationships/hyperlink" Target="https://docs.google.com/spreadsheets/d/1FQCfm55A8B3_aOo8e1xPQEUbQHYH85diG24OUoTRqnY/edit" TargetMode="External"/><Relationship Id="rId167" Type="http://schemas.openxmlformats.org/officeDocument/2006/relationships/hyperlink" Target="https://docs.google.com/spreadsheets/d/1_TT4RnsAZgXuAbklftUgfeSBolGqHFrqm00ibq315zk/edit" TargetMode="External"/><Relationship Id="rId166" Type="http://schemas.openxmlformats.org/officeDocument/2006/relationships/hyperlink" Target="https://docs.google.com/spreadsheets/d/1j5_2sIBZP_RUoPnKOu_65lvVzVUeZs1BujRIxLnqEss/edit?gid=618607627" TargetMode="External"/><Relationship Id="rId51" Type="http://schemas.openxmlformats.org/officeDocument/2006/relationships/hyperlink" Target="https://docs.google.com/spreadsheets/d/160qastmdA75nF7eZOKHiYx2-dg1tDT-CE6L7D1M1stU/edit" TargetMode="External"/><Relationship Id="rId50" Type="http://schemas.openxmlformats.org/officeDocument/2006/relationships/hyperlink" Target="https://docs.google.com/spreadsheets/d/1HDGA-F4B-GDBBUlnJZi2PMo2Yy--hq6dG-YFM90rIzw/edit" TargetMode="External"/><Relationship Id="rId53" Type="http://schemas.openxmlformats.org/officeDocument/2006/relationships/hyperlink" Target="https://docs.google.com/spreadsheets/d/168rO1noAjXUXPyctkxWsPdyeGBTsdn824sOiP-z2cWY/edit" TargetMode="External"/><Relationship Id="rId52" Type="http://schemas.openxmlformats.org/officeDocument/2006/relationships/hyperlink" Target="https://docs.google.com/spreadsheets/d/1zZrQzeo-pLQodYi6Jw--fNVDOKrSmQL1Jd3GjTKt7z8/edit" TargetMode="External"/><Relationship Id="rId55" Type="http://schemas.openxmlformats.org/officeDocument/2006/relationships/hyperlink" Target="https://docs.google.com/spreadsheets/d/1MvzyJLe5oScOl4KjmrXr4bF1shHNP7m3u_KrVvJNGq8/edit" TargetMode="External"/><Relationship Id="rId161" Type="http://schemas.openxmlformats.org/officeDocument/2006/relationships/hyperlink" Target="https://docs.google.com/spreadsheets/d/1-ogoWjnzIVLNWtmtxffbKqxjIGfK2GUBdU2m2vHuN1s/edit?gid=0" TargetMode="External"/><Relationship Id="rId54" Type="http://schemas.openxmlformats.org/officeDocument/2006/relationships/hyperlink" Target="https://docs.google.com/spreadsheets/d/14pr0LWS4yWvsbcpEvNucTxJa2rYb_R0kLM3icaSL2uY/edit?gid=429484565" TargetMode="External"/><Relationship Id="rId160" Type="http://schemas.openxmlformats.org/officeDocument/2006/relationships/hyperlink" Target="https://docs.google.com/spreadsheets/d/1TtPg-FlLO1jhwMXHbfK3fOdebITZM3SHDdYgDdsun-o/edit" TargetMode="External"/><Relationship Id="rId57" Type="http://schemas.openxmlformats.org/officeDocument/2006/relationships/hyperlink" Target="https://docs.google.com/spreadsheets/d/1VEbI85GIACBzK7Fr53MA8H90fnc5xOBzkIV_G3O2R84/edit" TargetMode="External"/><Relationship Id="rId56" Type="http://schemas.openxmlformats.org/officeDocument/2006/relationships/hyperlink" Target="https://docs.google.com/spreadsheets/d/1vvfCDjQh1LBVwkUUB7ZEeku1dM6x_yzeXavvI--pPRg/edit" TargetMode="External"/><Relationship Id="rId159" Type="http://schemas.openxmlformats.org/officeDocument/2006/relationships/hyperlink" Target="https://docs.google.com/spreadsheets/d/1MX5Kbjf81QC_BMDN8al1mCZcsg0QgZKBlfScQqrLpLs/edit?gid=741460961" TargetMode="External"/><Relationship Id="rId59" Type="http://schemas.openxmlformats.org/officeDocument/2006/relationships/hyperlink" Target="https://docs.google.com/spreadsheets/d/1Rxe7z3t_XfrfvmDl_1EhXw1OSPwOK642EiaRHONm2Oc/edit" TargetMode="External"/><Relationship Id="rId154" Type="http://schemas.openxmlformats.org/officeDocument/2006/relationships/hyperlink" Target="https://docs.google.com/spreadsheets/d/1Q5bLMdU-xURO8V0-x3r5xNyq88vnfkNPCQ3hu_xHIsU/edit?gid=162659938" TargetMode="External"/><Relationship Id="rId58" Type="http://schemas.openxmlformats.org/officeDocument/2006/relationships/hyperlink" Target="https://docs.google.com/spreadsheets/d/1Aj8bWFTL-YpgmLeRYIHRh9VWv_x0tdoFK37SvSkVoMA/edit" TargetMode="External"/><Relationship Id="rId153" Type="http://schemas.openxmlformats.org/officeDocument/2006/relationships/hyperlink" Target="https://docs.google.com/spreadsheets/d/1sSd36kbbelgYAPey114fqOQ7PNwz4uYjGlTg07byzOs/edit?gid=2120302259" TargetMode="External"/><Relationship Id="rId152" Type="http://schemas.openxmlformats.org/officeDocument/2006/relationships/hyperlink" Target="https://docs.google.com/spreadsheets/d/1RIKtidqK6hOmuK0xqGl8SKK7KjTCUKiagqmfmuzZkFQ/edit?gid=1219811845" TargetMode="External"/><Relationship Id="rId151" Type="http://schemas.openxmlformats.org/officeDocument/2006/relationships/hyperlink" Target="https://docs.google.com/spreadsheets/d/1VHlUXvmsF-UUlS75Y_QvlWUXvBPAtAPMWQSoseA9psY/edit?gid=1219811845" TargetMode="External"/><Relationship Id="rId158" Type="http://schemas.openxmlformats.org/officeDocument/2006/relationships/hyperlink" Target="https://docs.google.com/spreadsheets/d/1L6Qot-tX0BahjoHFRtp7rqwsomNzqMNnwPIEbNZIte0/edit?gid=0" TargetMode="External"/><Relationship Id="rId157" Type="http://schemas.openxmlformats.org/officeDocument/2006/relationships/hyperlink" Target="https://docs.google.com/spreadsheets/d/1VeRiww_FU3hSWDH7KCJh6BgQ0zzOQ2pRPjdbNLvkRm0/edit?gid=0" TargetMode="External"/><Relationship Id="rId156" Type="http://schemas.openxmlformats.org/officeDocument/2006/relationships/hyperlink" Target="https://docs.google.com/spreadsheets/d/1aJSsNfLs2vSa44AxxODE13x_FesRGxlv96d6TPn5VaI/edit?gid=0" TargetMode="External"/><Relationship Id="rId155" Type="http://schemas.openxmlformats.org/officeDocument/2006/relationships/hyperlink" Target="https://docs.google.com/spreadsheets/d/1SMt1pqYCvGPpiMknRM26ek7JjvdwZJqK-Li4_SyFHEc/edit?gid=1089458672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-GtR9KEvpi7RiFYMnuZo8zNQdsMbzFvWslRaxdBQRPM/edit?gid=0" TargetMode="External"/><Relationship Id="rId10" Type="http://schemas.openxmlformats.org/officeDocument/2006/relationships/hyperlink" Target="https://docs.google.com/spreadsheets/d/1tBU2WORCGkePMRxXIZloeHDIhaKFEnE8iBZsKyW5bHc/edit?gid=0" TargetMode="External"/><Relationship Id="rId13" Type="http://schemas.openxmlformats.org/officeDocument/2006/relationships/hyperlink" Target="https://docs.google.com/spreadsheets/d/1I474VIS3tjOdc5ji7ckmL-ZCqzOM_zk53P3oK2g9VTM/edit?gid=216875875" TargetMode="External"/><Relationship Id="rId12" Type="http://schemas.openxmlformats.org/officeDocument/2006/relationships/hyperlink" Target="https://docs.google.com/spreadsheets/d/1h0AtWsk8NkAI3_51JZNnz_sEcXfnMBKLurlRcutnfrM/edit?gid=0" TargetMode="External"/><Relationship Id="rId15" Type="http://schemas.openxmlformats.org/officeDocument/2006/relationships/hyperlink" Target="https://docs.google.com/spreadsheets/d/1cq_sxxyXR9tTwwEyk3RlML3i-Fz7VAR8Uht8bzl-dx8/edit?gid=0" TargetMode="External"/><Relationship Id="rId14" Type="http://schemas.openxmlformats.org/officeDocument/2006/relationships/hyperlink" Target="https://docs.google.com/spreadsheets/d/1RByROzdCZFfZm8RUbhXmICFnyevbQiTEdCbUruyprHo/edit?gid=0" TargetMode="External"/><Relationship Id="rId17" Type="http://schemas.openxmlformats.org/officeDocument/2006/relationships/hyperlink" Target="https://docs.google.com/spreadsheets/d/1icXZrszWsrD0XhtVJspeoGUH0iHsSqgl-bNhXYgD_NE/edit?gid=1460013727" TargetMode="External"/><Relationship Id="rId16" Type="http://schemas.openxmlformats.org/officeDocument/2006/relationships/hyperlink" Target="https://docs.google.com/spreadsheets/d/1IE1vTKIuuE0qpNe2127kd-GbjkNrLkqmuKGz-opQjs0/edit?gid=0" TargetMode="External"/><Relationship Id="rId18" Type="http://schemas.openxmlformats.org/officeDocument/2006/relationships/drawing" Target="../drawings/drawing2.xml"/><Relationship Id="rId1" Type="http://schemas.openxmlformats.org/officeDocument/2006/relationships/hyperlink" Target="https://docs.google.com/spreadsheets/d/1FuSPLcSY9q7v_OhHHQxrU4GmRZxPEysVc_BLcw_sFck/edit?usp=drive_web&amp;ouid=106558491303462092789" TargetMode="External"/><Relationship Id="rId2" Type="http://schemas.openxmlformats.org/officeDocument/2006/relationships/hyperlink" Target="https://docs.google.com/spreadsheets/d/1i9T_ecSXOM5DIP7R7JmI7Cr7bFG-j5Jdt4noIUXnvko/edit?gid=0" TargetMode="External"/><Relationship Id="rId3" Type="http://schemas.openxmlformats.org/officeDocument/2006/relationships/hyperlink" Target="https://docs.google.com/spreadsheets/d/1Kg07XZmFASnB39g9IY5T11F5FdBTt692bQMYiDwoOKE/edit?gid=0" TargetMode="External"/><Relationship Id="rId4" Type="http://schemas.openxmlformats.org/officeDocument/2006/relationships/hyperlink" Target="https://docs.google.com/spreadsheets/d/1kzHgjYG2fRl24KkUwgwuGb5jqIcNjrLI4bAa5_Ur8Do/edit?gid=0" TargetMode="External"/><Relationship Id="rId9" Type="http://schemas.openxmlformats.org/officeDocument/2006/relationships/hyperlink" Target="https://docs.google.com/spreadsheets/d/1EI3mfkw4tnCjQO2zng_o2RwNxu-iRNoEbMdHoBZ0tvg/edit?gid=1681064011" TargetMode="External"/><Relationship Id="rId5" Type="http://schemas.openxmlformats.org/officeDocument/2006/relationships/hyperlink" Target="https://docs.google.com/spreadsheets/d/1_7LRodPYvx00yc77EzTYhmbaNm8tNN_b96dQhnncLeE/edit?gid=2065133785" TargetMode="External"/><Relationship Id="rId6" Type="http://schemas.openxmlformats.org/officeDocument/2006/relationships/hyperlink" Target="https://docs.google.com/spreadsheets/d/1FWoCAr1C7ZSb0vw1vvaBhsS73XL8YWHN3CvvtZ3LLKE/edit" TargetMode="External"/><Relationship Id="rId7" Type="http://schemas.openxmlformats.org/officeDocument/2006/relationships/hyperlink" Target="https://docs.google.com/spreadsheets/d/1yYGXSwJ72j8viKCOe86p6wi8lNM7qrWmfCBaFBiUKLo/edit" TargetMode="External"/><Relationship Id="rId8" Type="http://schemas.openxmlformats.org/officeDocument/2006/relationships/hyperlink" Target="https://docs.google.com/spreadsheets/d/1wjoxTKxLPmzHS19GT_DZ96swQR-_WwppkY-Fa7qtBBY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75"/>
  <cols>
    <col hidden="1" min="1" max="1" width="12.63"/>
    <col customWidth="1" min="2" max="2" width="10.0"/>
    <col customWidth="1" min="3" max="3" width="27.75"/>
    <col customWidth="1" min="4" max="4" width="14.63"/>
    <col customWidth="1" min="5" max="5" width="10.25"/>
    <col customWidth="1" min="6" max="6" width="8.75"/>
    <col hidden="1" min="7" max="8" width="12.63"/>
    <col customWidth="1" min="9" max="9" width="8.5"/>
    <col customWidth="1" min="10" max="10" width="9.5"/>
    <col customWidth="1" min="11" max="11" width="5.75"/>
    <col customWidth="1" min="12" max="12" width="10.38"/>
    <col customWidth="1" min="13" max="13" width="9.38"/>
    <col customWidth="1" min="14" max="14" width="6.25"/>
    <col customWidth="1" min="15" max="15" width="8.75"/>
    <col customWidth="1" min="16" max="16" width="9.5"/>
    <col customWidth="1" min="17" max="17" width="5.0"/>
    <col customWidth="1" min="18" max="18" width="10.38"/>
    <col customWidth="1" min="19" max="19" width="5.0"/>
    <col customWidth="1" min="20" max="20" width="9.88"/>
    <col customWidth="1" min="21" max="21" width="10.88"/>
    <col customWidth="1" min="22" max="22" width="5.0"/>
    <col customWidth="1" min="23" max="23" width="9.5"/>
    <col customWidth="1" min="24" max="24" width="5.0"/>
    <col customWidth="1" min="25" max="25" width="10.38"/>
    <col customWidth="1" min="26" max="26" width="5.0"/>
    <col customWidth="1" min="27" max="27" width="9.88"/>
    <col customWidth="1" min="28" max="28" width="10.88"/>
    <col customWidth="1" min="29" max="29" width="5.0"/>
    <col customWidth="1" min="30" max="30" width="9.5"/>
    <col customWidth="1" min="31" max="31" width="5.0"/>
    <col customWidth="1" min="32" max="32" width="10.38"/>
    <col customWidth="1" min="33" max="33" width="5.0"/>
    <col customWidth="1" min="34" max="34" width="9.88"/>
    <col customWidth="1" min="35" max="35" width="10.88"/>
    <col customWidth="1" min="36" max="36" width="5.0"/>
    <col customWidth="1" min="37" max="37" width="10.63"/>
    <col customWidth="1" min="38" max="38" width="5.0"/>
    <col customWidth="1" min="39" max="39" width="10.38"/>
    <col customWidth="1" min="40" max="40" width="5.0"/>
    <col customWidth="1" min="41" max="41" width="9.88"/>
    <col customWidth="1" min="42" max="42" width="10.88"/>
    <col customWidth="1" min="43" max="43" width="5.0"/>
    <col customWidth="1" min="44" max="44" width="9.63"/>
    <col customWidth="1" min="45" max="45" width="5.13"/>
    <col customWidth="1" min="46" max="46" width="10.38"/>
    <col customWidth="1" min="47" max="47" width="5.0"/>
    <col customWidth="1" min="48" max="48" width="9.88"/>
    <col customWidth="1" min="49" max="49" width="10.88"/>
    <col customWidth="1" min="50" max="50" width="5.0"/>
    <col customWidth="1" min="51" max="51" width="12.38"/>
    <col customWidth="1" min="52" max="52" width="5.0"/>
    <col customWidth="1" min="53" max="53" width="10.38"/>
    <col customWidth="1" min="54" max="54" width="5.0"/>
    <col customWidth="1" min="55" max="55" width="9.88"/>
    <col customWidth="1" min="56" max="56" width="10.88"/>
    <col customWidth="1" min="57" max="57" width="5.0"/>
    <col customWidth="1" min="58" max="58" width="10.38"/>
    <col customWidth="1" min="59" max="59" width="5.13"/>
    <col customWidth="1" min="60" max="60" width="10.38"/>
    <col customWidth="1" min="61" max="61" width="5.13"/>
    <col customWidth="1" min="62" max="62" width="9.88"/>
    <col customWidth="1" min="63" max="63" width="10.88"/>
    <col customWidth="1" min="64" max="64" width="5.0"/>
    <col customWidth="1" min="65" max="65" width="12.0"/>
    <col customWidth="1" min="66" max="66" width="5.0"/>
    <col customWidth="1" min="67" max="67" width="10.38"/>
    <col customWidth="1" min="68" max="68" width="5.0"/>
    <col customWidth="1" min="69" max="69" width="9.88"/>
    <col customWidth="1" min="70" max="70" width="10.88"/>
    <col customWidth="1" min="71" max="71" width="5.0"/>
    <col customWidth="1" min="72" max="72" width="11.88"/>
    <col customWidth="1" min="73" max="73" width="5.0"/>
    <col customWidth="1" min="74" max="74" width="10.38"/>
    <col customWidth="1" min="75" max="75" width="5.0"/>
    <col customWidth="1" min="76" max="76" width="9.88"/>
    <col customWidth="1" min="77" max="77" width="10.88"/>
    <col customWidth="1" min="78" max="78" width="5.0"/>
    <col customWidth="1" min="79" max="79" width="10.13"/>
    <col customWidth="1" min="80" max="80" width="5.0"/>
    <col customWidth="1" min="81" max="81" width="10.38"/>
    <col customWidth="1" min="82" max="82" width="5.0"/>
    <col customWidth="1" min="83" max="83" width="9.88"/>
    <col customWidth="1" min="84" max="84" width="10.88"/>
    <col customWidth="1" min="85" max="85" width="5.0"/>
    <col customWidth="1" min="86" max="86" width="10.88"/>
    <col customWidth="1" min="87" max="87" width="5.0"/>
    <col customWidth="1" min="88" max="88" width="10.38"/>
    <col customWidth="1" min="89" max="89" width="5.0"/>
    <col customWidth="1" min="90" max="90" width="9.88"/>
    <col customWidth="1" min="91" max="91" width="10.88"/>
    <col customWidth="1" min="92" max="92" width="5.0"/>
    <col customWidth="1" min="93" max="93" width="9.25"/>
    <col customWidth="1" min="94" max="94" width="5.0"/>
    <col customWidth="1" min="95" max="95" width="10.38"/>
    <col customWidth="1" min="96" max="96" width="5.0"/>
    <col customWidth="1" min="97" max="97" width="9.88"/>
    <col customWidth="1" min="98" max="98" width="10.88"/>
    <col customWidth="1" min="99" max="100" width="5.0"/>
  </cols>
  <sheetData>
    <row r="1" ht="13.5" customHeight="1">
      <c r="A1" s="1"/>
      <c r="B1" s="2" t="s">
        <v>0</v>
      </c>
      <c r="C1" s="3"/>
      <c r="D1" s="3"/>
      <c r="E1" s="3"/>
      <c r="F1" s="4"/>
      <c r="G1" s="5"/>
      <c r="H1" s="6"/>
      <c r="I1" s="7"/>
      <c r="J1" s="8"/>
      <c r="K1" s="9"/>
      <c r="L1" s="10"/>
      <c r="M1" s="5"/>
      <c r="N1" s="11"/>
      <c r="O1" s="6"/>
      <c r="P1" s="5"/>
      <c r="Q1" s="6"/>
      <c r="R1" s="12"/>
      <c r="S1" s="6"/>
      <c r="T1" s="5"/>
      <c r="U1" s="6"/>
      <c r="V1" s="5"/>
      <c r="W1" s="6"/>
      <c r="X1" s="5"/>
      <c r="Y1" s="6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13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>
      <c r="A2" s="1"/>
      <c r="B2" s="14"/>
      <c r="C2" s="15"/>
      <c r="D2" s="15"/>
      <c r="E2" s="15"/>
      <c r="F2" s="16"/>
      <c r="G2" s="17"/>
      <c r="H2" s="17"/>
      <c r="I2" s="18"/>
      <c r="J2" s="6"/>
      <c r="K2" s="6" t="s">
        <v>1</v>
      </c>
      <c r="L2" s="5"/>
      <c r="M2" s="5"/>
      <c r="O2" s="5"/>
      <c r="P2" s="5"/>
      <c r="Q2" s="5"/>
      <c r="R2" s="12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>
      <c r="A3" s="1"/>
      <c r="B3" s="19"/>
      <c r="C3" s="20" t="s">
        <v>2</v>
      </c>
      <c r="D3" s="21"/>
      <c r="E3" s="21"/>
      <c r="F3" s="22"/>
      <c r="G3" s="23"/>
      <c r="H3" s="23"/>
      <c r="I3" s="24">
        <f t="shared" ref="I3:M3" si="1">SUM(I7:I172)</f>
        <v>5550165</v>
      </c>
      <c r="J3" s="25">
        <f t="shared" si="1"/>
        <v>334318616</v>
      </c>
      <c r="K3" s="25">
        <f t="shared" si="1"/>
        <v>11536</v>
      </c>
      <c r="L3" s="25">
        <f t="shared" si="1"/>
        <v>3619744793</v>
      </c>
      <c r="M3" s="25">
        <f t="shared" si="1"/>
        <v>577955703.8</v>
      </c>
      <c r="N3" s="26">
        <f>iferror(O3/L3,"")</f>
        <v>0.1228084301</v>
      </c>
      <c r="O3" s="25">
        <f t="shared" ref="O3:S3" si="2">SUM(O7:O172)</f>
        <v>444535175.3</v>
      </c>
      <c r="P3" s="25">
        <f t="shared" si="2"/>
        <v>252592620</v>
      </c>
      <c r="Q3" s="25">
        <f t="shared" si="2"/>
        <v>6751</v>
      </c>
      <c r="R3" s="25">
        <f t="shared" si="2"/>
        <v>127611303.6</v>
      </c>
      <c r="S3" s="25">
        <f t="shared" si="2"/>
        <v>2213</v>
      </c>
      <c r="T3" s="27">
        <f>iferror(R3/P3,"")</f>
        <v>0.5052059858</v>
      </c>
      <c r="U3" s="25">
        <f t="shared" ref="U3:Z3" si="3">SUM(U7:U172)</f>
        <v>139995737.4</v>
      </c>
      <c r="V3" s="25">
        <f t="shared" si="3"/>
        <v>2589</v>
      </c>
      <c r="W3" s="25">
        <f t="shared" si="3"/>
        <v>284392790.9</v>
      </c>
      <c r="X3" s="25">
        <f t="shared" si="3"/>
        <v>7672</v>
      </c>
      <c r="Y3" s="25">
        <f t="shared" si="3"/>
        <v>205924259</v>
      </c>
      <c r="Z3" s="25">
        <f t="shared" si="3"/>
        <v>2975</v>
      </c>
      <c r="AA3" s="27">
        <f>iferror(Y3/W3,"")</f>
        <v>0.724083963</v>
      </c>
      <c r="AB3" s="25">
        <f t="shared" ref="AB3:AG3" si="4">SUM(AB7:AB172)</f>
        <v>202727544.5</v>
      </c>
      <c r="AC3" s="25">
        <f t="shared" si="4"/>
        <v>3183</v>
      </c>
      <c r="AD3" s="25">
        <f t="shared" si="4"/>
        <v>284778779.5</v>
      </c>
      <c r="AE3" s="25">
        <f t="shared" si="4"/>
        <v>7663</v>
      </c>
      <c r="AF3" s="25">
        <f t="shared" si="4"/>
        <v>244420141.2</v>
      </c>
      <c r="AG3" s="25">
        <f t="shared" si="4"/>
        <v>3462</v>
      </c>
      <c r="AH3" s="27">
        <f>iferror(AF3/AD3,"")</f>
        <v>0.8582807383</v>
      </c>
      <c r="AI3" s="25">
        <f t="shared" ref="AI3:AN3" si="5">SUM(AI7:AI172)</f>
        <v>99094753.37</v>
      </c>
      <c r="AJ3" s="25">
        <f t="shared" si="5"/>
        <v>1549</v>
      </c>
      <c r="AK3" s="25">
        <f t="shared" si="5"/>
        <v>208523143.5</v>
      </c>
      <c r="AL3" s="25">
        <f t="shared" si="5"/>
        <v>4490</v>
      </c>
      <c r="AM3" s="25">
        <f t="shared" si="5"/>
        <v>0</v>
      </c>
      <c r="AN3" s="25">
        <f t="shared" si="5"/>
        <v>0</v>
      </c>
      <c r="AO3" s="27">
        <f>iferror(AM3/AK3,"")</f>
        <v>0</v>
      </c>
      <c r="AP3" s="25">
        <f t="shared" ref="AP3:AU3" si="6">SUM(AP7:AP172)</f>
        <v>1823285</v>
      </c>
      <c r="AQ3" s="25">
        <f t="shared" si="6"/>
        <v>59</v>
      </c>
      <c r="AR3" s="25">
        <f t="shared" si="6"/>
        <v>161986630.9</v>
      </c>
      <c r="AS3" s="25">
        <f t="shared" si="6"/>
        <v>3443</v>
      </c>
      <c r="AT3" s="25">
        <f t="shared" si="6"/>
        <v>0</v>
      </c>
      <c r="AU3" s="25">
        <f t="shared" si="6"/>
        <v>0</v>
      </c>
      <c r="AV3" s="27">
        <f>iferror(AT3/AR3,"")</f>
        <v>0</v>
      </c>
      <c r="AW3" s="25">
        <f t="shared" ref="AW3:BB3" si="7">SUM(AW7:AW172)</f>
        <v>0</v>
      </c>
      <c r="AX3" s="25">
        <f t="shared" si="7"/>
        <v>0</v>
      </c>
      <c r="AY3" s="25">
        <f t="shared" si="7"/>
        <v>170164599.9</v>
      </c>
      <c r="AZ3" s="25">
        <f t="shared" si="7"/>
        <v>2977</v>
      </c>
      <c r="BA3" s="25">
        <f t="shared" si="7"/>
        <v>0</v>
      </c>
      <c r="BB3" s="25">
        <f t="shared" si="7"/>
        <v>0</v>
      </c>
      <c r="BC3" s="27">
        <f>iferror(BA3/AY3,"")</f>
        <v>0</v>
      </c>
      <c r="BD3" s="25">
        <f t="shared" ref="BD3:BI3" si="8">SUM(BD7:BD172)</f>
        <v>0</v>
      </c>
      <c r="BE3" s="25">
        <f t="shared" si="8"/>
        <v>0</v>
      </c>
      <c r="BF3" s="25">
        <f t="shared" si="8"/>
        <v>157713185.2</v>
      </c>
      <c r="BG3" s="25">
        <f t="shared" si="8"/>
        <v>3024</v>
      </c>
      <c r="BH3" s="25">
        <f t="shared" si="8"/>
        <v>0</v>
      </c>
      <c r="BI3" s="25">
        <f t="shared" si="8"/>
        <v>0</v>
      </c>
      <c r="BJ3" s="27">
        <f>iferror(BH3/BF3,"")</f>
        <v>0</v>
      </c>
      <c r="BK3" s="25">
        <f t="shared" ref="BK3:BP3" si="9">SUM(BK7:BK172)</f>
        <v>0</v>
      </c>
      <c r="BL3" s="25">
        <f t="shared" si="9"/>
        <v>0</v>
      </c>
      <c r="BM3" s="25">
        <f t="shared" si="9"/>
        <v>159419596.5</v>
      </c>
      <c r="BN3" s="25">
        <f t="shared" si="9"/>
        <v>3027</v>
      </c>
      <c r="BO3" s="25">
        <f t="shared" si="9"/>
        <v>0</v>
      </c>
      <c r="BP3" s="25">
        <f t="shared" si="9"/>
        <v>0</v>
      </c>
      <c r="BQ3" s="27">
        <f>iferror(BO3/BM3,"")</f>
        <v>0</v>
      </c>
      <c r="BR3" s="25">
        <f t="shared" ref="BR3:BW3" si="10">SUM(BR7:BR172)</f>
        <v>0</v>
      </c>
      <c r="BS3" s="25">
        <f t="shared" si="10"/>
        <v>0</v>
      </c>
      <c r="BT3" s="25">
        <f t="shared" si="10"/>
        <v>183811423.9</v>
      </c>
      <c r="BU3" s="25">
        <f t="shared" si="10"/>
        <v>3060</v>
      </c>
      <c r="BV3" s="25">
        <f t="shared" si="10"/>
        <v>0</v>
      </c>
      <c r="BW3" s="25">
        <f t="shared" si="10"/>
        <v>0</v>
      </c>
      <c r="BX3" s="27">
        <f>iferror(BV3/BT3,"")</f>
        <v>0</v>
      </c>
      <c r="BY3" s="25">
        <f t="shared" ref="BY3:CD3" si="11">SUM(BY7:BY172)</f>
        <v>0</v>
      </c>
      <c r="BZ3" s="25">
        <f t="shared" si="11"/>
        <v>0</v>
      </c>
      <c r="CA3" s="25">
        <f t="shared" si="11"/>
        <v>160459648.9</v>
      </c>
      <c r="CB3" s="25">
        <f t="shared" si="11"/>
        <v>3012</v>
      </c>
      <c r="CC3" s="25">
        <f t="shared" si="11"/>
        <v>0</v>
      </c>
      <c r="CD3" s="25">
        <f t="shared" si="11"/>
        <v>0</v>
      </c>
      <c r="CE3" s="27">
        <f>iferror(CC3/CA3,"")</f>
        <v>0</v>
      </c>
      <c r="CF3" s="25">
        <f t="shared" ref="CF3:CK3" si="12">SUM(CF7:CF172)</f>
        <v>0</v>
      </c>
      <c r="CG3" s="25">
        <f t="shared" si="12"/>
        <v>0</v>
      </c>
      <c r="CH3" s="25">
        <f t="shared" si="12"/>
        <v>167666636.9</v>
      </c>
      <c r="CI3" s="25">
        <f t="shared" si="12"/>
        <v>3022</v>
      </c>
      <c r="CJ3" s="25">
        <f t="shared" si="12"/>
        <v>0</v>
      </c>
      <c r="CK3" s="25">
        <f t="shared" si="12"/>
        <v>0</v>
      </c>
      <c r="CL3" s="27">
        <f>iferror(CJ3/CH3,"")</f>
        <v>0</v>
      </c>
      <c r="CM3" s="25">
        <f t="shared" ref="CM3:CR3" si="13">SUM(CM7:CM172)</f>
        <v>0</v>
      </c>
      <c r="CN3" s="25">
        <f t="shared" si="13"/>
        <v>0</v>
      </c>
      <c r="CO3" s="25">
        <f t="shared" si="13"/>
        <v>180642099.5</v>
      </c>
      <c r="CP3" s="25">
        <f t="shared" si="13"/>
        <v>3074</v>
      </c>
      <c r="CQ3" s="25">
        <f t="shared" si="13"/>
        <v>0</v>
      </c>
      <c r="CR3" s="25">
        <f t="shared" si="13"/>
        <v>0</v>
      </c>
      <c r="CS3" s="27">
        <f>iferror(CQ3/CO3,"")</f>
        <v>0</v>
      </c>
      <c r="CT3" s="25">
        <f t="shared" ref="CT3:CU3" si="14">SUM(CT7:CT172)</f>
        <v>893855</v>
      </c>
      <c r="CU3" s="25">
        <f t="shared" si="14"/>
        <v>22</v>
      </c>
      <c r="CV3" s="28"/>
    </row>
    <row r="4">
      <c r="A4" s="29"/>
      <c r="B4" s="30" t="s">
        <v>3</v>
      </c>
      <c r="C4" s="30" t="s">
        <v>4</v>
      </c>
      <c r="D4" s="30" t="s">
        <v>5</v>
      </c>
      <c r="E4" s="30" t="s">
        <v>6</v>
      </c>
      <c r="F4" s="30" t="s">
        <v>7</v>
      </c>
      <c r="G4" s="31" t="s">
        <v>8</v>
      </c>
      <c r="H4" s="31" t="s">
        <v>9</v>
      </c>
      <c r="I4" s="32" t="s">
        <v>10</v>
      </c>
      <c r="J4" s="33" t="s">
        <v>11</v>
      </c>
      <c r="K4" s="34" t="s">
        <v>12</v>
      </c>
      <c r="L4" s="35" t="s">
        <v>13</v>
      </c>
      <c r="M4" s="35" t="s">
        <v>14</v>
      </c>
      <c r="N4" s="36" t="s">
        <v>15</v>
      </c>
      <c r="O4" s="35" t="s">
        <v>16</v>
      </c>
      <c r="P4" s="37">
        <v>46113.0</v>
      </c>
      <c r="Q4" s="38"/>
      <c r="R4" s="38"/>
      <c r="S4" s="38"/>
      <c r="T4" s="38"/>
      <c r="U4" s="38"/>
      <c r="V4" s="39"/>
      <c r="W4" s="37">
        <v>46143.0</v>
      </c>
      <c r="X4" s="38"/>
      <c r="Y4" s="38"/>
      <c r="Z4" s="38"/>
      <c r="AA4" s="38"/>
      <c r="AB4" s="38"/>
      <c r="AC4" s="39"/>
      <c r="AD4" s="37">
        <v>46174.0</v>
      </c>
      <c r="AE4" s="38"/>
      <c r="AF4" s="38"/>
      <c r="AG4" s="38"/>
      <c r="AH4" s="38"/>
      <c r="AI4" s="38"/>
      <c r="AJ4" s="39"/>
      <c r="AK4" s="37">
        <v>46204.0</v>
      </c>
      <c r="AL4" s="38"/>
      <c r="AM4" s="38"/>
      <c r="AN4" s="38"/>
      <c r="AO4" s="38"/>
      <c r="AP4" s="38"/>
      <c r="AQ4" s="39"/>
      <c r="AR4" s="37">
        <v>46235.0</v>
      </c>
      <c r="AS4" s="38"/>
      <c r="AT4" s="38"/>
      <c r="AU4" s="38"/>
      <c r="AV4" s="38"/>
      <c r="AW4" s="38"/>
      <c r="AX4" s="39"/>
      <c r="AY4" s="37">
        <v>46266.0</v>
      </c>
      <c r="AZ4" s="38"/>
      <c r="BA4" s="38"/>
      <c r="BB4" s="38"/>
      <c r="BC4" s="38"/>
      <c r="BD4" s="38"/>
      <c r="BE4" s="39"/>
      <c r="BF4" s="37">
        <v>46296.0</v>
      </c>
      <c r="BG4" s="38"/>
      <c r="BH4" s="38"/>
      <c r="BI4" s="38"/>
      <c r="BJ4" s="38"/>
      <c r="BK4" s="38"/>
      <c r="BL4" s="39"/>
      <c r="BM4" s="37">
        <v>46327.0</v>
      </c>
      <c r="BN4" s="38"/>
      <c r="BO4" s="38"/>
      <c r="BP4" s="38"/>
      <c r="BQ4" s="38"/>
      <c r="BR4" s="38"/>
      <c r="BS4" s="39"/>
      <c r="BT4" s="37">
        <v>46357.0</v>
      </c>
      <c r="BU4" s="38"/>
      <c r="BV4" s="38"/>
      <c r="BW4" s="38"/>
      <c r="BX4" s="38"/>
      <c r="BY4" s="38"/>
      <c r="BZ4" s="39"/>
      <c r="CA4" s="37">
        <v>46388.0</v>
      </c>
      <c r="CB4" s="38"/>
      <c r="CC4" s="38"/>
      <c r="CD4" s="38"/>
      <c r="CE4" s="38"/>
      <c r="CF4" s="38"/>
      <c r="CG4" s="39"/>
      <c r="CH4" s="37">
        <v>46419.0</v>
      </c>
      <c r="CI4" s="38"/>
      <c r="CJ4" s="38"/>
      <c r="CK4" s="38"/>
      <c r="CL4" s="38"/>
      <c r="CM4" s="38"/>
      <c r="CN4" s="39"/>
      <c r="CO4" s="37">
        <v>46447.0</v>
      </c>
      <c r="CP4" s="38"/>
      <c r="CQ4" s="38"/>
      <c r="CR4" s="38"/>
      <c r="CS4" s="38"/>
      <c r="CT4" s="38"/>
      <c r="CU4" s="39"/>
      <c r="CV4" s="40"/>
    </row>
    <row r="5">
      <c r="A5" s="29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2" t="s">
        <v>17</v>
      </c>
      <c r="Q5" s="39"/>
      <c r="R5" s="43" t="s">
        <v>18</v>
      </c>
      <c r="S5" s="39"/>
      <c r="T5" s="44" t="s">
        <v>19</v>
      </c>
      <c r="U5" s="45" t="s">
        <v>20</v>
      </c>
      <c r="V5" s="39"/>
      <c r="W5" s="42" t="s">
        <v>17</v>
      </c>
      <c r="X5" s="39"/>
      <c r="Y5" s="43" t="s">
        <v>18</v>
      </c>
      <c r="Z5" s="39"/>
      <c r="AA5" s="44" t="s">
        <v>19</v>
      </c>
      <c r="AB5" s="45" t="s">
        <v>20</v>
      </c>
      <c r="AC5" s="39"/>
      <c r="AD5" s="42" t="s">
        <v>17</v>
      </c>
      <c r="AE5" s="39"/>
      <c r="AF5" s="43" t="s">
        <v>18</v>
      </c>
      <c r="AG5" s="39"/>
      <c r="AH5" s="44" t="s">
        <v>19</v>
      </c>
      <c r="AI5" s="45" t="s">
        <v>20</v>
      </c>
      <c r="AJ5" s="39"/>
      <c r="AK5" s="42" t="s">
        <v>17</v>
      </c>
      <c r="AL5" s="39"/>
      <c r="AM5" s="43" t="s">
        <v>18</v>
      </c>
      <c r="AN5" s="39"/>
      <c r="AO5" s="44" t="s">
        <v>19</v>
      </c>
      <c r="AP5" s="45" t="s">
        <v>20</v>
      </c>
      <c r="AQ5" s="39"/>
      <c r="AR5" s="42" t="s">
        <v>17</v>
      </c>
      <c r="AS5" s="39"/>
      <c r="AT5" s="43" t="s">
        <v>18</v>
      </c>
      <c r="AU5" s="39"/>
      <c r="AV5" s="44" t="s">
        <v>19</v>
      </c>
      <c r="AW5" s="45" t="s">
        <v>20</v>
      </c>
      <c r="AX5" s="39"/>
      <c r="AY5" s="42" t="s">
        <v>17</v>
      </c>
      <c r="AZ5" s="39"/>
      <c r="BA5" s="43" t="s">
        <v>18</v>
      </c>
      <c r="BB5" s="39"/>
      <c r="BC5" s="44" t="s">
        <v>19</v>
      </c>
      <c r="BD5" s="45" t="s">
        <v>20</v>
      </c>
      <c r="BE5" s="39"/>
      <c r="BF5" s="42" t="s">
        <v>17</v>
      </c>
      <c r="BG5" s="39"/>
      <c r="BH5" s="43" t="s">
        <v>18</v>
      </c>
      <c r="BI5" s="39"/>
      <c r="BJ5" s="44" t="s">
        <v>19</v>
      </c>
      <c r="BK5" s="45" t="s">
        <v>20</v>
      </c>
      <c r="BL5" s="39"/>
      <c r="BM5" s="42" t="s">
        <v>17</v>
      </c>
      <c r="BN5" s="39"/>
      <c r="BO5" s="43" t="s">
        <v>18</v>
      </c>
      <c r="BP5" s="39"/>
      <c r="BQ5" s="44" t="s">
        <v>19</v>
      </c>
      <c r="BR5" s="45" t="s">
        <v>20</v>
      </c>
      <c r="BS5" s="39"/>
      <c r="BT5" s="42" t="s">
        <v>17</v>
      </c>
      <c r="BU5" s="39"/>
      <c r="BV5" s="43" t="s">
        <v>18</v>
      </c>
      <c r="BW5" s="39"/>
      <c r="BX5" s="44" t="s">
        <v>19</v>
      </c>
      <c r="BY5" s="45" t="s">
        <v>20</v>
      </c>
      <c r="BZ5" s="39"/>
      <c r="CA5" s="42" t="s">
        <v>17</v>
      </c>
      <c r="CB5" s="39"/>
      <c r="CC5" s="43" t="s">
        <v>18</v>
      </c>
      <c r="CD5" s="39"/>
      <c r="CE5" s="44" t="s">
        <v>19</v>
      </c>
      <c r="CF5" s="45" t="s">
        <v>20</v>
      </c>
      <c r="CG5" s="39"/>
      <c r="CH5" s="42" t="s">
        <v>17</v>
      </c>
      <c r="CI5" s="39"/>
      <c r="CJ5" s="43" t="s">
        <v>18</v>
      </c>
      <c r="CK5" s="39"/>
      <c r="CL5" s="44" t="s">
        <v>19</v>
      </c>
      <c r="CM5" s="45" t="s">
        <v>20</v>
      </c>
      <c r="CN5" s="39"/>
      <c r="CO5" s="42" t="s">
        <v>17</v>
      </c>
      <c r="CP5" s="39"/>
      <c r="CQ5" s="43" t="s">
        <v>18</v>
      </c>
      <c r="CR5" s="39"/>
      <c r="CS5" s="44" t="s">
        <v>19</v>
      </c>
      <c r="CT5" s="45" t="s">
        <v>20</v>
      </c>
      <c r="CU5" s="39"/>
      <c r="CV5" s="46"/>
    </row>
    <row r="6" ht="25.5" customHeight="1">
      <c r="A6" s="29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8" t="s">
        <v>21</v>
      </c>
      <c r="Q6" s="48" t="s">
        <v>22</v>
      </c>
      <c r="R6" s="48" t="s">
        <v>21</v>
      </c>
      <c r="S6" s="48" t="s">
        <v>22</v>
      </c>
      <c r="T6" s="47"/>
      <c r="U6" s="48" t="s">
        <v>21</v>
      </c>
      <c r="V6" s="48" t="s">
        <v>22</v>
      </c>
      <c r="W6" s="48" t="s">
        <v>21</v>
      </c>
      <c r="X6" s="48" t="s">
        <v>22</v>
      </c>
      <c r="Y6" s="48" t="s">
        <v>21</v>
      </c>
      <c r="Z6" s="48" t="s">
        <v>22</v>
      </c>
      <c r="AA6" s="47"/>
      <c r="AB6" s="48" t="s">
        <v>21</v>
      </c>
      <c r="AC6" s="48" t="s">
        <v>22</v>
      </c>
      <c r="AD6" s="48" t="s">
        <v>21</v>
      </c>
      <c r="AE6" s="48" t="s">
        <v>22</v>
      </c>
      <c r="AF6" s="48" t="s">
        <v>21</v>
      </c>
      <c r="AG6" s="48" t="s">
        <v>22</v>
      </c>
      <c r="AH6" s="47"/>
      <c r="AI6" s="48" t="s">
        <v>21</v>
      </c>
      <c r="AJ6" s="48" t="s">
        <v>22</v>
      </c>
      <c r="AK6" s="48" t="s">
        <v>21</v>
      </c>
      <c r="AL6" s="48" t="s">
        <v>22</v>
      </c>
      <c r="AM6" s="48" t="s">
        <v>21</v>
      </c>
      <c r="AN6" s="48" t="s">
        <v>22</v>
      </c>
      <c r="AO6" s="47"/>
      <c r="AP6" s="48" t="s">
        <v>21</v>
      </c>
      <c r="AQ6" s="48" t="s">
        <v>22</v>
      </c>
      <c r="AR6" s="48" t="s">
        <v>21</v>
      </c>
      <c r="AS6" s="48" t="s">
        <v>22</v>
      </c>
      <c r="AT6" s="48" t="s">
        <v>21</v>
      </c>
      <c r="AU6" s="48" t="s">
        <v>22</v>
      </c>
      <c r="AV6" s="47"/>
      <c r="AW6" s="48" t="s">
        <v>21</v>
      </c>
      <c r="AX6" s="48" t="s">
        <v>22</v>
      </c>
      <c r="AY6" s="48" t="s">
        <v>21</v>
      </c>
      <c r="AZ6" s="48" t="s">
        <v>22</v>
      </c>
      <c r="BA6" s="48" t="s">
        <v>21</v>
      </c>
      <c r="BB6" s="48" t="s">
        <v>22</v>
      </c>
      <c r="BC6" s="47"/>
      <c r="BD6" s="48" t="s">
        <v>21</v>
      </c>
      <c r="BE6" s="48" t="s">
        <v>22</v>
      </c>
      <c r="BF6" s="48" t="s">
        <v>21</v>
      </c>
      <c r="BG6" s="49" t="s">
        <v>22</v>
      </c>
      <c r="BH6" s="48" t="s">
        <v>21</v>
      </c>
      <c r="BI6" s="49" t="s">
        <v>22</v>
      </c>
      <c r="BJ6" s="47"/>
      <c r="BK6" s="48" t="s">
        <v>21</v>
      </c>
      <c r="BL6" s="48" t="s">
        <v>22</v>
      </c>
      <c r="BM6" s="48" t="s">
        <v>21</v>
      </c>
      <c r="BN6" s="48" t="s">
        <v>22</v>
      </c>
      <c r="BO6" s="48" t="s">
        <v>21</v>
      </c>
      <c r="BP6" s="48" t="s">
        <v>22</v>
      </c>
      <c r="BQ6" s="47"/>
      <c r="BR6" s="48" t="s">
        <v>21</v>
      </c>
      <c r="BS6" s="48" t="s">
        <v>22</v>
      </c>
      <c r="BT6" s="48" t="s">
        <v>21</v>
      </c>
      <c r="BU6" s="48" t="s">
        <v>22</v>
      </c>
      <c r="BV6" s="48" t="s">
        <v>21</v>
      </c>
      <c r="BW6" s="48" t="s">
        <v>22</v>
      </c>
      <c r="BX6" s="47"/>
      <c r="BY6" s="48" t="s">
        <v>21</v>
      </c>
      <c r="BZ6" s="48" t="s">
        <v>22</v>
      </c>
      <c r="CA6" s="48" t="s">
        <v>21</v>
      </c>
      <c r="CB6" s="48" t="s">
        <v>22</v>
      </c>
      <c r="CC6" s="48" t="s">
        <v>21</v>
      </c>
      <c r="CD6" s="48" t="s">
        <v>22</v>
      </c>
      <c r="CE6" s="47"/>
      <c r="CF6" s="48" t="s">
        <v>21</v>
      </c>
      <c r="CG6" s="48" t="s">
        <v>22</v>
      </c>
      <c r="CH6" s="48" t="s">
        <v>21</v>
      </c>
      <c r="CI6" s="48" t="s">
        <v>22</v>
      </c>
      <c r="CJ6" s="48" t="s">
        <v>21</v>
      </c>
      <c r="CK6" s="48" t="s">
        <v>22</v>
      </c>
      <c r="CL6" s="47"/>
      <c r="CM6" s="48" t="s">
        <v>21</v>
      </c>
      <c r="CN6" s="48" t="s">
        <v>22</v>
      </c>
      <c r="CO6" s="48" t="s">
        <v>21</v>
      </c>
      <c r="CP6" s="48" t="s">
        <v>22</v>
      </c>
      <c r="CQ6" s="48" t="s">
        <v>21</v>
      </c>
      <c r="CR6" s="48" t="s">
        <v>22</v>
      </c>
      <c r="CS6" s="47"/>
      <c r="CT6" s="48" t="s">
        <v>21</v>
      </c>
      <c r="CU6" s="48" t="s">
        <v>22</v>
      </c>
      <c r="CV6" s="50"/>
    </row>
    <row r="7">
      <c r="A7" s="1" t="s">
        <v>23</v>
      </c>
      <c r="B7" s="51" t="s">
        <v>23</v>
      </c>
      <c r="C7" s="52" t="s">
        <v>24</v>
      </c>
      <c r="D7" s="53" t="s">
        <v>25</v>
      </c>
      <c r="E7" s="54">
        <v>8.8028986E9</v>
      </c>
      <c r="F7" s="55">
        <v>44809.0</v>
      </c>
      <c r="G7" s="56"/>
      <c r="H7" s="56"/>
      <c r="I7" s="57">
        <v>32910.0</v>
      </c>
      <c r="J7" s="58">
        <v>1980000.0</v>
      </c>
      <c r="K7" s="59">
        <f>IFERROR(__xludf.DUMMYFUNCTION("IMPORTRANGE(""1WowgCGTCOMmqanUXVQIbYWHbXi0cuGFxvrPe3CdSDpA"",""2026-27!A3"")"),96.0)</f>
        <v>96</v>
      </c>
      <c r="L7" s="59">
        <f>IFERROR(__xludf.DUMMYFUNCTION("IMPORTRANGE(""1WowgCGTCOMmqanUXVQIbYWHbXi0cuGFxvrPe3CdSDpA"",""2026-27!G4"")"),2.376E7)</f>
        <v>23760000</v>
      </c>
      <c r="M7" s="59">
        <f t="shared" ref="M7:M15" si="15">R7+Y7+AF7+AM7+AT7+BA7+BH7+BO7+BV7+CC7+CJ7+CQ7</f>
        <v>5225399.15</v>
      </c>
      <c r="N7" s="60">
        <f t="shared" ref="N7:N15" si="16">iferror(O7/L7,"")</f>
        <v>0.2365345539</v>
      </c>
      <c r="O7" s="61">
        <f t="shared" ref="O7:O15" si="17">U7+AB7+AI7+AP7+AW7+BD7+BK7+BR7+BY7+CF7+CM7+CT7</f>
        <v>5620061</v>
      </c>
      <c r="P7" s="59">
        <f>IFERROR(__xludf.DUMMYFUNCTION("IMPORTRANGE(""1WowgCGTCOMmqanUXVQIbYWHbXi0cuGFxvrPe3CdSDpA"",""2026-27!J4"")"),1800000.0)</f>
        <v>1800000</v>
      </c>
      <c r="Q7" s="59">
        <f>IFERROR(__xludf.DUMMYFUNCTION("IMPORTRANGE(""1WowgCGTCOMmqanUXVQIbYWHbXi0cuGFxvrPe3CdSDpA"",""2026-27!J3"")"),91.0)</f>
        <v>91</v>
      </c>
      <c r="R7" s="59">
        <f>IFERROR(__xludf.DUMMYFUNCTION("IMPORTRANGE(""1WowgCGTCOMmqanUXVQIbYWHbXi0cuGFxvrPe3CdSDpA"",""2026-27!K4"")"),1544324.43)</f>
        <v>1544324.43</v>
      </c>
      <c r="S7" s="59">
        <f>IFERROR(__xludf.DUMMYFUNCTION("IMPORTRANGE(""1WowgCGTCOMmqanUXVQIbYWHbXi0cuGFxvrPe3CdSDpA"",""2026-27!K3"")"),46.0)</f>
        <v>46</v>
      </c>
      <c r="T7" s="62">
        <f t="shared" ref="T7:T15" si="18">IFERROR((U7/P7),"")</f>
        <v>0.9300666667</v>
      </c>
      <c r="U7" s="59">
        <f>IFERROR(__xludf.DUMMYFUNCTION("IMPORTRANGE(""1WowgCGTCOMmqanUXVQIbYWHbXi0cuGFxvrPe3CdSDpA"",""2026-27!L4"")"),1674120.0)</f>
        <v>1674120</v>
      </c>
      <c r="V7" s="59">
        <f>IFERROR(__xludf.DUMMYFUNCTION("IMPORTRANGE(""1WowgCGTCOMmqanUXVQIbYWHbXi0cuGFxvrPe3CdSDpA"",""2026-27!L3"")"),53.0)</f>
        <v>53</v>
      </c>
      <c r="W7" s="59">
        <f>IFERROR(__xludf.DUMMYFUNCTION("IMPORTRANGE(""1WowgCGTCOMmqanUXVQIbYWHbXi0cuGFxvrPe3CdSDpA"",""2026-27!m4"")"),1980000.0)</f>
        <v>1980000</v>
      </c>
      <c r="X7" s="59">
        <f>IFERROR(__xludf.DUMMYFUNCTION("IMPORTRANGE(""1WowgCGTCOMmqanUXVQIbYWHbXi0cuGFxvrPe3CdSDpA"",""2026-27!m3"")"),91.0)</f>
        <v>91</v>
      </c>
      <c r="Y7" s="59">
        <f>IFERROR(__xludf.DUMMYFUNCTION("IMPORTRANGE(""1WowgCGTCOMmqanUXVQIbYWHbXi0cuGFxvrPe3CdSDpA"",""2026-27!N4"")"),1644028.0999999996)</f>
        <v>1644028.1</v>
      </c>
      <c r="Z7" s="59">
        <f>IFERROR(__xludf.DUMMYFUNCTION("IMPORTRANGE(""1WowgCGTCOMmqanUXVQIbYWHbXi0cuGFxvrPe3CdSDpA"",""2026-27!N3"")"),50.0)</f>
        <v>50</v>
      </c>
      <c r="AA7" s="62">
        <f t="shared" ref="AA7:AA15" si="19">IFERROR((AB7/W7),"")</f>
        <v>0.8752313131</v>
      </c>
      <c r="AB7" s="59">
        <f>IFERROR(__xludf.DUMMYFUNCTION("IMPORTRANGE(""1WowgCGTCOMmqanUXVQIbYWHbXi0cuGFxvrPe3CdSDpA"",""2026-27!O4"")"),1732958.0)</f>
        <v>1732958</v>
      </c>
      <c r="AC7" s="59">
        <f>IFERROR(__xludf.DUMMYFUNCTION("IMPORTRANGE(""1WowgCGTCOMmqanUXVQIbYWHbXi0cuGFxvrPe3CdSDpA"",""2026-27!O3"")"),52.0)</f>
        <v>52</v>
      </c>
      <c r="AD7" s="59">
        <f>IFERROR(__xludf.DUMMYFUNCTION("IMPORTRANGE(""1WowgCGTCOMmqanUXVQIbYWHbXi0cuGFxvrPe3CdSDpA"",""2026-27!P4"")"),1980000.0)</f>
        <v>1980000</v>
      </c>
      <c r="AE7" s="59">
        <f>IFERROR(__xludf.DUMMYFUNCTION("IMPORTRANGE(""1WowgCGTCOMmqanUXVQIbYWHbXi0cuGFxvrPe3CdSDpA"",""2026-27!P3"")"),94.0)</f>
        <v>94</v>
      </c>
      <c r="AF7" s="59">
        <f>IFERROR(__xludf.DUMMYFUNCTION("IMPORTRANGE(""1WowgCGTCOMmqanUXVQIbYWHbXi0cuGFxvrPe3CdSDpA"",""2026-27!Q4"")"),2037046.62)</f>
        <v>2037046.62</v>
      </c>
      <c r="AG7" s="59">
        <f>IFERROR(__xludf.DUMMYFUNCTION("IMPORTRANGE(""1WowgCGTCOMmqanUXVQIbYWHbXi0cuGFxvrPe3CdSDpA"",""2026-27!Q3"")"),43.0)</f>
        <v>43</v>
      </c>
      <c r="AH7" s="62">
        <f t="shared" ref="AH7:AH15" si="20">IFERROR((AI7/AD7),"")</f>
        <v>1.117668182</v>
      </c>
      <c r="AI7" s="59">
        <f>IFERROR(__xludf.DUMMYFUNCTION("IMPORTRANGE(""1WowgCGTCOMmqanUXVQIbYWHbXi0cuGFxvrPe3CdSDpA"",""2026-27!R4"")"),2212983.0)</f>
        <v>2212983</v>
      </c>
      <c r="AJ7" s="59">
        <f>IFERROR(__xludf.DUMMYFUNCTION("IMPORTRANGE(""1WowgCGTCOMmqanUXVQIbYWHbXi0cuGFxvrPe3CdSDpA"",""2026-27!R3"")"),50.0)</f>
        <v>50</v>
      </c>
      <c r="AK7" s="59">
        <f>IFERROR(__xludf.DUMMYFUNCTION("IMPORTRANGE(""1WowgCGTCOMmqanUXVQIbYWHbXi0cuGFxvrPe3CdSDpA"",""2026-27!S4"")"),1980000.0)</f>
        <v>1980000</v>
      </c>
      <c r="AL7" s="59">
        <f>IFERROR(__xludf.DUMMYFUNCTION("IMPORTRANGE(""1WowgCGTCOMmqanUXVQIbYWHbXi0cuGFxvrPe3CdSDpA"",""2026-27!S3"")"),95.0)</f>
        <v>95</v>
      </c>
      <c r="AM7" s="59">
        <f>IFERROR(__xludf.DUMMYFUNCTION("IMPORTRANGE(""1WowgCGTCOMmqanUXVQIbYWHbXi0cuGFxvrPe3CdSDpA"",""2026-27!T4"")"),0.0)</f>
        <v>0</v>
      </c>
      <c r="AN7" s="59">
        <f>IFERROR(__xludf.DUMMYFUNCTION("IMPORTRANGE(""1WowgCGTCOMmqanUXVQIbYWHbXi0cuGFxvrPe3CdSDpA"",""2026-27!T3"")"),0.0)</f>
        <v>0</v>
      </c>
      <c r="AO7" s="62">
        <f t="shared" ref="AO7:AO15" si="21">IFERROR((AP7/AK7),"")</f>
        <v>0</v>
      </c>
      <c r="AP7" s="59">
        <f>IFERROR(__xludf.DUMMYFUNCTION("IMPORTRANGE(""1WowgCGTCOMmqanUXVQIbYWHbXi0cuGFxvrPe3CdSDpA"",""2026-27!U4"")"),0.0)</f>
        <v>0</v>
      </c>
      <c r="AQ7" s="59">
        <f>IFERROR(__xludf.DUMMYFUNCTION("IMPORTRANGE(""1WowgCGTCOMmqanUXVQIbYWHbXi0cuGFxvrPe3CdSDpA"",""2026-27!U3"")"),0.0)</f>
        <v>0</v>
      </c>
      <c r="AR7" s="59">
        <f>IFERROR(__xludf.DUMMYFUNCTION("IMPORTRANGE(""1WowgCGTCOMmqanUXVQIbYWHbXi0cuGFxvrPe3CdSDpA"",""2026-27!V4"")"),0.0)</f>
        <v>0</v>
      </c>
      <c r="AS7" s="59">
        <f>IFERROR(__xludf.DUMMYFUNCTION("IMPORTRANGE(""1WowgCGTCOMmqanUXVQIbYWHbXi0cuGFxvrPe3CdSDpA"",""2026-27!V3"")"),0.0)</f>
        <v>0</v>
      </c>
      <c r="AT7" s="59">
        <f>IFERROR(__xludf.DUMMYFUNCTION("IMPORTRANGE(""1WowgCGTCOMmqanUXVQIbYWHbXi0cuGFxvrPe3CdSDpA"",""2026-27!W4"")"),0.0)</f>
        <v>0</v>
      </c>
      <c r="AU7" s="59">
        <f>IFERROR(__xludf.DUMMYFUNCTION("IMPORTRANGE(""1WowgCGTCOMmqanUXVQIbYWHbXi0cuGFxvrPe3CdSDpA"",""2026-27!W3"")"),0.0)</f>
        <v>0</v>
      </c>
      <c r="AV7" s="62" t="str">
        <f t="shared" ref="AV7:AV15" si="22">IFERROR((AW7/AR7),"")</f>
        <v/>
      </c>
      <c r="AW7" s="59">
        <f>IFERROR(__xludf.DUMMYFUNCTION("IMPORTRANGE(""1WowgCGTCOMmqanUXVQIbYWHbXi0cuGFxvrPe3CdSDpA"",""2026-27!X4"")"),0.0)</f>
        <v>0</v>
      </c>
      <c r="AX7" s="59">
        <f>IFERROR(__xludf.DUMMYFUNCTION("IMPORTRANGE(""1WowgCGTCOMmqanUXVQIbYWHbXi0cuGFxvrPe3CdSDpA"",""2026-27!X3"")"),0.0)</f>
        <v>0</v>
      </c>
      <c r="AY7" s="59">
        <f>IFERROR(__xludf.DUMMYFUNCTION("IMPORTRANGE(""1WowgCGTCOMmqanUXVQIbYWHbXi0cuGFxvrPe3CdSDpA"",""2026-27!Y4"")"),0.0)</f>
        <v>0</v>
      </c>
      <c r="AZ7" s="59">
        <f>IFERROR(__xludf.DUMMYFUNCTION("IMPORTRANGE(""1WowgCGTCOMmqanUXVQIbYWHbXi0cuGFxvrPe3CdSDpA"",""2026-27!Y3"")"),0.0)</f>
        <v>0</v>
      </c>
      <c r="BA7" s="59">
        <f>IFERROR(__xludf.DUMMYFUNCTION("IMPORTRANGE(""1WowgCGTCOMmqanUXVQIbYWHbXi0cuGFxvrPe3CdSDpA"",""2026-27!Z4"")"),0.0)</f>
        <v>0</v>
      </c>
      <c r="BB7" s="59">
        <f>IFERROR(__xludf.DUMMYFUNCTION("IMPORTRANGE(""1WowgCGTCOMmqanUXVQIbYWHbXi0cuGFxvrPe3CdSDpA"",""2026-27!Z3"")"),0.0)</f>
        <v>0</v>
      </c>
      <c r="BC7" s="63" t="str">
        <f t="shared" ref="BC7:BC15" si="23">IFERROR((BD7/AY7),"")</f>
        <v/>
      </c>
      <c r="BD7" s="59">
        <f>IFERROR(__xludf.DUMMYFUNCTION("IMPORTRANGE(""1WowgCGTCOMmqanUXVQIbYWHbXi0cuGFxvrPe3CdSDpA"",""2026-27!AA4"")"),0.0)</f>
        <v>0</v>
      </c>
      <c r="BE7" s="59">
        <f>IFERROR(__xludf.DUMMYFUNCTION("IMPORTRANGE(""1WowgCGTCOMmqanUXVQIbYWHbXi0cuGFxvrPe3CdSDpA"",""2026-27!AA3"")"),0.0)</f>
        <v>0</v>
      </c>
      <c r="BF7" s="59">
        <f>IFERROR(__xludf.DUMMYFUNCTION("IMPORTRANGE(""1WowgCGTCOMmqanUXVQIbYWHbXi0cuGFxvrPe3CdSDpA"",""2026-27!AB4"")"),0.0)</f>
        <v>0</v>
      </c>
      <c r="BG7" s="59">
        <f>IFERROR(__xludf.DUMMYFUNCTION("IMPORTRANGE(""1WowgCGTCOMmqanUXVQIbYWHbXi0cuGFxvrPe3CdSDpA"",""2026-27!AB3"")"),0.0)</f>
        <v>0</v>
      </c>
      <c r="BH7" s="59">
        <f>IFERROR(__xludf.DUMMYFUNCTION("IMPORTRANGE(""1WowgCGTCOMmqanUXVQIbYWHbXi0cuGFxvrPe3CdSDpA"",""2026-27!AC4"")"),0.0)</f>
        <v>0</v>
      </c>
      <c r="BI7" s="59">
        <f>IFERROR(__xludf.DUMMYFUNCTION("IMPORTRANGE(""1WowgCGTCOMmqanUXVQIbYWHbXi0cuGFxvrPe3CdSDpA"",""2026-27!AC3"")"),0.0)</f>
        <v>0</v>
      </c>
      <c r="BJ7" s="63" t="str">
        <f t="shared" ref="BJ7:BJ15" si="24">IFERROR((BK7/BF7),"")</f>
        <v/>
      </c>
      <c r="BK7" s="59">
        <f>IFERROR(__xludf.DUMMYFUNCTION("IMPORTRANGE(""1WowgCGTCOMmqanUXVQIbYWHbXi0cuGFxvrPe3CdSDpA"",""2026-27!AD4"")"),0.0)</f>
        <v>0</v>
      </c>
      <c r="BL7" s="59">
        <f>IFERROR(__xludf.DUMMYFUNCTION("IMPORTRANGE(""1WowgCGTCOMmqanUXVQIbYWHbXi0cuGFxvrPe3CdSDpA"",""2026-27!AD3"")"),0.0)</f>
        <v>0</v>
      </c>
      <c r="BM7" s="59">
        <f>IFERROR(__xludf.DUMMYFUNCTION("IMPORTRANGE(""1WowgCGTCOMmqanUXVQIbYWHbXi0cuGFxvrPe3CdSDpA"",""2026-27!AE4"")"),0.0)</f>
        <v>0</v>
      </c>
      <c r="BN7" s="59">
        <f>IFERROR(__xludf.DUMMYFUNCTION("IMPORTRANGE(""1WowgCGTCOMmqanUXVQIbYWHbXi0cuGFxvrPe3CdSDpA"",""2026-27!AE3"")"),0.0)</f>
        <v>0</v>
      </c>
      <c r="BO7" s="59">
        <f>IFERROR(__xludf.DUMMYFUNCTION("IMPORTRANGE(""1WowgCGTCOMmqanUXVQIbYWHbXi0cuGFxvrPe3CdSDpA"",""2026-27!AF4"")"),0.0)</f>
        <v>0</v>
      </c>
      <c r="BP7" s="59">
        <f>IFERROR(__xludf.DUMMYFUNCTION("IMPORTRANGE(""1WowgCGTCOMmqanUXVQIbYWHbXi0cuGFxvrPe3CdSDpA"",""2026-27!AF3"")"),0.0)</f>
        <v>0</v>
      </c>
      <c r="BQ7" s="63" t="str">
        <f t="shared" ref="BQ7:BQ15" si="25">IFERROR((BR7/BM7),"")</f>
        <v/>
      </c>
      <c r="BR7" s="59">
        <f>IFERROR(__xludf.DUMMYFUNCTION("IMPORTRANGE(""1WowgCGTCOMmqanUXVQIbYWHbXi0cuGFxvrPe3CdSDpA"",""2026-27!AG4"")"),0.0)</f>
        <v>0</v>
      </c>
      <c r="BS7" s="59">
        <f>IFERROR(__xludf.DUMMYFUNCTION("IMPORTRANGE(""1WowgCGTCOMmqanUXVQIbYWHbXi0cuGFxvrPe3CdSDpA"",""2026-27!AG3"")"),0.0)</f>
        <v>0</v>
      </c>
      <c r="BT7" s="59">
        <f>IFERROR(__xludf.DUMMYFUNCTION("IMPORTRANGE(""1WowgCGTCOMmqanUXVQIbYWHbXi0cuGFxvrPe3CdSDpA"",""2026-27!AH4"")"),0.0)</f>
        <v>0</v>
      </c>
      <c r="BU7" s="59">
        <f>IFERROR(__xludf.DUMMYFUNCTION("IMPORTRANGE(""1WowgCGTCOMmqanUXVQIbYWHbXi0cuGFxvrPe3CdSDpA"",""2026-27!AH3"")"),0.0)</f>
        <v>0</v>
      </c>
      <c r="BV7" s="59">
        <f>IFERROR(__xludf.DUMMYFUNCTION("IMPORTRANGE(""1WowgCGTCOMmqanUXVQIbYWHbXi0cuGFxvrPe3CdSDpA"",""2026-27!AI4"")"),0.0)</f>
        <v>0</v>
      </c>
      <c r="BW7" s="59">
        <f>IFERROR(__xludf.DUMMYFUNCTION("IMPORTRANGE(""1WowgCGTCOMmqanUXVQIbYWHbXi0cuGFxvrPe3CdSDpA"",""2026-27!AI3"")"),0.0)</f>
        <v>0</v>
      </c>
      <c r="BX7" s="63" t="str">
        <f t="shared" ref="BX7:BX15" si="26">IFERROR((BY7/BT7),"")</f>
        <v/>
      </c>
      <c r="BY7" s="59">
        <f>IFERROR(__xludf.DUMMYFUNCTION("IMPORTRANGE(""1WowgCGTCOMmqanUXVQIbYWHbXi0cuGFxvrPe3CdSDpA"",""2026-27!AJ4"")"),0.0)</f>
        <v>0</v>
      </c>
      <c r="BZ7" s="59">
        <f>IFERROR(__xludf.DUMMYFUNCTION("IMPORTRANGE(""1WowgCGTCOMmqanUXVQIbYWHbXi0cuGFxvrPe3CdSDpA"",""2026-27!AJ3"")"),0.0)</f>
        <v>0</v>
      </c>
      <c r="CA7" s="59">
        <f>IFERROR(__xludf.DUMMYFUNCTION("IMPORTRANGE(""1WowgCGTCOMmqanUXVQIbYWHbXi0cuGFxvrPe3CdSDpA"",""2026-27!AK4"")"),0.0)</f>
        <v>0</v>
      </c>
      <c r="CB7" s="59">
        <f>IFERROR(__xludf.DUMMYFUNCTION("IMPORTRANGE(""1WowgCGTCOMmqanUXVQIbYWHbXi0cuGFxvrPe3CdSDpA"",""2026-27!AK3"")"),0.0)</f>
        <v>0</v>
      </c>
      <c r="CC7" s="59">
        <f>IFERROR(__xludf.DUMMYFUNCTION("IMPORTRANGE(""1WowgCGTCOMmqanUXVQIbYWHbXi0cuGFxvrPe3CdSDpA"",""2026-27!AL4"")"),0.0)</f>
        <v>0</v>
      </c>
      <c r="CD7" s="59">
        <f>IFERROR(__xludf.DUMMYFUNCTION("IMPORTRANGE(""1WowgCGTCOMmqanUXVQIbYWHbXi0cuGFxvrPe3CdSDpA"",""2026-27!AL3"")"),0.0)</f>
        <v>0</v>
      </c>
      <c r="CE7" s="63" t="str">
        <f t="shared" ref="CE7:CE15" si="27">IFERROR((CF7/CA7),"")</f>
        <v/>
      </c>
      <c r="CF7" s="59">
        <f>IFERROR(__xludf.DUMMYFUNCTION("IMPORTRANGE(""1WowgCGTCOMmqanUXVQIbYWHbXi0cuGFxvrPe3CdSDpA"",""2026-27!AM4"")"),0.0)</f>
        <v>0</v>
      </c>
      <c r="CG7" s="59">
        <f>IFERROR(__xludf.DUMMYFUNCTION("IMPORTRANGE(""1WowgCGTCOMmqanUXVQIbYWHbXi0cuGFxvrPe3CdSDpA"",""2026-27!AM3"")"),0.0)</f>
        <v>0</v>
      </c>
      <c r="CH7" s="59">
        <f>IFERROR(__xludf.DUMMYFUNCTION("IMPORTRANGE(""1WowgCGTCOMmqanUXVQIbYWHbXi0cuGFxvrPe3CdSDpA"",""2026-27!AN4"")"),0.0)</f>
        <v>0</v>
      </c>
      <c r="CI7" s="59">
        <f>IFERROR(__xludf.DUMMYFUNCTION("IMPORTRANGE(""1WowgCGTCOMmqanUXVQIbYWHbXi0cuGFxvrPe3CdSDpA"",""2026-27!AN3"")"),0.0)</f>
        <v>0</v>
      </c>
      <c r="CJ7" s="59">
        <f>IFERROR(__xludf.DUMMYFUNCTION("IMPORTRANGE(""1WowgCGTCOMmqanUXVQIbYWHbXi0cuGFxvrPe3CdSDpA"",""2026-27!AO4"")"),0.0)</f>
        <v>0</v>
      </c>
      <c r="CK7" s="59">
        <f>IFERROR(__xludf.DUMMYFUNCTION("IMPORTRANGE(""1WowgCGTCOMmqanUXVQIbYWHbXi0cuGFxvrPe3CdSDpA"",""2026-27!AO3"")"),0.0)</f>
        <v>0</v>
      </c>
      <c r="CL7" s="63" t="str">
        <f t="shared" ref="CL7:CL15" si="28">IFERROR((CM7/CH7),"")</f>
        <v/>
      </c>
      <c r="CM7" s="59">
        <f>IFERROR(__xludf.DUMMYFUNCTION("IMPORTRANGE(""1WowgCGTCOMmqanUXVQIbYWHbXi0cuGFxvrPe3CdSDpA"",""2026-27!AP4"")"),0.0)</f>
        <v>0</v>
      </c>
      <c r="CN7" s="59">
        <f>IFERROR(__xludf.DUMMYFUNCTION("IMPORTRANGE(""1WowgCGTCOMmqanUXVQIbYWHbXi0cuGFxvrPe3CdSDpA"",""2026-27!AP3"")"),0.0)</f>
        <v>0</v>
      </c>
      <c r="CO7" s="59">
        <f>IFERROR(__xludf.DUMMYFUNCTION("IMPORTRANGE(""1WowgCGTCOMmqanUXVQIbYWHbXi0cuGFxvrPe3CdSDpA"",""2026-27!AQ4"")"),0.0)</f>
        <v>0</v>
      </c>
      <c r="CP7" s="59">
        <f>IFERROR(__xludf.DUMMYFUNCTION("IMPORTRANGE(""1WowgCGTCOMmqanUXVQIbYWHbXi0cuGFxvrPe3CdSDpA"",""2026-27!AQ3"")"),0.0)</f>
        <v>0</v>
      </c>
      <c r="CQ7" s="59">
        <f>IFERROR(__xludf.DUMMYFUNCTION("IMPORTRANGE(""1WowgCGTCOMmqanUXVQIbYWHbXi0cuGFxvrPe3CdSDpA"",""2026-27!AR4"")"),0.0)</f>
        <v>0</v>
      </c>
      <c r="CR7" s="59">
        <f>IFERROR(__xludf.DUMMYFUNCTION("IMPORTRANGE(""1WowgCGTCOMmqanUXVQIbYWHbXi0cuGFxvrPe3CdSDpA"",""2026-27!AR3"")"),0.0)</f>
        <v>0</v>
      </c>
      <c r="CS7" s="63" t="str">
        <f t="shared" ref="CS7:CS15" si="29">IFERROR((CT7/CO7),"")</f>
        <v/>
      </c>
      <c r="CT7" s="59">
        <f>IFERROR(__xludf.DUMMYFUNCTION("IMPORTRANGE(""1WowgCGTCOMmqanUXVQIbYWHbXi0cuGFxvrPe3CdSDpA"",""2026-27!AS4"")"),0.0)</f>
        <v>0</v>
      </c>
      <c r="CU7" s="59">
        <f>IFERROR(__xludf.DUMMYFUNCTION("IMPORTRANGE(""1WowgCGTCOMmqanUXVQIbYWHbXi0cuGFxvrPe3CdSDpA"",""2026-27!AS3"")"),0.0)</f>
        <v>0</v>
      </c>
      <c r="CV7" s="64"/>
    </row>
    <row r="8">
      <c r="A8" s="1" t="s">
        <v>23</v>
      </c>
      <c r="B8" s="41"/>
      <c r="C8" s="65" t="s">
        <v>26</v>
      </c>
      <c r="D8" s="53" t="s">
        <v>27</v>
      </c>
      <c r="E8" s="54">
        <v>9.8102683E9</v>
      </c>
      <c r="F8" s="55">
        <v>44994.0</v>
      </c>
      <c r="G8" s="66"/>
      <c r="H8" s="66"/>
      <c r="I8" s="57">
        <v>46390.0</v>
      </c>
      <c r="J8" s="58">
        <v>1800000.0</v>
      </c>
      <c r="K8" s="59">
        <f>IFERROR(__xludf.DUMMYFUNCTION("IMPORTRANGE(""1UEZK2L9OACV3t606hu8vkTn-5ekPDyqCYSBS2X6A5Jc"",""2026-27!A3"")"),73.0)</f>
        <v>73</v>
      </c>
      <c r="L8" s="59">
        <f>IFERROR(__xludf.DUMMYFUNCTION("IMPORTRANGE(""1UEZK2L9OACV3t606hu8vkTn-5ekPDyqCYSBS2X6A5Jc"",""2026-27!G4"")"),1.8E7)</f>
        <v>18000000</v>
      </c>
      <c r="M8" s="59">
        <f t="shared" si="15"/>
        <v>2621109.07</v>
      </c>
      <c r="N8" s="60">
        <f t="shared" si="16"/>
        <v>0.07920927778</v>
      </c>
      <c r="O8" s="61">
        <f t="shared" si="17"/>
        <v>1425767</v>
      </c>
      <c r="P8" s="59">
        <f>IFERROR(__xludf.DUMMYFUNCTION("IMPORTRANGE(""1UEZK2L9OACV3t606hu8vkTn-5ekPDyqCYSBS2X6A5Jc"",""2026-27!J4"")"),1673000.0)</f>
        <v>1673000</v>
      </c>
      <c r="Q8" s="59">
        <f>IFERROR(__xludf.DUMMYFUNCTION("IMPORTRANGE(""1UEZK2L9OACV3t606hu8vkTn-5ekPDyqCYSBS2X6A5Jc"",""2026-27!J3"")"),66.0)</f>
        <v>66</v>
      </c>
      <c r="R8" s="59">
        <f>IFERROR(__xludf.DUMMYFUNCTION("IMPORTRANGE(""1UEZK2L9OACV3t606hu8vkTn-5ekPDyqCYSBS2X6A5Jc"",""2026-27!K4"")"),415010.95)</f>
        <v>415010.95</v>
      </c>
      <c r="S8" s="59">
        <f>IFERROR(__xludf.DUMMYFUNCTION("IMPORTRANGE(""1UEZK2L9OACV3t606hu8vkTn-5ekPDyqCYSBS2X6A5Jc"",""2026-27!K3"")"),20.0)</f>
        <v>20</v>
      </c>
      <c r="T8" s="62">
        <f t="shared" si="18"/>
        <v>0.2447776449</v>
      </c>
      <c r="U8" s="59">
        <f>IFERROR(__xludf.DUMMYFUNCTION("IMPORTRANGE(""1UEZK2L9OACV3t606hu8vkTn-5ekPDyqCYSBS2X6A5Jc"",""2026-27!L4"")"),409513.0)</f>
        <v>409513</v>
      </c>
      <c r="V8" s="59">
        <f>IFERROR(__xludf.DUMMYFUNCTION("IMPORTRANGE(""1UEZK2L9OACV3t606hu8vkTn-5ekPDyqCYSBS2X6A5Jc"",""2026-27!L3"")"),20.0)</f>
        <v>20</v>
      </c>
      <c r="W8" s="59">
        <f>IFERROR(__xludf.DUMMYFUNCTION("IMPORTRANGE(""1UEZK2L9OACV3t606hu8vkTn-5ekPDyqCYSBS2X6A5Jc"",""2026-27!m4"")"),1673000.0)</f>
        <v>1673000</v>
      </c>
      <c r="X8" s="59">
        <f>IFERROR(__xludf.DUMMYFUNCTION("IMPORTRANGE(""1UEZK2L9OACV3t606hu8vkTn-5ekPDyqCYSBS2X6A5Jc"",""2026-27!m3"")"),66.0)</f>
        <v>66</v>
      </c>
      <c r="Y8" s="59">
        <f>IFERROR(__xludf.DUMMYFUNCTION("IMPORTRANGE(""1UEZK2L9OACV3t606hu8vkTn-5ekPDyqCYSBS2X6A5Jc"",""2026-27!N4"")"),945801.1)</f>
        <v>945801.1</v>
      </c>
      <c r="Z8" s="59">
        <f>IFERROR(__xludf.DUMMYFUNCTION("IMPORTRANGE(""1UEZK2L9OACV3t606hu8vkTn-5ekPDyqCYSBS2X6A5Jc"",""2026-27!N3"")"),20.0)</f>
        <v>20</v>
      </c>
      <c r="AA8" s="62">
        <f t="shared" si="19"/>
        <v>0.6074441124</v>
      </c>
      <c r="AB8" s="59">
        <f>IFERROR(__xludf.DUMMYFUNCTION("IMPORTRANGE(""1UEZK2L9OACV3t606hu8vkTn-5ekPDyqCYSBS2X6A5Jc"",""2026-27!O4"")"),1016254.0)</f>
        <v>1016254</v>
      </c>
      <c r="AC8" s="59">
        <f>IFERROR(__xludf.DUMMYFUNCTION("IMPORTRANGE(""1UEZK2L9OACV3t606hu8vkTn-5ekPDyqCYSBS2X6A5Jc"",""2026-27!O3"")"),20.0)</f>
        <v>20</v>
      </c>
      <c r="AD8" s="59">
        <f>IFERROR(__xludf.DUMMYFUNCTION("IMPORTRANGE(""1UEZK2L9OACV3t606hu8vkTn-5ekPDyqCYSBS2X6A5Jc"",""2026-27!P4"")"),1673000.0)</f>
        <v>1673000</v>
      </c>
      <c r="AE8" s="59">
        <f>IFERROR(__xludf.DUMMYFUNCTION("IMPORTRANGE(""1UEZK2L9OACV3t606hu8vkTn-5ekPDyqCYSBS2X6A5Jc"",""2026-27!P3"")"),66.0)</f>
        <v>66</v>
      </c>
      <c r="AF8" s="59">
        <f>IFERROR(__xludf.DUMMYFUNCTION("IMPORTRANGE(""1UEZK2L9OACV3t606hu8vkTn-5ekPDyqCYSBS2X6A5Jc"",""2026-27!Q4"")"),1260297.02)</f>
        <v>1260297.02</v>
      </c>
      <c r="AG8" s="59">
        <f>IFERROR(__xludf.DUMMYFUNCTION("IMPORTRANGE(""1UEZK2L9OACV3t606hu8vkTn-5ekPDyqCYSBS2X6A5Jc"",""2026-27!Q3"")"),21.0)</f>
        <v>21</v>
      </c>
      <c r="AH8" s="62">
        <f t="shared" si="20"/>
        <v>0</v>
      </c>
      <c r="AI8" s="59">
        <f>IFERROR(__xludf.DUMMYFUNCTION("IMPORTRANGE(""1UEZK2L9OACV3t606hu8vkTn-5ekPDyqCYSBS2X6A5Jc"",""2026-27!R4"")"),0.0)</f>
        <v>0</v>
      </c>
      <c r="AJ8" s="59">
        <f>IFERROR(__xludf.DUMMYFUNCTION("IMPORTRANGE(""1UEZK2L9OACV3t606hu8vkTn-5ekPDyqCYSBS2X6A5Jc"",""2026-27!R3"")"),0.0)</f>
        <v>0</v>
      </c>
      <c r="AK8" s="59">
        <f>IFERROR(__xludf.DUMMYFUNCTION("IMPORTRANGE(""1UEZK2L9OACV3t606hu8vkTn-5ekPDyqCYSBS2X6A5Jc"",""2026-27!S4"")"),0.0)</f>
        <v>0</v>
      </c>
      <c r="AL8" s="59">
        <f>IFERROR(__xludf.DUMMYFUNCTION("IMPORTRANGE(""1UEZK2L9OACV3t606hu8vkTn-5ekPDyqCYSBS2X6A5Jc"",""2026-27!S3"")"),0.0)</f>
        <v>0</v>
      </c>
      <c r="AM8" s="59">
        <f>IFERROR(__xludf.DUMMYFUNCTION("IMPORTRANGE(""1UEZK2L9OACV3t606hu8vkTn-5ekPDyqCYSBS2X6A5Jc"",""2026-27!T4"")"),0.0)</f>
        <v>0</v>
      </c>
      <c r="AN8" s="59">
        <f>IFERROR(__xludf.DUMMYFUNCTION("IMPORTRANGE(""1UEZK2L9OACV3t606hu8vkTn-5ekPDyqCYSBS2X6A5Jc"",""2026-27!T3"")"),0.0)</f>
        <v>0</v>
      </c>
      <c r="AO8" s="62" t="str">
        <f t="shared" si="21"/>
        <v/>
      </c>
      <c r="AP8" s="59">
        <f>IFERROR(__xludf.DUMMYFUNCTION("IMPORTRANGE(""1UEZK2L9OACV3t606hu8vkTn-5ekPDyqCYSBS2X6A5Jc"",""2026-27!U4"")"),0.0)</f>
        <v>0</v>
      </c>
      <c r="AQ8" s="59">
        <f>IFERROR(__xludf.DUMMYFUNCTION("IMPORTRANGE(""1UEZK2L9OACV3t606hu8vkTn-5ekPDyqCYSBS2X6A5Jc"",""2026-27!U3"")"),0.0)</f>
        <v>0</v>
      </c>
      <c r="AR8" s="59">
        <f>IFERROR(__xludf.DUMMYFUNCTION("IMPORTRANGE(""1UEZK2L9OACV3t606hu8vkTn-5ekPDyqCYSBS2X6A5Jc"",""2026-27!V4"")"),0.0)</f>
        <v>0</v>
      </c>
      <c r="AS8" s="59">
        <f>IFERROR(__xludf.DUMMYFUNCTION("IMPORTRANGE(""1UEZK2L9OACV3t606hu8vkTn-5ekPDyqCYSBS2X6A5Jc"",""2026-27!V3"")"),0.0)</f>
        <v>0</v>
      </c>
      <c r="AT8" s="59">
        <f>IFERROR(__xludf.DUMMYFUNCTION("IMPORTRANGE(""1UEZK2L9OACV3t606hu8vkTn-5ekPDyqCYSBS2X6A5Jc"",""2026-27!W4"")"),0.0)</f>
        <v>0</v>
      </c>
      <c r="AU8" s="59">
        <f>IFERROR(__xludf.DUMMYFUNCTION("IMPORTRANGE(""1UEZK2L9OACV3t606hu8vkTn-5ekPDyqCYSBS2X6A5Jc"",""2026-27!W3"")"),0.0)</f>
        <v>0</v>
      </c>
      <c r="AV8" s="62" t="str">
        <f t="shared" si="22"/>
        <v/>
      </c>
      <c r="AW8" s="59">
        <f>IFERROR(__xludf.DUMMYFUNCTION("IMPORTRANGE(""1UEZK2L9OACV3t606hu8vkTn-5ekPDyqCYSBS2X6A5Jc"",""2026-27!X4"")"),0.0)</f>
        <v>0</v>
      </c>
      <c r="AX8" s="59">
        <f>IFERROR(__xludf.DUMMYFUNCTION("IMPORTRANGE(""1UEZK2L9OACV3t606hu8vkTn-5ekPDyqCYSBS2X6A5Jc"",""2026-27!X3"")"),0.0)</f>
        <v>0</v>
      </c>
      <c r="AY8" s="59">
        <f>IFERROR(__xludf.DUMMYFUNCTION("IMPORTRANGE(""1UEZK2L9OACV3t606hu8vkTn-5ekPDyqCYSBS2X6A5Jc"",""2026-27!Y4"")"),0.0)</f>
        <v>0</v>
      </c>
      <c r="AZ8" s="59">
        <f>IFERROR(__xludf.DUMMYFUNCTION("IMPORTRANGE(""1UEZK2L9OACV3t606hu8vkTn-5ekPDyqCYSBS2X6A5Jc"",""2026-27!Y3"")"),0.0)</f>
        <v>0</v>
      </c>
      <c r="BA8" s="59">
        <f>IFERROR(__xludf.DUMMYFUNCTION("IMPORTRANGE(""1UEZK2L9OACV3t606hu8vkTn-5ekPDyqCYSBS2X6A5Jc"",""2026-27!Z4"")"),0.0)</f>
        <v>0</v>
      </c>
      <c r="BB8" s="59">
        <f>IFERROR(__xludf.DUMMYFUNCTION("IMPORTRANGE(""1UEZK2L9OACV3t606hu8vkTn-5ekPDyqCYSBS2X6A5Jc"",""2026-27!Z3"")"),0.0)</f>
        <v>0</v>
      </c>
      <c r="BC8" s="63" t="str">
        <f t="shared" si="23"/>
        <v/>
      </c>
      <c r="BD8" s="59">
        <f>IFERROR(__xludf.DUMMYFUNCTION("IMPORTRANGE(""1UEZK2L9OACV3t606hu8vkTn-5ekPDyqCYSBS2X6A5Jc"",""2026-27!AA4"")"),0.0)</f>
        <v>0</v>
      </c>
      <c r="BE8" s="59">
        <f>IFERROR(__xludf.DUMMYFUNCTION("IMPORTRANGE(""1UEZK2L9OACV3t606hu8vkTn-5ekPDyqCYSBS2X6A5Jc"",""2026-27!AA3"")"),0.0)</f>
        <v>0</v>
      </c>
      <c r="BF8" s="59">
        <f>IFERROR(__xludf.DUMMYFUNCTION("IMPORTRANGE(""1UEZK2L9OACV3t606hu8vkTn-5ekPDyqCYSBS2X6A5Jc"",""2026-27!AB4"")"),0.0)</f>
        <v>0</v>
      </c>
      <c r="BG8" s="59">
        <f>IFERROR(__xludf.DUMMYFUNCTION("IMPORTRANGE(""1UEZK2L9OACV3t606hu8vkTn-5ekPDyqCYSBS2X6A5Jc"",""2026-27!AB3"")"),0.0)</f>
        <v>0</v>
      </c>
      <c r="BH8" s="59">
        <f>IFERROR(__xludf.DUMMYFUNCTION("IMPORTRANGE(""1UEZK2L9OACV3t606hu8vkTn-5ekPDyqCYSBS2X6A5Jc"",""2026-27!AC4"")"),0.0)</f>
        <v>0</v>
      </c>
      <c r="BI8" s="59">
        <f>IFERROR(__xludf.DUMMYFUNCTION("IMPORTRANGE(""1UEZK2L9OACV3t606hu8vkTn-5ekPDyqCYSBS2X6A5Jc"",""2026-27!AC3"")"),0.0)</f>
        <v>0</v>
      </c>
      <c r="BJ8" s="63" t="str">
        <f t="shared" si="24"/>
        <v/>
      </c>
      <c r="BK8" s="59">
        <f>IFERROR(__xludf.DUMMYFUNCTION("IMPORTRANGE(""1UEZK2L9OACV3t606hu8vkTn-5ekPDyqCYSBS2X6A5Jc"",""2026-27!AD4"")"),0.0)</f>
        <v>0</v>
      </c>
      <c r="BL8" s="59">
        <f>IFERROR(__xludf.DUMMYFUNCTION("IMPORTRANGE(""1UEZK2L9OACV3t606hu8vkTn-5ekPDyqCYSBS2X6A5Jc"",""2026-27!AD3"")"),0.0)</f>
        <v>0</v>
      </c>
      <c r="BM8" s="59">
        <f>IFERROR(__xludf.DUMMYFUNCTION("IMPORTRANGE(""1UEZK2L9OACV3t606hu8vkTn-5ekPDyqCYSBS2X6A5Jc"",""2026-27!AE4"")"),0.0)</f>
        <v>0</v>
      </c>
      <c r="BN8" s="59">
        <f>IFERROR(__xludf.DUMMYFUNCTION("IMPORTRANGE(""1UEZK2L9OACV3t606hu8vkTn-5ekPDyqCYSBS2X6A5Jc"",""2026-27!AE3"")"),0.0)</f>
        <v>0</v>
      </c>
      <c r="BO8" s="59">
        <f>IFERROR(__xludf.DUMMYFUNCTION("IMPORTRANGE(""1UEZK2L9OACV3t606hu8vkTn-5ekPDyqCYSBS2X6A5Jc"",""2026-27!AF4"")"),0.0)</f>
        <v>0</v>
      </c>
      <c r="BP8" s="59">
        <f>IFERROR(__xludf.DUMMYFUNCTION("IMPORTRANGE(""1UEZK2L9OACV3t606hu8vkTn-5ekPDyqCYSBS2X6A5Jc"",""2026-27!AF3"")"),0.0)</f>
        <v>0</v>
      </c>
      <c r="BQ8" s="63" t="str">
        <f t="shared" si="25"/>
        <v/>
      </c>
      <c r="BR8" s="59">
        <f>IFERROR(__xludf.DUMMYFUNCTION("IMPORTRANGE(""1UEZK2L9OACV3t606hu8vkTn-5ekPDyqCYSBS2X6A5Jc"",""2026-27!AG4"")"),0.0)</f>
        <v>0</v>
      </c>
      <c r="BS8" s="59">
        <f>IFERROR(__xludf.DUMMYFUNCTION("IMPORTRANGE(""1UEZK2L9OACV3t606hu8vkTn-5ekPDyqCYSBS2X6A5Jc"",""2026-27!AG3"")"),0.0)</f>
        <v>0</v>
      </c>
      <c r="BT8" s="59">
        <f>IFERROR(__xludf.DUMMYFUNCTION("IMPORTRANGE(""1UEZK2L9OACV3t606hu8vkTn-5ekPDyqCYSBS2X6A5Jc"",""2026-27!AH4"")"),0.0)</f>
        <v>0</v>
      </c>
      <c r="BU8" s="59">
        <f>IFERROR(__xludf.DUMMYFUNCTION("IMPORTRANGE(""1UEZK2L9OACV3t606hu8vkTn-5ekPDyqCYSBS2X6A5Jc"",""2026-27!AH3"")"),0.0)</f>
        <v>0</v>
      </c>
      <c r="BV8" s="59">
        <f>IFERROR(__xludf.DUMMYFUNCTION("IMPORTRANGE(""1UEZK2L9OACV3t606hu8vkTn-5ekPDyqCYSBS2X6A5Jc"",""2026-27!AI4"")"),0.0)</f>
        <v>0</v>
      </c>
      <c r="BW8" s="59">
        <f>IFERROR(__xludf.DUMMYFUNCTION("IMPORTRANGE(""1UEZK2L9OACV3t606hu8vkTn-5ekPDyqCYSBS2X6A5Jc"",""2026-27!AI3"")"),0.0)</f>
        <v>0</v>
      </c>
      <c r="BX8" s="63" t="str">
        <f t="shared" si="26"/>
        <v/>
      </c>
      <c r="BY8" s="59">
        <f>IFERROR(__xludf.DUMMYFUNCTION("IMPORTRANGE(""1UEZK2L9OACV3t606hu8vkTn-5ekPDyqCYSBS2X6A5Jc"",""2026-27!AJ4"")"),0.0)</f>
        <v>0</v>
      </c>
      <c r="BZ8" s="59">
        <f>IFERROR(__xludf.DUMMYFUNCTION("IMPORTRANGE(""1UEZK2L9OACV3t606hu8vkTn-5ekPDyqCYSBS2X6A5Jc"",""2026-27!AJ3"")"),0.0)</f>
        <v>0</v>
      </c>
      <c r="CA8" s="59">
        <f>IFERROR(__xludf.DUMMYFUNCTION("IMPORTRANGE(""1UEZK2L9OACV3t606hu8vkTn-5ekPDyqCYSBS2X6A5Jc"",""2026-27!AK4"")"),0.0)</f>
        <v>0</v>
      </c>
      <c r="CB8" s="59">
        <f>IFERROR(__xludf.DUMMYFUNCTION("IMPORTRANGE(""1UEZK2L9OACV3t606hu8vkTn-5ekPDyqCYSBS2X6A5Jc"",""2026-27!AK3"")"),0.0)</f>
        <v>0</v>
      </c>
      <c r="CC8" s="59">
        <f>IFERROR(__xludf.DUMMYFUNCTION("IMPORTRANGE(""1UEZK2L9OACV3t606hu8vkTn-5ekPDyqCYSBS2X6A5Jc"",""2026-27!AL4"")"),0.0)</f>
        <v>0</v>
      </c>
      <c r="CD8" s="59">
        <f>IFERROR(__xludf.DUMMYFUNCTION("IMPORTRANGE(""1UEZK2L9OACV3t606hu8vkTn-5ekPDyqCYSBS2X6A5Jc"",""2026-27!AL3"")"),0.0)</f>
        <v>0</v>
      </c>
      <c r="CE8" s="63" t="str">
        <f t="shared" si="27"/>
        <v/>
      </c>
      <c r="CF8" s="59">
        <f>IFERROR(__xludf.DUMMYFUNCTION("IMPORTRANGE(""1UEZK2L9OACV3t606hu8vkTn-5ekPDyqCYSBS2X6A5Jc"",""2026-27!AM4"")"),0.0)</f>
        <v>0</v>
      </c>
      <c r="CG8" s="59">
        <f>IFERROR(__xludf.DUMMYFUNCTION("IMPORTRANGE(""1UEZK2L9OACV3t606hu8vkTn-5ekPDyqCYSBS2X6A5Jc"",""2026-27!AM3"")"),0.0)</f>
        <v>0</v>
      </c>
      <c r="CH8" s="59">
        <f>IFERROR(__xludf.DUMMYFUNCTION("IMPORTRANGE(""1UEZK2L9OACV3t606hu8vkTn-5ekPDyqCYSBS2X6A5Jc"",""2026-27!AN4"")"),0.0)</f>
        <v>0</v>
      </c>
      <c r="CI8" s="59">
        <f>IFERROR(__xludf.DUMMYFUNCTION("IMPORTRANGE(""1UEZK2L9OACV3t606hu8vkTn-5ekPDyqCYSBS2X6A5Jc"",""2026-27!AN3"")"),0.0)</f>
        <v>0</v>
      </c>
      <c r="CJ8" s="59">
        <f>IFERROR(__xludf.DUMMYFUNCTION("IMPORTRANGE(""1UEZK2L9OACV3t606hu8vkTn-5ekPDyqCYSBS2X6A5Jc"",""2026-27!AO4"")"),0.0)</f>
        <v>0</v>
      </c>
      <c r="CK8" s="59">
        <f>IFERROR(__xludf.DUMMYFUNCTION("IMPORTRANGE(""1UEZK2L9OACV3t606hu8vkTn-5ekPDyqCYSBS2X6A5Jc"",""2026-27!AO3"")"),0.0)</f>
        <v>0</v>
      </c>
      <c r="CL8" s="63" t="str">
        <f t="shared" si="28"/>
        <v/>
      </c>
      <c r="CM8" s="59">
        <f>IFERROR(__xludf.DUMMYFUNCTION("IMPORTRANGE(""1UEZK2L9OACV3t606hu8vkTn-5ekPDyqCYSBS2X6A5Jc"",""2026-27!AP4"")"),0.0)</f>
        <v>0</v>
      </c>
      <c r="CN8" s="59">
        <f>IFERROR(__xludf.DUMMYFUNCTION("IMPORTRANGE(""1UEZK2L9OACV3t606hu8vkTn-5ekPDyqCYSBS2X6A5Jc"",""2026-27!AP3"")"),0.0)</f>
        <v>0</v>
      </c>
      <c r="CO8" s="59">
        <f>IFERROR(__xludf.DUMMYFUNCTION("IMPORTRANGE(""1UEZK2L9OACV3t606hu8vkTn-5ekPDyqCYSBS2X6A5Jc"",""2026-27!AQ4"")"),0.0)</f>
        <v>0</v>
      </c>
      <c r="CP8" s="59">
        <f>IFERROR(__xludf.DUMMYFUNCTION("IMPORTRANGE(""1UEZK2L9OACV3t606hu8vkTn-5ekPDyqCYSBS2X6A5Jc"",""2026-27!AQ3"")"),0.0)</f>
        <v>0</v>
      </c>
      <c r="CQ8" s="59">
        <f>IFERROR(__xludf.DUMMYFUNCTION("IMPORTRANGE(""1UEZK2L9OACV3t606hu8vkTn-5ekPDyqCYSBS2X6A5Jc"",""2026-27!AR4"")"),0.0)</f>
        <v>0</v>
      </c>
      <c r="CR8" s="59">
        <f>IFERROR(__xludf.DUMMYFUNCTION("IMPORTRANGE(""1UEZK2L9OACV3t606hu8vkTn-5ekPDyqCYSBS2X6A5Jc"",""2026-27!AR3"")"),0.0)</f>
        <v>0</v>
      </c>
      <c r="CS8" s="63" t="str">
        <f t="shared" si="29"/>
        <v/>
      </c>
      <c r="CT8" s="59">
        <f>IFERROR(__xludf.DUMMYFUNCTION("IMPORTRANGE(""1UEZK2L9OACV3t606hu8vkTn-5ekPDyqCYSBS2X6A5Jc"",""2026-27!AS4"")"),0.0)</f>
        <v>0</v>
      </c>
      <c r="CU8" s="59">
        <f>IFERROR(__xludf.DUMMYFUNCTION("IMPORTRANGE(""1UEZK2L9OACV3t606hu8vkTn-5ekPDyqCYSBS2X6A5Jc"",""2026-27!AS3"")"),0.0)</f>
        <v>0</v>
      </c>
      <c r="CV8" s="64"/>
    </row>
    <row r="9">
      <c r="A9" s="67" t="s">
        <v>23</v>
      </c>
      <c r="B9" s="41"/>
      <c r="C9" s="68" t="s">
        <v>28</v>
      </c>
      <c r="D9" s="69" t="s">
        <v>29</v>
      </c>
      <c r="E9" s="54">
        <v>9.891552205E9</v>
      </c>
      <c r="F9" s="70">
        <v>45551.0</v>
      </c>
      <c r="G9" s="66"/>
      <c r="H9" s="66"/>
      <c r="I9" s="57">
        <v>28310.0</v>
      </c>
      <c r="J9" s="58">
        <v>1400000.0</v>
      </c>
      <c r="K9" s="59">
        <f>IFERROR(__xludf.DUMMYFUNCTION("IMPORTRANGE(""1Oujo8vUnwFLr-WkmYYfJwaGjmRsDy-q2Aq0vU4BlykA"",""2026-27!A3"")"),94.0)</f>
        <v>94</v>
      </c>
      <c r="L9" s="59">
        <f>IFERROR(__xludf.DUMMYFUNCTION("IMPORTRANGE(""1Oujo8vUnwFLr-WkmYYfJwaGjmRsDy-q2Aq0vU4BlykA"",""2026-27!G4"")"),1.565E7)</f>
        <v>15650000</v>
      </c>
      <c r="M9" s="59">
        <f t="shared" si="15"/>
        <v>2657738.96</v>
      </c>
      <c r="N9" s="60">
        <f t="shared" si="16"/>
        <v>0.1814837067</v>
      </c>
      <c r="O9" s="61">
        <f t="shared" si="17"/>
        <v>2840220.01</v>
      </c>
      <c r="P9" s="59">
        <f>IFERROR(__xludf.DUMMYFUNCTION("IMPORTRANGE(""1Oujo8vUnwFLr-WkmYYfJwaGjmRsDy-q2Aq0vU4BlykA"",""2026-27!J4"")"),1357000.0)</f>
        <v>1357000</v>
      </c>
      <c r="Q9" s="59">
        <f>IFERROR(__xludf.DUMMYFUNCTION("IMPORTRANGE(""1Oujo8vUnwFLr-WkmYYfJwaGjmRsDy-q2Aq0vU4BlykA"",""2026-27!J3"")"),92.0)</f>
        <v>92</v>
      </c>
      <c r="R9" s="59">
        <f>IFERROR(__xludf.DUMMYFUNCTION("IMPORTRANGE(""1Oujo8vUnwFLr-WkmYYfJwaGjmRsDy-q2Aq0vU4BlykA"",""2026-27!K4"")"),821049.6)</f>
        <v>821049.6</v>
      </c>
      <c r="S9" s="59">
        <f>IFERROR(__xludf.DUMMYFUNCTION("IMPORTRANGE(""1Oujo8vUnwFLr-WkmYYfJwaGjmRsDy-q2Aq0vU4BlykA"",""2026-27!K3"")"),39.0)</f>
        <v>39</v>
      </c>
      <c r="T9" s="62">
        <f t="shared" si="18"/>
        <v>0.6206404716</v>
      </c>
      <c r="U9" s="59">
        <f>IFERROR(__xludf.DUMMYFUNCTION("IMPORTRANGE(""1Oujo8vUnwFLr-WkmYYfJwaGjmRsDy-q2Aq0vU4BlykA"",""2026-27!L4"")"),842209.1200000001)</f>
        <v>842209.12</v>
      </c>
      <c r="V9" s="59">
        <f>IFERROR(__xludf.DUMMYFUNCTION("IMPORTRANGE(""1Oujo8vUnwFLr-WkmYYfJwaGjmRsDy-q2Aq0vU4BlykA"",""2026-27!L3"")"),39.0)</f>
        <v>39</v>
      </c>
      <c r="W9" s="59">
        <f>IFERROR(__xludf.DUMMYFUNCTION("IMPORTRANGE(""1Oujo8vUnwFLr-WkmYYfJwaGjmRsDy-q2Aq0vU4BlykA"",""2026-27!m4"")"),1560000.0)</f>
        <v>1560000</v>
      </c>
      <c r="X9" s="59">
        <f>IFERROR(__xludf.DUMMYFUNCTION("IMPORTRANGE(""1Oujo8vUnwFLr-WkmYYfJwaGjmRsDy-q2Aq0vU4BlykA"",""2026-27!m3"")"),92.0)</f>
        <v>92</v>
      </c>
      <c r="Y9" s="59">
        <f>IFERROR(__xludf.DUMMYFUNCTION("IMPORTRANGE(""1Oujo8vUnwFLr-WkmYYfJwaGjmRsDy-q2Aq0vU4BlykA"",""2026-27!N4"")"),782770.1200000001)</f>
        <v>782770.12</v>
      </c>
      <c r="Z9" s="59">
        <f>IFERROR(__xludf.DUMMYFUNCTION("IMPORTRANGE(""1Oujo8vUnwFLr-WkmYYfJwaGjmRsDy-q2Aq0vU4BlykA"",""2026-27!N3"")"),32.0)</f>
        <v>32</v>
      </c>
      <c r="AA9" s="62">
        <f t="shared" si="19"/>
        <v>0.6068273462</v>
      </c>
      <c r="AB9" s="59">
        <f>IFERROR(__xludf.DUMMYFUNCTION("IMPORTRANGE(""1Oujo8vUnwFLr-WkmYYfJwaGjmRsDy-q2Aq0vU4BlykA"",""2026-27!O4"")"),946650.6599999997)</f>
        <v>946650.66</v>
      </c>
      <c r="AC9" s="59">
        <f>IFERROR(__xludf.DUMMYFUNCTION("IMPORTRANGE(""1Oujo8vUnwFLr-WkmYYfJwaGjmRsDy-q2Aq0vU4BlykA"",""2026-27!O3"")"),32.0)</f>
        <v>32</v>
      </c>
      <c r="AD9" s="59">
        <f>IFERROR(__xludf.DUMMYFUNCTION("IMPORTRANGE(""1Oujo8vUnwFLr-WkmYYfJwaGjmRsDy-q2Aq0vU4BlykA"",""2026-27!P4"")"),1405000.0)</f>
        <v>1405000</v>
      </c>
      <c r="AE9" s="59">
        <f>IFERROR(__xludf.DUMMYFUNCTION("IMPORTRANGE(""1Oujo8vUnwFLr-WkmYYfJwaGjmRsDy-q2Aq0vU4BlykA"",""2026-27!P3"")"),92.0)</f>
        <v>92</v>
      </c>
      <c r="AF9" s="59">
        <f>IFERROR(__xludf.DUMMYFUNCTION("IMPORTRANGE(""1Oujo8vUnwFLr-WkmYYfJwaGjmRsDy-q2Aq0vU4BlykA"",""2026-27!Q4"")"),1053919.24)</f>
        <v>1053919.24</v>
      </c>
      <c r="AG9" s="59">
        <f>IFERROR(__xludf.DUMMYFUNCTION("IMPORTRANGE(""1Oujo8vUnwFLr-WkmYYfJwaGjmRsDy-q2Aq0vU4BlykA"",""2026-27!Q3"")"),40.0)</f>
        <v>40</v>
      </c>
      <c r="AH9" s="62">
        <f t="shared" si="20"/>
        <v>0.7482990961</v>
      </c>
      <c r="AI9" s="59">
        <f>IFERROR(__xludf.DUMMYFUNCTION("IMPORTRANGE(""1Oujo8vUnwFLr-WkmYYfJwaGjmRsDy-q2Aq0vU4BlykA"",""2026-27!R4"")"),1051360.23)</f>
        <v>1051360.23</v>
      </c>
      <c r="AJ9" s="59">
        <f>IFERROR(__xludf.DUMMYFUNCTION("IMPORTRANGE(""1Oujo8vUnwFLr-WkmYYfJwaGjmRsDy-q2Aq0vU4BlykA"",""2026-27!R3"")"),39.0)</f>
        <v>39</v>
      </c>
      <c r="AK9" s="59">
        <f>IFERROR(__xludf.DUMMYFUNCTION("IMPORTRANGE(""1Oujo8vUnwFLr-WkmYYfJwaGjmRsDy-q2Aq0vU4BlykA"",""2026-27!S4"")"),1408000.0)</f>
        <v>1408000</v>
      </c>
      <c r="AL9" s="59">
        <f>IFERROR(__xludf.DUMMYFUNCTION("IMPORTRANGE(""1Oujo8vUnwFLr-WkmYYfJwaGjmRsDy-q2Aq0vU4BlykA"",""2026-27!S3"")"),93.0)</f>
        <v>93</v>
      </c>
      <c r="AM9" s="59">
        <f>IFERROR(__xludf.DUMMYFUNCTION("IMPORTRANGE(""1Oujo8vUnwFLr-WkmYYfJwaGjmRsDy-q2Aq0vU4BlykA"",""2026-27!T4"")"),0.0)</f>
        <v>0</v>
      </c>
      <c r="AN9" s="59">
        <f>IFERROR(__xludf.DUMMYFUNCTION("IMPORTRANGE(""1Oujo8vUnwFLr-WkmYYfJwaGjmRsDy-q2Aq0vU4BlykA"",""2026-27!T3"")"),0.0)</f>
        <v>0</v>
      </c>
      <c r="AO9" s="62">
        <f t="shared" si="21"/>
        <v>0</v>
      </c>
      <c r="AP9" s="59">
        <f>IFERROR(__xludf.DUMMYFUNCTION("IMPORTRANGE(""1Oujo8vUnwFLr-WkmYYfJwaGjmRsDy-q2Aq0vU4BlykA"",""2026-27!U4"")"),0.0)</f>
        <v>0</v>
      </c>
      <c r="AQ9" s="59">
        <f>IFERROR(__xludf.DUMMYFUNCTION("IMPORTRANGE(""1Oujo8vUnwFLr-WkmYYfJwaGjmRsDy-q2Aq0vU4BlykA"",""2026-27!U3"")"),0.0)</f>
        <v>0</v>
      </c>
      <c r="AR9" s="59">
        <f>IFERROR(__xludf.DUMMYFUNCTION("IMPORTRANGE(""1Oujo8vUnwFLr-WkmYYfJwaGjmRsDy-q2Aq0vU4BlykA"",""2026-27!V4"")"),0.0)</f>
        <v>0</v>
      </c>
      <c r="AS9" s="59">
        <f>IFERROR(__xludf.DUMMYFUNCTION("IMPORTRANGE(""1Oujo8vUnwFLr-WkmYYfJwaGjmRsDy-q2Aq0vU4BlykA"",""2026-27!V3"")"),0.0)</f>
        <v>0</v>
      </c>
      <c r="AT9" s="59">
        <f>IFERROR(__xludf.DUMMYFUNCTION("IMPORTRANGE(""1Oujo8vUnwFLr-WkmYYfJwaGjmRsDy-q2Aq0vU4BlykA"",""2026-27!W4"")"),0.0)</f>
        <v>0</v>
      </c>
      <c r="AU9" s="59">
        <f>IFERROR(__xludf.DUMMYFUNCTION("IMPORTRANGE(""1Oujo8vUnwFLr-WkmYYfJwaGjmRsDy-q2Aq0vU4BlykA"",""2026-27!W3"")"),0.0)</f>
        <v>0</v>
      </c>
      <c r="AV9" s="62" t="str">
        <f t="shared" si="22"/>
        <v/>
      </c>
      <c r="AW9" s="59">
        <f>IFERROR(__xludf.DUMMYFUNCTION("IMPORTRANGE(""1Oujo8vUnwFLr-WkmYYfJwaGjmRsDy-q2Aq0vU4BlykA"",""2026-27!X4"")"),0.0)</f>
        <v>0</v>
      </c>
      <c r="AX9" s="59">
        <f>IFERROR(__xludf.DUMMYFUNCTION("IMPORTRANGE(""1Oujo8vUnwFLr-WkmYYfJwaGjmRsDy-q2Aq0vU4BlykA"",""2026-27!X3"")"),0.0)</f>
        <v>0</v>
      </c>
      <c r="AY9" s="59">
        <f>IFERROR(__xludf.DUMMYFUNCTION("IMPORTRANGE(""1Oujo8vUnwFLr-WkmYYfJwaGjmRsDy-q2Aq0vU4BlykA"",""2026-27!Y4"")"),0.0)</f>
        <v>0</v>
      </c>
      <c r="AZ9" s="59">
        <f>IFERROR(__xludf.DUMMYFUNCTION("IMPORTRANGE(""1Oujo8vUnwFLr-WkmYYfJwaGjmRsDy-q2Aq0vU4BlykA"",""2026-27!Y3"")"),0.0)</f>
        <v>0</v>
      </c>
      <c r="BA9" s="59">
        <f>IFERROR(__xludf.DUMMYFUNCTION("IMPORTRANGE(""1Oujo8vUnwFLr-WkmYYfJwaGjmRsDy-q2Aq0vU4BlykA"",""2026-27!Z4"")"),0.0)</f>
        <v>0</v>
      </c>
      <c r="BB9" s="59">
        <f>IFERROR(__xludf.DUMMYFUNCTION("IMPORTRANGE(""1Oujo8vUnwFLr-WkmYYfJwaGjmRsDy-q2Aq0vU4BlykA"",""2026-27!Z3"")"),0.0)</f>
        <v>0</v>
      </c>
      <c r="BC9" s="63" t="str">
        <f t="shared" si="23"/>
        <v/>
      </c>
      <c r="BD9" s="59">
        <f>IFERROR(__xludf.DUMMYFUNCTION("IMPORTRANGE(""1Oujo8vUnwFLr-WkmYYfJwaGjmRsDy-q2Aq0vU4BlykA"",""2026-27!AA4"")"),0.0)</f>
        <v>0</v>
      </c>
      <c r="BE9" s="59">
        <f>IFERROR(__xludf.DUMMYFUNCTION("IMPORTRANGE(""1Oujo8vUnwFLr-WkmYYfJwaGjmRsDy-q2Aq0vU4BlykA"",""2026-27!AA3"")"),0.0)</f>
        <v>0</v>
      </c>
      <c r="BF9" s="59">
        <f>IFERROR(__xludf.DUMMYFUNCTION("IMPORTRANGE(""1Oujo8vUnwFLr-WkmYYfJwaGjmRsDy-q2Aq0vU4BlykA"",""2026-27!AB4"")"),0.0)</f>
        <v>0</v>
      </c>
      <c r="BG9" s="59">
        <f>IFERROR(__xludf.DUMMYFUNCTION("IMPORTRANGE(""1Oujo8vUnwFLr-WkmYYfJwaGjmRsDy-q2Aq0vU4BlykA"",""2026-27!AB3"")"),0.0)</f>
        <v>0</v>
      </c>
      <c r="BH9" s="59">
        <f>IFERROR(__xludf.DUMMYFUNCTION("IMPORTRANGE(""1Oujo8vUnwFLr-WkmYYfJwaGjmRsDy-q2Aq0vU4BlykA"",""2026-27!AC4"")"),0.0)</f>
        <v>0</v>
      </c>
      <c r="BI9" s="59">
        <f>IFERROR(__xludf.DUMMYFUNCTION("IMPORTRANGE(""1Oujo8vUnwFLr-WkmYYfJwaGjmRsDy-q2Aq0vU4BlykA"",""2026-27!AC3"")"),0.0)</f>
        <v>0</v>
      </c>
      <c r="BJ9" s="63" t="str">
        <f t="shared" si="24"/>
        <v/>
      </c>
      <c r="BK9" s="59">
        <f>IFERROR(__xludf.DUMMYFUNCTION("IMPORTRANGE(""1Oujo8vUnwFLr-WkmYYfJwaGjmRsDy-q2Aq0vU4BlykA"",""2026-27!AD4"")"),0.0)</f>
        <v>0</v>
      </c>
      <c r="BL9" s="59">
        <f>IFERROR(__xludf.DUMMYFUNCTION("IMPORTRANGE(""1Oujo8vUnwFLr-WkmYYfJwaGjmRsDy-q2Aq0vU4BlykA"",""2026-27!AD3"")"),0.0)</f>
        <v>0</v>
      </c>
      <c r="BM9" s="59">
        <f>IFERROR(__xludf.DUMMYFUNCTION("IMPORTRANGE(""1Oujo8vUnwFLr-WkmYYfJwaGjmRsDy-q2Aq0vU4BlykA"",""2026-27!AE4"")"),0.0)</f>
        <v>0</v>
      </c>
      <c r="BN9" s="59">
        <f>IFERROR(__xludf.DUMMYFUNCTION("IMPORTRANGE(""1Oujo8vUnwFLr-WkmYYfJwaGjmRsDy-q2Aq0vU4BlykA"",""2026-27!AE3"")"),0.0)</f>
        <v>0</v>
      </c>
      <c r="BO9" s="59">
        <f>IFERROR(__xludf.DUMMYFUNCTION("IMPORTRANGE(""1Oujo8vUnwFLr-WkmYYfJwaGjmRsDy-q2Aq0vU4BlykA"",""2026-27!AF4"")"),0.0)</f>
        <v>0</v>
      </c>
      <c r="BP9" s="59">
        <f>IFERROR(__xludf.DUMMYFUNCTION("IMPORTRANGE(""1Oujo8vUnwFLr-WkmYYfJwaGjmRsDy-q2Aq0vU4BlykA"",""2026-27!AF3"")"),0.0)</f>
        <v>0</v>
      </c>
      <c r="BQ9" s="63" t="str">
        <f t="shared" si="25"/>
        <v/>
      </c>
      <c r="BR9" s="59">
        <f>IFERROR(__xludf.DUMMYFUNCTION("IMPORTRANGE(""1Oujo8vUnwFLr-WkmYYfJwaGjmRsDy-q2Aq0vU4BlykA"",""2026-27!AG4"")"),0.0)</f>
        <v>0</v>
      </c>
      <c r="BS9" s="59">
        <f>IFERROR(__xludf.DUMMYFUNCTION("IMPORTRANGE(""1Oujo8vUnwFLr-WkmYYfJwaGjmRsDy-q2Aq0vU4BlykA"",""2026-27!AG3"")"),0.0)</f>
        <v>0</v>
      </c>
      <c r="BT9" s="59">
        <f>IFERROR(__xludf.DUMMYFUNCTION("IMPORTRANGE(""1Oujo8vUnwFLr-WkmYYfJwaGjmRsDy-q2Aq0vU4BlykA"",""2026-27!AH4"")"),0.0)</f>
        <v>0</v>
      </c>
      <c r="BU9" s="59">
        <f>IFERROR(__xludf.DUMMYFUNCTION("IMPORTRANGE(""1Oujo8vUnwFLr-WkmYYfJwaGjmRsDy-q2Aq0vU4BlykA"",""2026-27!AH3"")"),0.0)</f>
        <v>0</v>
      </c>
      <c r="BV9" s="59">
        <f>IFERROR(__xludf.DUMMYFUNCTION("IMPORTRANGE(""1Oujo8vUnwFLr-WkmYYfJwaGjmRsDy-q2Aq0vU4BlykA"",""2026-27!AI4"")"),0.0)</f>
        <v>0</v>
      </c>
      <c r="BW9" s="59">
        <f>IFERROR(__xludf.DUMMYFUNCTION("IMPORTRANGE(""1Oujo8vUnwFLr-WkmYYfJwaGjmRsDy-q2Aq0vU4BlykA"",""2026-27!AI3"")"),0.0)</f>
        <v>0</v>
      </c>
      <c r="BX9" s="63" t="str">
        <f t="shared" si="26"/>
        <v/>
      </c>
      <c r="BY9" s="59">
        <f>IFERROR(__xludf.DUMMYFUNCTION("IMPORTRANGE(""1Oujo8vUnwFLr-WkmYYfJwaGjmRsDy-q2Aq0vU4BlykA"",""2026-27!AJ4"")"),0.0)</f>
        <v>0</v>
      </c>
      <c r="BZ9" s="59">
        <f>IFERROR(__xludf.DUMMYFUNCTION("IMPORTRANGE(""1Oujo8vUnwFLr-WkmYYfJwaGjmRsDy-q2Aq0vU4BlykA"",""2026-27!AJ3"")"),0.0)</f>
        <v>0</v>
      </c>
      <c r="CA9" s="59">
        <f>IFERROR(__xludf.DUMMYFUNCTION("IMPORTRANGE(""1Oujo8vUnwFLr-WkmYYfJwaGjmRsDy-q2Aq0vU4BlykA"",""2026-27!AK4"")"),0.0)</f>
        <v>0</v>
      </c>
      <c r="CB9" s="59">
        <f>IFERROR(__xludf.DUMMYFUNCTION("IMPORTRANGE(""1Oujo8vUnwFLr-WkmYYfJwaGjmRsDy-q2Aq0vU4BlykA"",""2026-27!AK3"")"),0.0)</f>
        <v>0</v>
      </c>
      <c r="CC9" s="59">
        <f>IFERROR(__xludf.DUMMYFUNCTION("IMPORTRANGE(""1Oujo8vUnwFLr-WkmYYfJwaGjmRsDy-q2Aq0vU4BlykA"",""2026-27!AL4"")"),0.0)</f>
        <v>0</v>
      </c>
      <c r="CD9" s="59">
        <f>IFERROR(__xludf.DUMMYFUNCTION("IMPORTRANGE(""1Oujo8vUnwFLr-WkmYYfJwaGjmRsDy-q2Aq0vU4BlykA"",""2026-27!AL3"")"),0.0)</f>
        <v>0</v>
      </c>
      <c r="CE9" s="63" t="str">
        <f t="shared" si="27"/>
        <v/>
      </c>
      <c r="CF9" s="59">
        <f>IFERROR(__xludf.DUMMYFUNCTION("IMPORTRANGE(""1Oujo8vUnwFLr-WkmYYfJwaGjmRsDy-q2Aq0vU4BlykA"",""2026-27!AM4"")"),0.0)</f>
        <v>0</v>
      </c>
      <c r="CG9" s="59">
        <f>IFERROR(__xludf.DUMMYFUNCTION("IMPORTRANGE(""1Oujo8vUnwFLr-WkmYYfJwaGjmRsDy-q2Aq0vU4BlykA"",""2026-27!AM3"")"),0.0)</f>
        <v>0</v>
      </c>
      <c r="CH9" s="59">
        <f>IFERROR(__xludf.DUMMYFUNCTION("IMPORTRANGE(""1Oujo8vUnwFLr-WkmYYfJwaGjmRsDy-q2Aq0vU4BlykA"",""2026-27!AN4"")"),0.0)</f>
        <v>0</v>
      </c>
      <c r="CI9" s="59">
        <f>IFERROR(__xludf.DUMMYFUNCTION("IMPORTRANGE(""1Oujo8vUnwFLr-WkmYYfJwaGjmRsDy-q2Aq0vU4BlykA"",""2026-27!AN3"")"),0.0)</f>
        <v>0</v>
      </c>
      <c r="CJ9" s="59">
        <f>IFERROR(__xludf.DUMMYFUNCTION("IMPORTRANGE(""1Oujo8vUnwFLr-WkmYYfJwaGjmRsDy-q2Aq0vU4BlykA"",""2026-27!AO4"")"),0.0)</f>
        <v>0</v>
      </c>
      <c r="CK9" s="59">
        <f>IFERROR(__xludf.DUMMYFUNCTION("IMPORTRANGE(""1Oujo8vUnwFLr-WkmYYfJwaGjmRsDy-q2Aq0vU4BlykA"",""2026-27!AO3"")"),0.0)</f>
        <v>0</v>
      </c>
      <c r="CL9" s="63" t="str">
        <f t="shared" si="28"/>
        <v/>
      </c>
      <c r="CM9" s="59">
        <f>IFERROR(__xludf.DUMMYFUNCTION("IMPORTRANGE(""1Oujo8vUnwFLr-WkmYYfJwaGjmRsDy-q2Aq0vU4BlykA"",""2026-27!AP4"")"),0.0)</f>
        <v>0</v>
      </c>
      <c r="CN9" s="59">
        <f>IFERROR(__xludf.DUMMYFUNCTION("IMPORTRANGE(""1Oujo8vUnwFLr-WkmYYfJwaGjmRsDy-q2Aq0vU4BlykA"",""2026-27!AP3"")"),0.0)</f>
        <v>0</v>
      </c>
      <c r="CO9" s="59">
        <f>IFERROR(__xludf.DUMMYFUNCTION("IMPORTRANGE(""1Oujo8vUnwFLr-WkmYYfJwaGjmRsDy-q2Aq0vU4BlykA"",""2026-27!AQ4"")"),0.0)</f>
        <v>0</v>
      </c>
      <c r="CP9" s="59">
        <f>IFERROR(__xludf.DUMMYFUNCTION("IMPORTRANGE(""1Oujo8vUnwFLr-WkmYYfJwaGjmRsDy-q2Aq0vU4BlykA"",""2026-27!AQ3"")"),0.0)</f>
        <v>0</v>
      </c>
      <c r="CQ9" s="59">
        <f>IFERROR(__xludf.DUMMYFUNCTION("IMPORTRANGE(""1Oujo8vUnwFLr-WkmYYfJwaGjmRsDy-q2Aq0vU4BlykA"",""2026-27!AR4"")"),0.0)</f>
        <v>0</v>
      </c>
      <c r="CR9" s="59">
        <f>IFERROR(__xludf.DUMMYFUNCTION("IMPORTRANGE(""1Oujo8vUnwFLr-WkmYYfJwaGjmRsDy-q2Aq0vU4BlykA"",""2026-27!AR3"")"),0.0)</f>
        <v>0</v>
      </c>
      <c r="CS9" s="63" t="str">
        <f t="shared" si="29"/>
        <v/>
      </c>
      <c r="CT9" s="59">
        <f>IFERROR(__xludf.DUMMYFUNCTION("IMPORTRANGE(""1Oujo8vUnwFLr-WkmYYfJwaGjmRsDy-q2Aq0vU4BlykA"",""2026-27!AS4"")"),0.0)</f>
        <v>0</v>
      </c>
      <c r="CU9" s="59">
        <f>IFERROR(__xludf.DUMMYFUNCTION("IMPORTRANGE(""1Oujo8vUnwFLr-WkmYYfJwaGjmRsDy-q2Aq0vU4BlykA"",""2026-27!AS3"")"),0.0)</f>
        <v>0</v>
      </c>
      <c r="CV9" s="64"/>
    </row>
    <row r="10">
      <c r="A10" s="67" t="s">
        <v>23</v>
      </c>
      <c r="B10" s="41"/>
      <c r="C10" s="71" t="s">
        <v>30</v>
      </c>
      <c r="D10" s="69" t="s">
        <v>31</v>
      </c>
      <c r="E10" s="54">
        <v>6.398490183E9</v>
      </c>
      <c r="F10" s="70">
        <v>45568.0</v>
      </c>
      <c r="G10" s="66"/>
      <c r="H10" s="66"/>
      <c r="I10" s="57">
        <v>30405.0</v>
      </c>
      <c r="J10" s="58">
        <v>1400000.0</v>
      </c>
      <c r="K10" s="59">
        <f>IFERROR(__xludf.DUMMYFUNCTION("IMPORTRANGE(""1LJGS53NCp-odxIXkmSORKxH8_UeQo5bY4expBVdkFdk"",""2026-27!A3"")"),34.0)</f>
        <v>34</v>
      </c>
      <c r="L10" s="59">
        <f>IFERROR(__xludf.DUMMYFUNCTION("IMPORTRANGE(""1LJGS53NCp-odxIXkmSORKxH8_UeQo5bY4expBVdkFdk"",""2026-27!G4"")"),1.777E7)</f>
        <v>17770000</v>
      </c>
      <c r="M10" s="59">
        <f t="shared" si="15"/>
        <v>3015627.95</v>
      </c>
      <c r="N10" s="60">
        <f t="shared" si="16"/>
        <v>0.1627069781</v>
      </c>
      <c r="O10" s="61">
        <f t="shared" si="17"/>
        <v>2891303</v>
      </c>
      <c r="P10" s="59">
        <f>IFERROR(__xludf.DUMMYFUNCTION("IMPORTRANGE(""1LJGS53NCp-odxIXkmSORKxH8_UeQo5bY4expBVdkFdk"",""2026-27!J4"")"),1328000.0)</f>
        <v>1328000</v>
      </c>
      <c r="Q10" s="59">
        <f>IFERROR(__xludf.DUMMYFUNCTION("IMPORTRANGE(""1LJGS53NCp-odxIXkmSORKxH8_UeQo5bY4expBVdkFdk"",""2026-27!J3"")"),27.0)</f>
        <v>27</v>
      </c>
      <c r="R10" s="59">
        <f>IFERROR(__xludf.DUMMYFUNCTION("IMPORTRANGE(""1LJGS53NCp-odxIXkmSORKxH8_UeQo5bY4expBVdkFdk"",""2026-27!K4"")"),674641.1099999999)</f>
        <v>674641.11</v>
      </c>
      <c r="S10" s="59">
        <f>IFERROR(__xludf.DUMMYFUNCTION("IMPORTRANGE(""1LJGS53NCp-odxIXkmSORKxH8_UeQo5bY4expBVdkFdk"",""2026-27!K3"")"),10.0)</f>
        <v>10</v>
      </c>
      <c r="T10" s="62">
        <f t="shared" si="18"/>
        <v>0.4515225904</v>
      </c>
      <c r="U10" s="59">
        <f>IFERROR(__xludf.DUMMYFUNCTION("IMPORTRANGE(""1LJGS53NCp-odxIXkmSORKxH8_UeQo5bY4expBVdkFdk"",""2026-27!L4"")"),599622.0)</f>
        <v>599622</v>
      </c>
      <c r="V10" s="59">
        <f>IFERROR(__xludf.DUMMYFUNCTION("IMPORTRANGE(""1LJGS53NCp-odxIXkmSORKxH8_UeQo5bY4expBVdkFdk"",""2026-27!L3"")"),8.0)</f>
        <v>8</v>
      </c>
      <c r="W10" s="59">
        <f>IFERROR(__xludf.DUMMYFUNCTION("IMPORTRANGE(""1LJGS53NCp-odxIXkmSORKxH8_UeQo5bY4expBVdkFdk"",""2026-27!m4"")"),1590000.0)</f>
        <v>1590000</v>
      </c>
      <c r="X10" s="59">
        <f>IFERROR(__xludf.DUMMYFUNCTION("IMPORTRANGE(""1LJGS53NCp-odxIXkmSORKxH8_UeQo5bY4expBVdkFdk"",""2026-27!m3"")"),29.0)</f>
        <v>29</v>
      </c>
      <c r="Y10" s="59">
        <f>IFERROR(__xludf.DUMMYFUNCTION("IMPORTRANGE(""1LJGS53NCp-odxIXkmSORKxH8_UeQo5bY4expBVdkFdk"",""2026-27!N4"")"),1241551.0799999998)</f>
        <v>1241551.08</v>
      </c>
      <c r="Z10" s="59">
        <f>IFERROR(__xludf.DUMMYFUNCTION("IMPORTRANGE(""1LJGS53NCp-odxIXkmSORKxH8_UeQo5bY4expBVdkFdk"",""2026-27!N3"")"),17.0)</f>
        <v>17</v>
      </c>
      <c r="AA10" s="62">
        <f t="shared" si="19"/>
        <v>0.7545773585</v>
      </c>
      <c r="AB10" s="59">
        <f>IFERROR(__xludf.DUMMYFUNCTION("IMPORTRANGE(""1LJGS53NCp-odxIXkmSORKxH8_UeQo5bY4expBVdkFdk"",""2026-27!O4"")"),1199778.0)</f>
        <v>1199778</v>
      </c>
      <c r="AC10" s="59">
        <f>IFERROR(__xludf.DUMMYFUNCTION("IMPORTRANGE(""1LJGS53NCp-odxIXkmSORKxH8_UeQo5bY4expBVdkFdk"",""2026-27!O3"")"),17.0)</f>
        <v>17</v>
      </c>
      <c r="AD10" s="59">
        <f>IFERROR(__xludf.DUMMYFUNCTION("IMPORTRANGE(""1LJGS53NCp-odxIXkmSORKxH8_UeQo5bY4expBVdkFdk"",""2026-27!P4"")"),1612000.0)</f>
        <v>1612000</v>
      </c>
      <c r="AE10" s="59">
        <f>IFERROR(__xludf.DUMMYFUNCTION("IMPORTRANGE(""1LJGS53NCp-odxIXkmSORKxH8_UeQo5bY4expBVdkFdk"",""2026-27!P3"")"),29.0)</f>
        <v>29</v>
      </c>
      <c r="AF10" s="59">
        <f>IFERROR(__xludf.DUMMYFUNCTION("IMPORTRANGE(""1LJGS53NCp-odxIXkmSORKxH8_UeQo5bY4expBVdkFdk"",""2026-27!Q4"")"),1099435.76)</f>
        <v>1099435.76</v>
      </c>
      <c r="AG10" s="59">
        <f>IFERROR(__xludf.DUMMYFUNCTION("IMPORTRANGE(""1LJGS53NCp-odxIXkmSORKxH8_UeQo5bY4expBVdkFdk"",""2026-27!Q3"")"),20.0)</f>
        <v>20</v>
      </c>
      <c r="AH10" s="62">
        <f t="shared" si="20"/>
        <v>0.6773591811</v>
      </c>
      <c r="AI10" s="59">
        <f>IFERROR(__xludf.DUMMYFUNCTION("IMPORTRANGE(""1LJGS53NCp-odxIXkmSORKxH8_UeQo5bY4expBVdkFdk"",""2026-27!R4"")"),1091903.0)</f>
        <v>1091903</v>
      </c>
      <c r="AJ10" s="59">
        <f>IFERROR(__xludf.DUMMYFUNCTION("IMPORTRANGE(""1LJGS53NCp-odxIXkmSORKxH8_UeQo5bY4expBVdkFdk"",""2026-27!R3"")"),20.0)</f>
        <v>20</v>
      </c>
      <c r="AK10" s="59">
        <f>IFERROR(__xludf.DUMMYFUNCTION("IMPORTRANGE(""1LJGS53NCp-odxIXkmSORKxH8_UeQo5bY4expBVdkFdk"",""2026-27!S4"")"),1405000.0)</f>
        <v>1405000</v>
      </c>
      <c r="AL10" s="59">
        <f>IFERROR(__xludf.DUMMYFUNCTION("IMPORTRANGE(""1LJGS53NCp-odxIXkmSORKxH8_UeQo5bY4expBVdkFdk"",""2026-27!S3"")"),30.0)</f>
        <v>30</v>
      </c>
      <c r="AM10" s="59">
        <f>IFERROR(__xludf.DUMMYFUNCTION("IMPORTRANGE(""1LJGS53NCp-odxIXkmSORKxH8_UeQo5bY4expBVdkFdk"",""2026-27!T4"")"),0.0)</f>
        <v>0</v>
      </c>
      <c r="AN10" s="59">
        <f>IFERROR(__xludf.DUMMYFUNCTION("IMPORTRANGE(""1LJGS53NCp-odxIXkmSORKxH8_UeQo5bY4expBVdkFdk"",""2026-27!T3"")"),0.0)</f>
        <v>0</v>
      </c>
      <c r="AO10" s="62">
        <f t="shared" si="21"/>
        <v>0</v>
      </c>
      <c r="AP10" s="59">
        <f>IFERROR(__xludf.DUMMYFUNCTION("IMPORTRANGE(""1LJGS53NCp-odxIXkmSORKxH8_UeQo5bY4expBVdkFdk"",""2026-27!U4"")"),0.0)</f>
        <v>0</v>
      </c>
      <c r="AQ10" s="59">
        <f>IFERROR(__xludf.DUMMYFUNCTION("IMPORTRANGE(""1LJGS53NCp-odxIXkmSORKxH8_UeQo5bY4expBVdkFdk"",""2026-27!U3"")"),0.0)</f>
        <v>0</v>
      </c>
      <c r="AR10" s="59">
        <f>IFERROR(__xludf.DUMMYFUNCTION("IMPORTRANGE(""1LJGS53NCp-odxIXkmSORKxH8_UeQo5bY4expBVdkFdk"",""2026-27!V4"")"),1420000.0)</f>
        <v>1420000</v>
      </c>
      <c r="AS10" s="59">
        <f>IFERROR(__xludf.DUMMYFUNCTION("IMPORTRANGE(""1LJGS53NCp-odxIXkmSORKxH8_UeQo5bY4expBVdkFdk"",""2026-27!V3"")"),30.0)</f>
        <v>30</v>
      </c>
      <c r="AT10" s="59">
        <f>IFERROR(__xludf.DUMMYFUNCTION("IMPORTRANGE(""1LJGS53NCp-odxIXkmSORKxH8_UeQo5bY4expBVdkFdk"",""2026-27!W4"")"),0.0)</f>
        <v>0</v>
      </c>
      <c r="AU10" s="59">
        <f>IFERROR(__xludf.DUMMYFUNCTION("IMPORTRANGE(""1LJGS53NCp-odxIXkmSORKxH8_UeQo5bY4expBVdkFdk"",""2026-27!W3"")"),0.0)</f>
        <v>0</v>
      </c>
      <c r="AV10" s="62">
        <f t="shared" si="22"/>
        <v>0</v>
      </c>
      <c r="AW10" s="59">
        <f>IFERROR(__xludf.DUMMYFUNCTION("IMPORTRANGE(""1LJGS53NCp-odxIXkmSORKxH8_UeQo5bY4expBVdkFdk"",""2026-27!X4"")"),0.0)</f>
        <v>0</v>
      </c>
      <c r="AX10" s="59">
        <f>IFERROR(__xludf.DUMMYFUNCTION("IMPORTRANGE(""1LJGS53NCp-odxIXkmSORKxH8_UeQo5bY4expBVdkFdk"",""2026-27!X3"")"),0.0)</f>
        <v>0</v>
      </c>
      <c r="AY10" s="59">
        <f>IFERROR(__xludf.DUMMYFUNCTION("IMPORTRANGE(""1LJGS53NCp-odxIXkmSORKxH8_UeQo5bY4expBVdkFdk"",""2026-27!Y4"")"),0.0)</f>
        <v>0</v>
      </c>
      <c r="AZ10" s="59">
        <f>IFERROR(__xludf.DUMMYFUNCTION("IMPORTRANGE(""1LJGS53NCp-odxIXkmSORKxH8_UeQo5bY4expBVdkFdk"",""2026-27!Y3"")"),0.0)</f>
        <v>0</v>
      </c>
      <c r="BA10" s="59">
        <f>IFERROR(__xludf.DUMMYFUNCTION("IMPORTRANGE(""1LJGS53NCp-odxIXkmSORKxH8_UeQo5bY4expBVdkFdk"",""2026-27!Z4"")"),0.0)</f>
        <v>0</v>
      </c>
      <c r="BB10" s="59">
        <f>IFERROR(__xludf.DUMMYFUNCTION("IMPORTRANGE(""1LJGS53NCp-odxIXkmSORKxH8_UeQo5bY4expBVdkFdk"",""2026-27!Z3"")"),0.0)</f>
        <v>0</v>
      </c>
      <c r="BC10" s="63" t="str">
        <f t="shared" si="23"/>
        <v/>
      </c>
      <c r="BD10" s="59">
        <f>IFERROR(__xludf.DUMMYFUNCTION("IMPORTRANGE(""1LJGS53NCp-odxIXkmSORKxH8_UeQo5bY4expBVdkFdk"",""2026-27!AA4"")"),0.0)</f>
        <v>0</v>
      </c>
      <c r="BE10" s="59">
        <f>IFERROR(__xludf.DUMMYFUNCTION("IMPORTRANGE(""1LJGS53NCp-odxIXkmSORKxH8_UeQo5bY4expBVdkFdk"",""2026-27!AA3"")"),0.0)</f>
        <v>0</v>
      </c>
      <c r="BF10" s="59">
        <f>IFERROR(__xludf.DUMMYFUNCTION("IMPORTRANGE(""1LJGS53NCp-odxIXkmSORKxH8_UeQo5bY4expBVdkFdk"",""2026-27!AB4"")"),0.0)</f>
        <v>0</v>
      </c>
      <c r="BG10" s="59">
        <f>IFERROR(__xludf.DUMMYFUNCTION("IMPORTRANGE(""1LJGS53NCp-odxIXkmSORKxH8_UeQo5bY4expBVdkFdk"",""2026-27!AB3"")"),0.0)</f>
        <v>0</v>
      </c>
      <c r="BH10" s="59">
        <f>IFERROR(__xludf.DUMMYFUNCTION("IMPORTRANGE(""1LJGS53NCp-odxIXkmSORKxH8_UeQo5bY4expBVdkFdk"",""2026-27!AC4"")"),0.0)</f>
        <v>0</v>
      </c>
      <c r="BI10" s="59">
        <f>IFERROR(__xludf.DUMMYFUNCTION("IMPORTRANGE(""1LJGS53NCp-odxIXkmSORKxH8_UeQo5bY4expBVdkFdk"",""2026-27!AC3"")"),0.0)</f>
        <v>0</v>
      </c>
      <c r="BJ10" s="63" t="str">
        <f t="shared" si="24"/>
        <v/>
      </c>
      <c r="BK10" s="59">
        <f>IFERROR(__xludf.DUMMYFUNCTION("IMPORTRANGE(""1LJGS53NCp-odxIXkmSORKxH8_UeQo5bY4expBVdkFdk"",""2026-27!AD4"")"),0.0)</f>
        <v>0</v>
      </c>
      <c r="BL10" s="59">
        <f>IFERROR(__xludf.DUMMYFUNCTION("IMPORTRANGE(""1LJGS53NCp-odxIXkmSORKxH8_UeQo5bY4expBVdkFdk"",""2026-27!AD3"")"),0.0)</f>
        <v>0</v>
      </c>
      <c r="BM10" s="59">
        <f>IFERROR(__xludf.DUMMYFUNCTION("IMPORTRANGE(""1LJGS53NCp-odxIXkmSORKxH8_UeQo5bY4expBVdkFdk"",""2026-27!AE4"")"),0.0)</f>
        <v>0</v>
      </c>
      <c r="BN10" s="59">
        <f>IFERROR(__xludf.DUMMYFUNCTION("IMPORTRANGE(""1LJGS53NCp-odxIXkmSORKxH8_UeQo5bY4expBVdkFdk"",""2026-27!AE3"")"),0.0)</f>
        <v>0</v>
      </c>
      <c r="BO10" s="59">
        <f>IFERROR(__xludf.DUMMYFUNCTION("IMPORTRANGE(""1LJGS53NCp-odxIXkmSORKxH8_UeQo5bY4expBVdkFdk"",""2026-27!AF4"")"),0.0)</f>
        <v>0</v>
      </c>
      <c r="BP10" s="59">
        <f>IFERROR(__xludf.DUMMYFUNCTION("IMPORTRANGE(""1LJGS53NCp-odxIXkmSORKxH8_UeQo5bY4expBVdkFdk"",""2026-27!AF3"")"),0.0)</f>
        <v>0</v>
      </c>
      <c r="BQ10" s="63" t="str">
        <f t="shared" si="25"/>
        <v/>
      </c>
      <c r="BR10" s="59">
        <f>IFERROR(__xludf.DUMMYFUNCTION("IMPORTRANGE(""1LJGS53NCp-odxIXkmSORKxH8_UeQo5bY4expBVdkFdk"",""2026-27!AG4"")"),0.0)</f>
        <v>0</v>
      </c>
      <c r="BS10" s="59">
        <f>IFERROR(__xludf.DUMMYFUNCTION("IMPORTRANGE(""1LJGS53NCp-odxIXkmSORKxH8_UeQo5bY4expBVdkFdk"",""2026-27!AG3"")"),0.0)</f>
        <v>0</v>
      </c>
      <c r="BT10" s="59">
        <f>IFERROR(__xludf.DUMMYFUNCTION("IMPORTRANGE(""1LJGS53NCp-odxIXkmSORKxH8_UeQo5bY4expBVdkFdk"",""2026-27!AH4"")"),0.0)</f>
        <v>0</v>
      </c>
      <c r="BU10" s="59">
        <f>IFERROR(__xludf.DUMMYFUNCTION("IMPORTRANGE(""1LJGS53NCp-odxIXkmSORKxH8_UeQo5bY4expBVdkFdk"",""2026-27!AH3"")"),0.0)</f>
        <v>0</v>
      </c>
      <c r="BV10" s="59">
        <f>IFERROR(__xludf.DUMMYFUNCTION("IMPORTRANGE(""1LJGS53NCp-odxIXkmSORKxH8_UeQo5bY4expBVdkFdk"",""2026-27!AI4"")"),0.0)</f>
        <v>0</v>
      </c>
      <c r="BW10" s="59">
        <f>IFERROR(__xludf.DUMMYFUNCTION("IMPORTRANGE(""1LJGS53NCp-odxIXkmSORKxH8_UeQo5bY4expBVdkFdk"",""2026-27!AI3"")"),0.0)</f>
        <v>0</v>
      </c>
      <c r="BX10" s="63" t="str">
        <f t="shared" si="26"/>
        <v/>
      </c>
      <c r="BY10" s="59">
        <f>IFERROR(__xludf.DUMMYFUNCTION("IMPORTRANGE(""1LJGS53NCp-odxIXkmSORKxH8_UeQo5bY4expBVdkFdk"",""2026-27!AJ4"")"),0.0)</f>
        <v>0</v>
      </c>
      <c r="BZ10" s="59">
        <f>IFERROR(__xludf.DUMMYFUNCTION("IMPORTRANGE(""1LJGS53NCp-odxIXkmSORKxH8_UeQo5bY4expBVdkFdk"",""2026-27!AJ3"")"),0.0)</f>
        <v>0</v>
      </c>
      <c r="CA10" s="59">
        <f>IFERROR(__xludf.DUMMYFUNCTION("IMPORTRANGE(""1LJGS53NCp-odxIXkmSORKxH8_UeQo5bY4expBVdkFdk"",""2026-27!AK4"")"),0.0)</f>
        <v>0</v>
      </c>
      <c r="CB10" s="59">
        <f>IFERROR(__xludf.DUMMYFUNCTION("IMPORTRANGE(""1LJGS53NCp-odxIXkmSORKxH8_UeQo5bY4expBVdkFdk"",""2026-27!AK3"")"),0.0)</f>
        <v>0</v>
      </c>
      <c r="CC10" s="59">
        <f>IFERROR(__xludf.DUMMYFUNCTION("IMPORTRANGE(""1LJGS53NCp-odxIXkmSORKxH8_UeQo5bY4expBVdkFdk"",""2026-27!AL4"")"),0.0)</f>
        <v>0</v>
      </c>
      <c r="CD10" s="59">
        <f>IFERROR(__xludf.DUMMYFUNCTION("IMPORTRANGE(""1LJGS53NCp-odxIXkmSORKxH8_UeQo5bY4expBVdkFdk"",""2026-27!AL3"")"),0.0)</f>
        <v>0</v>
      </c>
      <c r="CE10" s="63" t="str">
        <f t="shared" si="27"/>
        <v/>
      </c>
      <c r="CF10" s="59">
        <f>IFERROR(__xludf.DUMMYFUNCTION("IMPORTRANGE(""1LJGS53NCp-odxIXkmSORKxH8_UeQo5bY4expBVdkFdk"",""2026-27!AM4"")"),0.0)</f>
        <v>0</v>
      </c>
      <c r="CG10" s="59">
        <f>IFERROR(__xludf.DUMMYFUNCTION("IMPORTRANGE(""1LJGS53NCp-odxIXkmSORKxH8_UeQo5bY4expBVdkFdk"",""2026-27!AM3"")"),0.0)</f>
        <v>0</v>
      </c>
      <c r="CH10" s="59">
        <f>IFERROR(__xludf.DUMMYFUNCTION("IMPORTRANGE(""1LJGS53NCp-odxIXkmSORKxH8_UeQo5bY4expBVdkFdk"",""2026-27!AN4"")"),0.0)</f>
        <v>0</v>
      </c>
      <c r="CI10" s="59">
        <f>IFERROR(__xludf.DUMMYFUNCTION("IMPORTRANGE(""1LJGS53NCp-odxIXkmSORKxH8_UeQo5bY4expBVdkFdk"",""2026-27!AN3"")"),0.0)</f>
        <v>0</v>
      </c>
      <c r="CJ10" s="59">
        <f>IFERROR(__xludf.DUMMYFUNCTION("IMPORTRANGE(""1LJGS53NCp-odxIXkmSORKxH8_UeQo5bY4expBVdkFdk"",""2026-27!AO4"")"),0.0)</f>
        <v>0</v>
      </c>
      <c r="CK10" s="59">
        <f>IFERROR(__xludf.DUMMYFUNCTION("IMPORTRANGE(""1LJGS53NCp-odxIXkmSORKxH8_UeQo5bY4expBVdkFdk"",""2026-27!AO3"")"),0.0)</f>
        <v>0</v>
      </c>
      <c r="CL10" s="63" t="str">
        <f t="shared" si="28"/>
        <v/>
      </c>
      <c r="CM10" s="59">
        <f>IFERROR(__xludf.DUMMYFUNCTION("IMPORTRANGE(""1LJGS53NCp-odxIXkmSORKxH8_UeQo5bY4expBVdkFdk"",""2026-27!AP4"")"),0.0)</f>
        <v>0</v>
      </c>
      <c r="CN10" s="59">
        <f>IFERROR(__xludf.DUMMYFUNCTION("IMPORTRANGE(""1LJGS53NCp-odxIXkmSORKxH8_UeQo5bY4expBVdkFdk"",""2026-27!AP3"")"),0.0)</f>
        <v>0</v>
      </c>
      <c r="CO10" s="59">
        <f>IFERROR(__xludf.DUMMYFUNCTION("IMPORTRANGE(""1LJGS53NCp-odxIXkmSORKxH8_UeQo5bY4expBVdkFdk"",""2026-27!AQ4"")"),0.0)</f>
        <v>0</v>
      </c>
      <c r="CP10" s="59">
        <f>IFERROR(__xludf.DUMMYFUNCTION("IMPORTRANGE(""1LJGS53NCp-odxIXkmSORKxH8_UeQo5bY4expBVdkFdk"",""2026-27!AQ3"")"),0.0)</f>
        <v>0</v>
      </c>
      <c r="CQ10" s="59">
        <f>IFERROR(__xludf.DUMMYFUNCTION("IMPORTRANGE(""1LJGS53NCp-odxIXkmSORKxH8_UeQo5bY4expBVdkFdk"",""2026-27!AR4"")"),0.0)</f>
        <v>0</v>
      </c>
      <c r="CR10" s="59">
        <f>IFERROR(__xludf.DUMMYFUNCTION("IMPORTRANGE(""1LJGS53NCp-odxIXkmSORKxH8_UeQo5bY4expBVdkFdk"",""2026-27!AR3"")"),0.0)</f>
        <v>0</v>
      </c>
      <c r="CS10" s="63" t="str">
        <f t="shared" si="29"/>
        <v/>
      </c>
      <c r="CT10" s="59">
        <f>IFERROR(__xludf.DUMMYFUNCTION("IMPORTRANGE(""1LJGS53NCp-odxIXkmSORKxH8_UeQo5bY4expBVdkFdk"",""2026-27!AS4"")"),0.0)</f>
        <v>0</v>
      </c>
      <c r="CU10" s="59">
        <f>IFERROR(__xludf.DUMMYFUNCTION("IMPORTRANGE(""1LJGS53NCp-odxIXkmSORKxH8_UeQo5bY4expBVdkFdk"",""2026-27!AS3"")"),0.0)</f>
        <v>0</v>
      </c>
      <c r="CV10" s="64"/>
    </row>
    <row r="11">
      <c r="A11" s="67" t="s">
        <v>23</v>
      </c>
      <c r="B11" s="41"/>
      <c r="C11" s="68" t="s">
        <v>32</v>
      </c>
      <c r="D11" s="69" t="s">
        <v>33</v>
      </c>
      <c r="E11" s="72">
        <v>9.319865478E9</v>
      </c>
      <c r="F11" s="70">
        <v>45658.0</v>
      </c>
      <c r="G11" s="66"/>
      <c r="H11" s="66"/>
      <c r="I11" s="57">
        <v>31455.0</v>
      </c>
      <c r="J11" s="58">
        <v>1400000.0</v>
      </c>
      <c r="K11" s="59">
        <f>IFERROR(__xludf.DUMMYFUNCTION("IMPORTRANGE(""13EYfcAewqPPQ83PA3ta2L46h2GIwi9k-mw8zx8HuEws"",""2026-27!A3"")"),100.0)</f>
        <v>100</v>
      </c>
      <c r="L11" s="59">
        <f>IFERROR(__xludf.DUMMYFUNCTION("IMPORTRANGE(""13EYfcAewqPPQ83PA3ta2L46h2GIwi9k-mw8zx8HuEws"",""2026-27!G4"")"),1.735E7)</f>
        <v>17350000</v>
      </c>
      <c r="M11" s="59">
        <f t="shared" si="15"/>
        <v>2124687.92</v>
      </c>
      <c r="N11" s="60">
        <f t="shared" si="16"/>
        <v>0.1342929683</v>
      </c>
      <c r="O11" s="61">
        <f t="shared" si="17"/>
        <v>2329983</v>
      </c>
      <c r="P11" s="59">
        <f>IFERROR(__xludf.DUMMYFUNCTION("IMPORTRANGE(""13EYfcAewqPPQ83PA3ta2L46h2GIwi9k-mw8zx8HuEws"",""2026-27!J4"")"),1500000.0)</f>
        <v>1500000</v>
      </c>
      <c r="Q11" s="59">
        <f>IFERROR(__xludf.DUMMYFUNCTION("IMPORTRANGE(""13EYfcAewqPPQ83PA3ta2L46h2GIwi9k-mw8zx8HuEws"",""2026-27!J3"")"),86.0)</f>
        <v>86</v>
      </c>
      <c r="R11" s="59">
        <f>IFERROR(__xludf.DUMMYFUNCTION("IMPORTRANGE(""13EYfcAewqPPQ83PA3ta2L46h2GIwi9k-mw8zx8HuEws"",""2026-27!K4"")"),231251.31999999998)</f>
        <v>231251.32</v>
      </c>
      <c r="S11" s="59">
        <f>IFERROR(__xludf.DUMMYFUNCTION("IMPORTRANGE(""13EYfcAewqPPQ83PA3ta2L46h2GIwi9k-mw8zx8HuEws"",""2026-27!K3"")"),15.0)</f>
        <v>15</v>
      </c>
      <c r="T11" s="62">
        <f t="shared" si="18"/>
        <v>0.17681</v>
      </c>
      <c r="U11" s="59">
        <f>IFERROR(__xludf.DUMMYFUNCTION("IMPORTRANGE(""13EYfcAewqPPQ83PA3ta2L46h2GIwi9k-mw8zx8HuEws"",""2026-27!L4"")"),265215.0)</f>
        <v>265215</v>
      </c>
      <c r="V11" s="59">
        <f>IFERROR(__xludf.DUMMYFUNCTION("IMPORTRANGE(""13EYfcAewqPPQ83PA3ta2L46h2GIwi9k-mw8zx8HuEws"",""2026-27!L3"")"),17.0)</f>
        <v>17</v>
      </c>
      <c r="W11" s="59">
        <f>IFERROR(__xludf.DUMMYFUNCTION("IMPORTRANGE(""13EYfcAewqPPQ83PA3ta2L46h2GIwi9k-mw8zx8HuEws"",""2026-27!m4"")"),1425000.0)</f>
        <v>1425000</v>
      </c>
      <c r="X11" s="59">
        <f>IFERROR(__xludf.DUMMYFUNCTION("IMPORTRANGE(""13EYfcAewqPPQ83PA3ta2L46h2GIwi9k-mw8zx8HuEws"",""2026-27!m3"")"),86.0)</f>
        <v>86</v>
      </c>
      <c r="Y11" s="59">
        <f>IFERROR(__xludf.DUMMYFUNCTION("IMPORTRANGE(""13EYfcAewqPPQ83PA3ta2L46h2GIwi9k-mw8zx8HuEws"",""2026-27!N4"")"),1088919.99)</f>
        <v>1088919.99</v>
      </c>
      <c r="Z11" s="59">
        <f>IFERROR(__xludf.DUMMYFUNCTION("IMPORTRANGE(""13EYfcAewqPPQ83PA3ta2L46h2GIwi9k-mw8zx8HuEws"",""2026-27!N3"")"),22.0)</f>
        <v>22</v>
      </c>
      <c r="AA11" s="62">
        <f t="shared" si="19"/>
        <v>0.8594575439</v>
      </c>
      <c r="AB11" s="59">
        <f>IFERROR(__xludf.DUMMYFUNCTION("IMPORTRANGE(""13EYfcAewqPPQ83PA3ta2L46h2GIwi9k-mw8zx8HuEws"",""2026-27!O4"")"),1224727.0)</f>
        <v>1224727</v>
      </c>
      <c r="AC11" s="59">
        <f>IFERROR(__xludf.DUMMYFUNCTION("IMPORTRANGE(""13EYfcAewqPPQ83PA3ta2L46h2GIwi9k-mw8zx8HuEws"",""2026-27!O3"")"),22.0)</f>
        <v>22</v>
      </c>
      <c r="AD11" s="59">
        <f>IFERROR(__xludf.DUMMYFUNCTION("IMPORTRANGE(""13EYfcAewqPPQ83PA3ta2L46h2GIwi9k-mw8zx8HuEws"",""2026-27!P4"")"),1400000.0)</f>
        <v>1400000</v>
      </c>
      <c r="AE11" s="59">
        <f>IFERROR(__xludf.DUMMYFUNCTION("IMPORTRANGE(""13EYfcAewqPPQ83PA3ta2L46h2GIwi9k-mw8zx8HuEws"",""2026-27!P3"")"),95.0)</f>
        <v>95</v>
      </c>
      <c r="AF11" s="59">
        <f>IFERROR(__xludf.DUMMYFUNCTION("IMPORTRANGE(""13EYfcAewqPPQ83PA3ta2L46h2GIwi9k-mw8zx8HuEws"",""2026-27!Q4"")"),804516.6100000001)</f>
        <v>804516.61</v>
      </c>
      <c r="AG11" s="59">
        <f>IFERROR(__xludf.DUMMYFUNCTION("IMPORTRANGE(""13EYfcAewqPPQ83PA3ta2L46h2GIwi9k-mw8zx8HuEws"",""2026-27!Q3"")"),23.0)</f>
        <v>23</v>
      </c>
      <c r="AH11" s="62">
        <f t="shared" si="20"/>
        <v>0.6000292857</v>
      </c>
      <c r="AI11" s="59">
        <f>IFERROR(__xludf.DUMMYFUNCTION("IMPORTRANGE(""13EYfcAewqPPQ83PA3ta2L46h2GIwi9k-mw8zx8HuEws"",""2026-27!R4"")"),840041.0)</f>
        <v>840041</v>
      </c>
      <c r="AJ11" s="59">
        <f>IFERROR(__xludf.DUMMYFUNCTION("IMPORTRANGE(""13EYfcAewqPPQ83PA3ta2L46h2GIwi9k-mw8zx8HuEws"",""2026-27!R3"")"),24.0)</f>
        <v>24</v>
      </c>
      <c r="AK11" s="59">
        <f>IFERROR(__xludf.DUMMYFUNCTION("IMPORTRANGE(""13EYfcAewqPPQ83PA3ta2L46h2GIwi9k-mw8zx8HuEws"",""2026-27!S4"")"),0.0)</f>
        <v>0</v>
      </c>
      <c r="AL11" s="59">
        <f>IFERROR(__xludf.DUMMYFUNCTION("IMPORTRANGE(""13EYfcAewqPPQ83PA3ta2L46h2GIwi9k-mw8zx8HuEws"",""2026-27!S3"")"),0.0)</f>
        <v>0</v>
      </c>
      <c r="AM11" s="59">
        <f>IFERROR(__xludf.DUMMYFUNCTION("IMPORTRANGE(""13EYfcAewqPPQ83PA3ta2L46h2GIwi9k-mw8zx8HuEws"",""2026-27!T4"")"),0.0)</f>
        <v>0</v>
      </c>
      <c r="AN11" s="59">
        <f>IFERROR(__xludf.DUMMYFUNCTION("IMPORTRANGE(""13EYfcAewqPPQ83PA3ta2L46h2GIwi9k-mw8zx8HuEws"",""2026-27!T3"")"),0.0)</f>
        <v>0</v>
      </c>
      <c r="AO11" s="62" t="str">
        <f t="shared" si="21"/>
        <v/>
      </c>
      <c r="AP11" s="59">
        <f>IFERROR(__xludf.DUMMYFUNCTION("IMPORTRANGE(""13EYfcAewqPPQ83PA3ta2L46h2GIwi9k-mw8zx8HuEws"",""2026-27!U4"")"),0.0)</f>
        <v>0</v>
      </c>
      <c r="AQ11" s="59">
        <f>IFERROR(__xludf.DUMMYFUNCTION("IMPORTRANGE(""13EYfcAewqPPQ83PA3ta2L46h2GIwi9k-mw8zx8HuEws"",""2026-27!U3"")"),0.0)</f>
        <v>0</v>
      </c>
      <c r="AR11" s="59">
        <f>IFERROR(__xludf.DUMMYFUNCTION("IMPORTRANGE(""13EYfcAewqPPQ83PA3ta2L46h2GIwi9k-mw8zx8HuEws"",""2026-27!V4"")"),0.0)</f>
        <v>0</v>
      </c>
      <c r="AS11" s="59">
        <f>IFERROR(__xludf.DUMMYFUNCTION("IMPORTRANGE(""13EYfcAewqPPQ83PA3ta2L46h2GIwi9k-mw8zx8HuEws"",""2026-27!V3"")"),0.0)</f>
        <v>0</v>
      </c>
      <c r="AT11" s="59">
        <f>IFERROR(__xludf.DUMMYFUNCTION("IMPORTRANGE(""13EYfcAewqPPQ83PA3ta2L46h2GIwi9k-mw8zx8HuEws"",""2026-27!W4"")"),0.0)</f>
        <v>0</v>
      </c>
      <c r="AU11" s="59">
        <f>IFERROR(__xludf.DUMMYFUNCTION("IMPORTRANGE(""13EYfcAewqPPQ83PA3ta2L46h2GIwi9k-mw8zx8HuEws"",""2026-27!W3"")"),0.0)</f>
        <v>0</v>
      </c>
      <c r="AV11" s="62" t="str">
        <f t="shared" si="22"/>
        <v/>
      </c>
      <c r="AW11" s="59">
        <f>IFERROR(__xludf.DUMMYFUNCTION("IMPORTRANGE(""13EYfcAewqPPQ83PA3ta2L46h2GIwi9k-mw8zx8HuEws"",""2026-27!X4"")"),0.0)</f>
        <v>0</v>
      </c>
      <c r="AX11" s="59">
        <f>IFERROR(__xludf.DUMMYFUNCTION("IMPORTRANGE(""13EYfcAewqPPQ83PA3ta2L46h2GIwi9k-mw8zx8HuEws"",""2026-27!X3"")"),0.0)</f>
        <v>0</v>
      </c>
      <c r="AY11" s="59">
        <f>IFERROR(__xludf.DUMMYFUNCTION("IMPORTRANGE(""13EYfcAewqPPQ83PA3ta2L46h2GIwi9k-mw8zx8HuEws"",""2026-27!Y4"")"),0.0)</f>
        <v>0</v>
      </c>
      <c r="AZ11" s="59">
        <f>IFERROR(__xludf.DUMMYFUNCTION("IMPORTRANGE(""13EYfcAewqPPQ83PA3ta2L46h2GIwi9k-mw8zx8HuEws"",""2026-27!Y3"")"),0.0)</f>
        <v>0</v>
      </c>
      <c r="BA11" s="59">
        <f>IFERROR(__xludf.DUMMYFUNCTION("IMPORTRANGE(""13EYfcAewqPPQ83PA3ta2L46h2GIwi9k-mw8zx8HuEws"",""2026-27!Z4"")"),0.0)</f>
        <v>0</v>
      </c>
      <c r="BB11" s="59">
        <f>IFERROR(__xludf.DUMMYFUNCTION("IMPORTRANGE(""13EYfcAewqPPQ83PA3ta2L46h2GIwi9k-mw8zx8HuEws"",""2026-27!Z3"")"),0.0)</f>
        <v>0</v>
      </c>
      <c r="BC11" s="63" t="str">
        <f t="shared" si="23"/>
        <v/>
      </c>
      <c r="BD11" s="59">
        <f>IFERROR(__xludf.DUMMYFUNCTION("IMPORTRANGE(""13EYfcAewqPPQ83PA3ta2L46h2GIwi9k-mw8zx8HuEws"",""2026-27!AA4"")"),0.0)</f>
        <v>0</v>
      </c>
      <c r="BE11" s="59">
        <f>IFERROR(__xludf.DUMMYFUNCTION("IMPORTRANGE(""13EYfcAewqPPQ83PA3ta2L46h2GIwi9k-mw8zx8HuEws"",""2026-27!AA3"")"),0.0)</f>
        <v>0</v>
      </c>
      <c r="BF11" s="59">
        <f>IFERROR(__xludf.DUMMYFUNCTION("IMPORTRANGE(""13EYfcAewqPPQ83PA3ta2L46h2GIwi9k-mw8zx8HuEws"",""2026-27!AB4"")"),0.0)</f>
        <v>0</v>
      </c>
      <c r="BG11" s="59">
        <f>IFERROR(__xludf.DUMMYFUNCTION("IMPORTRANGE(""13EYfcAewqPPQ83PA3ta2L46h2GIwi9k-mw8zx8HuEws"",""2026-27!AB3"")"),0.0)</f>
        <v>0</v>
      </c>
      <c r="BH11" s="59">
        <f>IFERROR(__xludf.DUMMYFUNCTION("IMPORTRANGE(""13EYfcAewqPPQ83PA3ta2L46h2GIwi9k-mw8zx8HuEws"",""2026-27!AC4"")"),0.0)</f>
        <v>0</v>
      </c>
      <c r="BI11" s="59">
        <f>IFERROR(__xludf.DUMMYFUNCTION("IMPORTRANGE(""13EYfcAewqPPQ83PA3ta2L46h2GIwi9k-mw8zx8HuEws"",""2026-27!AC3"")"),0.0)</f>
        <v>0</v>
      </c>
      <c r="BJ11" s="63" t="str">
        <f t="shared" si="24"/>
        <v/>
      </c>
      <c r="BK11" s="59">
        <f>IFERROR(__xludf.DUMMYFUNCTION("IMPORTRANGE(""13EYfcAewqPPQ83PA3ta2L46h2GIwi9k-mw8zx8HuEws"",""2026-27!AD4"")"),0.0)</f>
        <v>0</v>
      </c>
      <c r="BL11" s="59">
        <f>IFERROR(__xludf.DUMMYFUNCTION("IMPORTRANGE(""13EYfcAewqPPQ83PA3ta2L46h2GIwi9k-mw8zx8HuEws"",""2026-27!AD3"")"),0.0)</f>
        <v>0</v>
      </c>
      <c r="BM11" s="59">
        <f>IFERROR(__xludf.DUMMYFUNCTION("IMPORTRANGE(""13EYfcAewqPPQ83PA3ta2L46h2GIwi9k-mw8zx8HuEws"",""2026-27!AE4"")"),0.0)</f>
        <v>0</v>
      </c>
      <c r="BN11" s="59">
        <f>IFERROR(__xludf.DUMMYFUNCTION("IMPORTRANGE(""13EYfcAewqPPQ83PA3ta2L46h2GIwi9k-mw8zx8HuEws"",""2026-27!AE3"")"),0.0)</f>
        <v>0</v>
      </c>
      <c r="BO11" s="59">
        <f>IFERROR(__xludf.DUMMYFUNCTION("IMPORTRANGE(""13EYfcAewqPPQ83PA3ta2L46h2GIwi9k-mw8zx8HuEws"",""2026-27!AF4"")"),0.0)</f>
        <v>0</v>
      </c>
      <c r="BP11" s="59">
        <f>IFERROR(__xludf.DUMMYFUNCTION("IMPORTRANGE(""13EYfcAewqPPQ83PA3ta2L46h2GIwi9k-mw8zx8HuEws"",""2026-27!AF3"")"),0.0)</f>
        <v>0</v>
      </c>
      <c r="BQ11" s="63" t="str">
        <f t="shared" si="25"/>
        <v/>
      </c>
      <c r="BR11" s="59">
        <f>IFERROR(__xludf.DUMMYFUNCTION("IMPORTRANGE(""13EYfcAewqPPQ83PA3ta2L46h2GIwi9k-mw8zx8HuEws"",""2026-27!AG4"")"),0.0)</f>
        <v>0</v>
      </c>
      <c r="BS11" s="59">
        <f>IFERROR(__xludf.DUMMYFUNCTION("IMPORTRANGE(""13EYfcAewqPPQ83PA3ta2L46h2GIwi9k-mw8zx8HuEws"",""2026-27!AG3"")"),0.0)</f>
        <v>0</v>
      </c>
      <c r="BT11" s="59">
        <f>IFERROR(__xludf.DUMMYFUNCTION("IMPORTRANGE(""13EYfcAewqPPQ83PA3ta2L46h2GIwi9k-mw8zx8HuEws"",""2026-27!AH4"")"),0.0)</f>
        <v>0</v>
      </c>
      <c r="BU11" s="59">
        <f>IFERROR(__xludf.DUMMYFUNCTION("IMPORTRANGE(""13EYfcAewqPPQ83PA3ta2L46h2GIwi9k-mw8zx8HuEws"",""2026-27!AH3"")"),0.0)</f>
        <v>0</v>
      </c>
      <c r="BV11" s="59">
        <f>IFERROR(__xludf.DUMMYFUNCTION("IMPORTRANGE(""13EYfcAewqPPQ83PA3ta2L46h2GIwi9k-mw8zx8HuEws"",""2026-27!AI4"")"),0.0)</f>
        <v>0</v>
      </c>
      <c r="BW11" s="59">
        <f>IFERROR(__xludf.DUMMYFUNCTION("IMPORTRANGE(""13EYfcAewqPPQ83PA3ta2L46h2GIwi9k-mw8zx8HuEws"",""2026-27!AI3"")"),0.0)</f>
        <v>0</v>
      </c>
      <c r="BX11" s="63" t="str">
        <f t="shared" si="26"/>
        <v/>
      </c>
      <c r="BY11" s="59">
        <f>IFERROR(__xludf.DUMMYFUNCTION("IMPORTRANGE(""13EYfcAewqPPQ83PA3ta2L46h2GIwi9k-mw8zx8HuEws"",""2026-27!AJ4"")"),0.0)</f>
        <v>0</v>
      </c>
      <c r="BZ11" s="59">
        <f>IFERROR(__xludf.DUMMYFUNCTION("IMPORTRANGE(""13EYfcAewqPPQ83PA3ta2L46h2GIwi9k-mw8zx8HuEws"",""2026-27!AJ3"")"),0.0)</f>
        <v>0</v>
      </c>
      <c r="CA11" s="59">
        <f>IFERROR(__xludf.DUMMYFUNCTION("IMPORTRANGE(""13EYfcAewqPPQ83PA3ta2L46h2GIwi9k-mw8zx8HuEws"",""2026-27!AK4"")"),0.0)</f>
        <v>0</v>
      </c>
      <c r="CB11" s="59">
        <f>IFERROR(__xludf.DUMMYFUNCTION("IMPORTRANGE(""13EYfcAewqPPQ83PA3ta2L46h2GIwi9k-mw8zx8HuEws"",""2026-27!AK3"")"),0.0)</f>
        <v>0</v>
      </c>
      <c r="CC11" s="59">
        <f>IFERROR(__xludf.DUMMYFUNCTION("IMPORTRANGE(""13EYfcAewqPPQ83PA3ta2L46h2GIwi9k-mw8zx8HuEws"",""2026-27!AL4"")"),0.0)</f>
        <v>0</v>
      </c>
      <c r="CD11" s="59">
        <f>IFERROR(__xludf.DUMMYFUNCTION("IMPORTRANGE(""13EYfcAewqPPQ83PA3ta2L46h2GIwi9k-mw8zx8HuEws"",""2026-27!AL3"")"),0.0)</f>
        <v>0</v>
      </c>
      <c r="CE11" s="63" t="str">
        <f t="shared" si="27"/>
        <v/>
      </c>
      <c r="CF11" s="59">
        <f>IFERROR(__xludf.DUMMYFUNCTION("IMPORTRANGE(""13EYfcAewqPPQ83PA3ta2L46h2GIwi9k-mw8zx8HuEws"",""2026-27!AM4"")"),0.0)</f>
        <v>0</v>
      </c>
      <c r="CG11" s="59">
        <f>IFERROR(__xludf.DUMMYFUNCTION("IMPORTRANGE(""13EYfcAewqPPQ83PA3ta2L46h2GIwi9k-mw8zx8HuEws"",""2026-27!AM3"")"),0.0)</f>
        <v>0</v>
      </c>
      <c r="CH11" s="59">
        <f>IFERROR(__xludf.DUMMYFUNCTION("IMPORTRANGE(""13EYfcAewqPPQ83PA3ta2L46h2GIwi9k-mw8zx8HuEws"",""2026-27!AN4"")"),0.0)</f>
        <v>0</v>
      </c>
      <c r="CI11" s="59">
        <f>IFERROR(__xludf.DUMMYFUNCTION("IMPORTRANGE(""13EYfcAewqPPQ83PA3ta2L46h2GIwi9k-mw8zx8HuEws"",""2026-27!AN3"")"),0.0)</f>
        <v>0</v>
      </c>
      <c r="CJ11" s="59">
        <f>IFERROR(__xludf.DUMMYFUNCTION("IMPORTRANGE(""13EYfcAewqPPQ83PA3ta2L46h2GIwi9k-mw8zx8HuEws"",""2026-27!AO4"")"),0.0)</f>
        <v>0</v>
      </c>
      <c r="CK11" s="59">
        <f>IFERROR(__xludf.DUMMYFUNCTION("IMPORTRANGE(""13EYfcAewqPPQ83PA3ta2L46h2GIwi9k-mw8zx8HuEws"",""2026-27!AO3"")"),0.0)</f>
        <v>0</v>
      </c>
      <c r="CL11" s="63" t="str">
        <f t="shared" si="28"/>
        <v/>
      </c>
      <c r="CM11" s="59">
        <f>IFERROR(__xludf.DUMMYFUNCTION("IMPORTRANGE(""13EYfcAewqPPQ83PA3ta2L46h2GIwi9k-mw8zx8HuEws"",""2026-27!AP4"")"),0.0)</f>
        <v>0</v>
      </c>
      <c r="CN11" s="59">
        <f>IFERROR(__xludf.DUMMYFUNCTION("IMPORTRANGE(""13EYfcAewqPPQ83PA3ta2L46h2GIwi9k-mw8zx8HuEws"",""2026-27!AP3"")"),0.0)</f>
        <v>0</v>
      </c>
      <c r="CO11" s="59">
        <f>IFERROR(__xludf.DUMMYFUNCTION("IMPORTRANGE(""13EYfcAewqPPQ83PA3ta2L46h2GIwi9k-mw8zx8HuEws"",""2026-27!AQ4"")"),0.0)</f>
        <v>0</v>
      </c>
      <c r="CP11" s="59">
        <f>IFERROR(__xludf.DUMMYFUNCTION("IMPORTRANGE(""13EYfcAewqPPQ83PA3ta2L46h2GIwi9k-mw8zx8HuEws"",""2026-27!AQ3"")"),0.0)</f>
        <v>0</v>
      </c>
      <c r="CQ11" s="59">
        <f>IFERROR(__xludf.DUMMYFUNCTION("IMPORTRANGE(""13EYfcAewqPPQ83PA3ta2L46h2GIwi9k-mw8zx8HuEws"",""2026-27!AR4"")"),0.0)</f>
        <v>0</v>
      </c>
      <c r="CR11" s="59">
        <f>IFERROR(__xludf.DUMMYFUNCTION("IMPORTRANGE(""13EYfcAewqPPQ83PA3ta2L46h2GIwi9k-mw8zx8HuEws"",""2026-27!AR3"")"),0.0)</f>
        <v>0</v>
      </c>
      <c r="CS11" s="63" t="str">
        <f t="shared" si="29"/>
        <v/>
      </c>
      <c r="CT11" s="59">
        <f>IFERROR(__xludf.DUMMYFUNCTION("IMPORTRANGE(""13EYfcAewqPPQ83PA3ta2L46h2GIwi9k-mw8zx8HuEws"",""2026-27!AS4"")"),0.0)</f>
        <v>0</v>
      </c>
      <c r="CU11" s="59">
        <f>IFERROR(__xludf.DUMMYFUNCTION("IMPORTRANGE(""13EYfcAewqPPQ83PA3ta2L46h2GIwi9k-mw8zx8HuEws"",""2026-27!AS3"")"),0.0)</f>
        <v>0</v>
      </c>
      <c r="CV11" s="64"/>
    </row>
    <row r="12">
      <c r="A12" s="67" t="s">
        <v>23</v>
      </c>
      <c r="B12" s="41"/>
      <c r="C12" s="71" t="s">
        <v>34</v>
      </c>
      <c r="D12" s="69" t="s">
        <v>35</v>
      </c>
      <c r="E12" s="72">
        <v>8.266009918E9</v>
      </c>
      <c r="F12" s="70">
        <v>45736.0</v>
      </c>
      <c r="G12" s="66"/>
      <c r="H12" s="66"/>
      <c r="I12" s="57">
        <v>27260.0</v>
      </c>
      <c r="J12" s="58">
        <v>1350000.0</v>
      </c>
      <c r="K12" s="59">
        <f>IFERROR(__xludf.DUMMYFUNCTION("IMPORTRANGE(""1jFDZ-XQ8Fuzz37_6c1Wi087O7eNCDVE8KbcMW9lSUac"",""2026-27!A3"")"),38.0)</f>
        <v>38</v>
      </c>
      <c r="L12" s="59">
        <f>IFERROR(__xludf.DUMMYFUNCTION("IMPORTRANGE(""1jFDZ-XQ8Fuzz37_6c1Wi087O7eNCDVE8KbcMW9lSUac"",""2026-27!G4"")"),0.0)</f>
        <v>0</v>
      </c>
      <c r="M12" s="59">
        <f t="shared" si="15"/>
        <v>228007.86</v>
      </c>
      <c r="N12" s="60" t="str">
        <f t="shared" si="16"/>
        <v/>
      </c>
      <c r="O12" s="61">
        <f t="shared" si="17"/>
        <v>0</v>
      </c>
      <c r="P12" s="59">
        <f>IFERROR(__xludf.DUMMYFUNCTION("IMPORTRANGE(""1jFDZ-XQ8Fuzz37_6c1Wi087O7eNCDVE8KbcMW9lSUac"",""2026-27!J4"")"),0.0)</f>
        <v>0</v>
      </c>
      <c r="Q12" s="59">
        <f>IFERROR(__xludf.DUMMYFUNCTION("IMPORTRANGE(""1jFDZ-XQ8Fuzz37_6c1Wi087O7eNCDVE8KbcMW9lSUac"",""2026-27!J3"")"),0.0)</f>
        <v>0</v>
      </c>
      <c r="R12" s="59">
        <f>IFERROR(__xludf.DUMMYFUNCTION("IMPORTRANGE(""1jFDZ-XQ8Fuzz37_6c1Wi087O7eNCDVE8KbcMW9lSUac"",""2026-27!K4"")"),13407.54)</f>
        <v>13407.54</v>
      </c>
      <c r="S12" s="59">
        <f>IFERROR(__xludf.DUMMYFUNCTION("IMPORTRANGE(""1jFDZ-XQ8Fuzz37_6c1Wi087O7eNCDVE8KbcMW9lSUac"",""2026-27!K3"")"),2.0)</f>
        <v>2</v>
      </c>
      <c r="T12" s="62" t="str">
        <f t="shared" si="18"/>
        <v/>
      </c>
      <c r="U12" s="59">
        <f>IFERROR(__xludf.DUMMYFUNCTION("IMPORTRANGE(""1jFDZ-XQ8Fuzz37_6c1Wi087O7eNCDVE8KbcMW9lSUac"",""2026-27!L4"")"),0.0)</f>
        <v>0</v>
      </c>
      <c r="V12" s="59">
        <f>IFERROR(__xludf.DUMMYFUNCTION("IMPORTRANGE(""1jFDZ-XQ8Fuzz37_6c1Wi087O7eNCDVE8KbcMW9lSUac"",""2026-27!L3"")"),0.0)</f>
        <v>0</v>
      </c>
      <c r="W12" s="59">
        <f>IFERROR(__xludf.DUMMYFUNCTION("IMPORTRANGE(""1jFDZ-XQ8Fuzz37_6c1Wi087O7eNCDVE8KbcMW9lSUac"",""2026-27!m4"")"),0.0)</f>
        <v>0</v>
      </c>
      <c r="X12" s="59">
        <f>IFERROR(__xludf.DUMMYFUNCTION("IMPORTRANGE(""1jFDZ-XQ8Fuzz37_6c1Wi087O7eNCDVE8KbcMW9lSUac"",""2026-27!m3"")"),0.0)</f>
        <v>0</v>
      </c>
      <c r="Y12" s="59">
        <f>IFERROR(__xludf.DUMMYFUNCTION("IMPORTRANGE(""1jFDZ-XQ8Fuzz37_6c1Wi087O7eNCDVE8KbcMW9lSUac"",""2026-27!N4"")"),0.0)</f>
        <v>0</v>
      </c>
      <c r="Z12" s="59">
        <f>IFERROR(__xludf.DUMMYFUNCTION("IMPORTRANGE(""1jFDZ-XQ8Fuzz37_6c1Wi087O7eNCDVE8KbcMW9lSUac"",""2026-27!N3"")"),0.0)</f>
        <v>0</v>
      </c>
      <c r="AA12" s="62" t="str">
        <f t="shared" si="19"/>
        <v/>
      </c>
      <c r="AB12" s="59">
        <f>IFERROR(__xludf.DUMMYFUNCTION("IMPORTRANGE(""1jFDZ-XQ8Fuzz37_6c1Wi087O7eNCDVE8KbcMW9lSUac"",""2026-27!O4"")"),0.0)</f>
        <v>0</v>
      </c>
      <c r="AC12" s="59">
        <f>IFERROR(__xludf.DUMMYFUNCTION("IMPORTRANGE(""1jFDZ-XQ8Fuzz37_6c1Wi087O7eNCDVE8KbcMW9lSUac"",""2026-27!O3"")"),0.0)</f>
        <v>0</v>
      </c>
      <c r="AD12" s="59">
        <f>IFERROR(__xludf.DUMMYFUNCTION("IMPORTRANGE(""1jFDZ-XQ8Fuzz37_6c1Wi087O7eNCDVE8KbcMW9lSUac"",""2026-27!P4"")"),0.0)</f>
        <v>0</v>
      </c>
      <c r="AE12" s="59">
        <f>IFERROR(__xludf.DUMMYFUNCTION("IMPORTRANGE(""1jFDZ-XQ8Fuzz37_6c1Wi087O7eNCDVE8KbcMW9lSUac"",""2026-27!P3"")"),0.0)</f>
        <v>0</v>
      </c>
      <c r="AF12" s="59">
        <f>IFERROR(__xludf.DUMMYFUNCTION("IMPORTRANGE(""1jFDZ-XQ8Fuzz37_6c1Wi087O7eNCDVE8KbcMW9lSUac"",""2026-27!Q4"")"),214600.32)</f>
        <v>214600.32</v>
      </c>
      <c r="AG12" s="59">
        <f>IFERROR(__xludf.DUMMYFUNCTION("IMPORTRANGE(""1jFDZ-XQ8Fuzz37_6c1Wi087O7eNCDVE8KbcMW9lSUac"",""2026-27!Q3"")"),3.0)</f>
        <v>3</v>
      </c>
      <c r="AH12" s="62" t="str">
        <f t="shared" si="20"/>
        <v/>
      </c>
      <c r="AI12" s="59">
        <f>IFERROR(__xludf.DUMMYFUNCTION("IMPORTRANGE(""1jFDZ-XQ8Fuzz37_6c1Wi087O7eNCDVE8KbcMW9lSUac"",""2026-27!R4"")"),0.0)</f>
        <v>0</v>
      </c>
      <c r="AJ12" s="59">
        <f>IFERROR(__xludf.DUMMYFUNCTION("IMPORTRANGE(""1jFDZ-XQ8Fuzz37_6c1Wi087O7eNCDVE8KbcMW9lSUac"",""2026-27!R3"")"),0.0)</f>
        <v>0</v>
      </c>
      <c r="AK12" s="59">
        <f>IFERROR(__xludf.DUMMYFUNCTION("IMPORTRANGE(""1jFDZ-XQ8Fuzz37_6c1Wi087O7eNCDVE8KbcMW9lSUac"",""2026-27!S4"")"),0.0)</f>
        <v>0</v>
      </c>
      <c r="AL12" s="59">
        <f>IFERROR(__xludf.DUMMYFUNCTION("IMPORTRANGE(""1jFDZ-XQ8Fuzz37_6c1Wi087O7eNCDVE8KbcMW9lSUac"",""2026-27!S3"")"),0.0)</f>
        <v>0</v>
      </c>
      <c r="AM12" s="59">
        <f>IFERROR(__xludf.DUMMYFUNCTION("IMPORTRANGE(""1jFDZ-XQ8Fuzz37_6c1Wi087O7eNCDVE8KbcMW9lSUac"",""2026-27!T4"")"),0.0)</f>
        <v>0</v>
      </c>
      <c r="AN12" s="59">
        <f>IFERROR(__xludf.DUMMYFUNCTION("IMPORTRANGE(""1jFDZ-XQ8Fuzz37_6c1Wi087O7eNCDVE8KbcMW9lSUac"",""2026-27!T3"")"),0.0)</f>
        <v>0</v>
      </c>
      <c r="AO12" s="62" t="str">
        <f t="shared" si="21"/>
        <v/>
      </c>
      <c r="AP12" s="59">
        <f>IFERROR(__xludf.DUMMYFUNCTION("IMPORTRANGE(""1jFDZ-XQ8Fuzz37_6c1Wi087O7eNCDVE8KbcMW9lSUac"",""2026-27!U4"")"),0.0)</f>
        <v>0</v>
      </c>
      <c r="AQ12" s="59">
        <f>IFERROR(__xludf.DUMMYFUNCTION("IMPORTRANGE(""1jFDZ-XQ8Fuzz37_6c1Wi087O7eNCDVE8KbcMW9lSUac"",""2026-27!U3"")"),0.0)</f>
        <v>0</v>
      </c>
      <c r="AR12" s="59">
        <f>IFERROR(__xludf.DUMMYFUNCTION("IMPORTRANGE(""1jFDZ-XQ8Fuzz37_6c1Wi087O7eNCDVE8KbcMW9lSUac"",""2026-27!V4"")"),0.0)</f>
        <v>0</v>
      </c>
      <c r="AS12" s="59">
        <f>IFERROR(__xludf.DUMMYFUNCTION("IMPORTRANGE(""1jFDZ-XQ8Fuzz37_6c1Wi087O7eNCDVE8KbcMW9lSUac"",""2026-27!V3"")"),0.0)</f>
        <v>0</v>
      </c>
      <c r="AT12" s="59">
        <f>IFERROR(__xludf.DUMMYFUNCTION("IMPORTRANGE(""1jFDZ-XQ8Fuzz37_6c1Wi087O7eNCDVE8KbcMW9lSUac"",""2026-27!W4"")"),0.0)</f>
        <v>0</v>
      </c>
      <c r="AU12" s="59">
        <f>IFERROR(__xludf.DUMMYFUNCTION("IMPORTRANGE(""1jFDZ-XQ8Fuzz37_6c1Wi087O7eNCDVE8KbcMW9lSUac"",""2026-27!W3"")"),0.0)</f>
        <v>0</v>
      </c>
      <c r="AV12" s="62" t="str">
        <f t="shared" si="22"/>
        <v/>
      </c>
      <c r="AW12" s="59">
        <f>IFERROR(__xludf.DUMMYFUNCTION("IMPORTRANGE(""1jFDZ-XQ8Fuzz37_6c1Wi087O7eNCDVE8KbcMW9lSUac"",""2026-27!X4"")"),0.0)</f>
        <v>0</v>
      </c>
      <c r="AX12" s="59">
        <f>IFERROR(__xludf.DUMMYFUNCTION("IMPORTRANGE(""1jFDZ-XQ8Fuzz37_6c1Wi087O7eNCDVE8KbcMW9lSUac"",""2026-27!X3"")"),0.0)</f>
        <v>0</v>
      </c>
      <c r="AY12" s="59">
        <f>IFERROR(__xludf.DUMMYFUNCTION("IMPORTRANGE(""1jFDZ-XQ8Fuzz37_6c1Wi087O7eNCDVE8KbcMW9lSUac"",""2026-27!Y4"")"),0.0)</f>
        <v>0</v>
      </c>
      <c r="AZ12" s="59">
        <f>IFERROR(__xludf.DUMMYFUNCTION("IMPORTRANGE(""1jFDZ-XQ8Fuzz37_6c1Wi087O7eNCDVE8KbcMW9lSUac"",""2026-27!Y3"")"),0.0)</f>
        <v>0</v>
      </c>
      <c r="BA12" s="59">
        <f>IFERROR(__xludf.DUMMYFUNCTION("IMPORTRANGE(""1jFDZ-XQ8Fuzz37_6c1Wi087O7eNCDVE8KbcMW9lSUac"",""2026-27!Z4"")"),0.0)</f>
        <v>0</v>
      </c>
      <c r="BB12" s="59">
        <f>IFERROR(__xludf.DUMMYFUNCTION("IMPORTRANGE(""1jFDZ-XQ8Fuzz37_6c1Wi087O7eNCDVE8KbcMW9lSUac"",""2026-27!Z3"")"),0.0)</f>
        <v>0</v>
      </c>
      <c r="BC12" s="63" t="str">
        <f t="shared" si="23"/>
        <v/>
      </c>
      <c r="BD12" s="59">
        <f>IFERROR(__xludf.DUMMYFUNCTION("IMPORTRANGE(""1jFDZ-XQ8Fuzz37_6c1Wi087O7eNCDVE8KbcMW9lSUac"",""2026-27!AA4"")"),0.0)</f>
        <v>0</v>
      </c>
      <c r="BE12" s="59">
        <f>IFERROR(__xludf.DUMMYFUNCTION("IMPORTRANGE(""1jFDZ-XQ8Fuzz37_6c1Wi087O7eNCDVE8KbcMW9lSUac"",""2026-27!AA3"")"),0.0)</f>
        <v>0</v>
      </c>
      <c r="BF12" s="59">
        <f>IFERROR(__xludf.DUMMYFUNCTION("IMPORTRANGE(""1jFDZ-XQ8Fuzz37_6c1Wi087O7eNCDVE8KbcMW9lSUac"",""2026-27!AB4"")"),0.0)</f>
        <v>0</v>
      </c>
      <c r="BG12" s="59">
        <f>IFERROR(__xludf.DUMMYFUNCTION("IMPORTRANGE(""1jFDZ-XQ8Fuzz37_6c1Wi087O7eNCDVE8KbcMW9lSUac"",""2026-27!AB3"")"),0.0)</f>
        <v>0</v>
      </c>
      <c r="BH12" s="59">
        <f>IFERROR(__xludf.DUMMYFUNCTION("IMPORTRANGE(""1jFDZ-XQ8Fuzz37_6c1Wi087O7eNCDVE8KbcMW9lSUac"",""2026-27!AC4"")"),0.0)</f>
        <v>0</v>
      </c>
      <c r="BI12" s="59">
        <f>IFERROR(__xludf.DUMMYFUNCTION("IMPORTRANGE(""1jFDZ-XQ8Fuzz37_6c1Wi087O7eNCDVE8KbcMW9lSUac"",""2026-27!AC3"")"),0.0)</f>
        <v>0</v>
      </c>
      <c r="BJ12" s="63" t="str">
        <f t="shared" si="24"/>
        <v/>
      </c>
      <c r="BK12" s="59">
        <f>IFERROR(__xludf.DUMMYFUNCTION("IMPORTRANGE(""1jFDZ-XQ8Fuzz37_6c1Wi087O7eNCDVE8KbcMW9lSUac"",""2026-27!AD4"")"),0.0)</f>
        <v>0</v>
      </c>
      <c r="BL12" s="59">
        <f>IFERROR(__xludf.DUMMYFUNCTION("IMPORTRANGE(""1jFDZ-XQ8Fuzz37_6c1Wi087O7eNCDVE8KbcMW9lSUac"",""2026-27!AD3"")"),0.0)</f>
        <v>0</v>
      </c>
      <c r="BM12" s="59">
        <f>IFERROR(__xludf.DUMMYFUNCTION("IMPORTRANGE(""1jFDZ-XQ8Fuzz37_6c1Wi087O7eNCDVE8KbcMW9lSUac"",""2026-27!AE4"")"),0.0)</f>
        <v>0</v>
      </c>
      <c r="BN12" s="59">
        <f>IFERROR(__xludf.DUMMYFUNCTION("IMPORTRANGE(""1jFDZ-XQ8Fuzz37_6c1Wi087O7eNCDVE8KbcMW9lSUac"",""2026-27!AE3"")"),0.0)</f>
        <v>0</v>
      </c>
      <c r="BO12" s="59">
        <f>IFERROR(__xludf.DUMMYFUNCTION("IMPORTRANGE(""1jFDZ-XQ8Fuzz37_6c1Wi087O7eNCDVE8KbcMW9lSUac"",""2026-27!AF4"")"),0.0)</f>
        <v>0</v>
      </c>
      <c r="BP12" s="59">
        <f>IFERROR(__xludf.DUMMYFUNCTION("IMPORTRANGE(""1jFDZ-XQ8Fuzz37_6c1Wi087O7eNCDVE8KbcMW9lSUac"",""2026-27!AF3"")"),0.0)</f>
        <v>0</v>
      </c>
      <c r="BQ12" s="63" t="str">
        <f t="shared" si="25"/>
        <v/>
      </c>
      <c r="BR12" s="59">
        <f>IFERROR(__xludf.DUMMYFUNCTION("IMPORTRANGE(""1jFDZ-XQ8Fuzz37_6c1Wi087O7eNCDVE8KbcMW9lSUac"",""2026-27!AG4"")"),0.0)</f>
        <v>0</v>
      </c>
      <c r="BS12" s="59">
        <f>IFERROR(__xludf.DUMMYFUNCTION("IMPORTRANGE(""1jFDZ-XQ8Fuzz37_6c1Wi087O7eNCDVE8KbcMW9lSUac"",""2026-27!AG3"")"),0.0)</f>
        <v>0</v>
      </c>
      <c r="BT12" s="59">
        <f>IFERROR(__xludf.DUMMYFUNCTION("IMPORTRANGE(""1jFDZ-XQ8Fuzz37_6c1Wi087O7eNCDVE8KbcMW9lSUac"",""2026-27!AH4"")"),0.0)</f>
        <v>0</v>
      </c>
      <c r="BU12" s="59">
        <f>IFERROR(__xludf.DUMMYFUNCTION("IMPORTRANGE(""1jFDZ-XQ8Fuzz37_6c1Wi087O7eNCDVE8KbcMW9lSUac"",""2026-27!AH3"")"),0.0)</f>
        <v>0</v>
      </c>
      <c r="BV12" s="59">
        <f>IFERROR(__xludf.DUMMYFUNCTION("IMPORTRANGE(""1jFDZ-XQ8Fuzz37_6c1Wi087O7eNCDVE8KbcMW9lSUac"",""2026-27!AI4"")"),0.0)</f>
        <v>0</v>
      </c>
      <c r="BW12" s="59">
        <f>IFERROR(__xludf.DUMMYFUNCTION("IMPORTRANGE(""1jFDZ-XQ8Fuzz37_6c1Wi087O7eNCDVE8KbcMW9lSUac"",""2026-27!AI3"")"),0.0)</f>
        <v>0</v>
      </c>
      <c r="BX12" s="63" t="str">
        <f t="shared" si="26"/>
        <v/>
      </c>
      <c r="BY12" s="59">
        <f>IFERROR(__xludf.DUMMYFUNCTION("IMPORTRANGE(""1jFDZ-XQ8Fuzz37_6c1Wi087O7eNCDVE8KbcMW9lSUac"",""2026-27!AJ4"")"),0.0)</f>
        <v>0</v>
      </c>
      <c r="BZ12" s="59">
        <f>IFERROR(__xludf.DUMMYFUNCTION("IMPORTRANGE(""1jFDZ-XQ8Fuzz37_6c1Wi087O7eNCDVE8KbcMW9lSUac"",""2026-27!AJ3"")"),0.0)</f>
        <v>0</v>
      </c>
      <c r="CA12" s="59">
        <f>IFERROR(__xludf.DUMMYFUNCTION("IMPORTRANGE(""1jFDZ-XQ8Fuzz37_6c1Wi087O7eNCDVE8KbcMW9lSUac"",""2026-27!AK4"")"),0.0)</f>
        <v>0</v>
      </c>
      <c r="CB12" s="59">
        <f>IFERROR(__xludf.DUMMYFUNCTION("IMPORTRANGE(""1jFDZ-XQ8Fuzz37_6c1Wi087O7eNCDVE8KbcMW9lSUac"",""2026-27!AK3"")"),0.0)</f>
        <v>0</v>
      </c>
      <c r="CC12" s="59">
        <f>IFERROR(__xludf.DUMMYFUNCTION("IMPORTRANGE(""1jFDZ-XQ8Fuzz37_6c1Wi087O7eNCDVE8KbcMW9lSUac"",""2026-27!AL4"")"),0.0)</f>
        <v>0</v>
      </c>
      <c r="CD12" s="59">
        <f>IFERROR(__xludf.DUMMYFUNCTION("IMPORTRANGE(""1jFDZ-XQ8Fuzz37_6c1Wi087O7eNCDVE8KbcMW9lSUac"",""2026-27!AL3"")"),0.0)</f>
        <v>0</v>
      </c>
      <c r="CE12" s="63" t="str">
        <f t="shared" si="27"/>
        <v/>
      </c>
      <c r="CF12" s="59">
        <f>IFERROR(__xludf.DUMMYFUNCTION("IMPORTRANGE(""1jFDZ-XQ8Fuzz37_6c1Wi087O7eNCDVE8KbcMW9lSUac"",""2026-27!AM4"")"),0.0)</f>
        <v>0</v>
      </c>
      <c r="CG12" s="59">
        <f>IFERROR(__xludf.DUMMYFUNCTION("IMPORTRANGE(""1jFDZ-XQ8Fuzz37_6c1Wi087O7eNCDVE8KbcMW9lSUac"",""2026-27!AM3"")"),0.0)</f>
        <v>0</v>
      </c>
      <c r="CH12" s="59">
        <f>IFERROR(__xludf.DUMMYFUNCTION("IMPORTRANGE(""1jFDZ-XQ8Fuzz37_6c1Wi087O7eNCDVE8KbcMW9lSUac"",""2026-27!AN4"")"),0.0)</f>
        <v>0</v>
      </c>
      <c r="CI12" s="59">
        <f>IFERROR(__xludf.DUMMYFUNCTION("IMPORTRANGE(""1jFDZ-XQ8Fuzz37_6c1Wi087O7eNCDVE8KbcMW9lSUac"",""2026-27!AN3"")"),0.0)</f>
        <v>0</v>
      </c>
      <c r="CJ12" s="59">
        <f>IFERROR(__xludf.DUMMYFUNCTION("IMPORTRANGE(""1jFDZ-XQ8Fuzz37_6c1Wi087O7eNCDVE8KbcMW9lSUac"",""2026-27!AO4"")"),0.0)</f>
        <v>0</v>
      </c>
      <c r="CK12" s="59">
        <f>IFERROR(__xludf.DUMMYFUNCTION("IMPORTRANGE(""1jFDZ-XQ8Fuzz37_6c1Wi087O7eNCDVE8KbcMW9lSUac"",""2026-27!AO3"")"),0.0)</f>
        <v>0</v>
      </c>
      <c r="CL12" s="63" t="str">
        <f t="shared" si="28"/>
        <v/>
      </c>
      <c r="CM12" s="59">
        <f>IFERROR(__xludf.DUMMYFUNCTION("IMPORTRANGE(""1jFDZ-XQ8Fuzz37_6c1Wi087O7eNCDVE8KbcMW9lSUac"",""2026-27!AP4"")"),0.0)</f>
        <v>0</v>
      </c>
      <c r="CN12" s="59">
        <f>IFERROR(__xludf.DUMMYFUNCTION("IMPORTRANGE(""1jFDZ-XQ8Fuzz37_6c1Wi087O7eNCDVE8KbcMW9lSUac"",""2026-27!AP3"")"),0.0)</f>
        <v>0</v>
      </c>
      <c r="CO12" s="59">
        <f>IFERROR(__xludf.DUMMYFUNCTION("IMPORTRANGE(""1jFDZ-XQ8Fuzz37_6c1Wi087O7eNCDVE8KbcMW9lSUac"",""2026-27!AQ4"")"),0.0)</f>
        <v>0</v>
      </c>
      <c r="CP12" s="59">
        <f>IFERROR(__xludf.DUMMYFUNCTION("IMPORTRANGE(""1jFDZ-XQ8Fuzz37_6c1Wi087O7eNCDVE8KbcMW9lSUac"",""2026-27!AQ3"")"),0.0)</f>
        <v>0</v>
      </c>
      <c r="CQ12" s="59">
        <f>IFERROR(__xludf.DUMMYFUNCTION("IMPORTRANGE(""1jFDZ-XQ8Fuzz37_6c1Wi087O7eNCDVE8KbcMW9lSUac"",""2026-27!AR4"")"),0.0)</f>
        <v>0</v>
      </c>
      <c r="CR12" s="59">
        <f>IFERROR(__xludf.DUMMYFUNCTION("IMPORTRANGE(""1jFDZ-XQ8Fuzz37_6c1Wi087O7eNCDVE8KbcMW9lSUac"",""2026-27!AR3"")"),0.0)</f>
        <v>0</v>
      </c>
      <c r="CS12" s="63" t="str">
        <f t="shared" si="29"/>
        <v/>
      </c>
      <c r="CT12" s="59">
        <f>IFERROR(__xludf.DUMMYFUNCTION("IMPORTRANGE(""1jFDZ-XQ8Fuzz37_6c1Wi087O7eNCDVE8KbcMW9lSUac"",""2026-27!AS4"")"),0.0)</f>
        <v>0</v>
      </c>
      <c r="CU12" s="59">
        <f>IFERROR(__xludf.DUMMYFUNCTION("IMPORTRANGE(""1jFDZ-XQ8Fuzz37_6c1Wi087O7eNCDVE8KbcMW9lSUac"",""2026-27!AS3"")"),0.0)</f>
        <v>0</v>
      </c>
      <c r="CV12" s="64"/>
    </row>
    <row r="13">
      <c r="A13" s="67" t="s">
        <v>23</v>
      </c>
      <c r="B13" s="41"/>
      <c r="C13" s="73" t="s">
        <v>36</v>
      </c>
      <c r="D13" s="69" t="s">
        <v>37</v>
      </c>
      <c r="E13" s="72">
        <v>8.006520839E9</v>
      </c>
      <c r="F13" s="70">
        <v>45887.0</v>
      </c>
      <c r="G13" s="66"/>
      <c r="H13" s="66"/>
      <c r="I13" s="57">
        <v>28835.0</v>
      </c>
      <c r="J13" s="58">
        <v>1300000.0</v>
      </c>
      <c r="K13" s="59">
        <f>IFERROR(__xludf.DUMMYFUNCTION("IMPORTRANGE(""132I0fvbfTDk_3h-QeYGrQ-F6z0A921MXbdqyLFsyN5Y"",""2026-27!A3"")"),136.0)</f>
        <v>136</v>
      </c>
      <c r="L13" s="59">
        <f>IFERROR(__xludf.DUMMYFUNCTION("IMPORTRANGE(""132I0fvbfTDk_3h-QeYGrQ-F6z0A921MXbdqyLFsyN5Y"",""2026-27!G4"")"),1.92E7)</f>
        <v>19200000</v>
      </c>
      <c r="M13" s="59">
        <f t="shared" si="15"/>
        <v>2143935.18</v>
      </c>
      <c r="N13" s="60">
        <f t="shared" si="16"/>
        <v>0.1008675521</v>
      </c>
      <c r="O13" s="61">
        <f t="shared" si="17"/>
        <v>1936657</v>
      </c>
      <c r="P13" s="59">
        <f>IFERROR(__xludf.DUMMYFUNCTION("IMPORTRANGE(""132I0fvbfTDk_3h-QeYGrQ-F6z0A921MXbdqyLFsyN5Y"",""2026-27!J4"")"),1280000.0)</f>
        <v>1280000</v>
      </c>
      <c r="Q13" s="59">
        <f>IFERROR(__xludf.DUMMYFUNCTION("IMPORTRANGE(""132I0fvbfTDk_3h-QeYGrQ-F6z0A921MXbdqyLFsyN5Y"",""2026-27!J3"")"),40.0)</f>
        <v>40</v>
      </c>
      <c r="R13" s="59">
        <f>IFERROR(__xludf.DUMMYFUNCTION("IMPORTRANGE(""132I0fvbfTDk_3h-QeYGrQ-F6z0A921MXbdqyLFsyN5Y"",""2026-27!K4"")"),459401.44)</f>
        <v>459401.44</v>
      </c>
      <c r="S13" s="59">
        <f>IFERROR(__xludf.DUMMYFUNCTION("IMPORTRANGE(""132I0fvbfTDk_3h-QeYGrQ-F6z0A921MXbdqyLFsyN5Y"",""2026-27!K3"")"),20.0)</f>
        <v>20</v>
      </c>
      <c r="T13" s="62">
        <f t="shared" si="18"/>
        <v>0.3767585938</v>
      </c>
      <c r="U13" s="59">
        <f>IFERROR(__xludf.DUMMYFUNCTION("IMPORTRANGE(""132I0fvbfTDk_3h-QeYGrQ-F6z0A921MXbdqyLFsyN5Y"",""2026-27!L4"")"),482251.0)</f>
        <v>482251</v>
      </c>
      <c r="V13" s="59">
        <f>IFERROR(__xludf.DUMMYFUNCTION("IMPORTRANGE(""132I0fvbfTDk_3h-QeYGrQ-F6z0A921MXbdqyLFsyN5Y"",""2026-27!L3"")"),22.0)</f>
        <v>22</v>
      </c>
      <c r="W13" s="59">
        <f>IFERROR(__xludf.DUMMYFUNCTION("IMPORTRANGE(""132I0fvbfTDk_3h-QeYGrQ-F6z0A921MXbdqyLFsyN5Y"",""2026-27!m4"")"),1275000.0)</f>
        <v>1275000</v>
      </c>
      <c r="X13" s="59">
        <f>IFERROR(__xludf.DUMMYFUNCTION("IMPORTRANGE(""132I0fvbfTDk_3h-QeYGrQ-F6z0A921MXbdqyLFsyN5Y"",""2026-27!m3"")"),47.0)</f>
        <v>47</v>
      </c>
      <c r="Y13" s="59">
        <f>IFERROR(__xludf.DUMMYFUNCTION("IMPORTRANGE(""132I0fvbfTDk_3h-QeYGrQ-F6z0A921MXbdqyLFsyN5Y"",""2026-27!N4"")"),806328.56)</f>
        <v>806328.56</v>
      </c>
      <c r="Z13" s="59">
        <f>IFERROR(__xludf.DUMMYFUNCTION("IMPORTRANGE(""132I0fvbfTDk_3h-QeYGrQ-F6z0A921MXbdqyLFsyN5Y"",""2026-27!N3"")"),38.0)</f>
        <v>38</v>
      </c>
      <c r="AA13" s="62">
        <f t="shared" si="19"/>
        <v>0.5346368627</v>
      </c>
      <c r="AB13" s="59">
        <f>IFERROR(__xludf.DUMMYFUNCTION("IMPORTRANGE(""132I0fvbfTDk_3h-QeYGrQ-F6z0A921MXbdqyLFsyN5Y"",""2026-27!O4"")"),681662.0)</f>
        <v>681662</v>
      </c>
      <c r="AC13" s="59">
        <f>IFERROR(__xludf.DUMMYFUNCTION("IMPORTRANGE(""132I0fvbfTDk_3h-QeYGrQ-F6z0A921MXbdqyLFsyN5Y"",""2026-27!O3"")"),39.0)</f>
        <v>39</v>
      </c>
      <c r="AD13" s="59">
        <f>IFERROR(__xludf.DUMMYFUNCTION("IMPORTRANGE(""132I0fvbfTDk_3h-QeYGrQ-F6z0A921MXbdqyLFsyN5Y"",""2026-27!P4"")"),1300000.0)</f>
        <v>1300000</v>
      </c>
      <c r="AE13" s="59">
        <f>IFERROR(__xludf.DUMMYFUNCTION("IMPORTRANGE(""132I0fvbfTDk_3h-QeYGrQ-F6z0A921MXbdqyLFsyN5Y"",""2026-27!P3"")"),59.0)</f>
        <v>59</v>
      </c>
      <c r="AF13" s="59">
        <f>IFERROR(__xludf.DUMMYFUNCTION("IMPORTRANGE(""132I0fvbfTDk_3h-QeYGrQ-F6z0A921MXbdqyLFsyN5Y"",""2026-27!Q4"")"),878205.1799999999)</f>
        <v>878205.18</v>
      </c>
      <c r="AG13" s="59">
        <f>IFERROR(__xludf.DUMMYFUNCTION("IMPORTRANGE(""132I0fvbfTDk_3h-QeYGrQ-F6z0A921MXbdqyLFsyN5Y"",""2026-27!Q3"")"),46.0)</f>
        <v>46</v>
      </c>
      <c r="AH13" s="62">
        <f t="shared" si="20"/>
        <v>0.5944184615</v>
      </c>
      <c r="AI13" s="59">
        <f>IFERROR(__xludf.DUMMYFUNCTION("IMPORTRANGE(""132I0fvbfTDk_3h-QeYGrQ-F6z0A921MXbdqyLFsyN5Y"",""2026-27!R4"")"),772744.0)</f>
        <v>772744</v>
      </c>
      <c r="AJ13" s="59">
        <f>IFERROR(__xludf.DUMMYFUNCTION("IMPORTRANGE(""132I0fvbfTDk_3h-QeYGrQ-F6z0A921MXbdqyLFsyN5Y"",""2026-27!R3"")"),41.0)</f>
        <v>41</v>
      </c>
      <c r="AK13" s="59">
        <f>IFERROR(__xludf.DUMMYFUNCTION("IMPORTRANGE(""132I0fvbfTDk_3h-QeYGrQ-F6z0A921MXbdqyLFsyN5Y"",""2026-27!S4"")"),1300000.0)</f>
        <v>1300000</v>
      </c>
      <c r="AL13" s="59">
        <f>IFERROR(__xludf.DUMMYFUNCTION("IMPORTRANGE(""132I0fvbfTDk_3h-QeYGrQ-F6z0A921MXbdqyLFsyN5Y"",""2026-27!S3"")"),55.0)</f>
        <v>55</v>
      </c>
      <c r="AM13" s="59">
        <f>IFERROR(__xludf.DUMMYFUNCTION("IMPORTRANGE(""132I0fvbfTDk_3h-QeYGrQ-F6z0A921MXbdqyLFsyN5Y"",""2026-27!T4"")"),0.0)</f>
        <v>0</v>
      </c>
      <c r="AN13" s="59">
        <f>IFERROR(__xludf.DUMMYFUNCTION("IMPORTRANGE(""132I0fvbfTDk_3h-QeYGrQ-F6z0A921MXbdqyLFsyN5Y"",""2026-27!T3"")"),0.0)</f>
        <v>0</v>
      </c>
      <c r="AO13" s="62">
        <f t="shared" si="21"/>
        <v>0</v>
      </c>
      <c r="AP13" s="59">
        <f>IFERROR(__xludf.DUMMYFUNCTION("IMPORTRANGE(""132I0fvbfTDk_3h-QeYGrQ-F6z0A921MXbdqyLFsyN5Y"",""2026-27!U4"")"),0.0)</f>
        <v>0</v>
      </c>
      <c r="AQ13" s="59">
        <f>IFERROR(__xludf.DUMMYFUNCTION("IMPORTRANGE(""132I0fvbfTDk_3h-QeYGrQ-F6z0A921MXbdqyLFsyN5Y"",""2026-27!U3"")"),0.0)</f>
        <v>0</v>
      </c>
      <c r="AR13" s="59">
        <f>IFERROR(__xludf.DUMMYFUNCTION("IMPORTRANGE(""132I0fvbfTDk_3h-QeYGrQ-F6z0A921MXbdqyLFsyN5Y"",""2026-27!V4"")"),0.0)</f>
        <v>0</v>
      </c>
      <c r="AS13" s="59">
        <f>IFERROR(__xludf.DUMMYFUNCTION("IMPORTRANGE(""132I0fvbfTDk_3h-QeYGrQ-F6z0A921MXbdqyLFsyN5Y"",""2026-27!V3"")"),0.0)</f>
        <v>0</v>
      </c>
      <c r="AT13" s="59">
        <f>IFERROR(__xludf.DUMMYFUNCTION("IMPORTRANGE(""132I0fvbfTDk_3h-QeYGrQ-F6z0A921MXbdqyLFsyN5Y"",""2026-27!W4"")"),0.0)</f>
        <v>0</v>
      </c>
      <c r="AU13" s="59">
        <f>IFERROR(__xludf.DUMMYFUNCTION("IMPORTRANGE(""132I0fvbfTDk_3h-QeYGrQ-F6z0A921MXbdqyLFsyN5Y"",""2026-27!W3"")"),0.0)</f>
        <v>0</v>
      </c>
      <c r="AV13" s="62" t="str">
        <f t="shared" si="22"/>
        <v/>
      </c>
      <c r="AW13" s="59">
        <f>IFERROR(__xludf.DUMMYFUNCTION("IMPORTRANGE(""132I0fvbfTDk_3h-QeYGrQ-F6z0A921MXbdqyLFsyN5Y"",""2026-27!X4"")"),0.0)</f>
        <v>0</v>
      </c>
      <c r="AX13" s="59">
        <f>IFERROR(__xludf.DUMMYFUNCTION("IMPORTRANGE(""132I0fvbfTDk_3h-QeYGrQ-F6z0A921MXbdqyLFsyN5Y"",""2026-27!X3"")"),0.0)</f>
        <v>0</v>
      </c>
      <c r="AY13" s="59">
        <f>IFERROR(__xludf.DUMMYFUNCTION("IMPORTRANGE(""132I0fvbfTDk_3h-QeYGrQ-F6z0A921MXbdqyLFsyN5Y"",""2026-27!Y4"")"),0.0)</f>
        <v>0</v>
      </c>
      <c r="AZ13" s="59">
        <f>IFERROR(__xludf.DUMMYFUNCTION("IMPORTRANGE(""132I0fvbfTDk_3h-QeYGrQ-F6z0A921MXbdqyLFsyN5Y"",""2026-27!Y3"")"),0.0)</f>
        <v>0</v>
      </c>
      <c r="BA13" s="59">
        <f>IFERROR(__xludf.DUMMYFUNCTION("IMPORTRANGE(""132I0fvbfTDk_3h-QeYGrQ-F6z0A921MXbdqyLFsyN5Y"",""2026-27!Z4"")"),0.0)</f>
        <v>0</v>
      </c>
      <c r="BB13" s="59">
        <f>IFERROR(__xludf.DUMMYFUNCTION("IMPORTRANGE(""132I0fvbfTDk_3h-QeYGrQ-F6z0A921MXbdqyLFsyN5Y"",""2026-27!Z3"")"),0.0)</f>
        <v>0</v>
      </c>
      <c r="BC13" s="63" t="str">
        <f t="shared" si="23"/>
        <v/>
      </c>
      <c r="BD13" s="59">
        <f>IFERROR(__xludf.DUMMYFUNCTION("IMPORTRANGE(""132I0fvbfTDk_3h-QeYGrQ-F6z0A921MXbdqyLFsyN5Y"",""2026-27!AA4"")"),0.0)</f>
        <v>0</v>
      </c>
      <c r="BE13" s="59">
        <f>IFERROR(__xludf.DUMMYFUNCTION("IMPORTRANGE(""132I0fvbfTDk_3h-QeYGrQ-F6z0A921MXbdqyLFsyN5Y"",""2026-27!AA3"")"),0.0)</f>
        <v>0</v>
      </c>
      <c r="BF13" s="59">
        <f>IFERROR(__xludf.DUMMYFUNCTION("IMPORTRANGE(""132I0fvbfTDk_3h-QeYGrQ-F6z0A921MXbdqyLFsyN5Y"",""2026-27!AB4"")"),0.0)</f>
        <v>0</v>
      </c>
      <c r="BG13" s="59">
        <f>IFERROR(__xludf.DUMMYFUNCTION("IMPORTRANGE(""132I0fvbfTDk_3h-QeYGrQ-F6z0A921MXbdqyLFsyN5Y"",""2026-27!AB3"")"),0.0)</f>
        <v>0</v>
      </c>
      <c r="BH13" s="59">
        <f>IFERROR(__xludf.DUMMYFUNCTION("IMPORTRANGE(""132I0fvbfTDk_3h-QeYGrQ-F6z0A921MXbdqyLFsyN5Y"",""2026-27!AC4"")"),0.0)</f>
        <v>0</v>
      </c>
      <c r="BI13" s="59">
        <f>IFERROR(__xludf.DUMMYFUNCTION("IMPORTRANGE(""132I0fvbfTDk_3h-QeYGrQ-F6z0A921MXbdqyLFsyN5Y"",""2026-27!AC3"")"),0.0)</f>
        <v>0</v>
      </c>
      <c r="BJ13" s="63" t="str">
        <f t="shared" si="24"/>
        <v/>
      </c>
      <c r="BK13" s="59">
        <f>IFERROR(__xludf.DUMMYFUNCTION("IMPORTRANGE(""132I0fvbfTDk_3h-QeYGrQ-F6z0A921MXbdqyLFsyN5Y"",""2026-27!AD4"")"),0.0)</f>
        <v>0</v>
      </c>
      <c r="BL13" s="59">
        <f>IFERROR(__xludf.DUMMYFUNCTION("IMPORTRANGE(""132I0fvbfTDk_3h-QeYGrQ-F6z0A921MXbdqyLFsyN5Y"",""2026-27!AD3"")"),0.0)</f>
        <v>0</v>
      </c>
      <c r="BM13" s="59">
        <f>IFERROR(__xludf.DUMMYFUNCTION("IMPORTRANGE(""132I0fvbfTDk_3h-QeYGrQ-F6z0A921MXbdqyLFsyN5Y"",""2026-27!AE4"")"),0.0)</f>
        <v>0</v>
      </c>
      <c r="BN13" s="59">
        <f>IFERROR(__xludf.DUMMYFUNCTION("IMPORTRANGE(""132I0fvbfTDk_3h-QeYGrQ-F6z0A921MXbdqyLFsyN5Y"",""2026-27!AE3"")"),0.0)</f>
        <v>0</v>
      </c>
      <c r="BO13" s="59">
        <f>IFERROR(__xludf.DUMMYFUNCTION("IMPORTRANGE(""132I0fvbfTDk_3h-QeYGrQ-F6z0A921MXbdqyLFsyN5Y"",""2026-27!AF4"")"),0.0)</f>
        <v>0</v>
      </c>
      <c r="BP13" s="59">
        <f>IFERROR(__xludf.DUMMYFUNCTION("IMPORTRANGE(""132I0fvbfTDk_3h-QeYGrQ-F6z0A921MXbdqyLFsyN5Y"",""2026-27!AF3"")"),0.0)</f>
        <v>0</v>
      </c>
      <c r="BQ13" s="63" t="str">
        <f t="shared" si="25"/>
        <v/>
      </c>
      <c r="BR13" s="59">
        <f>IFERROR(__xludf.DUMMYFUNCTION("IMPORTRANGE(""132I0fvbfTDk_3h-QeYGrQ-F6z0A921MXbdqyLFsyN5Y"",""2026-27!AG4"")"),0.0)</f>
        <v>0</v>
      </c>
      <c r="BS13" s="59">
        <f>IFERROR(__xludf.DUMMYFUNCTION("IMPORTRANGE(""132I0fvbfTDk_3h-QeYGrQ-F6z0A921MXbdqyLFsyN5Y"",""2026-27!AG3"")"),0.0)</f>
        <v>0</v>
      </c>
      <c r="BT13" s="59">
        <f>IFERROR(__xludf.DUMMYFUNCTION("IMPORTRANGE(""132I0fvbfTDk_3h-QeYGrQ-F6z0A921MXbdqyLFsyN5Y"",""2026-27!AH4"")"),0.0)</f>
        <v>0</v>
      </c>
      <c r="BU13" s="59">
        <f>IFERROR(__xludf.DUMMYFUNCTION("IMPORTRANGE(""132I0fvbfTDk_3h-QeYGrQ-F6z0A921MXbdqyLFsyN5Y"",""2026-27!AH3"")"),0.0)</f>
        <v>0</v>
      </c>
      <c r="BV13" s="59">
        <f>IFERROR(__xludf.DUMMYFUNCTION("IMPORTRANGE(""132I0fvbfTDk_3h-QeYGrQ-F6z0A921MXbdqyLFsyN5Y"",""2026-27!AI4"")"),0.0)</f>
        <v>0</v>
      </c>
      <c r="BW13" s="59">
        <f>IFERROR(__xludf.DUMMYFUNCTION("IMPORTRANGE(""132I0fvbfTDk_3h-QeYGrQ-F6z0A921MXbdqyLFsyN5Y"",""2026-27!AI3"")"),0.0)</f>
        <v>0</v>
      </c>
      <c r="BX13" s="63" t="str">
        <f t="shared" si="26"/>
        <v/>
      </c>
      <c r="BY13" s="59">
        <f>IFERROR(__xludf.DUMMYFUNCTION("IMPORTRANGE(""132I0fvbfTDk_3h-QeYGrQ-F6z0A921MXbdqyLFsyN5Y"",""2026-27!AJ4"")"),0.0)</f>
        <v>0</v>
      </c>
      <c r="BZ13" s="59">
        <f>IFERROR(__xludf.DUMMYFUNCTION("IMPORTRANGE(""132I0fvbfTDk_3h-QeYGrQ-F6z0A921MXbdqyLFsyN5Y"",""2026-27!AJ3"")"),0.0)</f>
        <v>0</v>
      </c>
      <c r="CA13" s="59">
        <f>IFERROR(__xludf.DUMMYFUNCTION("IMPORTRANGE(""132I0fvbfTDk_3h-QeYGrQ-F6z0A921MXbdqyLFsyN5Y"",""2026-27!AK4"")"),0.0)</f>
        <v>0</v>
      </c>
      <c r="CB13" s="59">
        <f>IFERROR(__xludf.DUMMYFUNCTION("IMPORTRANGE(""132I0fvbfTDk_3h-QeYGrQ-F6z0A921MXbdqyLFsyN5Y"",""2026-27!AK3"")"),0.0)</f>
        <v>0</v>
      </c>
      <c r="CC13" s="59">
        <f>IFERROR(__xludf.DUMMYFUNCTION("IMPORTRANGE(""132I0fvbfTDk_3h-QeYGrQ-F6z0A921MXbdqyLFsyN5Y"",""2026-27!AL4"")"),0.0)</f>
        <v>0</v>
      </c>
      <c r="CD13" s="59">
        <f>IFERROR(__xludf.DUMMYFUNCTION("IMPORTRANGE(""132I0fvbfTDk_3h-QeYGrQ-F6z0A921MXbdqyLFsyN5Y"",""2026-27!AL3"")"),0.0)</f>
        <v>0</v>
      </c>
      <c r="CE13" s="63" t="str">
        <f t="shared" si="27"/>
        <v/>
      </c>
      <c r="CF13" s="59">
        <f>IFERROR(__xludf.DUMMYFUNCTION("IMPORTRANGE(""132I0fvbfTDk_3h-QeYGrQ-F6z0A921MXbdqyLFsyN5Y"",""2026-27!AM4"")"),0.0)</f>
        <v>0</v>
      </c>
      <c r="CG13" s="59">
        <f>IFERROR(__xludf.DUMMYFUNCTION("IMPORTRANGE(""132I0fvbfTDk_3h-QeYGrQ-F6z0A921MXbdqyLFsyN5Y"",""2026-27!AM3"")"),0.0)</f>
        <v>0</v>
      </c>
      <c r="CH13" s="59">
        <f>IFERROR(__xludf.DUMMYFUNCTION("IMPORTRANGE(""132I0fvbfTDk_3h-QeYGrQ-F6z0A921MXbdqyLFsyN5Y"",""2026-27!AN4"")"),0.0)</f>
        <v>0</v>
      </c>
      <c r="CI13" s="59">
        <f>IFERROR(__xludf.DUMMYFUNCTION("IMPORTRANGE(""132I0fvbfTDk_3h-QeYGrQ-F6z0A921MXbdqyLFsyN5Y"",""2026-27!AN3"")"),0.0)</f>
        <v>0</v>
      </c>
      <c r="CJ13" s="59">
        <f>IFERROR(__xludf.DUMMYFUNCTION("IMPORTRANGE(""132I0fvbfTDk_3h-QeYGrQ-F6z0A921MXbdqyLFsyN5Y"",""2026-27!AO4"")"),0.0)</f>
        <v>0</v>
      </c>
      <c r="CK13" s="59">
        <f>IFERROR(__xludf.DUMMYFUNCTION("IMPORTRANGE(""132I0fvbfTDk_3h-QeYGrQ-F6z0A921MXbdqyLFsyN5Y"",""2026-27!AO3"")"),0.0)</f>
        <v>0</v>
      </c>
      <c r="CL13" s="63" t="str">
        <f t="shared" si="28"/>
        <v/>
      </c>
      <c r="CM13" s="59">
        <f>IFERROR(__xludf.DUMMYFUNCTION("IMPORTRANGE(""132I0fvbfTDk_3h-QeYGrQ-F6z0A921MXbdqyLFsyN5Y"",""2026-27!AP4"")"),0.0)</f>
        <v>0</v>
      </c>
      <c r="CN13" s="59">
        <f>IFERROR(__xludf.DUMMYFUNCTION("IMPORTRANGE(""132I0fvbfTDk_3h-QeYGrQ-F6z0A921MXbdqyLFsyN5Y"",""2026-27!AP3"")"),0.0)</f>
        <v>0</v>
      </c>
      <c r="CO13" s="59">
        <f>IFERROR(__xludf.DUMMYFUNCTION("IMPORTRANGE(""132I0fvbfTDk_3h-QeYGrQ-F6z0A921MXbdqyLFsyN5Y"",""2026-27!AQ4"")"),0.0)</f>
        <v>0</v>
      </c>
      <c r="CP13" s="59">
        <f>IFERROR(__xludf.DUMMYFUNCTION("IMPORTRANGE(""132I0fvbfTDk_3h-QeYGrQ-F6z0A921MXbdqyLFsyN5Y"",""2026-27!AQ3"")"),0.0)</f>
        <v>0</v>
      </c>
      <c r="CQ13" s="59">
        <f>IFERROR(__xludf.DUMMYFUNCTION("IMPORTRANGE(""132I0fvbfTDk_3h-QeYGrQ-F6z0A921MXbdqyLFsyN5Y"",""2026-27!AR4"")"),0.0)</f>
        <v>0</v>
      </c>
      <c r="CR13" s="59">
        <f>IFERROR(__xludf.DUMMYFUNCTION("IMPORTRANGE(""132I0fvbfTDk_3h-QeYGrQ-F6z0A921MXbdqyLFsyN5Y"",""2026-27!AR3"")"),0.0)</f>
        <v>0</v>
      </c>
      <c r="CS13" s="63" t="str">
        <f t="shared" si="29"/>
        <v/>
      </c>
      <c r="CT13" s="59">
        <f>IFERROR(__xludf.DUMMYFUNCTION("IMPORTRANGE(""132I0fvbfTDk_3h-QeYGrQ-F6z0A921MXbdqyLFsyN5Y"",""2026-27!AS4"")"),0.0)</f>
        <v>0</v>
      </c>
      <c r="CU13" s="59">
        <f>IFERROR(__xludf.DUMMYFUNCTION("IMPORTRANGE(""132I0fvbfTDk_3h-QeYGrQ-F6z0A921MXbdqyLFsyN5Y"",""2026-27!AS3"")"),0.0)</f>
        <v>0</v>
      </c>
      <c r="CV13" s="64"/>
    </row>
    <row r="14">
      <c r="A14" s="67" t="s">
        <v>23</v>
      </c>
      <c r="B14" s="41"/>
      <c r="C14" s="65" t="s">
        <v>38</v>
      </c>
      <c r="D14" s="69" t="s">
        <v>39</v>
      </c>
      <c r="E14" s="72">
        <v>9.720224041E9</v>
      </c>
      <c r="F14" s="70">
        <v>46002.0</v>
      </c>
      <c r="G14" s="66"/>
      <c r="H14" s="66"/>
      <c r="I14" s="74">
        <v>30405.0</v>
      </c>
      <c r="J14" s="58">
        <v>1300000.0</v>
      </c>
      <c r="K14" s="59">
        <f>IFERROR(__xludf.DUMMYFUNCTION("IMPORTRANGE(""1rYn_Flgp7jo7mcfA8eUDen14LV_dF62DRjmNbnJEK7k"",""2026-27!A3"")"),78.0)</f>
        <v>78</v>
      </c>
      <c r="L14" s="59">
        <f>IFERROR(__xludf.DUMMYFUNCTION("IMPORTRANGE(""1rYn_Flgp7jo7mcfA8eUDen14LV_dF62DRjmNbnJEK7k"",""2026-27!G4"")"),1.848E7)</f>
        <v>18480000</v>
      </c>
      <c r="M14" s="59">
        <f t="shared" si="15"/>
        <v>2430542.25</v>
      </c>
      <c r="N14" s="60">
        <f t="shared" si="16"/>
        <v>0.0915646645</v>
      </c>
      <c r="O14" s="61">
        <f t="shared" si="17"/>
        <v>1692115</v>
      </c>
      <c r="P14" s="59">
        <f>IFERROR(__xludf.DUMMYFUNCTION("IMPORTRANGE(""1rYn_Flgp7jo7mcfA8eUDen14LV_dF62DRjmNbnJEK7k"",""2026-27!J4"")"),1564000.0)</f>
        <v>1564000</v>
      </c>
      <c r="Q14" s="59">
        <f>IFERROR(__xludf.DUMMYFUNCTION("IMPORTRANGE(""1rYn_Flgp7jo7mcfA8eUDen14LV_dF62DRjmNbnJEK7k"",""2026-27!J3"")"),71.0)</f>
        <v>71</v>
      </c>
      <c r="R14" s="59">
        <f>IFERROR(__xludf.DUMMYFUNCTION("IMPORTRANGE(""1rYn_Flgp7jo7mcfA8eUDen14LV_dF62DRjmNbnJEK7k"",""2026-27!K4"")"),792884.83)</f>
        <v>792884.83</v>
      </c>
      <c r="S14" s="59">
        <f>IFERROR(__xludf.DUMMYFUNCTION("IMPORTRANGE(""1rYn_Flgp7jo7mcfA8eUDen14LV_dF62DRjmNbnJEK7k"",""2026-27!K3"")"),19.0)</f>
        <v>19</v>
      </c>
      <c r="T14" s="62">
        <f t="shared" si="18"/>
        <v>0.5282934783</v>
      </c>
      <c r="U14" s="59">
        <f>IFERROR(__xludf.DUMMYFUNCTION("IMPORTRANGE(""1rYn_Flgp7jo7mcfA8eUDen14LV_dF62DRjmNbnJEK7k"",""2026-27!L4"")"),826251.0)</f>
        <v>826251</v>
      </c>
      <c r="V14" s="59">
        <f>IFERROR(__xludf.DUMMYFUNCTION("IMPORTRANGE(""1rYn_Flgp7jo7mcfA8eUDen14LV_dF62DRjmNbnJEK7k"",""2026-27!L3"")"),25.0)</f>
        <v>25</v>
      </c>
      <c r="W14" s="59">
        <f>IFERROR(__xludf.DUMMYFUNCTION("IMPORTRANGE(""1rYn_Flgp7jo7mcfA8eUDen14LV_dF62DRjmNbnJEK7k"",""2026-27!m4"")"),1303001.0)</f>
        <v>1303001</v>
      </c>
      <c r="X14" s="59">
        <f>IFERROR(__xludf.DUMMYFUNCTION("IMPORTRANGE(""1rYn_Flgp7jo7mcfA8eUDen14LV_dF62DRjmNbnJEK7k"",""2026-27!m3"")"),74.0)</f>
        <v>74</v>
      </c>
      <c r="Y14" s="59">
        <f>IFERROR(__xludf.DUMMYFUNCTION("IMPORTRANGE(""1rYn_Flgp7jo7mcfA8eUDen14LV_dF62DRjmNbnJEK7k"",""2026-27!N4"")"),764525.93)</f>
        <v>764525.93</v>
      </c>
      <c r="Z14" s="59">
        <f>IFERROR(__xludf.DUMMYFUNCTION("IMPORTRANGE(""1rYn_Flgp7jo7mcfA8eUDen14LV_dF62DRjmNbnJEK7k"",""2026-27!N3"")"),25.0)</f>
        <v>25</v>
      </c>
      <c r="AA14" s="62">
        <f t="shared" si="19"/>
        <v>0.6645152229</v>
      </c>
      <c r="AB14" s="59">
        <f>IFERROR(__xludf.DUMMYFUNCTION("IMPORTRANGE(""1rYn_Flgp7jo7mcfA8eUDen14LV_dF62DRjmNbnJEK7k"",""2026-27!O4"")"),865864.0)</f>
        <v>865864</v>
      </c>
      <c r="AC14" s="59">
        <f>IFERROR(__xludf.DUMMYFUNCTION("IMPORTRANGE(""1rYn_Flgp7jo7mcfA8eUDen14LV_dF62DRjmNbnJEK7k"",""2026-27!O3"")"),31.0)</f>
        <v>31</v>
      </c>
      <c r="AD14" s="59">
        <f>IFERROR(__xludf.DUMMYFUNCTION("IMPORTRANGE(""1rYn_Flgp7jo7mcfA8eUDen14LV_dF62DRjmNbnJEK7k"",""2026-27!P4"")"),1352000.0)</f>
        <v>1352000</v>
      </c>
      <c r="AE14" s="59">
        <f>IFERROR(__xludf.DUMMYFUNCTION("IMPORTRANGE(""1rYn_Flgp7jo7mcfA8eUDen14LV_dF62DRjmNbnJEK7k"",""2026-27!P3"")"),77.0)</f>
        <v>77</v>
      </c>
      <c r="AF14" s="59">
        <f>IFERROR(__xludf.DUMMYFUNCTION("IMPORTRANGE(""1rYn_Flgp7jo7mcfA8eUDen14LV_dF62DRjmNbnJEK7k"",""2026-27!Q4"")"),873131.4899999999)</f>
        <v>873131.49</v>
      </c>
      <c r="AG14" s="59">
        <f>IFERROR(__xludf.DUMMYFUNCTION("IMPORTRANGE(""1rYn_Flgp7jo7mcfA8eUDen14LV_dF62DRjmNbnJEK7k"",""2026-27!Q3"")"),30.0)</f>
        <v>30</v>
      </c>
      <c r="AH14" s="62">
        <f t="shared" si="20"/>
        <v>0</v>
      </c>
      <c r="AI14" s="59">
        <f>IFERROR(__xludf.DUMMYFUNCTION("IMPORTRANGE(""1rYn_Flgp7jo7mcfA8eUDen14LV_dF62DRjmNbnJEK7k"",""2026-27!R4"")"),0.0)</f>
        <v>0</v>
      </c>
      <c r="AJ14" s="59">
        <f>IFERROR(__xludf.DUMMYFUNCTION("IMPORTRANGE(""1rYn_Flgp7jo7mcfA8eUDen14LV_dF62DRjmNbnJEK7k"",""2026-27!R3"")"),0.0)</f>
        <v>0</v>
      </c>
      <c r="AK14" s="59">
        <f>IFERROR(__xludf.DUMMYFUNCTION("IMPORTRANGE(""1rYn_Flgp7jo7mcfA8eUDen14LV_dF62DRjmNbnJEK7k"",""2026-27!S4"")"),0.0)</f>
        <v>0</v>
      </c>
      <c r="AL14" s="59">
        <f>IFERROR(__xludf.DUMMYFUNCTION("IMPORTRANGE(""1rYn_Flgp7jo7mcfA8eUDen14LV_dF62DRjmNbnJEK7k"",""2026-27!S3"")"),0.0)</f>
        <v>0</v>
      </c>
      <c r="AM14" s="59">
        <f>IFERROR(__xludf.DUMMYFUNCTION("IMPORTRANGE(""1rYn_Flgp7jo7mcfA8eUDen14LV_dF62DRjmNbnJEK7k"",""2026-27!T4"")"),0.0)</f>
        <v>0</v>
      </c>
      <c r="AN14" s="59">
        <f>IFERROR(__xludf.DUMMYFUNCTION("IMPORTRANGE(""1rYn_Flgp7jo7mcfA8eUDen14LV_dF62DRjmNbnJEK7k"",""2026-27!T3"")"),0.0)</f>
        <v>0</v>
      </c>
      <c r="AO14" s="62" t="str">
        <f t="shared" si="21"/>
        <v/>
      </c>
      <c r="AP14" s="59">
        <f>IFERROR(__xludf.DUMMYFUNCTION("IMPORTRANGE(""1rYn_Flgp7jo7mcfA8eUDen14LV_dF62DRjmNbnJEK7k"",""2026-27!U4"")"),0.0)</f>
        <v>0</v>
      </c>
      <c r="AQ14" s="59">
        <f>IFERROR(__xludf.DUMMYFUNCTION("IMPORTRANGE(""1rYn_Flgp7jo7mcfA8eUDen14LV_dF62DRjmNbnJEK7k"",""2026-27!U3"")"),0.0)</f>
        <v>0</v>
      </c>
      <c r="AR14" s="59">
        <f>IFERROR(__xludf.DUMMYFUNCTION("IMPORTRANGE(""1rYn_Flgp7jo7mcfA8eUDen14LV_dF62DRjmNbnJEK7k"",""2026-27!V4"")"),0.0)</f>
        <v>0</v>
      </c>
      <c r="AS14" s="59">
        <f>IFERROR(__xludf.DUMMYFUNCTION("IMPORTRANGE(""1rYn_Flgp7jo7mcfA8eUDen14LV_dF62DRjmNbnJEK7k"",""2026-27!V3"")"),0.0)</f>
        <v>0</v>
      </c>
      <c r="AT14" s="59">
        <f>IFERROR(__xludf.DUMMYFUNCTION("IMPORTRANGE(""1rYn_Flgp7jo7mcfA8eUDen14LV_dF62DRjmNbnJEK7k"",""2026-27!W4"")"),0.0)</f>
        <v>0</v>
      </c>
      <c r="AU14" s="59">
        <f>IFERROR(__xludf.DUMMYFUNCTION("IMPORTRANGE(""1rYn_Flgp7jo7mcfA8eUDen14LV_dF62DRjmNbnJEK7k"",""2026-27!W3"")"),0.0)</f>
        <v>0</v>
      </c>
      <c r="AV14" s="62" t="str">
        <f t="shared" si="22"/>
        <v/>
      </c>
      <c r="AW14" s="59">
        <f>IFERROR(__xludf.DUMMYFUNCTION("IMPORTRANGE(""1rYn_Flgp7jo7mcfA8eUDen14LV_dF62DRjmNbnJEK7k"",""2026-27!X4"")"),0.0)</f>
        <v>0</v>
      </c>
      <c r="AX14" s="59">
        <f>IFERROR(__xludf.DUMMYFUNCTION("IMPORTRANGE(""1rYn_Flgp7jo7mcfA8eUDen14LV_dF62DRjmNbnJEK7k"",""2026-27!X3"")"),0.0)</f>
        <v>0</v>
      </c>
      <c r="AY14" s="59">
        <f>IFERROR(__xludf.DUMMYFUNCTION("IMPORTRANGE(""1rYn_Flgp7jo7mcfA8eUDen14LV_dF62DRjmNbnJEK7k"",""2026-27!Y4"")"),0.0)</f>
        <v>0</v>
      </c>
      <c r="AZ14" s="59">
        <f>IFERROR(__xludf.DUMMYFUNCTION("IMPORTRANGE(""1rYn_Flgp7jo7mcfA8eUDen14LV_dF62DRjmNbnJEK7k"",""2026-27!Y3"")"),0.0)</f>
        <v>0</v>
      </c>
      <c r="BA14" s="59">
        <f>IFERROR(__xludf.DUMMYFUNCTION("IMPORTRANGE(""1rYn_Flgp7jo7mcfA8eUDen14LV_dF62DRjmNbnJEK7k"",""2026-27!Z4"")"),0.0)</f>
        <v>0</v>
      </c>
      <c r="BB14" s="59">
        <f>IFERROR(__xludf.DUMMYFUNCTION("IMPORTRANGE(""1rYn_Flgp7jo7mcfA8eUDen14LV_dF62DRjmNbnJEK7k"",""2026-27!Z3"")"),0.0)</f>
        <v>0</v>
      </c>
      <c r="BC14" s="63" t="str">
        <f t="shared" si="23"/>
        <v/>
      </c>
      <c r="BD14" s="59">
        <f>IFERROR(__xludf.DUMMYFUNCTION("IMPORTRANGE(""1rYn_Flgp7jo7mcfA8eUDen14LV_dF62DRjmNbnJEK7k"",""2026-27!AA4"")"),0.0)</f>
        <v>0</v>
      </c>
      <c r="BE14" s="59">
        <f>IFERROR(__xludf.DUMMYFUNCTION("IMPORTRANGE(""1rYn_Flgp7jo7mcfA8eUDen14LV_dF62DRjmNbnJEK7k"",""2026-27!AA3"")"),0.0)</f>
        <v>0</v>
      </c>
      <c r="BF14" s="59">
        <f>IFERROR(__xludf.DUMMYFUNCTION("IMPORTRANGE(""1rYn_Flgp7jo7mcfA8eUDen14LV_dF62DRjmNbnJEK7k"",""2026-27!AB4"")"),0.0)</f>
        <v>0</v>
      </c>
      <c r="BG14" s="59">
        <f>IFERROR(__xludf.DUMMYFUNCTION("IMPORTRANGE(""1rYn_Flgp7jo7mcfA8eUDen14LV_dF62DRjmNbnJEK7k"",""2026-27!AB3"")"),0.0)</f>
        <v>0</v>
      </c>
      <c r="BH14" s="59">
        <f>IFERROR(__xludf.DUMMYFUNCTION("IMPORTRANGE(""1rYn_Flgp7jo7mcfA8eUDen14LV_dF62DRjmNbnJEK7k"",""2026-27!AC4"")"),0.0)</f>
        <v>0</v>
      </c>
      <c r="BI14" s="59">
        <f>IFERROR(__xludf.DUMMYFUNCTION("IMPORTRANGE(""1rYn_Flgp7jo7mcfA8eUDen14LV_dF62DRjmNbnJEK7k"",""2026-27!AC3"")"),0.0)</f>
        <v>0</v>
      </c>
      <c r="BJ14" s="63" t="str">
        <f t="shared" si="24"/>
        <v/>
      </c>
      <c r="BK14" s="59">
        <f>IFERROR(__xludf.DUMMYFUNCTION("IMPORTRANGE(""1rYn_Flgp7jo7mcfA8eUDen14LV_dF62DRjmNbnJEK7k"",""2026-27!AD4"")"),0.0)</f>
        <v>0</v>
      </c>
      <c r="BL14" s="59">
        <f>IFERROR(__xludf.DUMMYFUNCTION("IMPORTRANGE(""1rYn_Flgp7jo7mcfA8eUDen14LV_dF62DRjmNbnJEK7k"",""2026-27!AD3"")"),0.0)</f>
        <v>0</v>
      </c>
      <c r="BM14" s="59">
        <f>IFERROR(__xludf.DUMMYFUNCTION("IMPORTRANGE(""1rYn_Flgp7jo7mcfA8eUDen14LV_dF62DRjmNbnJEK7k"",""2026-27!AE4"")"),0.0)</f>
        <v>0</v>
      </c>
      <c r="BN14" s="59">
        <f>IFERROR(__xludf.DUMMYFUNCTION("IMPORTRANGE(""1rYn_Flgp7jo7mcfA8eUDen14LV_dF62DRjmNbnJEK7k"",""2026-27!AE3"")"),0.0)</f>
        <v>0</v>
      </c>
      <c r="BO14" s="59">
        <f>IFERROR(__xludf.DUMMYFUNCTION("IMPORTRANGE(""1rYn_Flgp7jo7mcfA8eUDen14LV_dF62DRjmNbnJEK7k"",""2026-27!AF4"")"),0.0)</f>
        <v>0</v>
      </c>
      <c r="BP14" s="59">
        <f>IFERROR(__xludf.DUMMYFUNCTION("IMPORTRANGE(""1rYn_Flgp7jo7mcfA8eUDen14LV_dF62DRjmNbnJEK7k"",""2026-27!AF3"")"),0.0)</f>
        <v>0</v>
      </c>
      <c r="BQ14" s="63" t="str">
        <f t="shared" si="25"/>
        <v/>
      </c>
      <c r="BR14" s="59">
        <f>IFERROR(__xludf.DUMMYFUNCTION("IMPORTRANGE(""1rYn_Flgp7jo7mcfA8eUDen14LV_dF62DRjmNbnJEK7k"",""2026-27!AG4"")"),0.0)</f>
        <v>0</v>
      </c>
      <c r="BS14" s="59">
        <f>IFERROR(__xludf.DUMMYFUNCTION("IMPORTRANGE(""1rYn_Flgp7jo7mcfA8eUDen14LV_dF62DRjmNbnJEK7k"",""2026-27!AG3"")"),0.0)</f>
        <v>0</v>
      </c>
      <c r="BT14" s="59">
        <f>IFERROR(__xludf.DUMMYFUNCTION("IMPORTRANGE(""1rYn_Flgp7jo7mcfA8eUDen14LV_dF62DRjmNbnJEK7k"",""2026-27!AH4"")"),0.0)</f>
        <v>0</v>
      </c>
      <c r="BU14" s="59">
        <f>IFERROR(__xludf.DUMMYFUNCTION("IMPORTRANGE(""1rYn_Flgp7jo7mcfA8eUDen14LV_dF62DRjmNbnJEK7k"",""2026-27!AH3"")"),0.0)</f>
        <v>0</v>
      </c>
      <c r="BV14" s="59">
        <f>IFERROR(__xludf.DUMMYFUNCTION("IMPORTRANGE(""1rYn_Flgp7jo7mcfA8eUDen14LV_dF62DRjmNbnJEK7k"",""2026-27!AI4"")"),0.0)</f>
        <v>0</v>
      </c>
      <c r="BW14" s="59">
        <f>IFERROR(__xludf.DUMMYFUNCTION("IMPORTRANGE(""1rYn_Flgp7jo7mcfA8eUDen14LV_dF62DRjmNbnJEK7k"",""2026-27!AI3"")"),0.0)</f>
        <v>0</v>
      </c>
      <c r="BX14" s="63" t="str">
        <f t="shared" si="26"/>
        <v/>
      </c>
      <c r="BY14" s="59">
        <f>IFERROR(__xludf.DUMMYFUNCTION("IMPORTRANGE(""1rYn_Flgp7jo7mcfA8eUDen14LV_dF62DRjmNbnJEK7k"",""2026-27!AJ4"")"),0.0)</f>
        <v>0</v>
      </c>
      <c r="BZ14" s="59">
        <f>IFERROR(__xludf.DUMMYFUNCTION("IMPORTRANGE(""1rYn_Flgp7jo7mcfA8eUDen14LV_dF62DRjmNbnJEK7k"",""2026-27!AJ3"")"),0.0)</f>
        <v>0</v>
      </c>
      <c r="CA14" s="59">
        <f>IFERROR(__xludf.DUMMYFUNCTION("IMPORTRANGE(""1rYn_Flgp7jo7mcfA8eUDen14LV_dF62DRjmNbnJEK7k"",""2026-27!AK4"")"),0.0)</f>
        <v>0</v>
      </c>
      <c r="CB14" s="59">
        <f>IFERROR(__xludf.DUMMYFUNCTION("IMPORTRANGE(""1rYn_Flgp7jo7mcfA8eUDen14LV_dF62DRjmNbnJEK7k"",""2026-27!AK3"")"),0.0)</f>
        <v>0</v>
      </c>
      <c r="CC14" s="59">
        <f>IFERROR(__xludf.DUMMYFUNCTION("IMPORTRANGE(""1rYn_Flgp7jo7mcfA8eUDen14LV_dF62DRjmNbnJEK7k"",""2026-27!AL4"")"),0.0)</f>
        <v>0</v>
      </c>
      <c r="CD14" s="59">
        <f>IFERROR(__xludf.DUMMYFUNCTION("IMPORTRANGE(""1rYn_Flgp7jo7mcfA8eUDen14LV_dF62DRjmNbnJEK7k"",""2026-27!AL3"")"),0.0)</f>
        <v>0</v>
      </c>
      <c r="CE14" s="63" t="str">
        <f t="shared" si="27"/>
        <v/>
      </c>
      <c r="CF14" s="59">
        <f>IFERROR(__xludf.DUMMYFUNCTION("IMPORTRANGE(""1rYn_Flgp7jo7mcfA8eUDen14LV_dF62DRjmNbnJEK7k"",""2026-27!AM4"")"),0.0)</f>
        <v>0</v>
      </c>
      <c r="CG14" s="59">
        <f>IFERROR(__xludf.DUMMYFUNCTION("IMPORTRANGE(""1rYn_Flgp7jo7mcfA8eUDen14LV_dF62DRjmNbnJEK7k"",""2026-27!AM3"")"),0.0)</f>
        <v>0</v>
      </c>
      <c r="CH14" s="59">
        <f>IFERROR(__xludf.DUMMYFUNCTION("IMPORTRANGE(""1rYn_Flgp7jo7mcfA8eUDen14LV_dF62DRjmNbnJEK7k"",""2026-27!AN4"")"),0.0)</f>
        <v>0</v>
      </c>
      <c r="CI14" s="59">
        <f>IFERROR(__xludf.DUMMYFUNCTION("IMPORTRANGE(""1rYn_Flgp7jo7mcfA8eUDen14LV_dF62DRjmNbnJEK7k"",""2026-27!AN3"")"),0.0)</f>
        <v>0</v>
      </c>
      <c r="CJ14" s="59">
        <f>IFERROR(__xludf.DUMMYFUNCTION("IMPORTRANGE(""1rYn_Flgp7jo7mcfA8eUDen14LV_dF62DRjmNbnJEK7k"",""2026-27!AO4"")"),0.0)</f>
        <v>0</v>
      </c>
      <c r="CK14" s="59">
        <f>IFERROR(__xludf.DUMMYFUNCTION("IMPORTRANGE(""1rYn_Flgp7jo7mcfA8eUDen14LV_dF62DRjmNbnJEK7k"",""2026-27!AO3"")"),0.0)</f>
        <v>0</v>
      </c>
      <c r="CL14" s="63" t="str">
        <f t="shared" si="28"/>
        <v/>
      </c>
      <c r="CM14" s="59">
        <f>IFERROR(__xludf.DUMMYFUNCTION("IMPORTRANGE(""1rYn_Flgp7jo7mcfA8eUDen14LV_dF62DRjmNbnJEK7k"",""2026-27!AP4"")"),0.0)</f>
        <v>0</v>
      </c>
      <c r="CN14" s="59">
        <f>IFERROR(__xludf.DUMMYFUNCTION("IMPORTRANGE(""1rYn_Flgp7jo7mcfA8eUDen14LV_dF62DRjmNbnJEK7k"",""2026-27!AP3"")"),0.0)</f>
        <v>0</v>
      </c>
      <c r="CO14" s="59">
        <f>IFERROR(__xludf.DUMMYFUNCTION("IMPORTRANGE(""1rYn_Flgp7jo7mcfA8eUDen14LV_dF62DRjmNbnJEK7k"",""2026-27!AQ4"")"),0.0)</f>
        <v>0</v>
      </c>
      <c r="CP14" s="59">
        <f>IFERROR(__xludf.DUMMYFUNCTION("IMPORTRANGE(""1rYn_Flgp7jo7mcfA8eUDen14LV_dF62DRjmNbnJEK7k"",""2026-27!AQ3"")"),0.0)</f>
        <v>0</v>
      </c>
      <c r="CQ14" s="59">
        <f>IFERROR(__xludf.DUMMYFUNCTION("IMPORTRANGE(""1rYn_Flgp7jo7mcfA8eUDen14LV_dF62DRjmNbnJEK7k"",""2026-27!AR4"")"),0.0)</f>
        <v>0</v>
      </c>
      <c r="CR14" s="59">
        <f>IFERROR(__xludf.DUMMYFUNCTION("IMPORTRANGE(""1rYn_Flgp7jo7mcfA8eUDen14LV_dF62DRjmNbnJEK7k"",""2026-27!AR3"")"),0.0)</f>
        <v>0</v>
      </c>
      <c r="CS14" s="63" t="str">
        <f t="shared" si="29"/>
        <v/>
      </c>
      <c r="CT14" s="59">
        <f>IFERROR(__xludf.DUMMYFUNCTION("IMPORTRANGE(""1rYn_Flgp7jo7mcfA8eUDen14LV_dF62DRjmNbnJEK7k"",""2026-27!AS4"")"),0.0)</f>
        <v>0</v>
      </c>
      <c r="CU14" s="59">
        <f>IFERROR(__xludf.DUMMYFUNCTION("IMPORTRANGE(""1rYn_Flgp7jo7mcfA8eUDen14LV_dF62DRjmNbnJEK7k"",""2026-27!AS3"")"),0.0)</f>
        <v>0</v>
      </c>
      <c r="CV14" s="64"/>
    </row>
    <row r="15">
      <c r="A15" s="67" t="s">
        <v>23</v>
      </c>
      <c r="B15" s="47"/>
      <c r="C15" s="75" t="s">
        <v>40</v>
      </c>
      <c r="D15" s="69" t="s">
        <v>41</v>
      </c>
      <c r="E15" s="72">
        <v>7.536014712E9</v>
      </c>
      <c r="F15" s="70">
        <v>46069.0</v>
      </c>
      <c r="G15" s="66"/>
      <c r="H15" s="66"/>
      <c r="I15" s="74">
        <v>31455.0</v>
      </c>
      <c r="J15" s="58">
        <v>1300000.0</v>
      </c>
      <c r="K15" s="59">
        <f>IFERROR(__xludf.DUMMYFUNCTION("IMPORTRANGE(""1K_te1jkI-iFfbgNObYuqxjJkg-GYMv3I58ZA0lOYHRg"",""2026-27!A3"")"),54.0)</f>
        <v>54</v>
      </c>
      <c r="L15" s="59">
        <f>IFERROR(__xludf.DUMMYFUNCTION("IMPORTRANGE(""1K_te1jkI-iFfbgNObYuqxjJkg-GYMv3I58ZA0lOYHRg"",""2026-27!G4"")"),1.55E7)</f>
        <v>15500000</v>
      </c>
      <c r="M15" s="59">
        <f t="shared" si="15"/>
        <v>2780778.25</v>
      </c>
      <c r="N15" s="60">
        <f t="shared" si="16"/>
        <v>0.212592129</v>
      </c>
      <c r="O15" s="61">
        <f t="shared" si="17"/>
        <v>3295178</v>
      </c>
      <c r="P15" s="59">
        <f>IFERROR(__xludf.DUMMYFUNCTION("IMPORTRANGE(""1K_te1jkI-iFfbgNObYuqxjJkg-GYMv3I58ZA0lOYHRg"",""2026-27!J4"")"),1200000.0)</f>
        <v>1200000</v>
      </c>
      <c r="Q15" s="59">
        <f>IFERROR(__xludf.DUMMYFUNCTION("IMPORTRANGE(""1K_te1jkI-iFfbgNObYuqxjJkg-GYMv3I58ZA0lOYHRg"",""2026-27!J3"")"),24.0)</f>
        <v>24</v>
      </c>
      <c r="R15" s="59">
        <f>IFERROR(__xludf.DUMMYFUNCTION("IMPORTRANGE(""1K_te1jkI-iFfbgNObYuqxjJkg-GYMv3I58ZA0lOYHRg"",""2026-27!K4"")"),964275.7799999999)</f>
        <v>964275.78</v>
      </c>
      <c r="S15" s="59">
        <f>IFERROR(__xludf.DUMMYFUNCTION("IMPORTRANGE(""1K_te1jkI-iFfbgNObYuqxjJkg-GYMv3I58ZA0lOYHRg"",""2026-27!K3"")"),21.0)</f>
        <v>21</v>
      </c>
      <c r="T15" s="62">
        <f t="shared" si="18"/>
        <v>0.7448791667</v>
      </c>
      <c r="U15" s="59">
        <f>IFERROR(__xludf.DUMMYFUNCTION("IMPORTRANGE(""1K_te1jkI-iFfbgNObYuqxjJkg-GYMv3I58ZA0lOYHRg"",""2026-27!L4"")"),893855.0)</f>
        <v>893855</v>
      </c>
      <c r="V15" s="59">
        <f>IFERROR(__xludf.DUMMYFUNCTION("IMPORTRANGE(""1K_te1jkI-iFfbgNObYuqxjJkg-GYMv3I58ZA0lOYHRg"",""2026-27!L3"")"),22.0)</f>
        <v>22</v>
      </c>
      <c r="W15" s="59">
        <f>IFERROR(__xludf.DUMMYFUNCTION("IMPORTRANGE(""1K_te1jkI-iFfbgNObYuqxjJkg-GYMv3I58ZA0lOYHRg"",""2026-27!m4"")"),1300000.0)</f>
        <v>1300000</v>
      </c>
      <c r="X15" s="59">
        <f>IFERROR(__xludf.DUMMYFUNCTION("IMPORTRANGE(""1K_te1jkI-iFfbgNObYuqxjJkg-GYMv3I58ZA0lOYHRg"",""2026-27!m3"")"),34.0)</f>
        <v>34</v>
      </c>
      <c r="Y15" s="59">
        <f>IFERROR(__xludf.DUMMYFUNCTION("IMPORTRANGE(""1K_te1jkI-iFfbgNObYuqxjJkg-GYMv3I58ZA0lOYHRg"",""2026-27!N4"")"),806226.76)</f>
        <v>806226.76</v>
      </c>
      <c r="Z15" s="59">
        <f>IFERROR(__xludf.DUMMYFUNCTION("IMPORTRANGE(""1K_te1jkI-iFfbgNObYuqxjJkg-GYMv3I58ZA0lOYHRg"",""2026-27!N3"")"),25.0)</f>
        <v>25</v>
      </c>
      <c r="AA15" s="62">
        <f t="shared" si="19"/>
        <v>0.5797953846</v>
      </c>
      <c r="AB15" s="59">
        <f>IFERROR(__xludf.DUMMYFUNCTION("IMPORTRANGE(""1K_te1jkI-iFfbgNObYuqxjJkg-GYMv3I58ZA0lOYHRg"",""2026-27!O4"")"),753734.0)</f>
        <v>753734</v>
      </c>
      <c r="AC15" s="59">
        <f>IFERROR(__xludf.DUMMYFUNCTION("IMPORTRANGE(""1K_te1jkI-iFfbgNObYuqxjJkg-GYMv3I58ZA0lOYHRg"",""2026-27!O3"")"),25.0)</f>
        <v>25</v>
      </c>
      <c r="AD15" s="59">
        <f>IFERROR(__xludf.DUMMYFUNCTION("IMPORTRANGE(""1K_te1jkI-iFfbgNObYuqxjJkg-GYMv3I58ZA0lOYHRg"",""2026-27!P4"")"),1300000.0)</f>
        <v>1300000</v>
      </c>
      <c r="AE15" s="59">
        <f>IFERROR(__xludf.DUMMYFUNCTION("IMPORTRANGE(""1K_te1jkI-iFfbgNObYuqxjJkg-GYMv3I58ZA0lOYHRg"",""2026-27!P3"")"),34.0)</f>
        <v>34</v>
      </c>
      <c r="AF15" s="59">
        <f>IFERROR(__xludf.DUMMYFUNCTION("IMPORTRANGE(""1K_te1jkI-iFfbgNObYuqxjJkg-GYMv3I58ZA0lOYHRg"",""2026-27!Q4"")"),1010275.71)</f>
        <v>1010275.71</v>
      </c>
      <c r="AG15" s="59">
        <f>IFERROR(__xludf.DUMMYFUNCTION("IMPORTRANGE(""1K_te1jkI-iFfbgNObYuqxjJkg-GYMv3I58ZA0lOYHRg"",""2026-27!Q3"")"),33.0)</f>
        <v>33</v>
      </c>
      <c r="AH15" s="62">
        <f t="shared" si="20"/>
        <v>0.5797953846</v>
      </c>
      <c r="AI15" s="59">
        <f>IFERROR(__xludf.DUMMYFUNCTION("IMPORTRANGE(""1K_te1jkI-iFfbgNObYuqxjJkg-GYMv3I58ZA0lOYHRg"",""2026-27!R4"")"),753734.0)</f>
        <v>753734</v>
      </c>
      <c r="AJ15" s="59">
        <f>IFERROR(__xludf.DUMMYFUNCTION("IMPORTRANGE(""1K_te1jkI-iFfbgNObYuqxjJkg-GYMv3I58ZA0lOYHRg"",""2026-27!R3"")"),25.0)</f>
        <v>25</v>
      </c>
      <c r="AK15" s="59">
        <f>IFERROR(__xludf.DUMMYFUNCTION("IMPORTRANGE(""1K_te1jkI-iFfbgNObYuqxjJkg-GYMv3I58ZA0lOYHRg"",""2026-27!S4"")"),0.0)</f>
        <v>0</v>
      </c>
      <c r="AL15" s="59">
        <f>IFERROR(__xludf.DUMMYFUNCTION("IMPORTRANGE(""1K_te1jkI-iFfbgNObYuqxjJkg-GYMv3I58ZA0lOYHRg"",""2026-27!S3"")"),0.0)</f>
        <v>0</v>
      </c>
      <c r="AM15" s="59">
        <f>IFERROR(__xludf.DUMMYFUNCTION("IMPORTRANGE(""1K_te1jkI-iFfbgNObYuqxjJkg-GYMv3I58ZA0lOYHRg"",""2026-27!T4"")"),0.0)</f>
        <v>0</v>
      </c>
      <c r="AN15" s="59">
        <f>IFERROR(__xludf.DUMMYFUNCTION("IMPORTRANGE(""1K_te1jkI-iFfbgNObYuqxjJkg-GYMv3I58ZA0lOYHRg"",""2026-27!T3"")"),0.0)</f>
        <v>0</v>
      </c>
      <c r="AO15" s="62" t="str">
        <f t="shared" si="21"/>
        <v/>
      </c>
      <c r="AP15" s="59">
        <f>IFERROR(__xludf.DUMMYFUNCTION("IMPORTRANGE(""1K_te1jkI-iFfbgNObYuqxjJkg-GYMv3I58ZA0lOYHRg"",""2026-27!U4"")"),0.0)</f>
        <v>0</v>
      </c>
      <c r="AQ15" s="59">
        <f>IFERROR(__xludf.DUMMYFUNCTION("IMPORTRANGE(""1K_te1jkI-iFfbgNObYuqxjJkg-GYMv3I58ZA0lOYHRg"",""2026-27!U3"")"),0.0)</f>
        <v>0</v>
      </c>
      <c r="AR15" s="59">
        <f>IFERROR(__xludf.DUMMYFUNCTION("IMPORTRANGE(""1K_te1jkI-iFfbgNObYuqxjJkg-GYMv3I58ZA0lOYHRg"",""2026-27!V4"")"),0.0)</f>
        <v>0</v>
      </c>
      <c r="AS15" s="59">
        <f>IFERROR(__xludf.DUMMYFUNCTION("IMPORTRANGE(""1K_te1jkI-iFfbgNObYuqxjJkg-GYMv3I58ZA0lOYHRg"",""2026-27!V3"")"),0.0)</f>
        <v>0</v>
      </c>
      <c r="AT15" s="59">
        <f>IFERROR(__xludf.DUMMYFUNCTION("IMPORTRANGE(""1K_te1jkI-iFfbgNObYuqxjJkg-GYMv3I58ZA0lOYHRg"",""2026-27!W4"")"),0.0)</f>
        <v>0</v>
      </c>
      <c r="AU15" s="59">
        <f>IFERROR(__xludf.DUMMYFUNCTION("IMPORTRANGE(""1K_te1jkI-iFfbgNObYuqxjJkg-GYMv3I58ZA0lOYHRg"",""2026-27!W3"")"),0.0)</f>
        <v>0</v>
      </c>
      <c r="AV15" s="62" t="str">
        <f t="shared" si="22"/>
        <v/>
      </c>
      <c r="AW15" s="59">
        <f>IFERROR(__xludf.DUMMYFUNCTION("IMPORTRANGE(""1K_te1jkI-iFfbgNObYuqxjJkg-GYMv3I58ZA0lOYHRg"",""2026-27!X4"")"),0.0)</f>
        <v>0</v>
      </c>
      <c r="AX15" s="59">
        <f>IFERROR(__xludf.DUMMYFUNCTION("IMPORTRANGE(""1K_te1jkI-iFfbgNObYuqxjJkg-GYMv3I58ZA0lOYHRg"",""2026-27!X3"")"),0.0)</f>
        <v>0</v>
      </c>
      <c r="AY15" s="59">
        <f>IFERROR(__xludf.DUMMYFUNCTION("IMPORTRANGE(""1K_te1jkI-iFfbgNObYuqxjJkg-GYMv3I58ZA0lOYHRg"",""2026-27!Y4"")"),0.0)</f>
        <v>0</v>
      </c>
      <c r="AZ15" s="59">
        <f>IFERROR(__xludf.DUMMYFUNCTION("IMPORTRANGE(""1K_te1jkI-iFfbgNObYuqxjJkg-GYMv3I58ZA0lOYHRg"",""2026-27!Y3"")"),0.0)</f>
        <v>0</v>
      </c>
      <c r="BA15" s="59">
        <f>IFERROR(__xludf.DUMMYFUNCTION("IMPORTRANGE(""1K_te1jkI-iFfbgNObYuqxjJkg-GYMv3I58ZA0lOYHRg"",""2026-27!Z4"")"),0.0)</f>
        <v>0</v>
      </c>
      <c r="BB15" s="59">
        <f>IFERROR(__xludf.DUMMYFUNCTION("IMPORTRANGE(""1K_te1jkI-iFfbgNObYuqxjJkg-GYMv3I58ZA0lOYHRg"",""2026-27!Z3"")"),0.0)</f>
        <v>0</v>
      </c>
      <c r="BC15" s="63" t="str">
        <f t="shared" si="23"/>
        <v/>
      </c>
      <c r="BD15" s="59">
        <f>IFERROR(__xludf.DUMMYFUNCTION("IMPORTRANGE(""1K_te1jkI-iFfbgNObYuqxjJkg-GYMv3I58ZA0lOYHRg"",""2026-27!AA4"")"),0.0)</f>
        <v>0</v>
      </c>
      <c r="BE15" s="59">
        <f>IFERROR(__xludf.DUMMYFUNCTION("IMPORTRANGE(""1K_te1jkI-iFfbgNObYuqxjJkg-GYMv3I58ZA0lOYHRg"",""2026-27!AA3"")"),0.0)</f>
        <v>0</v>
      </c>
      <c r="BF15" s="59">
        <f>IFERROR(__xludf.DUMMYFUNCTION("IMPORTRANGE(""1K_te1jkI-iFfbgNObYuqxjJkg-GYMv3I58ZA0lOYHRg"",""2026-27!AB4"")"),0.0)</f>
        <v>0</v>
      </c>
      <c r="BG15" s="59">
        <f>IFERROR(__xludf.DUMMYFUNCTION("IMPORTRANGE(""1K_te1jkI-iFfbgNObYuqxjJkg-GYMv3I58ZA0lOYHRg"",""2026-27!AB3"")"),0.0)</f>
        <v>0</v>
      </c>
      <c r="BH15" s="59">
        <f>IFERROR(__xludf.DUMMYFUNCTION("IMPORTRANGE(""1K_te1jkI-iFfbgNObYuqxjJkg-GYMv3I58ZA0lOYHRg"",""2026-27!AC4"")"),0.0)</f>
        <v>0</v>
      </c>
      <c r="BI15" s="59">
        <f>IFERROR(__xludf.DUMMYFUNCTION("IMPORTRANGE(""1K_te1jkI-iFfbgNObYuqxjJkg-GYMv3I58ZA0lOYHRg"",""2026-27!AC3"")"),0.0)</f>
        <v>0</v>
      </c>
      <c r="BJ15" s="63" t="str">
        <f t="shared" si="24"/>
        <v/>
      </c>
      <c r="BK15" s="59">
        <f>IFERROR(__xludf.DUMMYFUNCTION("IMPORTRANGE(""1K_te1jkI-iFfbgNObYuqxjJkg-GYMv3I58ZA0lOYHRg"",""2026-27!AD4"")"),0.0)</f>
        <v>0</v>
      </c>
      <c r="BL15" s="59">
        <f>IFERROR(__xludf.DUMMYFUNCTION("IMPORTRANGE(""1K_te1jkI-iFfbgNObYuqxjJkg-GYMv3I58ZA0lOYHRg"",""2026-27!AD3"")"),0.0)</f>
        <v>0</v>
      </c>
      <c r="BM15" s="59">
        <f>IFERROR(__xludf.DUMMYFUNCTION("IMPORTRANGE(""1K_te1jkI-iFfbgNObYuqxjJkg-GYMv3I58ZA0lOYHRg"",""2026-27!AE4"")"),0.0)</f>
        <v>0</v>
      </c>
      <c r="BN15" s="59">
        <f>IFERROR(__xludf.DUMMYFUNCTION("IMPORTRANGE(""1K_te1jkI-iFfbgNObYuqxjJkg-GYMv3I58ZA0lOYHRg"",""2026-27!AE3"")"),0.0)</f>
        <v>0</v>
      </c>
      <c r="BO15" s="59">
        <f>IFERROR(__xludf.DUMMYFUNCTION("IMPORTRANGE(""1K_te1jkI-iFfbgNObYuqxjJkg-GYMv3I58ZA0lOYHRg"",""2026-27!AF4"")"),0.0)</f>
        <v>0</v>
      </c>
      <c r="BP15" s="59">
        <f>IFERROR(__xludf.DUMMYFUNCTION("IMPORTRANGE(""1K_te1jkI-iFfbgNObYuqxjJkg-GYMv3I58ZA0lOYHRg"",""2026-27!AF3"")"),0.0)</f>
        <v>0</v>
      </c>
      <c r="BQ15" s="63" t="str">
        <f t="shared" si="25"/>
        <v/>
      </c>
      <c r="BR15" s="59">
        <f>IFERROR(__xludf.DUMMYFUNCTION("IMPORTRANGE(""1K_te1jkI-iFfbgNObYuqxjJkg-GYMv3I58ZA0lOYHRg"",""2026-27!AG4"")"),0.0)</f>
        <v>0</v>
      </c>
      <c r="BS15" s="59">
        <f>IFERROR(__xludf.DUMMYFUNCTION("IMPORTRANGE(""1K_te1jkI-iFfbgNObYuqxjJkg-GYMv3I58ZA0lOYHRg"",""2026-27!AG3"")"),0.0)</f>
        <v>0</v>
      </c>
      <c r="BT15" s="59">
        <f>IFERROR(__xludf.DUMMYFUNCTION("IMPORTRANGE(""1K_te1jkI-iFfbgNObYuqxjJkg-GYMv3I58ZA0lOYHRg"",""2026-27!AH4"")"),0.0)</f>
        <v>0</v>
      </c>
      <c r="BU15" s="59">
        <f>IFERROR(__xludf.DUMMYFUNCTION("IMPORTRANGE(""1K_te1jkI-iFfbgNObYuqxjJkg-GYMv3I58ZA0lOYHRg"",""2026-27!AH3"")"),0.0)</f>
        <v>0</v>
      </c>
      <c r="BV15" s="59">
        <f>IFERROR(__xludf.DUMMYFUNCTION("IMPORTRANGE(""1K_te1jkI-iFfbgNObYuqxjJkg-GYMv3I58ZA0lOYHRg"",""2026-27!AI4"")"),0.0)</f>
        <v>0</v>
      </c>
      <c r="BW15" s="59">
        <f>IFERROR(__xludf.DUMMYFUNCTION("IMPORTRANGE(""1K_te1jkI-iFfbgNObYuqxjJkg-GYMv3I58ZA0lOYHRg"",""2026-27!AI3"")"),0.0)</f>
        <v>0</v>
      </c>
      <c r="BX15" s="63" t="str">
        <f t="shared" si="26"/>
        <v/>
      </c>
      <c r="BY15" s="59">
        <f>IFERROR(__xludf.DUMMYFUNCTION("IMPORTRANGE(""1K_te1jkI-iFfbgNObYuqxjJkg-GYMv3I58ZA0lOYHRg"",""2026-27!AJ4"")"),0.0)</f>
        <v>0</v>
      </c>
      <c r="BZ15" s="59">
        <f>IFERROR(__xludf.DUMMYFUNCTION("IMPORTRANGE(""1K_te1jkI-iFfbgNObYuqxjJkg-GYMv3I58ZA0lOYHRg"",""2026-27!AJ3"")"),0.0)</f>
        <v>0</v>
      </c>
      <c r="CA15" s="59">
        <f>IFERROR(__xludf.DUMMYFUNCTION("IMPORTRANGE(""1K_te1jkI-iFfbgNObYuqxjJkg-GYMv3I58ZA0lOYHRg"",""2026-27!AK4"")"),0.0)</f>
        <v>0</v>
      </c>
      <c r="CB15" s="59">
        <f>IFERROR(__xludf.DUMMYFUNCTION("IMPORTRANGE(""1K_te1jkI-iFfbgNObYuqxjJkg-GYMv3I58ZA0lOYHRg"",""2026-27!AK3"")"),0.0)</f>
        <v>0</v>
      </c>
      <c r="CC15" s="59">
        <f>IFERROR(__xludf.DUMMYFUNCTION("IMPORTRANGE(""1K_te1jkI-iFfbgNObYuqxjJkg-GYMv3I58ZA0lOYHRg"",""2026-27!AL4"")"),0.0)</f>
        <v>0</v>
      </c>
      <c r="CD15" s="59">
        <f>IFERROR(__xludf.DUMMYFUNCTION("IMPORTRANGE(""1K_te1jkI-iFfbgNObYuqxjJkg-GYMv3I58ZA0lOYHRg"",""2026-27!AL3"")"),0.0)</f>
        <v>0</v>
      </c>
      <c r="CE15" s="63" t="str">
        <f t="shared" si="27"/>
        <v/>
      </c>
      <c r="CF15" s="59">
        <f>IFERROR(__xludf.DUMMYFUNCTION("IMPORTRANGE(""1K_te1jkI-iFfbgNObYuqxjJkg-GYMv3I58ZA0lOYHRg"",""2026-27!AM4"")"),0.0)</f>
        <v>0</v>
      </c>
      <c r="CG15" s="59">
        <f>IFERROR(__xludf.DUMMYFUNCTION("IMPORTRANGE(""1K_te1jkI-iFfbgNObYuqxjJkg-GYMv3I58ZA0lOYHRg"",""2026-27!AM3"")"),0.0)</f>
        <v>0</v>
      </c>
      <c r="CH15" s="59">
        <f>IFERROR(__xludf.DUMMYFUNCTION("IMPORTRANGE(""1K_te1jkI-iFfbgNObYuqxjJkg-GYMv3I58ZA0lOYHRg"",""2026-27!AN4"")"),0.0)</f>
        <v>0</v>
      </c>
      <c r="CI15" s="59">
        <f>IFERROR(__xludf.DUMMYFUNCTION("IMPORTRANGE(""1K_te1jkI-iFfbgNObYuqxjJkg-GYMv3I58ZA0lOYHRg"",""2026-27!AN3"")"),0.0)</f>
        <v>0</v>
      </c>
      <c r="CJ15" s="59">
        <f>IFERROR(__xludf.DUMMYFUNCTION("IMPORTRANGE(""1K_te1jkI-iFfbgNObYuqxjJkg-GYMv3I58ZA0lOYHRg"",""2026-27!AO4"")"),0.0)</f>
        <v>0</v>
      </c>
      <c r="CK15" s="59">
        <f>IFERROR(__xludf.DUMMYFUNCTION("IMPORTRANGE(""1K_te1jkI-iFfbgNObYuqxjJkg-GYMv3I58ZA0lOYHRg"",""2026-27!AO3"")"),0.0)</f>
        <v>0</v>
      </c>
      <c r="CL15" s="63" t="str">
        <f t="shared" si="28"/>
        <v/>
      </c>
      <c r="CM15" s="59">
        <f>IFERROR(__xludf.DUMMYFUNCTION("IMPORTRANGE(""1K_te1jkI-iFfbgNObYuqxjJkg-GYMv3I58ZA0lOYHRg"",""2026-27!AP4"")"),0.0)</f>
        <v>0</v>
      </c>
      <c r="CN15" s="59">
        <f>IFERROR(__xludf.DUMMYFUNCTION("IMPORTRANGE(""1K_te1jkI-iFfbgNObYuqxjJkg-GYMv3I58ZA0lOYHRg"",""2026-27!AP3"")"),0.0)</f>
        <v>0</v>
      </c>
      <c r="CO15" s="59">
        <f>IFERROR(__xludf.DUMMYFUNCTION("IMPORTRANGE(""1K_te1jkI-iFfbgNObYuqxjJkg-GYMv3I58ZA0lOYHRg"",""2026-27!AQ4"")"),0.0)</f>
        <v>0</v>
      </c>
      <c r="CP15" s="59">
        <f>IFERROR(__xludf.DUMMYFUNCTION("IMPORTRANGE(""1K_te1jkI-iFfbgNObYuqxjJkg-GYMv3I58ZA0lOYHRg"",""2026-27!AQ3"")"),0.0)</f>
        <v>0</v>
      </c>
      <c r="CQ15" s="59">
        <f>IFERROR(__xludf.DUMMYFUNCTION("IMPORTRANGE(""1K_te1jkI-iFfbgNObYuqxjJkg-GYMv3I58ZA0lOYHRg"",""2026-27!AR4"")"),0.0)</f>
        <v>0</v>
      </c>
      <c r="CR15" s="59">
        <f>IFERROR(__xludf.DUMMYFUNCTION("IMPORTRANGE(""1K_te1jkI-iFfbgNObYuqxjJkg-GYMv3I58ZA0lOYHRg"",""2026-27!AR3"")"),0.0)</f>
        <v>0</v>
      </c>
      <c r="CS15" s="63" t="str">
        <f t="shared" si="29"/>
        <v/>
      </c>
      <c r="CT15" s="59">
        <f>IFERROR(__xludf.DUMMYFUNCTION("IMPORTRANGE(""1K_te1jkI-iFfbgNObYuqxjJkg-GYMv3I58ZA0lOYHRg"",""2026-27!AS4"")"),893855.0)</f>
        <v>893855</v>
      </c>
      <c r="CU15" s="59">
        <f>IFERROR(__xludf.DUMMYFUNCTION("IMPORTRANGE(""1K_te1jkI-iFfbgNObYuqxjJkg-GYMv3I58ZA0lOYHRg"",""2026-27!AS3"")"),22.0)</f>
        <v>22</v>
      </c>
      <c r="CV15" s="64"/>
    </row>
    <row r="16">
      <c r="A16" s="76"/>
      <c r="B16" s="77"/>
      <c r="C16" s="78" t="s">
        <v>42</v>
      </c>
      <c r="D16" s="53"/>
      <c r="E16" s="54"/>
      <c r="F16" s="55"/>
      <c r="G16" s="66"/>
      <c r="H16" s="66"/>
      <c r="I16" s="57"/>
      <c r="J16" s="58">
        <v>1300000.0</v>
      </c>
      <c r="K16" s="59"/>
      <c r="L16" s="59"/>
      <c r="M16" s="59"/>
      <c r="N16" s="60"/>
      <c r="O16" s="61"/>
      <c r="P16" s="59"/>
      <c r="Q16" s="59"/>
      <c r="R16" s="59"/>
      <c r="S16" s="59"/>
      <c r="T16" s="62"/>
      <c r="U16" s="59"/>
      <c r="V16" s="59"/>
      <c r="W16" s="59"/>
      <c r="X16" s="59"/>
      <c r="Y16" s="59"/>
      <c r="Z16" s="59"/>
      <c r="AA16" s="62"/>
      <c r="AB16" s="59"/>
      <c r="AC16" s="59"/>
      <c r="AD16" s="59"/>
      <c r="AE16" s="59"/>
      <c r="AF16" s="59"/>
      <c r="AG16" s="59"/>
      <c r="AH16" s="62"/>
      <c r="AI16" s="59"/>
      <c r="AJ16" s="59"/>
      <c r="AK16" s="59"/>
      <c r="AL16" s="59"/>
      <c r="AM16" s="59"/>
      <c r="AN16" s="59"/>
      <c r="AO16" s="62"/>
      <c r="AP16" s="59"/>
      <c r="AQ16" s="59"/>
      <c r="AR16" s="59"/>
      <c r="AS16" s="59"/>
      <c r="AT16" s="59"/>
      <c r="AU16" s="59"/>
      <c r="AV16" s="62"/>
      <c r="AW16" s="59"/>
      <c r="AX16" s="59"/>
      <c r="AY16" s="59"/>
      <c r="AZ16" s="59"/>
      <c r="BA16" s="59"/>
      <c r="BB16" s="59"/>
      <c r="BC16" s="63"/>
      <c r="BD16" s="59"/>
      <c r="BE16" s="59"/>
      <c r="BF16" s="59"/>
      <c r="BG16" s="59"/>
      <c r="BH16" s="59"/>
      <c r="BI16" s="59"/>
      <c r="BJ16" s="63"/>
      <c r="BK16" s="59"/>
      <c r="BL16" s="59"/>
      <c r="BM16" s="59"/>
      <c r="BN16" s="59"/>
      <c r="BO16" s="59"/>
      <c r="BP16" s="59"/>
      <c r="BQ16" s="63"/>
      <c r="BR16" s="59"/>
      <c r="BS16" s="59"/>
      <c r="BT16" s="59"/>
      <c r="BU16" s="59"/>
      <c r="BV16" s="59"/>
      <c r="BW16" s="59"/>
      <c r="BX16" s="63"/>
      <c r="BY16" s="59"/>
      <c r="BZ16" s="59"/>
      <c r="CA16" s="59"/>
      <c r="CB16" s="59"/>
      <c r="CC16" s="59"/>
      <c r="CD16" s="59"/>
      <c r="CE16" s="63"/>
      <c r="CF16" s="59"/>
      <c r="CG16" s="59"/>
      <c r="CH16" s="59"/>
      <c r="CI16" s="59"/>
      <c r="CJ16" s="59"/>
      <c r="CK16" s="59"/>
      <c r="CL16" s="63"/>
      <c r="CM16" s="59"/>
      <c r="CN16" s="59"/>
      <c r="CO16" s="59"/>
      <c r="CP16" s="59"/>
      <c r="CQ16" s="59"/>
      <c r="CR16" s="59"/>
      <c r="CS16" s="63"/>
      <c r="CT16" s="59"/>
      <c r="CU16" s="59"/>
      <c r="CV16" s="64"/>
    </row>
    <row r="17">
      <c r="A17" s="76" t="s">
        <v>43</v>
      </c>
      <c r="B17" s="79" t="s">
        <v>43</v>
      </c>
      <c r="C17" s="52" t="s">
        <v>44</v>
      </c>
      <c r="D17" s="53" t="s">
        <v>45</v>
      </c>
      <c r="E17" s="54">
        <v>7.428099946E9</v>
      </c>
      <c r="F17" s="55">
        <v>45311.0</v>
      </c>
      <c r="G17" s="66"/>
      <c r="H17" s="66"/>
      <c r="I17" s="57">
        <v>28835.0</v>
      </c>
      <c r="J17" s="58">
        <v>1500000.0</v>
      </c>
      <c r="K17" s="59">
        <f>IFERROR(__xludf.DUMMYFUNCTION("IMPORTRANGE(""1IoSPGtbL4ygnaTCF1Ct5WGA347GvBvKfaHJjalIvqh4"",""2026-27!A3"")"),63.0)</f>
        <v>63</v>
      </c>
      <c r="L17" s="59">
        <f>IFERROR(__xludf.DUMMYFUNCTION("IMPORTRANGE(""1IoSPGtbL4ygnaTCF1Ct5WGA347GvBvKfaHJjalIvqh4"",""2026-27!G4"")"),8590000.0)</f>
        <v>8590000</v>
      </c>
      <c r="M17" s="59">
        <f t="shared" ref="M17:M21" si="30">R17+Y17+AF17+AM17+AT17+BA17+BH17+BO17+BV17+CC17+CJ17+CQ17</f>
        <v>1917036.53</v>
      </c>
      <c r="N17" s="60">
        <f t="shared" ref="N17:N24" si="31">iferror(O17/L17,"")</f>
        <v>0.1413901048</v>
      </c>
      <c r="O17" s="61">
        <f t="shared" ref="O17:O18" si="32">U17+AB17+AI17+AP17+AW17+BD17+BK17+BR17+BY17+CF17+CM17+CT17</f>
        <v>1214541</v>
      </c>
      <c r="P17" s="59">
        <f>IFERROR(__xludf.DUMMYFUNCTION("IMPORTRANGE(""1IoSPGtbL4ygnaTCF1Ct5WGA347GvBvKfaHJjalIvqh4"",""2026-27!J4"")"),705100.0)</f>
        <v>705100</v>
      </c>
      <c r="Q17" s="59">
        <f>IFERROR(__xludf.DUMMYFUNCTION("IMPORTRANGE(""1IoSPGtbL4ygnaTCF1Ct5WGA347GvBvKfaHJjalIvqh4"",""2026-27!J3"")"),62.0)</f>
        <v>62</v>
      </c>
      <c r="R17" s="59">
        <f>IFERROR(__xludf.DUMMYFUNCTION("IMPORTRANGE(""1IoSPGtbL4ygnaTCF1Ct5WGA347GvBvKfaHJjalIvqh4"",""2026-27!K4"")"),481630.26)</f>
        <v>481630.26</v>
      </c>
      <c r="S17" s="59">
        <f>IFERROR(__xludf.DUMMYFUNCTION("IMPORTRANGE(""1IoSPGtbL4ygnaTCF1Ct5WGA347GvBvKfaHJjalIvqh4"",""2026-27!K3"")"),45.0)</f>
        <v>45</v>
      </c>
      <c r="T17" s="62">
        <f t="shared" ref="T17:T24" si="33">IFERROR((U17/P17),"")</f>
        <v>0.7106850092</v>
      </c>
      <c r="U17" s="59">
        <f>IFERROR(__xludf.DUMMYFUNCTION("IMPORTRANGE(""1IoSPGtbL4ygnaTCF1Ct5WGA347GvBvKfaHJjalIvqh4"",""2026-27!L4"")"),501104.0)</f>
        <v>501104</v>
      </c>
      <c r="V17" s="59">
        <f>IFERROR(__xludf.DUMMYFUNCTION("IMPORTRANGE(""1IoSPGtbL4ygnaTCF1Ct5WGA347GvBvKfaHJjalIvqh4"",""2026-27!L3"")"),46.0)</f>
        <v>46</v>
      </c>
      <c r="W17" s="59">
        <f>IFERROR(__xludf.DUMMYFUNCTION("IMPORTRANGE(""1IoSPGtbL4ygnaTCF1Ct5WGA347GvBvKfaHJjalIvqh4"",""2026-27!m4"")"),705100.0)</f>
        <v>705100</v>
      </c>
      <c r="X17" s="59">
        <f>IFERROR(__xludf.DUMMYFUNCTION("IMPORTRANGE(""1IoSPGtbL4ygnaTCF1Ct5WGA347GvBvKfaHJjalIvqh4"",""2026-27!m3"")"),62.0)</f>
        <v>62</v>
      </c>
      <c r="Y17" s="59">
        <f>IFERROR(__xludf.DUMMYFUNCTION("IMPORTRANGE(""1IoSPGtbL4ygnaTCF1Ct5WGA347GvBvKfaHJjalIvqh4"",""2026-27!N4"")"),702171.86)</f>
        <v>702171.86</v>
      </c>
      <c r="Z17" s="59">
        <f>IFERROR(__xludf.DUMMYFUNCTION("IMPORTRANGE(""1IoSPGtbL4ygnaTCF1Ct5WGA347GvBvKfaHJjalIvqh4"",""2026-27!N3"")"),52.0)</f>
        <v>52</v>
      </c>
      <c r="AA17" s="62">
        <f t="shared" ref="AA17:AA24" si="34">IFERROR((AB17/W17),"")</f>
        <v>1.011823855</v>
      </c>
      <c r="AB17" s="59">
        <f>IFERROR(__xludf.DUMMYFUNCTION("IMPORTRANGE(""1IoSPGtbL4ygnaTCF1Ct5WGA347GvBvKfaHJjalIvqh4"",""2026-27!O4"")"),713437.0)</f>
        <v>713437</v>
      </c>
      <c r="AC17" s="59">
        <f>IFERROR(__xludf.DUMMYFUNCTION("IMPORTRANGE(""1IoSPGtbL4ygnaTCF1Ct5WGA347GvBvKfaHJjalIvqh4"",""2026-27!O3"")"),51.0)</f>
        <v>51</v>
      </c>
      <c r="AD17" s="59">
        <f>IFERROR(__xludf.DUMMYFUNCTION("IMPORTRANGE(""1IoSPGtbL4ygnaTCF1Ct5WGA347GvBvKfaHJjalIvqh4"",""2026-27!P4"")"),705100.0)</f>
        <v>705100</v>
      </c>
      <c r="AE17" s="59">
        <f>IFERROR(__xludf.DUMMYFUNCTION("IMPORTRANGE(""1IoSPGtbL4ygnaTCF1Ct5WGA347GvBvKfaHJjalIvqh4"",""2026-27!P3"")"),62.0)</f>
        <v>62</v>
      </c>
      <c r="AF17" s="59">
        <f>IFERROR(__xludf.DUMMYFUNCTION("IMPORTRANGE(""1IoSPGtbL4ygnaTCF1Ct5WGA347GvBvKfaHJjalIvqh4"",""2026-27!Q4"")"),733234.41)</f>
        <v>733234.41</v>
      </c>
      <c r="AG17" s="59">
        <f>IFERROR(__xludf.DUMMYFUNCTION("IMPORTRANGE(""1IoSPGtbL4ygnaTCF1Ct5WGA347GvBvKfaHJjalIvqh4"",""2026-27!Q3"")"),51.0)</f>
        <v>51</v>
      </c>
      <c r="AH17" s="62">
        <f t="shared" ref="AH17:AH24" si="35">IFERROR((AI17/AD17),"")</f>
        <v>0</v>
      </c>
      <c r="AI17" s="59">
        <f>IFERROR(__xludf.DUMMYFUNCTION("IMPORTRANGE(""1IoSPGtbL4ygnaTCF1Ct5WGA347GvBvKfaHJjalIvqh4"",""2026-27!R4"")"),0.0)</f>
        <v>0</v>
      </c>
      <c r="AJ17" s="59">
        <f>IFERROR(__xludf.DUMMYFUNCTION("IMPORTRANGE(""1IoSPGtbL4ygnaTCF1Ct5WGA347GvBvKfaHJjalIvqh4"",""2026-27!R3"")"),0.0)</f>
        <v>0</v>
      </c>
      <c r="AK17" s="59">
        <f>IFERROR(__xludf.DUMMYFUNCTION("IMPORTRANGE(""1IoSPGtbL4ygnaTCF1Ct5WGA347GvBvKfaHJjalIvqh4"",""2026-27!S4"")"),0.0)</f>
        <v>0</v>
      </c>
      <c r="AL17" s="59">
        <f>IFERROR(__xludf.DUMMYFUNCTION("IMPORTRANGE(""1IoSPGtbL4ygnaTCF1Ct5WGA347GvBvKfaHJjalIvqh4"",""2026-27!S3"")"),0.0)</f>
        <v>0</v>
      </c>
      <c r="AM17" s="59">
        <f>IFERROR(__xludf.DUMMYFUNCTION("IMPORTRANGE(""1IoSPGtbL4ygnaTCF1Ct5WGA347GvBvKfaHJjalIvqh4"",""2026-27!T4"")"),0.0)</f>
        <v>0</v>
      </c>
      <c r="AN17" s="59">
        <f>IFERROR(__xludf.DUMMYFUNCTION("IMPORTRANGE(""1IoSPGtbL4ygnaTCF1Ct5WGA347GvBvKfaHJjalIvqh4"",""2026-27!T3"")"),0.0)</f>
        <v>0</v>
      </c>
      <c r="AO17" s="62" t="str">
        <f t="shared" ref="AO17:AO24" si="36">IFERROR((AP17/AK17),"")</f>
        <v/>
      </c>
      <c r="AP17" s="59">
        <f>IFERROR(__xludf.DUMMYFUNCTION("IMPORTRANGE(""1IoSPGtbL4ygnaTCF1Ct5WGA347GvBvKfaHJjalIvqh4"",""2026-27!U4"")"),0.0)</f>
        <v>0</v>
      </c>
      <c r="AQ17" s="59">
        <f>IFERROR(__xludf.DUMMYFUNCTION("IMPORTRANGE(""1IoSPGtbL4ygnaTCF1Ct5WGA347GvBvKfaHJjalIvqh4"",""2026-27!U3"")"),0.0)</f>
        <v>0</v>
      </c>
      <c r="AR17" s="59">
        <f>IFERROR(__xludf.DUMMYFUNCTION("IMPORTRANGE(""1IoSPGtbL4ygnaTCF1Ct5WGA347GvBvKfaHJjalIvqh4"",""2026-27!V4"")"),0.0)</f>
        <v>0</v>
      </c>
      <c r="AS17" s="59">
        <f>IFERROR(__xludf.DUMMYFUNCTION("IMPORTRANGE(""1IoSPGtbL4ygnaTCF1Ct5WGA347GvBvKfaHJjalIvqh4"",""2026-27!V3"")"),0.0)</f>
        <v>0</v>
      </c>
      <c r="AT17" s="59">
        <f>IFERROR(__xludf.DUMMYFUNCTION("IMPORTRANGE(""1IoSPGtbL4ygnaTCF1Ct5WGA347GvBvKfaHJjalIvqh4"",""2026-27!W4"")"),0.0)</f>
        <v>0</v>
      </c>
      <c r="AU17" s="59">
        <f>IFERROR(__xludf.DUMMYFUNCTION("IMPORTRANGE(""1IoSPGtbL4ygnaTCF1Ct5WGA347GvBvKfaHJjalIvqh4"",""2026-27!W3"")"),0.0)</f>
        <v>0</v>
      </c>
      <c r="AV17" s="62" t="str">
        <f t="shared" ref="AV17:AV24" si="37">IFERROR((AW17/AR17),"")</f>
        <v/>
      </c>
      <c r="AW17" s="59">
        <f>IFERROR(__xludf.DUMMYFUNCTION("IMPORTRANGE(""1IoSPGtbL4ygnaTCF1Ct5WGA347GvBvKfaHJjalIvqh4"",""2026-27!X4"")"),0.0)</f>
        <v>0</v>
      </c>
      <c r="AX17" s="59">
        <f>IFERROR(__xludf.DUMMYFUNCTION("IMPORTRANGE(""1IoSPGtbL4ygnaTCF1Ct5WGA347GvBvKfaHJjalIvqh4"",""2026-27!X3"")"),0.0)</f>
        <v>0</v>
      </c>
      <c r="AY17" s="59">
        <f>IFERROR(__xludf.DUMMYFUNCTION("IMPORTRANGE(""1IoSPGtbL4ygnaTCF1Ct5WGA347GvBvKfaHJjalIvqh4"",""2026-27!Y4"")"),0.0)</f>
        <v>0</v>
      </c>
      <c r="AZ17" s="59">
        <f>IFERROR(__xludf.DUMMYFUNCTION("IMPORTRANGE(""1IoSPGtbL4ygnaTCF1Ct5WGA347GvBvKfaHJjalIvqh4"",""2026-27!Y3"")"),0.0)</f>
        <v>0</v>
      </c>
      <c r="BA17" s="59">
        <f>IFERROR(__xludf.DUMMYFUNCTION("IMPORTRANGE(""1IoSPGtbL4ygnaTCF1Ct5WGA347GvBvKfaHJjalIvqh4"",""2026-27!Z4"")"),0.0)</f>
        <v>0</v>
      </c>
      <c r="BB17" s="59">
        <f>IFERROR(__xludf.DUMMYFUNCTION("IMPORTRANGE(""1IoSPGtbL4ygnaTCF1Ct5WGA347GvBvKfaHJjalIvqh4"",""2026-27!Z3"")"),0.0)</f>
        <v>0</v>
      </c>
      <c r="BC17" s="63" t="str">
        <f t="shared" ref="BC17:BC24" si="38">IFERROR((BD17/AY17),"")</f>
        <v/>
      </c>
      <c r="BD17" s="59">
        <f>IFERROR(__xludf.DUMMYFUNCTION("IMPORTRANGE(""1IoSPGtbL4ygnaTCF1Ct5WGA347GvBvKfaHJjalIvqh4"",""2026-27!AA4"")"),0.0)</f>
        <v>0</v>
      </c>
      <c r="BE17" s="59">
        <f>IFERROR(__xludf.DUMMYFUNCTION("IMPORTRANGE(""1IoSPGtbL4ygnaTCF1Ct5WGA347GvBvKfaHJjalIvqh4"",""2026-27!AA3"")"),0.0)</f>
        <v>0</v>
      </c>
      <c r="BF17" s="59">
        <f>IFERROR(__xludf.DUMMYFUNCTION("IMPORTRANGE(""1IoSPGtbL4ygnaTCF1Ct5WGA347GvBvKfaHJjalIvqh4"",""2026-27!AB4"")"),0.0)</f>
        <v>0</v>
      </c>
      <c r="BG17" s="59">
        <f>IFERROR(__xludf.DUMMYFUNCTION("IMPORTRANGE(""1IoSPGtbL4ygnaTCF1Ct5WGA347GvBvKfaHJjalIvqh4"",""2026-27!AB3"")"),0.0)</f>
        <v>0</v>
      </c>
      <c r="BH17" s="59">
        <f>IFERROR(__xludf.DUMMYFUNCTION("IMPORTRANGE(""1IoSPGtbL4ygnaTCF1Ct5WGA347GvBvKfaHJjalIvqh4"",""2026-27!AC4"")"),0.0)</f>
        <v>0</v>
      </c>
      <c r="BI17" s="59">
        <f>IFERROR(__xludf.DUMMYFUNCTION("IMPORTRANGE(""1IoSPGtbL4ygnaTCF1Ct5WGA347GvBvKfaHJjalIvqh4"",""2026-27!AC3"")"),0.0)</f>
        <v>0</v>
      </c>
      <c r="BJ17" s="63" t="str">
        <f t="shared" ref="BJ17:BJ24" si="39">IFERROR((BK17/BF17),"")</f>
        <v/>
      </c>
      <c r="BK17" s="59">
        <f>IFERROR(__xludf.DUMMYFUNCTION("IMPORTRANGE(""1IoSPGtbL4ygnaTCF1Ct5WGA347GvBvKfaHJjalIvqh4"",""2026-27!AD4"")"),0.0)</f>
        <v>0</v>
      </c>
      <c r="BL17" s="59">
        <f>IFERROR(__xludf.DUMMYFUNCTION("IMPORTRANGE(""1IoSPGtbL4ygnaTCF1Ct5WGA347GvBvKfaHJjalIvqh4"",""2026-27!AD3"")"),0.0)</f>
        <v>0</v>
      </c>
      <c r="BM17" s="59">
        <f>IFERROR(__xludf.DUMMYFUNCTION("IMPORTRANGE(""1IoSPGtbL4ygnaTCF1Ct5WGA347GvBvKfaHJjalIvqh4"",""2026-27!AE4"")"),0.0)</f>
        <v>0</v>
      </c>
      <c r="BN17" s="59">
        <f>IFERROR(__xludf.DUMMYFUNCTION("IMPORTRANGE(""1IoSPGtbL4ygnaTCF1Ct5WGA347GvBvKfaHJjalIvqh4"",""2026-27!AE3"")"),0.0)</f>
        <v>0</v>
      </c>
      <c r="BO17" s="59">
        <f>IFERROR(__xludf.DUMMYFUNCTION("IMPORTRANGE(""1IoSPGtbL4ygnaTCF1Ct5WGA347GvBvKfaHJjalIvqh4"",""2026-27!AF4"")"),0.0)</f>
        <v>0</v>
      </c>
      <c r="BP17" s="59">
        <f>IFERROR(__xludf.DUMMYFUNCTION("IMPORTRANGE(""1IoSPGtbL4ygnaTCF1Ct5WGA347GvBvKfaHJjalIvqh4"",""2026-27!AF3"")"),0.0)</f>
        <v>0</v>
      </c>
      <c r="BQ17" s="63" t="str">
        <f t="shared" ref="BQ17:BQ24" si="40">IFERROR((BR17/BM17),"")</f>
        <v/>
      </c>
      <c r="BR17" s="59">
        <f>IFERROR(__xludf.DUMMYFUNCTION("IMPORTRANGE(""1IoSPGtbL4ygnaTCF1Ct5WGA347GvBvKfaHJjalIvqh4"",""2026-27!AG4"")"),0.0)</f>
        <v>0</v>
      </c>
      <c r="BS17" s="59">
        <f>IFERROR(__xludf.DUMMYFUNCTION("IMPORTRANGE(""1IoSPGtbL4ygnaTCF1Ct5WGA347GvBvKfaHJjalIvqh4"",""2026-27!AG3"")"),0.0)</f>
        <v>0</v>
      </c>
      <c r="BT17" s="59">
        <f>IFERROR(__xludf.DUMMYFUNCTION("IMPORTRANGE(""1IoSPGtbL4ygnaTCF1Ct5WGA347GvBvKfaHJjalIvqh4"",""2026-27!AH4"")"),0.0)</f>
        <v>0</v>
      </c>
      <c r="BU17" s="59">
        <f>IFERROR(__xludf.DUMMYFUNCTION("IMPORTRANGE(""1IoSPGtbL4ygnaTCF1Ct5WGA347GvBvKfaHJjalIvqh4"",""2026-27!AH3"")"),0.0)</f>
        <v>0</v>
      </c>
      <c r="BV17" s="59">
        <f>IFERROR(__xludf.DUMMYFUNCTION("IMPORTRANGE(""1IoSPGtbL4ygnaTCF1Ct5WGA347GvBvKfaHJjalIvqh4"",""2026-27!AI4"")"),0.0)</f>
        <v>0</v>
      </c>
      <c r="BW17" s="59">
        <f>IFERROR(__xludf.DUMMYFUNCTION("IMPORTRANGE(""1IoSPGtbL4ygnaTCF1Ct5WGA347GvBvKfaHJjalIvqh4"",""2026-27!AI3"")"),0.0)</f>
        <v>0</v>
      </c>
      <c r="BX17" s="63" t="str">
        <f t="shared" ref="BX17:BX24" si="41">IFERROR((BY17/BT17),"")</f>
        <v/>
      </c>
      <c r="BY17" s="59">
        <f>IFERROR(__xludf.DUMMYFUNCTION("IMPORTRANGE(""1IoSPGtbL4ygnaTCF1Ct5WGA347GvBvKfaHJjalIvqh4"",""2026-27!AJ4"")"),0.0)</f>
        <v>0</v>
      </c>
      <c r="BZ17" s="59">
        <f>IFERROR(__xludf.DUMMYFUNCTION("IMPORTRANGE(""1IoSPGtbL4ygnaTCF1Ct5WGA347GvBvKfaHJjalIvqh4"",""2026-27!AJ3"")"),0.0)</f>
        <v>0</v>
      </c>
      <c r="CA17" s="59">
        <f>IFERROR(__xludf.DUMMYFUNCTION("IMPORTRANGE(""1IoSPGtbL4ygnaTCF1Ct5WGA347GvBvKfaHJjalIvqh4"",""2026-27!AK4"")"),0.0)</f>
        <v>0</v>
      </c>
      <c r="CB17" s="59">
        <f>IFERROR(__xludf.DUMMYFUNCTION("IMPORTRANGE(""1IoSPGtbL4ygnaTCF1Ct5WGA347GvBvKfaHJjalIvqh4"",""2026-27!AK3"")"),0.0)</f>
        <v>0</v>
      </c>
      <c r="CC17" s="59">
        <f>IFERROR(__xludf.DUMMYFUNCTION("IMPORTRANGE(""1IoSPGtbL4ygnaTCF1Ct5WGA347GvBvKfaHJjalIvqh4"",""2026-27!AL4"")"),0.0)</f>
        <v>0</v>
      </c>
      <c r="CD17" s="59">
        <f>IFERROR(__xludf.DUMMYFUNCTION("IMPORTRANGE(""1IoSPGtbL4ygnaTCF1Ct5WGA347GvBvKfaHJjalIvqh4"",""2026-27!AL3"")"),0.0)</f>
        <v>0</v>
      </c>
      <c r="CE17" s="63" t="str">
        <f t="shared" ref="CE17:CE24" si="42">IFERROR((CF17/CA17),"")</f>
        <v/>
      </c>
      <c r="CF17" s="59">
        <f>IFERROR(__xludf.DUMMYFUNCTION("IMPORTRANGE(""1IoSPGtbL4ygnaTCF1Ct5WGA347GvBvKfaHJjalIvqh4"",""2026-27!AM4"")"),0.0)</f>
        <v>0</v>
      </c>
      <c r="CG17" s="59">
        <f>IFERROR(__xludf.DUMMYFUNCTION("IMPORTRANGE(""1IoSPGtbL4ygnaTCF1Ct5WGA347GvBvKfaHJjalIvqh4"",""2026-27!AM3"")"),0.0)</f>
        <v>0</v>
      </c>
      <c r="CH17" s="59">
        <f>IFERROR(__xludf.DUMMYFUNCTION("IMPORTRANGE(""1IoSPGtbL4ygnaTCF1Ct5WGA347GvBvKfaHJjalIvqh4"",""2026-27!AN4"")"),0.0)</f>
        <v>0</v>
      </c>
      <c r="CI17" s="59">
        <f>IFERROR(__xludf.DUMMYFUNCTION("IMPORTRANGE(""1IoSPGtbL4ygnaTCF1Ct5WGA347GvBvKfaHJjalIvqh4"",""2026-27!AN3"")"),0.0)</f>
        <v>0</v>
      </c>
      <c r="CJ17" s="59">
        <f>IFERROR(__xludf.DUMMYFUNCTION("IMPORTRANGE(""1IoSPGtbL4ygnaTCF1Ct5WGA347GvBvKfaHJjalIvqh4"",""2026-27!AO4"")"),0.0)</f>
        <v>0</v>
      </c>
      <c r="CK17" s="59">
        <f>IFERROR(__xludf.DUMMYFUNCTION("IMPORTRANGE(""1IoSPGtbL4ygnaTCF1Ct5WGA347GvBvKfaHJjalIvqh4"",""2026-27!AO3"")"),0.0)</f>
        <v>0</v>
      </c>
      <c r="CL17" s="63" t="str">
        <f t="shared" ref="CL17:CL24" si="43">IFERROR((CM17/CH17),"")</f>
        <v/>
      </c>
      <c r="CM17" s="59">
        <f>IFERROR(__xludf.DUMMYFUNCTION("IMPORTRANGE(""1IoSPGtbL4ygnaTCF1Ct5WGA347GvBvKfaHJjalIvqh4"",""2026-27!AP4"")"),0.0)</f>
        <v>0</v>
      </c>
      <c r="CN17" s="59">
        <f>IFERROR(__xludf.DUMMYFUNCTION("IMPORTRANGE(""1IoSPGtbL4ygnaTCF1Ct5WGA347GvBvKfaHJjalIvqh4"",""2026-27!AP3"")"),0.0)</f>
        <v>0</v>
      </c>
      <c r="CO17" s="59">
        <f>IFERROR(__xludf.DUMMYFUNCTION("IMPORTRANGE(""1IoSPGtbL4ygnaTCF1Ct5WGA347GvBvKfaHJjalIvqh4"",""2026-27!AQ4"")"),0.0)</f>
        <v>0</v>
      </c>
      <c r="CP17" s="59">
        <f>IFERROR(__xludf.DUMMYFUNCTION("IMPORTRANGE(""1IoSPGtbL4ygnaTCF1Ct5WGA347GvBvKfaHJjalIvqh4"",""2026-27!AQ3"")"),0.0)</f>
        <v>0</v>
      </c>
      <c r="CQ17" s="59">
        <f>IFERROR(__xludf.DUMMYFUNCTION("IMPORTRANGE(""1IoSPGtbL4ygnaTCF1Ct5WGA347GvBvKfaHJjalIvqh4"",""2026-27!AR4"")"),0.0)</f>
        <v>0</v>
      </c>
      <c r="CR17" s="59">
        <f>IFERROR(__xludf.DUMMYFUNCTION("IMPORTRANGE(""1IoSPGtbL4ygnaTCF1Ct5WGA347GvBvKfaHJjalIvqh4"",""2026-27!AR3"")"),0.0)</f>
        <v>0</v>
      </c>
      <c r="CS17" s="63" t="str">
        <f t="shared" ref="CS17:CS24" si="44">IFERROR((CT17/CO17),"")</f>
        <v/>
      </c>
      <c r="CT17" s="59">
        <f>IFERROR(__xludf.DUMMYFUNCTION("IMPORTRANGE(""1IoSPGtbL4ygnaTCF1Ct5WGA347GvBvKfaHJjalIvqh4"",""2026-27!AS4"")"),0.0)</f>
        <v>0</v>
      </c>
      <c r="CU17" s="59">
        <f>IFERROR(__xludf.DUMMYFUNCTION("IMPORTRANGE(""1IoSPGtbL4ygnaTCF1Ct5WGA347GvBvKfaHJjalIvqh4"",""2026-27!AS3"")"),0.0)</f>
        <v>0</v>
      </c>
      <c r="CV17" s="64"/>
    </row>
    <row r="18">
      <c r="A18" s="76" t="s">
        <v>43</v>
      </c>
      <c r="B18" s="47"/>
      <c r="C18" s="65" t="s">
        <v>46</v>
      </c>
      <c r="D18" s="53" t="s">
        <v>47</v>
      </c>
      <c r="E18" s="54">
        <v>9.914976557E9</v>
      </c>
      <c r="F18" s="80">
        <v>45393.0</v>
      </c>
      <c r="G18" s="81"/>
      <c r="H18" s="81"/>
      <c r="I18" s="57">
        <v>27000.0</v>
      </c>
      <c r="J18" s="58">
        <v>1500000.0</v>
      </c>
      <c r="K18" s="59">
        <f>IFERROR(__xludf.DUMMYFUNCTION("IMPORTRANGE(""1OCQdqqJIyWUmzr6sv4fbXUNAqVATScHotcGYSPP6YEs"",""2026-27!A3"")"),136.0)</f>
        <v>136</v>
      </c>
      <c r="L18" s="59">
        <f>IFERROR(__xludf.DUMMYFUNCTION("IMPORTRANGE(""1OCQdqqJIyWUmzr6sv4fbXUNAqVATScHotcGYSPP6YEs"",""2026-27!G4"")"),1.5085E7)</f>
        <v>15085000</v>
      </c>
      <c r="M18" s="59">
        <f t="shared" si="30"/>
        <v>2074637.67</v>
      </c>
      <c r="N18" s="60">
        <f t="shared" si="31"/>
        <v>0.07486536294</v>
      </c>
      <c r="O18" s="61">
        <f t="shared" si="32"/>
        <v>1129344</v>
      </c>
      <c r="P18" s="59">
        <f>IFERROR(__xludf.DUMMYFUNCTION("IMPORTRANGE(""1OCQdqqJIyWUmzr6sv4fbXUNAqVATScHotcGYSPP6YEs"",""2026-27!J4"")"),1437000.0)</f>
        <v>1437000</v>
      </c>
      <c r="Q18" s="59">
        <f>IFERROR(__xludf.DUMMYFUNCTION("IMPORTRANGE(""1OCQdqqJIyWUmzr6sv4fbXUNAqVATScHotcGYSPP6YEs"",""2026-27!J3"")"),108.0)</f>
        <v>108</v>
      </c>
      <c r="R18" s="59">
        <f>IFERROR(__xludf.DUMMYFUNCTION("IMPORTRANGE(""1OCQdqqJIyWUmzr6sv4fbXUNAqVATScHotcGYSPP6YEs"",""2026-27!K4"")"),613843.99)</f>
        <v>613843.99</v>
      </c>
      <c r="S18" s="59">
        <f>IFERROR(__xludf.DUMMYFUNCTION("IMPORTRANGE(""1OCQdqqJIyWUmzr6sv4fbXUNAqVATScHotcGYSPP6YEs"",""2026-27!K3"")"),28.0)</f>
        <v>28</v>
      </c>
      <c r="T18" s="62">
        <f t="shared" si="33"/>
        <v>0.4271725818</v>
      </c>
      <c r="U18" s="59">
        <f>IFERROR(__xludf.DUMMYFUNCTION("IMPORTRANGE(""1OCQdqqJIyWUmzr6sv4fbXUNAqVATScHotcGYSPP6YEs"",""2026-27!L4"")"),613847.0)</f>
        <v>613847</v>
      </c>
      <c r="V18" s="59">
        <f>IFERROR(__xludf.DUMMYFUNCTION("IMPORTRANGE(""1OCQdqqJIyWUmzr6sv4fbXUNAqVATScHotcGYSPP6YEs"",""2026-27!L3"")"),28.0)</f>
        <v>28</v>
      </c>
      <c r="W18" s="59">
        <f>IFERROR(__xludf.DUMMYFUNCTION("IMPORTRANGE(""1OCQdqqJIyWUmzr6sv4fbXUNAqVATScHotcGYSPP6YEs"",""2026-27!m4"")"),1473000.0)</f>
        <v>1473000</v>
      </c>
      <c r="X18" s="59">
        <f>IFERROR(__xludf.DUMMYFUNCTION("IMPORTRANGE(""1OCQdqqJIyWUmzr6sv4fbXUNAqVATScHotcGYSPP6YEs"",""2026-27!m3"")"),113.0)</f>
        <v>113</v>
      </c>
      <c r="Y18" s="59">
        <f>IFERROR(__xludf.DUMMYFUNCTION("IMPORTRANGE(""1OCQdqqJIyWUmzr6sv4fbXUNAqVATScHotcGYSPP6YEs"",""2026-27!N4"")"),704166.93)</f>
        <v>704166.93</v>
      </c>
      <c r="Z18" s="59">
        <f>IFERROR(__xludf.DUMMYFUNCTION("IMPORTRANGE(""1OCQdqqJIyWUmzr6sv4fbXUNAqVATScHotcGYSPP6YEs"",""2026-27!N3"")"),41.0)</f>
        <v>41</v>
      </c>
      <c r="AA18" s="62">
        <f t="shared" si="34"/>
        <v>0.349964019</v>
      </c>
      <c r="AB18" s="59">
        <f>IFERROR(__xludf.DUMMYFUNCTION("IMPORTRANGE(""1OCQdqqJIyWUmzr6sv4fbXUNAqVATScHotcGYSPP6YEs"",""2026-27!O4"")"),515497.0)</f>
        <v>515497</v>
      </c>
      <c r="AC18" s="59">
        <f>IFERROR(__xludf.DUMMYFUNCTION("IMPORTRANGE(""1OCQdqqJIyWUmzr6sv4fbXUNAqVATScHotcGYSPP6YEs"",""2026-27!O3"")"),36.0)</f>
        <v>36</v>
      </c>
      <c r="AD18" s="59">
        <f>IFERROR(__xludf.DUMMYFUNCTION("IMPORTRANGE(""1OCQdqqJIyWUmzr6sv4fbXUNAqVATScHotcGYSPP6YEs"",""2026-27!P4"")"),1479000.0)</f>
        <v>1479000</v>
      </c>
      <c r="AE18" s="59">
        <f>IFERROR(__xludf.DUMMYFUNCTION("IMPORTRANGE(""1OCQdqqJIyWUmzr6sv4fbXUNAqVATScHotcGYSPP6YEs"",""2026-27!P3"")"),113.0)</f>
        <v>113</v>
      </c>
      <c r="AF18" s="59">
        <f>IFERROR(__xludf.DUMMYFUNCTION("IMPORTRANGE(""1OCQdqqJIyWUmzr6sv4fbXUNAqVATScHotcGYSPP6YEs"",""2026-27!Q4"")"),756626.7500000001)</f>
        <v>756626.75</v>
      </c>
      <c r="AG18" s="59">
        <f>IFERROR(__xludf.DUMMYFUNCTION("IMPORTRANGE(""1OCQdqqJIyWUmzr6sv4fbXUNAqVATScHotcGYSPP6YEs"",""2026-27!Q3"")"),35.0)</f>
        <v>35</v>
      </c>
      <c r="AH18" s="62">
        <f t="shared" si="35"/>
        <v>0</v>
      </c>
      <c r="AI18" s="59">
        <f>IFERROR(__xludf.DUMMYFUNCTION("IMPORTRANGE(""1OCQdqqJIyWUmzr6sv4fbXUNAqVATScHotcGYSPP6YEs"",""2026-27!R4"")"),0.0)</f>
        <v>0</v>
      </c>
      <c r="AJ18" s="59">
        <f>IFERROR(__xludf.DUMMYFUNCTION("IMPORTRANGE(""1OCQdqqJIyWUmzr6sv4fbXUNAqVATScHotcGYSPP6YEs"",""2026-27!R3"")"),0.0)</f>
        <v>0</v>
      </c>
      <c r="AK18" s="59">
        <f>IFERROR(__xludf.DUMMYFUNCTION("IMPORTRANGE(""1OCQdqqJIyWUmzr6sv4fbXUNAqVATScHotcGYSPP6YEs"",""2026-27!S4"")"),0.0)</f>
        <v>0</v>
      </c>
      <c r="AL18" s="59">
        <f>IFERROR(__xludf.DUMMYFUNCTION("IMPORTRANGE(""1OCQdqqJIyWUmzr6sv4fbXUNAqVATScHotcGYSPP6YEs"",""2026-27!S3"")"),0.0)</f>
        <v>0</v>
      </c>
      <c r="AM18" s="59">
        <f>IFERROR(__xludf.DUMMYFUNCTION("IMPORTRANGE(""1OCQdqqJIyWUmzr6sv4fbXUNAqVATScHotcGYSPP6YEs"",""2026-27!T4"")"),0.0)</f>
        <v>0</v>
      </c>
      <c r="AN18" s="59">
        <f>IFERROR(__xludf.DUMMYFUNCTION("IMPORTRANGE(""1OCQdqqJIyWUmzr6sv4fbXUNAqVATScHotcGYSPP6YEs"",""2026-27!T3"")"),0.0)</f>
        <v>0</v>
      </c>
      <c r="AO18" s="62" t="str">
        <f t="shared" si="36"/>
        <v/>
      </c>
      <c r="AP18" s="59">
        <f>IFERROR(__xludf.DUMMYFUNCTION("IMPORTRANGE(""1OCQdqqJIyWUmzr6sv4fbXUNAqVATScHotcGYSPP6YEs"",""2026-27!U4"")"),0.0)</f>
        <v>0</v>
      </c>
      <c r="AQ18" s="59">
        <f>IFERROR(__xludf.DUMMYFUNCTION("IMPORTRANGE(""1OCQdqqJIyWUmzr6sv4fbXUNAqVATScHotcGYSPP6YEs"",""2026-27!U3"")"),0.0)</f>
        <v>0</v>
      </c>
      <c r="AR18" s="59">
        <f>IFERROR(__xludf.DUMMYFUNCTION("IMPORTRANGE(""1OCQdqqJIyWUmzr6sv4fbXUNAqVATScHotcGYSPP6YEs"",""2026-27!V4"")"),0.0)</f>
        <v>0</v>
      </c>
      <c r="AS18" s="59">
        <f>IFERROR(__xludf.DUMMYFUNCTION("IMPORTRANGE(""1OCQdqqJIyWUmzr6sv4fbXUNAqVATScHotcGYSPP6YEs"",""2026-27!V3"")"),0.0)</f>
        <v>0</v>
      </c>
      <c r="AT18" s="59">
        <f>IFERROR(__xludf.DUMMYFUNCTION("IMPORTRANGE(""1OCQdqqJIyWUmzr6sv4fbXUNAqVATScHotcGYSPP6YEs"",""2026-27!W4"")"),0.0)</f>
        <v>0</v>
      </c>
      <c r="AU18" s="59">
        <f>IFERROR(__xludf.DUMMYFUNCTION("IMPORTRANGE(""1OCQdqqJIyWUmzr6sv4fbXUNAqVATScHotcGYSPP6YEs"",""2026-27!W3"")"),0.0)</f>
        <v>0</v>
      </c>
      <c r="AV18" s="62" t="str">
        <f t="shared" si="37"/>
        <v/>
      </c>
      <c r="AW18" s="59">
        <f>IFERROR(__xludf.DUMMYFUNCTION("IMPORTRANGE(""1OCQdqqJIyWUmzr6sv4fbXUNAqVATScHotcGYSPP6YEs"",""2026-27!X4"")"),0.0)</f>
        <v>0</v>
      </c>
      <c r="AX18" s="59">
        <f>IFERROR(__xludf.DUMMYFUNCTION("IMPORTRANGE(""1OCQdqqJIyWUmzr6sv4fbXUNAqVATScHotcGYSPP6YEs"",""2026-27!X3"")"),0.0)</f>
        <v>0</v>
      </c>
      <c r="AY18" s="59">
        <f>IFERROR(__xludf.DUMMYFUNCTION("IMPORTRANGE(""1OCQdqqJIyWUmzr6sv4fbXUNAqVATScHotcGYSPP6YEs"",""2026-27!Y4"")"),0.0)</f>
        <v>0</v>
      </c>
      <c r="AZ18" s="59">
        <f>IFERROR(__xludf.DUMMYFUNCTION("IMPORTRANGE(""1OCQdqqJIyWUmzr6sv4fbXUNAqVATScHotcGYSPP6YEs"",""2026-27!Y3"")"),0.0)</f>
        <v>0</v>
      </c>
      <c r="BA18" s="59">
        <f>IFERROR(__xludf.DUMMYFUNCTION("IMPORTRANGE(""1OCQdqqJIyWUmzr6sv4fbXUNAqVATScHotcGYSPP6YEs"",""2026-27!Z4"")"),0.0)</f>
        <v>0</v>
      </c>
      <c r="BB18" s="59">
        <f>IFERROR(__xludf.DUMMYFUNCTION("IMPORTRANGE(""1OCQdqqJIyWUmzr6sv4fbXUNAqVATScHotcGYSPP6YEs"",""2026-27!Z3"")"),0.0)</f>
        <v>0</v>
      </c>
      <c r="BC18" s="63" t="str">
        <f t="shared" si="38"/>
        <v/>
      </c>
      <c r="BD18" s="59">
        <f>IFERROR(__xludf.DUMMYFUNCTION("IMPORTRANGE(""1OCQdqqJIyWUmzr6sv4fbXUNAqVATScHotcGYSPP6YEs"",""2026-27!AA4"")"),0.0)</f>
        <v>0</v>
      </c>
      <c r="BE18" s="59">
        <f>IFERROR(__xludf.DUMMYFUNCTION("IMPORTRANGE(""1OCQdqqJIyWUmzr6sv4fbXUNAqVATScHotcGYSPP6YEs"",""2026-27!AA3"")"),0.0)</f>
        <v>0</v>
      </c>
      <c r="BF18" s="59">
        <f>IFERROR(__xludf.DUMMYFUNCTION("IMPORTRANGE(""1OCQdqqJIyWUmzr6sv4fbXUNAqVATScHotcGYSPP6YEs"",""2026-27!AB4"")"),0.0)</f>
        <v>0</v>
      </c>
      <c r="BG18" s="59">
        <f>IFERROR(__xludf.DUMMYFUNCTION("IMPORTRANGE(""1OCQdqqJIyWUmzr6sv4fbXUNAqVATScHotcGYSPP6YEs"",""2026-27!AB3"")"),0.0)</f>
        <v>0</v>
      </c>
      <c r="BH18" s="59">
        <f>IFERROR(__xludf.DUMMYFUNCTION("IMPORTRANGE(""1OCQdqqJIyWUmzr6sv4fbXUNAqVATScHotcGYSPP6YEs"",""2026-27!AC4"")"),0.0)</f>
        <v>0</v>
      </c>
      <c r="BI18" s="59">
        <f>IFERROR(__xludf.DUMMYFUNCTION("IMPORTRANGE(""1OCQdqqJIyWUmzr6sv4fbXUNAqVATScHotcGYSPP6YEs"",""2026-27!AC3"")"),0.0)</f>
        <v>0</v>
      </c>
      <c r="BJ18" s="63" t="str">
        <f t="shared" si="39"/>
        <v/>
      </c>
      <c r="BK18" s="59">
        <f>IFERROR(__xludf.DUMMYFUNCTION("IMPORTRANGE(""1OCQdqqJIyWUmzr6sv4fbXUNAqVATScHotcGYSPP6YEs"",""2026-27!AD4"")"),0.0)</f>
        <v>0</v>
      </c>
      <c r="BL18" s="59">
        <f>IFERROR(__xludf.DUMMYFUNCTION("IMPORTRANGE(""1OCQdqqJIyWUmzr6sv4fbXUNAqVATScHotcGYSPP6YEs"",""2026-27!AD3"")"),0.0)</f>
        <v>0</v>
      </c>
      <c r="BM18" s="59">
        <f>IFERROR(__xludf.DUMMYFUNCTION("IMPORTRANGE(""1OCQdqqJIyWUmzr6sv4fbXUNAqVATScHotcGYSPP6YEs"",""2026-27!AE4"")"),0.0)</f>
        <v>0</v>
      </c>
      <c r="BN18" s="59">
        <f>IFERROR(__xludf.DUMMYFUNCTION("IMPORTRANGE(""1OCQdqqJIyWUmzr6sv4fbXUNAqVATScHotcGYSPP6YEs"",""2026-27!AE3"")"),0.0)</f>
        <v>0</v>
      </c>
      <c r="BO18" s="59">
        <f>IFERROR(__xludf.DUMMYFUNCTION("IMPORTRANGE(""1OCQdqqJIyWUmzr6sv4fbXUNAqVATScHotcGYSPP6YEs"",""2026-27!AF4"")"),0.0)</f>
        <v>0</v>
      </c>
      <c r="BP18" s="59">
        <f>IFERROR(__xludf.DUMMYFUNCTION("IMPORTRANGE(""1OCQdqqJIyWUmzr6sv4fbXUNAqVATScHotcGYSPP6YEs"",""2026-27!AF3"")"),0.0)</f>
        <v>0</v>
      </c>
      <c r="BQ18" s="63" t="str">
        <f t="shared" si="40"/>
        <v/>
      </c>
      <c r="BR18" s="59">
        <f>IFERROR(__xludf.DUMMYFUNCTION("IMPORTRANGE(""1OCQdqqJIyWUmzr6sv4fbXUNAqVATScHotcGYSPP6YEs"",""2026-27!AG4"")"),0.0)</f>
        <v>0</v>
      </c>
      <c r="BS18" s="59">
        <f>IFERROR(__xludf.DUMMYFUNCTION("IMPORTRANGE(""1OCQdqqJIyWUmzr6sv4fbXUNAqVATScHotcGYSPP6YEs"",""2026-27!AG3"")"),0.0)</f>
        <v>0</v>
      </c>
      <c r="BT18" s="59">
        <f>IFERROR(__xludf.DUMMYFUNCTION("IMPORTRANGE(""1OCQdqqJIyWUmzr6sv4fbXUNAqVATScHotcGYSPP6YEs"",""2026-27!AH4"")"),0.0)</f>
        <v>0</v>
      </c>
      <c r="BU18" s="59">
        <f>IFERROR(__xludf.DUMMYFUNCTION("IMPORTRANGE(""1OCQdqqJIyWUmzr6sv4fbXUNAqVATScHotcGYSPP6YEs"",""2026-27!AH3"")"),0.0)</f>
        <v>0</v>
      </c>
      <c r="BV18" s="59">
        <f>IFERROR(__xludf.DUMMYFUNCTION("IMPORTRANGE(""1OCQdqqJIyWUmzr6sv4fbXUNAqVATScHotcGYSPP6YEs"",""2026-27!AI4"")"),0.0)</f>
        <v>0</v>
      </c>
      <c r="BW18" s="59">
        <f>IFERROR(__xludf.DUMMYFUNCTION("IMPORTRANGE(""1OCQdqqJIyWUmzr6sv4fbXUNAqVATScHotcGYSPP6YEs"",""2026-27!AI3"")"),0.0)</f>
        <v>0</v>
      </c>
      <c r="BX18" s="63" t="str">
        <f t="shared" si="41"/>
        <v/>
      </c>
      <c r="BY18" s="59">
        <f>IFERROR(__xludf.DUMMYFUNCTION("IMPORTRANGE(""1OCQdqqJIyWUmzr6sv4fbXUNAqVATScHotcGYSPP6YEs"",""2026-27!AJ4"")"),0.0)</f>
        <v>0</v>
      </c>
      <c r="BZ18" s="59">
        <f>IFERROR(__xludf.DUMMYFUNCTION("IMPORTRANGE(""1OCQdqqJIyWUmzr6sv4fbXUNAqVATScHotcGYSPP6YEs"",""2026-27!AJ3"")"),0.0)</f>
        <v>0</v>
      </c>
      <c r="CA18" s="59">
        <f>IFERROR(__xludf.DUMMYFUNCTION("IMPORTRANGE(""1OCQdqqJIyWUmzr6sv4fbXUNAqVATScHotcGYSPP6YEs"",""2026-27!AK4"")"),0.0)</f>
        <v>0</v>
      </c>
      <c r="CB18" s="59">
        <f>IFERROR(__xludf.DUMMYFUNCTION("IMPORTRANGE(""1OCQdqqJIyWUmzr6sv4fbXUNAqVATScHotcGYSPP6YEs"",""2026-27!AK3"")"),0.0)</f>
        <v>0</v>
      </c>
      <c r="CC18" s="59">
        <f>IFERROR(__xludf.DUMMYFUNCTION("IMPORTRANGE(""1OCQdqqJIyWUmzr6sv4fbXUNAqVATScHotcGYSPP6YEs"",""2026-27!AL4"")"),0.0)</f>
        <v>0</v>
      </c>
      <c r="CD18" s="59">
        <f>IFERROR(__xludf.DUMMYFUNCTION("IMPORTRANGE(""1OCQdqqJIyWUmzr6sv4fbXUNAqVATScHotcGYSPP6YEs"",""2026-27!AL3"")"),0.0)</f>
        <v>0</v>
      </c>
      <c r="CE18" s="63" t="str">
        <f t="shared" si="42"/>
        <v/>
      </c>
      <c r="CF18" s="59">
        <f>IFERROR(__xludf.DUMMYFUNCTION("IMPORTRANGE(""1OCQdqqJIyWUmzr6sv4fbXUNAqVATScHotcGYSPP6YEs"",""2026-27!AM4"")"),0.0)</f>
        <v>0</v>
      </c>
      <c r="CG18" s="59">
        <f>IFERROR(__xludf.DUMMYFUNCTION("IMPORTRANGE(""1OCQdqqJIyWUmzr6sv4fbXUNAqVATScHotcGYSPP6YEs"",""2026-27!AM3"")"),0.0)</f>
        <v>0</v>
      </c>
      <c r="CH18" s="59">
        <f>IFERROR(__xludf.DUMMYFUNCTION("IMPORTRANGE(""1OCQdqqJIyWUmzr6sv4fbXUNAqVATScHotcGYSPP6YEs"",""2026-27!AN4"")"),0.0)</f>
        <v>0</v>
      </c>
      <c r="CI18" s="59">
        <f>IFERROR(__xludf.DUMMYFUNCTION("IMPORTRANGE(""1OCQdqqJIyWUmzr6sv4fbXUNAqVATScHotcGYSPP6YEs"",""2026-27!AN3"")"),0.0)</f>
        <v>0</v>
      </c>
      <c r="CJ18" s="59">
        <f>IFERROR(__xludf.DUMMYFUNCTION("IMPORTRANGE(""1OCQdqqJIyWUmzr6sv4fbXUNAqVATScHotcGYSPP6YEs"",""2026-27!AO4"")"),0.0)</f>
        <v>0</v>
      </c>
      <c r="CK18" s="59">
        <f>IFERROR(__xludf.DUMMYFUNCTION("IMPORTRANGE(""1OCQdqqJIyWUmzr6sv4fbXUNAqVATScHotcGYSPP6YEs"",""2026-27!AO3"")"),0.0)</f>
        <v>0</v>
      </c>
      <c r="CL18" s="63" t="str">
        <f t="shared" si="43"/>
        <v/>
      </c>
      <c r="CM18" s="59">
        <f>IFERROR(__xludf.DUMMYFUNCTION("IMPORTRANGE(""1OCQdqqJIyWUmzr6sv4fbXUNAqVATScHotcGYSPP6YEs"",""2026-27!AP4"")"),0.0)</f>
        <v>0</v>
      </c>
      <c r="CN18" s="59">
        <f>IFERROR(__xludf.DUMMYFUNCTION("IMPORTRANGE(""1OCQdqqJIyWUmzr6sv4fbXUNAqVATScHotcGYSPP6YEs"",""2026-27!AP3"")"),0.0)</f>
        <v>0</v>
      </c>
      <c r="CO18" s="59">
        <f>IFERROR(__xludf.DUMMYFUNCTION("IMPORTRANGE(""1OCQdqqJIyWUmzr6sv4fbXUNAqVATScHotcGYSPP6YEs"",""2026-27!AQ4"")"),0.0)</f>
        <v>0</v>
      </c>
      <c r="CP18" s="59">
        <f>IFERROR(__xludf.DUMMYFUNCTION("IMPORTRANGE(""1OCQdqqJIyWUmzr6sv4fbXUNAqVATScHotcGYSPP6YEs"",""2026-27!AQ3"")"),0.0)</f>
        <v>0</v>
      </c>
      <c r="CQ18" s="59">
        <f>IFERROR(__xludf.DUMMYFUNCTION("IMPORTRANGE(""1OCQdqqJIyWUmzr6sv4fbXUNAqVATScHotcGYSPP6YEs"",""2026-27!AR4"")"),0.0)</f>
        <v>0</v>
      </c>
      <c r="CR18" s="59">
        <f>IFERROR(__xludf.DUMMYFUNCTION("IMPORTRANGE(""1OCQdqqJIyWUmzr6sv4fbXUNAqVATScHotcGYSPP6YEs"",""2026-27!AR3"")"),0.0)</f>
        <v>0</v>
      </c>
      <c r="CS18" s="63" t="str">
        <f t="shared" si="44"/>
        <v/>
      </c>
      <c r="CT18" s="59">
        <f>IFERROR(__xludf.DUMMYFUNCTION("IMPORTRANGE(""1OCQdqqJIyWUmzr6sv4fbXUNAqVATScHotcGYSPP6YEs"",""2026-27!AS4"")"),0.0)</f>
        <v>0</v>
      </c>
      <c r="CU18" s="59">
        <f>IFERROR(__xludf.DUMMYFUNCTION("IMPORTRANGE(""1OCQdqqJIyWUmzr6sv4fbXUNAqVATScHotcGYSPP6YEs"",""2026-27!AS3"")"),0.0)</f>
        <v>0</v>
      </c>
      <c r="CV18" s="64"/>
    </row>
    <row r="19">
      <c r="A19" s="82" t="s">
        <v>48</v>
      </c>
      <c r="B19" s="83" t="s">
        <v>48</v>
      </c>
      <c r="C19" s="68" t="s">
        <v>49</v>
      </c>
      <c r="D19" s="72" t="s">
        <v>50</v>
      </c>
      <c r="E19" s="54">
        <v>7.976699874E9</v>
      </c>
      <c r="F19" s="84">
        <v>45428.0</v>
      </c>
      <c r="G19" s="66"/>
      <c r="H19" s="66"/>
      <c r="I19" s="57">
        <v>26526.0</v>
      </c>
      <c r="J19" s="58">
        <v>1200000.0</v>
      </c>
      <c r="K19" s="61">
        <f>IFERROR(__xludf.DUMMYFUNCTION("IMPORTRANGE(""https://docs.google.com/spreadsheets/d/1WzUdmfnQDNkhWeXGDxfn71m4gjwTEw7ImG_HYmiR0VY/edit#gid=1361333659"",""2026-27!A3"")"),101.0)</f>
        <v>101</v>
      </c>
      <c r="L19" s="61">
        <f>IFERROR(__xludf.DUMMYFUNCTION("IMPORTRANGE(""https://docs.google.com/spreadsheets/d/1WzUdmfnQDNkhWeXGDxfn71m4gjwTEw7ImG_HYmiR0VY/edit#gid=1361333659"",""2026-27!G4"")"),1.21E7)</f>
        <v>12100000</v>
      </c>
      <c r="M19" s="59">
        <f t="shared" si="30"/>
        <v>2122297.6</v>
      </c>
      <c r="N19" s="60">
        <f t="shared" si="31"/>
        <v>0</v>
      </c>
      <c r="O19" s="61">
        <f t="shared" ref="O19:O20" si="45">SUM(U19,AB19,AI19,AP19,AW19,BD19,BK19,BR19,BY19,CF19,CM19,CT19)</f>
        <v>0</v>
      </c>
      <c r="P19" s="59">
        <f>IFERROR(__xludf.DUMMYFUNCTION("IMPORTRANGE(""https://docs.google.com/spreadsheets/d/1WzUdmfnQDNkhWeXGDxfn71m4gjwTEw7ImG_HYmiR0VY/edit#gid=1361333659"",""2026-27!J4"")"),1169222.0)</f>
        <v>1169222</v>
      </c>
      <c r="Q19" s="59">
        <f>IFERROR(__xludf.DUMMYFUNCTION("IMPORTRANGE(""https://docs.google.com/spreadsheets/d/1WzUdmfnQDNkhWeXGDxfn71m4gjwTEw7ImG_HYmiR0VY/edit#gid=1361333659"",""2026-27!J3"")"),94.0)</f>
        <v>94</v>
      </c>
      <c r="R19" s="59">
        <f>IFERROR(__xludf.DUMMYFUNCTION("IMPORTRANGE(""https://docs.google.com/spreadsheets/d/1WzUdmfnQDNkhWeXGDxfn71m4gjwTEw7ImG_HYmiR0VY/edit#gid=1361333659"",""2026-27!K4"")"),602564.8400000001)</f>
        <v>602564.84</v>
      </c>
      <c r="S19" s="59">
        <f>IFERROR(__xludf.DUMMYFUNCTION("IMPORTRANGE(""https://docs.google.com/spreadsheets/d/1WzUdmfnQDNkhWeXGDxfn71m4gjwTEw7ImG_HYmiR0VY/edit#gid=1361333659"",""2026-27!K3"")"),17.0)</f>
        <v>17</v>
      </c>
      <c r="T19" s="62">
        <f t="shared" si="33"/>
        <v>0</v>
      </c>
      <c r="U19" s="59">
        <f>IFERROR(__xludf.DUMMYFUNCTION("IMPORTRANGE(""https://docs.google.com/spreadsheets/d/1WzUdmfnQDNkhWeXGDxfn71m4gjwTEw7ImG_HYmiR0VY/edit#gid=1361333659"",""2026-27!L4"")"),0.0)</f>
        <v>0</v>
      </c>
      <c r="V19" s="85">
        <f>IFERROR(__xludf.DUMMYFUNCTION("IMPORTRANGE(""https://docs.google.com/spreadsheets/d/1WzUdmfnQDNkhWeXGDxfn71m4gjwTEw7ImG_HYmiR0VY/edit#gid=1361333659"",""2026-27!L3"")"),0.0)</f>
        <v>0</v>
      </c>
      <c r="W19" s="59">
        <f>IFERROR(__xludf.DUMMYFUNCTION("IMPORTRANGE(""https://docs.google.com/spreadsheets/d/1WzUdmfnQDNkhWeXGDxfn71m4gjwTEw7ImG_HYmiR0VY/edit#gid=1361333659"",""2026-27!M4"")"),1199500.0)</f>
        <v>1199500</v>
      </c>
      <c r="X19" s="85">
        <f>IFERROR(__xludf.DUMMYFUNCTION("IMPORTRANGE(""https://docs.google.com/spreadsheets/d/1WzUdmfnQDNkhWeXGDxfn71m4gjwTEw7ImG_HYmiR0VY/edit#gid=1361333659"",""2026-27!M3"")"),94.0)</f>
        <v>94</v>
      </c>
      <c r="Y19" s="59">
        <f>IFERROR(__xludf.DUMMYFUNCTION("importrange(""https://docs.google.com/spreadsheets/d/1WzUdmfnQDNkhWeXGDxfn71m4gjwTEw7ImG_HYmiR0VY/edit#gid=1361333659"",""2026-27!n4"")"),532570.43)</f>
        <v>532570.43</v>
      </c>
      <c r="Z19" s="59">
        <f>IFERROR(__xludf.DUMMYFUNCTION("importrange(""https://docs.google.com/spreadsheets/d/1WzUdmfnQDNkhWeXGDxfn71m4gjwTEw7ImG_HYmiR0VY/edit#gid=1361333659"",""2026-27!n3"")"),19.0)</f>
        <v>19</v>
      </c>
      <c r="AA19" s="62">
        <f t="shared" si="34"/>
        <v>0</v>
      </c>
      <c r="AB19" s="59">
        <f>IFERROR(__xludf.DUMMYFUNCTION("importrange(""https://docs.google.com/spreadsheets/d/1WzUdmfnQDNkhWeXGDxfn71m4gjwTEw7ImG_HYmiR0VY/edit#gid=1361333659"",""2026-27!o4"")"),0.0)</f>
        <v>0</v>
      </c>
      <c r="AC19" s="59">
        <f>IFERROR(__xludf.DUMMYFUNCTION("importrange(""https://docs.google.com/spreadsheets/d/1WzUdmfnQDNkhWeXGDxfn71m4gjwTEw7ImG_HYmiR0VY/edit#gid=1361333659"",""2026-27!o3"")"),0.0)</f>
        <v>0</v>
      </c>
      <c r="AD19" s="59">
        <f>IFERROR(__xludf.DUMMYFUNCTION("importrange(""https://docs.google.com/spreadsheets/d/1WzUdmfnQDNkhWeXGDxfn71m4gjwTEw7ImG_HYmiR0VY/edit#gid=1361333659"",""2026-27!p4"")"),0.0)</f>
        <v>0</v>
      </c>
      <c r="AE19" s="59">
        <f>IFERROR(__xludf.DUMMYFUNCTION("importrange(""https://docs.google.com/spreadsheets/d/1WzUdmfnQDNkhWeXGDxfn71m4gjwTEw7ImG_HYmiR0VY/edit#gid=1361333659"",""2026-27!p3"")"),0.0)</f>
        <v>0</v>
      </c>
      <c r="AF19" s="59">
        <f>IFERROR(__xludf.DUMMYFUNCTION("importrange(""https://docs.google.com/spreadsheets/d/1WzUdmfnQDNkhWeXGDxfn71m4gjwTEw7ImG_HYmiR0VY/edit#gid=1361333659"",""2026-27!q4"")"),987162.3299999998)</f>
        <v>987162.33</v>
      </c>
      <c r="AG19" s="59">
        <f>IFERROR(__xludf.DUMMYFUNCTION("importrange(""https://docs.google.com/spreadsheets/d/1WzUdmfnQDNkhWeXGDxfn71m4gjwTEw7ImG_HYmiR0VY/edit#gid=1361333659"",""2026-27!q3"")"),23.0)</f>
        <v>23</v>
      </c>
      <c r="AH19" s="62" t="str">
        <f t="shared" si="35"/>
        <v/>
      </c>
      <c r="AI19" s="59">
        <f>IFERROR(__xludf.DUMMYFUNCTION("importrange(""https://docs.google.com/spreadsheets/d/1WzUdmfnQDNkhWeXGDxfn71m4gjwTEw7ImG_HYmiR0VY/edit#gid=1361333659"",""2026-27!r4"")"),0.0)</f>
        <v>0</v>
      </c>
      <c r="AJ19" s="59">
        <f>IFERROR(__xludf.DUMMYFUNCTION("importrange(""https://docs.google.com/spreadsheets/d/1WzUdmfnQDNkhWeXGDxfn71m4gjwTEw7ImG_HYmiR0VY/edit#gid=1361333659"",""2026-27!r3"")"),0.0)</f>
        <v>0</v>
      </c>
      <c r="AK19" s="59">
        <f>IFERROR(__xludf.DUMMYFUNCTION("importrange(""https://docs.google.com/spreadsheets/d/1WzUdmfnQDNkhWeXGDxfn71m4gjwTEw7ImG_HYmiR0VY/edit#gid=1361333659"",""2026-27!s4"")"),0.0)</f>
        <v>0</v>
      </c>
      <c r="AL19" s="59">
        <f>IFERROR(__xludf.DUMMYFUNCTION("importrange(""https://docs.google.com/spreadsheets/d/1WzUdmfnQDNkhWeXGDxfn71m4gjwTEw7ImG_HYmiR0VY/edit#gid=1361333659"",""2026-27!s3"")"),0.0)</f>
        <v>0</v>
      </c>
      <c r="AM19" s="61">
        <f>IFERROR(__xludf.DUMMYFUNCTION("importrange(""https://docs.google.com/spreadsheets/d/1WzUdmfnQDNkhWeXGDxfn71m4gjwTEw7ImG_HYmiR0VY/edit#gid=1361333659"",""2026-27!t4"")"),0.0)</f>
        <v>0</v>
      </c>
      <c r="AN19" s="59">
        <f>IFERROR(__xludf.DUMMYFUNCTION("importrange(""https://docs.google.com/spreadsheets/d/1WzUdmfnQDNkhWeXGDxfn71m4gjwTEw7ImG_HYmiR0VY/edit#gid=1361333659"",""2026-27!t3"")"),0.0)</f>
        <v>0</v>
      </c>
      <c r="AO19" s="62" t="str">
        <f t="shared" si="36"/>
        <v/>
      </c>
      <c r="AP19" s="59">
        <f>IFERROR(__xludf.DUMMYFUNCTION("importrange(""https://docs.google.com/spreadsheets/d/1WzUdmfnQDNkhWeXGDxfn71m4gjwTEw7ImG_HYmiR0VY/edit#gid=1361333659"",""2026-27!u4"")"),0.0)</f>
        <v>0</v>
      </c>
      <c r="AQ19" s="59">
        <f>IFERROR(__xludf.DUMMYFUNCTION("importrange(""https://docs.google.com/spreadsheets/d/1WzUdmfnQDNkhWeXGDxfn71m4gjwTEw7ImG_HYmiR0VY/edit#gid=1361333659"",""2026-27!u3"")"),0.0)</f>
        <v>0</v>
      </c>
      <c r="AR19" s="59">
        <f>IFERROR(__xludf.DUMMYFUNCTION("importrange(""https://docs.google.com/spreadsheets/d/1WzUdmfnQDNkhWeXGDxfn71m4gjwTEw7ImG_HYmiR0VY/edit#gid=1361333659"",""2026-27!v4"")"),0.0)</f>
        <v>0</v>
      </c>
      <c r="AS19" s="59">
        <f>IFERROR(__xludf.DUMMYFUNCTION("importrange(""https://docs.google.com/spreadsheets/d/1WzUdmfnQDNkhWeXGDxfn71m4gjwTEw7ImG_HYmiR0VY/edit#gid=1361333659"",""2026-27!v3"")"),0.0)</f>
        <v>0</v>
      </c>
      <c r="AT19" s="61">
        <f>IFERROR(__xludf.DUMMYFUNCTION("importrange(""https://docs.google.com/spreadsheets/d/1WzUdmfnQDNkhWeXGDxfn71m4gjwTEw7ImG_HYmiR0VY/edit#gid=1361333659"",""2026-27!w4"")"),0.0)</f>
        <v>0</v>
      </c>
      <c r="AU19" s="59">
        <f>IFERROR(__xludf.DUMMYFUNCTION("importrange(""https://docs.google.com/spreadsheets/d/1WzUdmfnQDNkhWeXGDxfn71m4gjwTEw7ImG_HYmiR0VY/edit#gid=1361333659"",""2026-27!w3"")"),0.0)</f>
        <v>0</v>
      </c>
      <c r="AV19" s="62" t="str">
        <f t="shared" si="37"/>
        <v/>
      </c>
      <c r="AW19" s="59">
        <f>IFERROR(__xludf.DUMMYFUNCTION("importrange(""https://docs.google.com/spreadsheets/d/1WzUdmfnQDNkhWeXGDxfn71m4gjwTEw7ImG_HYmiR0VY/edit#gid=1361333659"",""2026-27!x4"")"),0.0)</f>
        <v>0</v>
      </c>
      <c r="AX19" s="59">
        <f>IFERROR(__xludf.DUMMYFUNCTION("importrange(""https://docs.google.com/spreadsheets/d/1WzUdmfnQDNkhWeXGDxfn71m4gjwTEw7ImG_HYmiR0VY/edit#gid=1361333659"",""2026-27!x3"")"),0.0)</f>
        <v>0</v>
      </c>
      <c r="AY19" s="59">
        <f>IFERROR(__xludf.DUMMYFUNCTION("importrange(""https://docs.google.com/spreadsheets/d/1WzUdmfnQDNkhWeXGDxfn71m4gjwTEw7ImG_HYmiR0VY/edit#gid=1361333659"",""2026-27!y4"")"),0.0)</f>
        <v>0</v>
      </c>
      <c r="AZ19" s="59">
        <f>IFERROR(__xludf.DUMMYFUNCTION("importrange(""https://docs.google.com/spreadsheets/d/1WzUdmfnQDNkhWeXGDxfn71m4gjwTEw7ImG_HYmiR0VY/edit#gid=1361333659"",""2026-27!y3"")"),0.0)</f>
        <v>0</v>
      </c>
      <c r="BA19" s="61">
        <f>IFERROR(__xludf.DUMMYFUNCTION("importrange(""https://docs.google.com/spreadsheets/d/1WzUdmfnQDNkhWeXGDxfn71m4gjwTEw7ImG_HYmiR0VY/edit#gid=1361333659"",""2026-27!z4"")"),0.0)</f>
        <v>0</v>
      </c>
      <c r="BB19" s="59">
        <f>IFERROR(__xludf.DUMMYFUNCTION("importrange(""https://docs.google.com/spreadsheets/d/1WzUdmfnQDNkhWeXGDxfn71m4gjwTEw7ImG_HYmiR0VY/edit#gid=1361333659"",""2026-27!z3"")"),0.0)</f>
        <v>0</v>
      </c>
      <c r="BC19" s="63" t="str">
        <f t="shared" si="38"/>
        <v/>
      </c>
      <c r="BD19" s="59">
        <f>IFERROR(__xludf.DUMMYFUNCTION("importrange(""https://docs.google.com/spreadsheets/d/1WzUdmfnQDNkhWeXGDxfn71m4gjwTEw7ImG_HYmiR0VY/edit#gid=1361333659"",""2026-27!aa4"")"),0.0)</f>
        <v>0</v>
      </c>
      <c r="BE19" s="59">
        <f>IFERROR(__xludf.DUMMYFUNCTION("importrange(""https://docs.google.com/spreadsheets/d/1WzUdmfnQDNkhWeXGDxfn71m4gjwTEw7ImG_HYmiR0VY/edit#gid=1361333659"",""2026-27!aa3"")"),0.0)</f>
        <v>0</v>
      </c>
      <c r="BF19" s="59">
        <f>IFERROR(__xludf.DUMMYFUNCTION("importrange(""https://docs.google.com/spreadsheets/d/1WzUdmfnQDNkhWeXGDxfn71m4gjwTEw7ImG_HYmiR0VY/edit#gid=1361333659"",""2026-27!ab4"")"),0.0)</f>
        <v>0</v>
      </c>
      <c r="BG19" s="59">
        <f>IFERROR(__xludf.DUMMYFUNCTION("importrange(""https://docs.google.com/spreadsheets/d/1WzUdmfnQDNkhWeXGDxfn71m4gjwTEw7ImG_HYmiR0VY/edit#gid=1361333659"",""2026-27!ab3"")"),0.0)</f>
        <v>0</v>
      </c>
      <c r="BH19" s="59">
        <f>IFERROR(__xludf.DUMMYFUNCTION("importrange(""https://docs.google.com/spreadsheets/d/1WzUdmfnQDNkhWeXGDxfn71m4gjwTEw7ImG_HYmiR0VY/edit#gid=1361333659"",""2026-27!ac4"")"),0.0)</f>
        <v>0</v>
      </c>
      <c r="BI19" s="59">
        <f>IFERROR(__xludf.DUMMYFUNCTION("importrange(""https://docs.google.com/spreadsheets/d/1WzUdmfnQDNkhWeXGDxfn71m4gjwTEw7ImG_HYmiR0VY/edit#gid=1361333659"",""2026-27!ac3"")"),0.0)</f>
        <v>0</v>
      </c>
      <c r="BJ19" s="63" t="str">
        <f t="shared" si="39"/>
        <v/>
      </c>
      <c r="BK19" s="59">
        <f>IFERROR(__xludf.DUMMYFUNCTION("importrange(""https://docs.google.com/spreadsheets/d/1WzUdmfnQDNkhWeXGDxfn71m4gjwTEw7ImG_HYmiR0VY/edit#gid=1361333659"",""2026-27!ad4"")"),0.0)</f>
        <v>0</v>
      </c>
      <c r="BL19" s="59">
        <f>IFERROR(__xludf.DUMMYFUNCTION("importrange(""https://docs.google.com/spreadsheets/d/1WzUdmfnQDNkhWeXGDxfn71m4gjwTEw7ImG_HYmiR0VY/edit#gid=1361333659"",""2026-27!ad3"")"),0.0)</f>
        <v>0</v>
      </c>
      <c r="BM19" s="59">
        <f>IFERROR(__xludf.DUMMYFUNCTION("importrange(""https://docs.google.com/spreadsheets/d/1WzUdmfnQDNkhWeXGDxfn71m4gjwTEw7ImG_HYmiR0VY/edit#gid=1361333659"",""2026-27!ae4"")"),0.0)</f>
        <v>0</v>
      </c>
      <c r="BN19" s="59">
        <f>IFERROR(__xludf.DUMMYFUNCTION("importrange(""https://docs.google.com/spreadsheets/d/1WzUdmfnQDNkhWeXGDxfn71m4gjwTEw7ImG_HYmiR0VY/edit#gid=1361333659"",""2026-27!ae3"")"),0.0)</f>
        <v>0</v>
      </c>
      <c r="BO19" s="59">
        <f>IFERROR(__xludf.DUMMYFUNCTION("importrange(""https://docs.google.com/spreadsheets/d/1WzUdmfnQDNkhWeXGDxfn71m4gjwTEw7ImG_HYmiR0VY/edit#gid=1361333659"",""2026-27!af4"")"),0.0)</f>
        <v>0</v>
      </c>
      <c r="BP19" s="59">
        <f>IFERROR(__xludf.DUMMYFUNCTION("importrange(""https://docs.google.com/spreadsheets/d/1WzUdmfnQDNkhWeXGDxfn71m4gjwTEw7ImG_HYmiR0VY/edit#gid=1361333659"",""2026-27!af3"")"),0.0)</f>
        <v>0</v>
      </c>
      <c r="BQ19" s="63" t="str">
        <f t="shared" si="40"/>
        <v/>
      </c>
      <c r="BR19" s="59">
        <f>IFERROR(__xludf.DUMMYFUNCTION("importrange(""https://docs.google.com/spreadsheets/d/1WzUdmfnQDNkhWeXGDxfn71m4gjwTEw7ImG_HYmiR0VY/edit#gid=1361333659"",""2026-27!ag4"")"),0.0)</f>
        <v>0</v>
      </c>
      <c r="BS19" s="59">
        <f>IFERROR(__xludf.DUMMYFUNCTION("importrange(""https://docs.google.com/spreadsheets/d/1WzUdmfnQDNkhWeXGDxfn71m4gjwTEw7ImG_HYmiR0VY/edit#gid=1361333659"",""2026-27!ag3"")"),0.0)</f>
        <v>0</v>
      </c>
      <c r="BT19" s="59">
        <f>IFERROR(__xludf.DUMMYFUNCTION("importrange(""https://docs.google.com/spreadsheets/d/1WzUdmfnQDNkhWeXGDxfn71m4gjwTEw7ImG_HYmiR0VY/edit#gid=1361333659"",""2026-27!ah4"")"),0.0)</f>
        <v>0</v>
      </c>
      <c r="BU19" s="59">
        <f>IFERROR(__xludf.DUMMYFUNCTION("importrange(""https://docs.google.com/spreadsheets/d/1WzUdmfnQDNkhWeXGDxfn71m4gjwTEw7ImG_HYmiR0VY/edit#gid=1361333659"",""2026-27!ah3"")"),0.0)</f>
        <v>0</v>
      </c>
      <c r="BV19" s="59">
        <f>IFERROR(__xludf.DUMMYFUNCTION("importrange(""https://docs.google.com/spreadsheets/d/1WzUdmfnQDNkhWeXGDxfn71m4gjwTEw7ImG_HYmiR0VY/edit#gid=1361333659"",""2026-27!ai4"")"),0.0)</f>
        <v>0</v>
      </c>
      <c r="BW19" s="59">
        <f>IFERROR(__xludf.DUMMYFUNCTION("importrange(""https://docs.google.com/spreadsheets/d/1WzUdmfnQDNkhWeXGDxfn71m4gjwTEw7ImG_HYmiR0VY/edit#gid=1361333659"",""2026-27!ai3"")"),0.0)</f>
        <v>0</v>
      </c>
      <c r="BX19" s="63" t="str">
        <f t="shared" si="41"/>
        <v/>
      </c>
      <c r="BY19" s="59">
        <f>IFERROR(__xludf.DUMMYFUNCTION("importrange(""https://docs.google.com/spreadsheets/d/1WzUdmfnQDNkhWeXGDxfn71m4gjwTEw7ImG_HYmiR0VY/edit#gid=1361333659"",""2026-27!aj4"")"),0.0)</f>
        <v>0</v>
      </c>
      <c r="BZ19" s="59">
        <f>IFERROR(__xludf.DUMMYFUNCTION("importrange(""https://docs.google.com/spreadsheets/d/1WzUdmfnQDNkhWeXGDxfn71m4gjwTEw7ImG_HYmiR0VY/edit#gid=1361333659"",""2026-27!aj3"")"),0.0)</f>
        <v>0</v>
      </c>
      <c r="CA19" s="59">
        <f>IFERROR(__xludf.DUMMYFUNCTION("importrange(""https://docs.google.com/spreadsheets/d/1WzUdmfnQDNkhWeXGDxfn71m4gjwTEw7ImG_HYmiR0VY/edit#gid=1361333659"",""2026-27!ak4"")"),0.0)</f>
        <v>0</v>
      </c>
      <c r="CB19" s="59">
        <f>IFERROR(__xludf.DUMMYFUNCTION("importrange(""https://docs.google.com/spreadsheets/d/1WzUdmfnQDNkhWeXGDxfn71m4gjwTEw7ImG_HYmiR0VY/edit#gid=1361333659"",""2026-27!ak3"")"),0.0)</f>
        <v>0</v>
      </c>
      <c r="CC19" s="59">
        <f>IFERROR(__xludf.DUMMYFUNCTION("importrange(""https://docs.google.com/spreadsheets/d/1WzUdmfnQDNkhWeXGDxfn71m4gjwTEw7ImG_HYmiR0VY/edit#gid=1361333659"",""2026-27!al4"")"),0.0)</f>
        <v>0</v>
      </c>
      <c r="CD19" s="59">
        <f>IFERROR(__xludf.DUMMYFUNCTION("importrange(""https://docs.google.com/spreadsheets/d/1WzUdmfnQDNkhWeXGDxfn71m4gjwTEw7ImG_HYmiR0VY/edit#gid=1361333659"",""2026-27!ai3"")"),0.0)</f>
        <v>0</v>
      </c>
      <c r="CE19" s="63" t="str">
        <f t="shared" si="42"/>
        <v/>
      </c>
      <c r="CF19" s="59">
        <f>IFERROR(__xludf.DUMMYFUNCTION("importrange(""https://docs.google.com/spreadsheets/d/1WzUdmfnQDNkhWeXGDxfn71m4gjwTEw7ImG_HYmiR0VY/edit#gid=1361333659"",""2026-27!am4"")"),0.0)</f>
        <v>0</v>
      </c>
      <c r="CG19" s="59">
        <f>IFERROR(__xludf.DUMMYFUNCTION("importrange(""https://docs.google.com/spreadsheets/d/1WzUdmfnQDNkhWeXGDxfn71m4gjwTEw7ImG_HYmiR0VY/edit#gid=1361333659"",""2026-27!am3"")"),0.0)</f>
        <v>0</v>
      </c>
      <c r="CH19" s="59">
        <f>IFERROR(__xludf.DUMMYFUNCTION("importrange(""https://docs.google.com/spreadsheets/d/1WzUdmfnQDNkhWeXGDxfn71m4gjwTEw7ImG_HYmiR0VY/edit#gid=1361333659"",""2026-27!an4"")"),0.0)</f>
        <v>0</v>
      </c>
      <c r="CI19" s="59">
        <f>IFERROR(__xludf.DUMMYFUNCTION("importrange(""https://docs.google.com/spreadsheets/d/1WzUdmfnQDNkhWeXGDxfn71m4gjwTEw7ImG_HYmiR0VY/edit#gid=1361333659"",""2026-27!an3"")"),0.0)</f>
        <v>0</v>
      </c>
      <c r="CJ19" s="59">
        <f>IFERROR(__xludf.DUMMYFUNCTION("importrange(""https://docs.google.com/spreadsheets/d/1WzUdmfnQDNkhWeXGDxfn71m4gjwTEw7ImG_HYmiR0VY/edit#gid=1361333659"",""2026-27!ao4"")"),0.0)</f>
        <v>0</v>
      </c>
      <c r="CK19" s="59">
        <f>IFERROR(__xludf.DUMMYFUNCTION("importrange(""https://docs.google.com/spreadsheets/d/1WzUdmfnQDNkhWeXGDxfn71m4gjwTEw7ImG_HYmiR0VY/edit#gid=1361333659"",""2026-27!ao3"")"),0.0)</f>
        <v>0</v>
      </c>
      <c r="CL19" s="63" t="str">
        <f t="shared" si="43"/>
        <v/>
      </c>
      <c r="CM19" s="59">
        <f>IFERROR(__xludf.DUMMYFUNCTION("importrange(""https://docs.google.com/spreadsheets/d/1WzUdmfnQDNkhWeXGDxfn71m4gjwTEw7ImG_HYmiR0VY/edit#gid=1361333659"",""2026-27!ap4"")"),0.0)</f>
        <v>0</v>
      </c>
      <c r="CN19" s="59">
        <f>IFERROR(__xludf.DUMMYFUNCTION("importrange(""https://docs.google.com/spreadsheets/d/1WzUdmfnQDNkhWeXGDxfn71m4gjwTEw7ImG_HYmiR0VY/edit#gid=1361333659"",""2026-27!ap3"")"),0.0)</f>
        <v>0</v>
      </c>
      <c r="CO19" s="59">
        <f>IFERROR(__xludf.DUMMYFUNCTION("importrange(""https://docs.google.com/spreadsheets/d/1WzUdmfnQDNkhWeXGDxfn71m4gjwTEw7ImG_HYmiR0VY/edit#gid=1361333659"",""2026-27!aq4"")"),0.0)</f>
        <v>0</v>
      </c>
      <c r="CP19" s="59">
        <f>IFERROR(__xludf.DUMMYFUNCTION("importrange(""https://docs.google.com/spreadsheets/d/1WzUdmfnQDNkhWeXGDxfn71m4gjwTEw7ImG_HYmiR0VY/edit#gid=1361333659"",""2026-27!aq3"")"),0.0)</f>
        <v>0</v>
      </c>
      <c r="CQ19" s="59">
        <f>IFERROR(__xludf.DUMMYFUNCTION("importrange(""https://docs.google.com/spreadsheets/d/1WzUdmfnQDNkhWeXGDxfn71m4gjwTEw7ImG_HYmiR0VY/edit#gid=1361333659"",""2026-27!ar4"")"),0.0)</f>
        <v>0</v>
      </c>
      <c r="CR19" s="59">
        <f>IFERROR(__xludf.DUMMYFUNCTION("importrange(""https://docs.google.com/spreadsheets/d/1WzUdmfnQDNkhWeXGDxfn71m4gjwTEw7ImG_HYmiR0VY/edit#gid=1361333659"",""2026-27!ar3"")"),0.0)</f>
        <v>0</v>
      </c>
      <c r="CS19" s="63" t="str">
        <f t="shared" si="44"/>
        <v/>
      </c>
      <c r="CT19" s="59">
        <f>IFERROR(__xludf.DUMMYFUNCTION("importrange(""https://docs.google.com/spreadsheets/d/1WzUdmfnQDNkhWeXGDxfn71m4gjwTEw7ImG_HYmiR0VY/edit#gid=1361333659"",""2026-27!as4"")"),0.0)</f>
        <v>0</v>
      </c>
      <c r="CU19" s="59">
        <f>IFERROR(__xludf.DUMMYFUNCTION("importrange(""https://docs.google.com/spreadsheets/d/1WzUdmfnQDNkhWeXGDxfn71m4gjwTEw7ImG_HYmiR0VY/edit#gid=1361333659"",""2026-27!as3"")"),0.0)</f>
        <v>0</v>
      </c>
      <c r="CV19" s="64"/>
    </row>
    <row r="20">
      <c r="A20" s="82" t="s">
        <v>48</v>
      </c>
      <c r="B20" s="41"/>
      <c r="C20" s="68" t="s">
        <v>51</v>
      </c>
      <c r="D20" s="54" t="s">
        <v>52</v>
      </c>
      <c r="E20" s="54">
        <v>8.432805343E9</v>
      </c>
      <c r="F20" s="84">
        <v>45518.0</v>
      </c>
      <c r="G20" s="66"/>
      <c r="H20" s="66"/>
      <c r="I20" s="57">
        <v>23570.0</v>
      </c>
      <c r="J20" s="58">
        <v>800000.0</v>
      </c>
      <c r="K20" s="61">
        <f>IFERROR(__xludf.DUMMYFUNCTION("IMPORTRANGE(""https://docs.google.com/spreadsheets/d/1zbKpAkjR5pwXNP3vlQNzKnZWdUfQd6EtmpoFtLBYJoY/edit?gid=1824619316#gid=1824619316"",""2026-27!A3"")"),87.0)</f>
        <v>87</v>
      </c>
      <c r="L20" s="61">
        <f>IFERROR(__xludf.DUMMYFUNCTION("IMPORTRANGE(""https://docs.google.com/spreadsheets/d/1zbKpAkjR5pwXNP3vlQNzKnZWdUfQd6EtmpoFtLBYJoY/edit?gid=1824619316#gid=1824619316"",""2026-27!G4"")"),1784000.0)</f>
        <v>1784000</v>
      </c>
      <c r="M20" s="59">
        <f t="shared" si="30"/>
        <v>669564.16</v>
      </c>
      <c r="N20" s="60">
        <f t="shared" si="31"/>
        <v>0.1405011211</v>
      </c>
      <c r="O20" s="61">
        <f t="shared" si="45"/>
        <v>250654</v>
      </c>
      <c r="P20" s="59">
        <f>IFERROR(__xludf.DUMMYFUNCTION("IMPORTRANGE(""https://docs.google.com/spreadsheets/d/1zbKpAkjR5pwXNP3vlQNzKnZWdUfQd6EtmpoFtLBYJoY/edit?gid=1824619316#gid=1824619316"",""2026-27!J4"")"),0.0)</f>
        <v>0</v>
      </c>
      <c r="Q20" s="59">
        <f>IFERROR(__xludf.DUMMYFUNCTION("IMPORTRANGE(""https://docs.google.com/spreadsheets/d/1zbKpAkjR5pwXNP3vlQNzKnZWdUfQd6EtmpoFtLBYJoY/edit?gid=1824619316#gid=1824619316"",""2026-27!J3"")"),0.0)</f>
        <v>0</v>
      </c>
      <c r="R20" s="59">
        <f>IFERROR(__xludf.DUMMYFUNCTION("IMPORTRANGE(""https://docs.google.com/spreadsheets/d/1zbKpAkjR5pwXNP3vlQNzKnZWdUfQd6EtmpoFtLBYJoY/edit?gid=1824619316#gid=1824619316"",""2026-27!K4"")"),121427.20000000001)</f>
        <v>121427.2</v>
      </c>
      <c r="S20" s="59">
        <f>IFERROR(__xludf.DUMMYFUNCTION("IMPORTRANGE(""https://docs.google.com/spreadsheets/d/1zbKpAkjR5pwXNP3vlQNzKnZWdUfQd6EtmpoFtLBYJoY/edit?gid=1824619316#gid=1824619316"",""2026-27!K3"")"),8.0)</f>
        <v>8</v>
      </c>
      <c r="T20" s="62" t="str">
        <f t="shared" si="33"/>
        <v/>
      </c>
      <c r="U20" s="59">
        <f>IFERROR(__xludf.DUMMYFUNCTION("IMPORTRANGE(""https://docs.google.com/spreadsheets/d/1zbKpAkjR5pwXNP3vlQNzKnZWdUfQd6EtmpoFtLBYJoY/edit?gid=1824619316#gid=1824619316"",""2026-27!L4"")"),59784.0)</f>
        <v>59784</v>
      </c>
      <c r="V20" s="85">
        <f>IFERROR(__xludf.DUMMYFUNCTION("IMPORTRANGE(""https://docs.google.com/spreadsheets/d/1zbKpAkjR5pwXNP3vlQNzKnZWdUfQd6EtmpoFtLBYJoY/edit?gid=1824619316#gid=1824619316"",""2026-27!L3"")"),7.0)</f>
        <v>7</v>
      </c>
      <c r="W20" s="59">
        <f>IFERROR(__xludf.DUMMYFUNCTION("IMPORTRANGE(""https://docs.google.com/spreadsheets/d/1zbKpAkjR5pwXNP3vlQNzKnZWdUfQd6EtmpoFtLBYJoY/edit?gid=1824619316#gid=1824619316"",""2026-27!M4"")"),0.0)</f>
        <v>0</v>
      </c>
      <c r="X20" s="85">
        <f>IFERROR(__xludf.DUMMYFUNCTION("IMPORTRANGE(""https://docs.google.com/spreadsheets/d/1zbKpAkjR5pwXNP3vlQNzKnZWdUfQd6EtmpoFtLBYJoY/edit?gid=1824619316#gid=1824619316"",""2026-27!M3"")"),0.0)</f>
        <v>0</v>
      </c>
      <c r="Y20" s="59">
        <f>IFERROR(__xludf.DUMMYFUNCTION("importrange(""https://docs.google.com/spreadsheets/d/1zbKpAkjR5pwXNP3vlQNzKnZWdUfQd6EtmpoFtLBYJoY/edit?gid=1824619316#gid=1824619316"",""2026-27!n4"")"),210457.36)</f>
        <v>210457.36</v>
      </c>
      <c r="Z20" s="59">
        <f>IFERROR(__xludf.DUMMYFUNCTION("importrange(""https://docs.google.com/spreadsheets/d/1zbKpAkjR5pwXNP3vlQNzKnZWdUfQd6EtmpoFtLBYJoY/edit?gid=1824619316#gid=1824619316"",""2026-27!n3"")"),16.0)</f>
        <v>16</v>
      </c>
      <c r="AA20" s="62" t="str">
        <f t="shared" si="34"/>
        <v/>
      </c>
      <c r="AB20" s="59">
        <f>IFERROR(__xludf.DUMMYFUNCTION("importrange(""https://docs.google.com/spreadsheets/d/1zbKpAkjR5pwXNP3vlQNzKnZWdUfQd6EtmpoFtLBYJoY/edit?gid=1824619316#gid=1824619316"",""2026-27!o4"")"),190870.0)</f>
        <v>190870</v>
      </c>
      <c r="AC20" s="59">
        <f>IFERROR(__xludf.DUMMYFUNCTION("importrange(""https://docs.google.com/spreadsheets/d/1zbKpAkjR5pwXNP3vlQNzKnZWdUfQd6EtmpoFtLBYJoY/edit?gid=1824619316#gid=1824619316"",""2026-27!o3"")"),14.0)</f>
        <v>14</v>
      </c>
      <c r="AD20" s="59">
        <f>IFERROR(__xludf.DUMMYFUNCTION("importrange(""https://docs.google.com/spreadsheets/d/1zbKpAkjR5pwXNP3vlQNzKnZWdUfQd6EtmpoFtLBYJoY/edit?gid=1824619316#gid=1824619316"",""2026-27!p4"")"),0.0)</f>
        <v>0</v>
      </c>
      <c r="AE20" s="59">
        <f>IFERROR(__xludf.DUMMYFUNCTION("importrange(""https://docs.google.com/spreadsheets/d/1zbKpAkjR5pwXNP3vlQNzKnZWdUfQd6EtmpoFtLBYJoY/edit?gid=1824619316#gid=1824619316"",""2026-27!p3"")"),0.0)</f>
        <v>0</v>
      </c>
      <c r="AF20" s="59">
        <f>IFERROR(__xludf.DUMMYFUNCTION("importrange(""https://docs.google.com/spreadsheets/d/1zbKpAkjR5pwXNP3vlQNzKnZWdUfQd6EtmpoFtLBYJoY/edit?gid=1824619316#gid=1824619316"",""2026-27!q4"")"),337679.60000000003)</f>
        <v>337679.6</v>
      </c>
      <c r="AG20" s="59">
        <f>IFERROR(__xludf.DUMMYFUNCTION("importrange(""https://docs.google.com/spreadsheets/d/1zbKpAkjR5pwXNP3vlQNzKnZWdUfQd6EtmpoFtLBYJoY/edit?gid=1824619316#gid=1824619316"",""2026-27!q3"")"),18.0)</f>
        <v>18</v>
      </c>
      <c r="AH20" s="62" t="str">
        <f t="shared" si="35"/>
        <v/>
      </c>
      <c r="AI20" s="59">
        <f>IFERROR(__xludf.DUMMYFUNCTION("importrange(""https://docs.google.com/spreadsheets/d/1zbKpAkjR5pwXNP3vlQNzKnZWdUfQd6EtmpoFtLBYJoY/edit?gid=1824619316#gid=1824619316"",""2026-27!r4"")"),0.0)</f>
        <v>0</v>
      </c>
      <c r="AJ20" s="59">
        <f>IFERROR(__xludf.DUMMYFUNCTION("importrange(""https://docs.google.com/spreadsheets/d/1zbKpAkjR5pwXNP3vlQNzKnZWdUfQd6EtmpoFtLBYJoY/edit?gid=1824619316#gid=1824619316"",""2026-27!r3"")"),0.0)</f>
        <v>0</v>
      </c>
      <c r="AK20" s="59">
        <f>IFERROR(__xludf.DUMMYFUNCTION("importrange(""https://docs.google.com/spreadsheets/d/1zbKpAkjR5pwXNP3vlQNzKnZWdUfQd6EtmpoFtLBYJoY/edit?gid=1824619316#gid=1824619316"",""2026-27!s4"")"),0.0)</f>
        <v>0</v>
      </c>
      <c r="AL20" s="59">
        <f>IFERROR(__xludf.DUMMYFUNCTION("importrange(""https://docs.google.com/spreadsheets/d/1zbKpAkjR5pwXNP3vlQNzKnZWdUfQd6EtmpoFtLBYJoY/edit?gid=1824619316#gid=1824619316"",""2026-27!s3"")"),0.0)</f>
        <v>0</v>
      </c>
      <c r="AM20" s="61">
        <f>IFERROR(__xludf.DUMMYFUNCTION("importrange(""https://docs.google.com/spreadsheets/d/1zbKpAkjR5pwXNP3vlQNzKnZWdUfQd6EtmpoFtLBYJoY/edit?gid=1824619316#gid=1824619316"",""2026-27!t4"")"),0.0)</f>
        <v>0</v>
      </c>
      <c r="AN20" s="59">
        <f>IFERROR(__xludf.DUMMYFUNCTION("importrange(""https://docs.google.com/spreadsheets/d/1zbKpAkjR5pwXNP3vlQNzKnZWdUfQd6EtmpoFtLBYJoY/edit?gid=1824619316#gid=1824619316"",""2026-27!t3"")"),0.0)</f>
        <v>0</v>
      </c>
      <c r="AO20" s="62" t="str">
        <f t="shared" si="36"/>
        <v/>
      </c>
      <c r="AP20" s="59">
        <f>IFERROR(__xludf.DUMMYFUNCTION("importrange(""https://docs.google.com/spreadsheets/d/1zbKpAkjR5pwXNP3vlQNzKnZWdUfQd6EtmpoFtLBYJoY/edit?gid=1824619316#gid=1824619316"",""2026-27!u4"")"),0.0)</f>
        <v>0</v>
      </c>
      <c r="AQ20" s="59">
        <f>IFERROR(__xludf.DUMMYFUNCTION("importrange(""https://docs.google.com/spreadsheets/d/1zbKpAkjR5pwXNP3vlQNzKnZWdUfQd6EtmpoFtLBYJoY/edit?gid=1824619316#gid=1824619316"",""2026-27!u3"")"),0.0)</f>
        <v>0</v>
      </c>
      <c r="AR20" s="59">
        <f>IFERROR(__xludf.DUMMYFUNCTION("importrange(""https://docs.google.com/spreadsheets/d/1zbKpAkjR5pwXNP3vlQNzKnZWdUfQd6EtmpoFtLBYJoY/edit?gid=1824619316#gid=1824619316"",""2026-27!v4"")"),0.0)</f>
        <v>0</v>
      </c>
      <c r="AS20" s="59">
        <f>IFERROR(__xludf.DUMMYFUNCTION("importrange(""https://docs.google.com/spreadsheets/d/1zbKpAkjR5pwXNP3vlQNzKnZWdUfQd6EtmpoFtLBYJoY/edit?gid=1824619316#gid=1824619316"",""2026-27!v3"")"),0.0)</f>
        <v>0</v>
      </c>
      <c r="AT20" s="61">
        <f>IFERROR(__xludf.DUMMYFUNCTION("importrange(""https://docs.google.com/spreadsheets/d/1zbKpAkjR5pwXNP3vlQNzKnZWdUfQd6EtmpoFtLBYJoY/edit?gid=1824619316#gid=1824619316"",""2026-27!w4"")"),0.0)</f>
        <v>0</v>
      </c>
      <c r="AU20" s="59">
        <f>IFERROR(__xludf.DUMMYFUNCTION("importrange(""https://docs.google.com/spreadsheets/d/1zbKpAkjR5pwXNP3vlQNzKnZWdUfQd6EtmpoFtLBYJoY/edit?gid=1824619316#gid=1824619316"",""2026-27!w3"")"),0.0)</f>
        <v>0</v>
      </c>
      <c r="AV20" s="62" t="str">
        <f t="shared" si="37"/>
        <v/>
      </c>
      <c r="AW20" s="59">
        <f>IFERROR(__xludf.DUMMYFUNCTION("importrange(""https://docs.google.com/spreadsheets/d/1zbKpAkjR5pwXNP3vlQNzKnZWdUfQd6EtmpoFtLBYJoY/edit?gid=1824619316#gid=1824619316"",""2026-27!x4"")"),0.0)</f>
        <v>0</v>
      </c>
      <c r="AX20" s="59">
        <f>IFERROR(__xludf.DUMMYFUNCTION("importrange(""https://docs.google.com/spreadsheets/d/1zbKpAkjR5pwXNP3vlQNzKnZWdUfQd6EtmpoFtLBYJoY/edit?gid=1824619316#gid=1824619316"",""2026-27!x3"")"),0.0)</f>
        <v>0</v>
      </c>
      <c r="AY20" s="59">
        <f>IFERROR(__xludf.DUMMYFUNCTION("importrange(""https://docs.google.com/spreadsheets/d/1zbKpAkjR5pwXNP3vlQNzKnZWdUfQd6EtmpoFtLBYJoY/edit?gid=1824619316#gid=1824619316"",""2026-27!y4"")"),0.0)</f>
        <v>0</v>
      </c>
      <c r="AZ20" s="59">
        <f>IFERROR(__xludf.DUMMYFUNCTION("importrange(""https://docs.google.com/spreadsheets/d/1zbKpAkjR5pwXNP3vlQNzKnZWdUfQd6EtmpoFtLBYJoY/edit?gid=1824619316#gid=1824619316"",""2026-27!y3"")"),0.0)</f>
        <v>0</v>
      </c>
      <c r="BA20" s="61">
        <f>IFERROR(__xludf.DUMMYFUNCTION("importrange(""https://docs.google.com/spreadsheets/d/1zbKpAkjR5pwXNP3vlQNzKnZWdUfQd6EtmpoFtLBYJoY/edit?gid=1824619316#gid=1824619316"",""2026-27!z4"")"),0.0)</f>
        <v>0</v>
      </c>
      <c r="BB20" s="59">
        <f>IFERROR(__xludf.DUMMYFUNCTION("importrange(""https://docs.google.com/spreadsheets/d/1zbKpAkjR5pwXNP3vlQNzKnZWdUfQd6EtmpoFtLBYJoY/edit?gid=1824619316#gid=1824619316"",""2026-27!z3"")"),0.0)</f>
        <v>0</v>
      </c>
      <c r="BC20" s="63" t="str">
        <f t="shared" si="38"/>
        <v/>
      </c>
      <c r="BD20" s="59">
        <f>IFERROR(__xludf.DUMMYFUNCTION("importrange(""https://docs.google.com/spreadsheets/d/1zbKpAkjR5pwXNP3vlQNzKnZWdUfQd6EtmpoFtLBYJoY/edit?gid=1824619316#gid=1824619316"",""2026-27!aa4"")"),0.0)</f>
        <v>0</v>
      </c>
      <c r="BE20" s="59">
        <f>IFERROR(__xludf.DUMMYFUNCTION("importrange(""https://docs.google.com/spreadsheets/d/1zbKpAkjR5pwXNP3vlQNzKnZWdUfQd6EtmpoFtLBYJoY/edit?gid=1824619316#gid=1824619316"",""2026-27!aa3"")"),0.0)</f>
        <v>0</v>
      </c>
      <c r="BF20" s="59">
        <f>IFERROR(__xludf.DUMMYFUNCTION("importrange(""https://docs.google.com/spreadsheets/d/1zbKpAkjR5pwXNP3vlQNzKnZWdUfQd6EtmpoFtLBYJoY/edit?gid=1824619316#gid=1824619316"",""2026-27!ab4"")"),0.0)</f>
        <v>0</v>
      </c>
      <c r="BG20" s="59">
        <f>IFERROR(__xludf.DUMMYFUNCTION("importrange(""https://docs.google.com/spreadsheets/d/1zbKpAkjR5pwXNP3vlQNzKnZWdUfQd6EtmpoFtLBYJoY/edit?gid=1824619316#gid=1824619316"",""2026-27!ab3"")"),0.0)</f>
        <v>0</v>
      </c>
      <c r="BH20" s="59">
        <f>IFERROR(__xludf.DUMMYFUNCTION("importrange(""https://docs.google.com/spreadsheets/d/1zbKpAkjR5pwXNP3vlQNzKnZWdUfQd6EtmpoFtLBYJoY/edit?gid=1824619316#gid=1824619316"",""2026-27!ac4"")"),0.0)</f>
        <v>0</v>
      </c>
      <c r="BI20" s="59">
        <f>IFERROR(__xludf.DUMMYFUNCTION("importrange(""https://docs.google.com/spreadsheets/d/1zbKpAkjR5pwXNP3vlQNzKnZWdUfQd6EtmpoFtLBYJoY/edit?gid=1824619316#gid=1824619316"",""2026-27!ac3"")"),0.0)</f>
        <v>0</v>
      </c>
      <c r="BJ20" s="63" t="str">
        <f t="shared" si="39"/>
        <v/>
      </c>
      <c r="BK20" s="59">
        <f>IFERROR(__xludf.DUMMYFUNCTION("importrange(""https://docs.google.com/spreadsheets/d/1zbKpAkjR5pwXNP3vlQNzKnZWdUfQd6EtmpoFtLBYJoY/edit?gid=1824619316#gid=1824619316"",""2026-27!ad4"")"),0.0)</f>
        <v>0</v>
      </c>
      <c r="BL20" s="59">
        <f>IFERROR(__xludf.DUMMYFUNCTION("importrange(""https://docs.google.com/spreadsheets/d/1zbKpAkjR5pwXNP3vlQNzKnZWdUfQd6EtmpoFtLBYJoY/edit?gid=1824619316#gid=1824619316"",""2026-27!ad3"")"),0.0)</f>
        <v>0</v>
      </c>
      <c r="BM20" s="59">
        <f>IFERROR(__xludf.DUMMYFUNCTION("importrange(""https://docs.google.com/spreadsheets/d/1zbKpAkjR5pwXNP3vlQNzKnZWdUfQd6EtmpoFtLBYJoY/edit?gid=1824619316#gid=1824619316"",""2026-27!ae4"")"),0.0)</f>
        <v>0</v>
      </c>
      <c r="BN20" s="59">
        <f>IFERROR(__xludf.DUMMYFUNCTION("importrange(""https://docs.google.com/spreadsheets/d/1zbKpAkjR5pwXNP3vlQNzKnZWdUfQd6EtmpoFtLBYJoY/edit?gid=1824619316#gid=1824619316"",""2026-27!ae3"")"),0.0)</f>
        <v>0</v>
      </c>
      <c r="BO20" s="59">
        <f>IFERROR(__xludf.DUMMYFUNCTION("importrange(""https://docs.google.com/spreadsheets/d/1zbKpAkjR5pwXNP3vlQNzKnZWdUfQd6EtmpoFtLBYJoY/edit?gid=1824619316#gid=1824619316"",""2026-27!af4"")"),0.0)</f>
        <v>0</v>
      </c>
      <c r="BP20" s="59">
        <f>IFERROR(__xludf.DUMMYFUNCTION("importrange(""https://docs.google.com/spreadsheets/d/1zbKpAkjR5pwXNP3vlQNzKnZWdUfQd6EtmpoFtLBYJoY/edit?gid=1824619316#gid=1824619316"",""2026-27!af3"")"),0.0)</f>
        <v>0</v>
      </c>
      <c r="BQ20" s="63" t="str">
        <f t="shared" si="40"/>
        <v/>
      </c>
      <c r="BR20" s="59">
        <f>IFERROR(__xludf.DUMMYFUNCTION("importrange(""https://docs.google.com/spreadsheets/d/1zbKpAkjR5pwXNP3vlQNzKnZWdUfQd6EtmpoFtLBYJoY/edit?gid=1824619316#gid=1824619316"",""2026-27!ag4"")"),0.0)</f>
        <v>0</v>
      </c>
      <c r="BS20" s="59">
        <f>IFERROR(__xludf.DUMMYFUNCTION("importrange(""https://docs.google.com/spreadsheets/d/1zbKpAkjR5pwXNP3vlQNzKnZWdUfQd6EtmpoFtLBYJoY/edit?gid=1824619316#gid=1824619316"",""2026-27!ag3"")"),0.0)</f>
        <v>0</v>
      </c>
      <c r="BT20" s="59">
        <f>IFERROR(__xludf.DUMMYFUNCTION("importrange(""https://docs.google.com/spreadsheets/d/1zbKpAkjR5pwXNP3vlQNzKnZWdUfQd6EtmpoFtLBYJoY/edit?gid=1824619316#gid=1824619316"",""2026-27!ah4"")"),0.0)</f>
        <v>0</v>
      </c>
      <c r="BU20" s="59">
        <f>IFERROR(__xludf.DUMMYFUNCTION("importrange(""https://docs.google.com/spreadsheets/d/1zbKpAkjR5pwXNP3vlQNzKnZWdUfQd6EtmpoFtLBYJoY/edit?gid=1824619316#gid=1824619316"",""2026-27!ah3"")"),0.0)</f>
        <v>0</v>
      </c>
      <c r="BV20" s="59">
        <f>IFERROR(__xludf.DUMMYFUNCTION("importrange(""https://docs.google.com/spreadsheets/d/1zbKpAkjR5pwXNP3vlQNzKnZWdUfQd6EtmpoFtLBYJoY/edit?gid=1824619316#gid=1824619316"",""2026-27!ai4"")"),0.0)</f>
        <v>0</v>
      </c>
      <c r="BW20" s="59">
        <f>IFERROR(__xludf.DUMMYFUNCTION("importrange(""https://docs.google.com/spreadsheets/d/1zbKpAkjR5pwXNP3vlQNzKnZWdUfQd6EtmpoFtLBYJoY/edit?gid=1824619316#gid=1824619316"",""2026-27!ai3"")"),0.0)</f>
        <v>0</v>
      </c>
      <c r="BX20" s="63" t="str">
        <f t="shared" si="41"/>
        <v/>
      </c>
      <c r="BY20" s="59">
        <f>IFERROR(__xludf.DUMMYFUNCTION("importrange(""https://docs.google.com/spreadsheets/d/1zbKpAkjR5pwXNP3vlQNzKnZWdUfQd6EtmpoFtLBYJoY/edit?gid=1824619316#gid=1824619316"",""2026-27!aj4"")"),0.0)</f>
        <v>0</v>
      </c>
      <c r="BZ20" s="59">
        <f>IFERROR(__xludf.DUMMYFUNCTION("importrange(""https://docs.google.com/spreadsheets/d/1zbKpAkjR5pwXNP3vlQNzKnZWdUfQd6EtmpoFtLBYJoY/edit?gid=1824619316#gid=1824619316"",""2026-27!aj3"")"),0.0)</f>
        <v>0</v>
      </c>
      <c r="CA20" s="59">
        <f>IFERROR(__xludf.DUMMYFUNCTION("importrange(""https://docs.google.com/spreadsheets/d/1zbKpAkjR5pwXNP3vlQNzKnZWdUfQd6EtmpoFtLBYJoY/edit?gid=1824619316#gid=1824619316"",""2026-27!ak4"")"),0.0)</f>
        <v>0</v>
      </c>
      <c r="CB20" s="59">
        <f>IFERROR(__xludf.DUMMYFUNCTION("importrange(""https://docs.google.com/spreadsheets/d/1zbKpAkjR5pwXNP3vlQNzKnZWdUfQd6EtmpoFtLBYJoY/edit?gid=1824619316#gid=1824619316"",""2026-27!ak3"")"),0.0)</f>
        <v>0</v>
      </c>
      <c r="CC20" s="59">
        <f>IFERROR(__xludf.DUMMYFUNCTION("importrange(""https://docs.google.com/spreadsheets/d/1zbKpAkjR5pwXNP3vlQNzKnZWdUfQd6EtmpoFtLBYJoY/edit?gid=1824619316#gid=1824619316"",""2026-27!al4"")"),0.0)</f>
        <v>0</v>
      </c>
      <c r="CD20" s="59">
        <f>IFERROR(__xludf.DUMMYFUNCTION("importrange(""https://docs.google.com/spreadsheets/d/1zbKpAkjR5pwXNP3vlQNzKnZWdUfQd6EtmpoFtLBYJoY/edit?gid=1824619316#gid=1824619316"",""2026-27!ai3"")"),0.0)</f>
        <v>0</v>
      </c>
      <c r="CE20" s="63" t="str">
        <f t="shared" si="42"/>
        <v/>
      </c>
      <c r="CF20" s="59">
        <f>IFERROR(__xludf.DUMMYFUNCTION("importrange(""https://docs.google.com/spreadsheets/d/1zbKpAkjR5pwXNP3vlQNzKnZWdUfQd6EtmpoFtLBYJoY/edit?gid=1824619316#gid=1824619316"",""2026-27!am4"")"),0.0)</f>
        <v>0</v>
      </c>
      <c r="CG20" s="59">
        <f>IFERROR(__xludf.DUMMYFUNCTION("importrange(""https://docs.google.com/spreadsheets/d/1zbKpAkjR5pwXNP3vlQNzKnZWdUfQd6EtmpoFtLBYJoY/edit?gid=1824619316#gid=1824619316"",""2026-27!am3"")"),0.0)</f>
        <v>0</v>
      </c>
      <c r="CH20" s="59">
        <f>IFERROR(__xludf.DUMMYFUNCTION("importrange(""https://docs.google.com/spreadsheets/d/1zbKpAkjR5pwXNP3vlQNzKnZWdUfQd6EtmpoFtLBYJoY/edit?gid=1824619316#gid=1824619316"",""2026-27!an4"")"),0.0)</f>
        <v>0</v>
      </c>
      <c r="CI20" s="59">
        <f>IFERROR(__xludf.DUMMYFUNCTION("importrange(""https://docs.google.com/spreadsheets/d/1zbKpAkjR5pwXNP3vlQNzKnZWdUfQd6EtmpoFtLBYJoY/edit?gid=1824619316#gid=1824619316"",""2026-27!an3"")"),0.0)</f>
        <v>0</v>
      </c>
      <c r="CJ20" s="59">
        <f>IFERROR(__xludf.DUMMYFUNCTION("importrange(""https://docs.google.com/spreadsheets/d/1zbKpAkjR5pwXNP3vlQNzKnZWdUfQd6EtmpoFtLBYJoY/edit?gid=1824619316#gid=1824619316"",""2026-27!ao4"")"),0.0)</f>
        <v>0</v>
      </c>
      <c r="CK20" s="59">
        <f>IFERROR(__xludf.DUMMYFUNCTION("importrange(""https://docs.google.com/spreadsheets/d/1zbKpAkjR5pwXNP3vlQNzKnZWdUfQd6EtmpoFtLBYJoY/edit?gid=1824619316#gid=1824619316"",""2026-27!ao3"")"),0.0)</f>
        <v>0</v>
      </c>
      <c r="CL20" s="63" t="str">
        <f t="shared" si="43"/>
        <v/>
      </c>
      <c r="CM20" s="59">
        <f>IFERROR(__xludf.DUMMYFUNCTION("importrange(""https://docs.google.com/spreadsheets/d/1zbKpAkjR5pwXNP3vlQNzKnZWdUfQd6EtmpoFtLBYJoY/edit?gid=1824619316#gid=1824619316"",""2026-27!ap4"")"),0.0)</f>
        <v>0</v>
      </c>
      <c r="CN20" s="59">
        <f>IFERROR(__xludf.DUMMYFUNCTION("importrange(""https://docs.google.com/spreadsheets/d/1zbKpAkjR5pwXNP3vlQNzKnZWdUfQd6EtmpoFtLBYJoY/edit?gid=1824619316#gid=1824619316"",""2026-27!ap3"")"),0.0)</f>
        <v>0</v>
      </c>
      <c r="CO20" s="59">
        <f>IFERROR(__xludf.DUMMYFUNCTION("importrange(""https://docs.google.com/spreadsheets/d/1zbKpAkjR5pwXNP3vlQNzKnZWdUfQd6EtmpoFtLBYJoY/edit?gid=1824619316#gid=1824619316"",""2026-27!aq4"")"),0.0)</f>
        <v>0</v>
      </c>
      <c r="CP20" s="59">
        <f>IFERROR(__xludf.DUMMYFUNCTION("importrange(""https://docs.google.com/spreadsheets/d/1zbKpAkjR5pwXNP3vlQNzKnZWdUfQd6EtmpoFtLBYJoY/edit?gid=1824619316#gid=1824619316"",""2026-27!aq3"")"),0.0)</f>
        <v>0</v>
      </c>
      <c r="CQ20" s="59">
        <f>IFERROR(__xludf.DUMMYFUNCTION("importrange(""https://docs.google.com/spreadsheets/d/1zbKpAkjR5pwXNP3vlQNzKnZWdUfQd6EtmpoFtLBYJoY/edit?gid=1824619316#gid=1824619316"",""2026-27!ar4"")"),0.0)</f>
        <v>0</v>
      </c>
      <c r="CR20" s="59">
        <f>IFERROR(__xludf.DUMMYFUNCTION("importrange(""https://docs.google.com/spreadsheets/d/1zbKpAkjR5pwXNP3vlQNzKnZWdUfQd6EtmpoFtLBYJoY/edit?gid=1824619316#gid=1824619316"",""2026-27!ar3"")"),0.0)</f>
        <v>0</v>
      </c>
      <c r="CS20" s="63" t="str">
        <f t="shared" si="44"/>
        <v/>
      </c>
      <c r="CT20" s="59">
        <f>IFERROR(__xludf.DUMMYFUNCTION("importrange(""https://docs.google.com/spreadsheets/d/1zbKpAkjR5pwXNP3vlQNzKnZWdUfQd6EtmpoFtLBYJoY/edit?gid=1824619316#gid=1824619316"",""2026-27!as4"")"),0.0)</f>
        <v>0</v>
      </c>
      <c r="CU20" s="59">
        <f>IFERROR(__xludf.DUMMYFUNCTION("importrange(""https://docs.google.com/spreadsheets/d/1zbKpAkjR5pwXNP3vlQNzKnZWdUfQd6EtmpoFtLBYJoY/edit?gid=1824619316#gid=1824619316"",""2026-27!as3"")"),0.0)</f>
        <v>0</v>
      </c>
      <c r="CV20" s="64"/>
    </row>
    <row r="21">
      <c r="A21" s="82" t="s">
        <v>48</v>
      </c>
      <c r="B21" s="41"/>
      <c r="C21" s="86" t="s">
        <v>53</v>
      </c>
      <c r="D21" s="53" t="s">
        <v>54</v>
      </c>
      <c r="E21" s="54">
        <v>9.0688442E9</v>
      </c>
      <c r="F21" s="55">
        <v>45061.0</v>
      </c>
      <c r="G21" s="66"/>
      <c r="H21" s="66"/>
      <c r="I21" s="57">
        <v>40590.0</v>
      </c>
      <c r="J21" s="58">
        <v>1500000.0</v>
      </c>
      <c r="K21" s="59">
        <f>IFERROR(__xludf.DUMMYFUNCTION("IMPORTRANGE(""1ix1-nYckIcOYO0crqDtE6JH1Dxftw4VAGpahfAnYGlk"",""2026-27!A3"")"),90.0)</f>
        <v>90</v>
      </c>
      <c r="L21" s="59">
        <f>IFERROR(__xludf.DUMMYFUNCTION("IMPORTRANGE(""1ix1-nYckIcOYO0crqDtE6JH1Dxftw4VAGpahfAnYGlk"",""2026-27!G4"")"),3.244E7)</f>
        <v>32440000</v>
      </c>
      <c r="M21" s="59">
        <f t="shared" si="30"/>
        <v>2959841.19</v>
      </c>
      <c r="N21" s="60">
        <f t="shared" si="31"/>
        <v>0.09667879162</v>
      </c>
      <c r="O21" s="61">
        <f>U21+AB21+AI21+AP21+AW21+BD21+BK21+BR21+BY21+CF21+CM21+CT21</f>
        <v>3136260</v>
      </c>
      <c r="P21" s="59">
        <f>IFERROR(__xludf.DUMMYFUNCTION("IMPORTRANGE(""1ix1-nYckIcOYO0crqDtE6JH1Dxftw4VAGpahfAnYGlk"",""2026-27!J4"")"),1958322.0)</f>
        <v>1958322</v>
      </c>
      <c r="Q21" s="59">
        <f>IFERROR(__xludf.DUMMYFUNCTION("IMPORTRANGE(""1ix1-nYckIcOYO0crqDtE6JH1Dxftw4VAGpahfAnYGlk"",""2026-27!J3"")"),71.0)</f>
        <v>71</v>
      </c>
      <c r="R21" s="59">
        <f>IFERROR(__xludf.DUMMYFUNCTION("IMPORTRANGE(""1ix1-nYckIcOYO0crqDtE6JH1Dxftw4VAGpahfAnYGlk"",""2026-27!K4"")"),350676.79999999993)</f>
        <v>350676.8</v>
      </c>
      <c r="S21" s="59">
        <f>IFERROR(__xludf.DUMMYFUNCTION("IMPORTRANGE(""1ix1-nYckIcOYO0crqDtE6JH1Dxftw4VAGpahfAnYGlk"",""2026-27!K3"")"),10.0)</f>
        <v>10</v>
      </c>
      <c r="T21" s="62">
        <f t="shared" si="33"/>
        <v>0.255418159</v>
      </c>
      <c r="U21" s="59">
        <f>IFERROR(__xludf.DUMMYFUNCTION("IMPORTRANGE(""1ix1-nYckIcOYO0crqDtE6JH1Dxftw4VAGpahfAnYGlk"",""2026-27!L4"")"),500191.0)</f>
        <v>500191</v>
      </c>
      <c r="V21" s="59">
        <f>IFERROR(__xludf.DUMMYFUNCTION("IMPORTRANGE(""1ix1-nYckIcOYO0crqDtE6JH1Dxftw4VAGpahfAnYGlk"",""2026-27!L3"")"),13.0)</f>
        <v>13</v>
      </c>
      <c r="W21" s="59">
        <f>IFERROR(__xludf.DUMMYFUNCTION("IMPORTRANGE(""1ix1-nYckIcOYO0crqDtE6JH1Dxftw4VAGpahfAnYGlk"",""2026-27!m4"")"),1958322.0)</f>
        <v>1958322</v>
      </c>
      <c r="X21" s="59">
        <f>IFERROR(__xludf.DUMMYFUNCTION("IMPORTRANGE(""1ix1-nYckIcOYO0crqDtE6JH1Dxftw4VAGpahfAnYGlk"",""2026-27!m3"")"),71.0)</f>
        <v>71</v>
      </c>
      <c r="Y21" s="59">
        <f>IFERROR(__xludf.DUMMYFUNCTION("IMPORTRANGE(""1ix1-nYckIcOYO0crqDtE6JH1Dxftw4VAGpahfAnYGlk"",""2026-27!N4"")"),1322978.6400000001)</f>
        <v>1322978.64</v>
      </c>
      <c r="Z21" s="59">
        <f>IFERROR(__xludf.DUMMYFUNCTION("IMPORTRANGE(""1ix1-nYckIcOYO0crqDtE6JH1Dxftw4VAGpahfAnYGlk"",""2026-27!N3"")"),12.0)</f>
        <v>12</v>
      </c>
      <c r="AA21" s="62">
        <f t="shared" si="34"/>
        <v>0.6972806311</v>
      </c>
      <c r="AB21" s="59">
        <f>IFERROR(__xludf.DUMMYFUNCTION("IMPORTRANGE(""1ix1-nYckIcOYO0crqDtE6JH1Dxftw4VAGpahfAnYGlk"",""2026-27!O4"")"),1365500.0)</f>
        <v>1365500</v>
      </c>
      <c r="AC21" s="59">
        <f>IFERROR(__xludf.DUMMYFUNCTION("IMPORTRANGE(""1ix1-nYckIcOYO0crqDtE6JH1Dxftw4VAGpahfAnYGlk"",""2026-27!O3"")"),12.0)</f>
        <v>12</v>
      </c>
      <c r="AD21" s="59">
        <f>IFERROR(__xludf.DUMMYFUNCTION("IMPORTRANGE(""1ix1-nYckIcOYO0crqDtE6JH1Dxftw4VAGpahfAnYGlk"",""2026-27!P4"")"),1958322.0)</f>
        <v>1958322</v>
      </c>
      <c r="AE21" s="59">
        <f>IFERROR(__xludf.DUMMYFUNCTION("IMPORTRANGE(""1ix1-nYckIcOYO0crqDtE6JH1Dxftw4VAGpahfAnYGlk"",""2026-27!P3"")"),71.0)</f>
        <v>71</v>
      </c>
      <c r="AF21" s="59">
        <f>IFERROR(__xludf.DUMMYFUNCTION("IMPORTRANGE(""1ix1-nYckIcOYO0crqDtE6JH1Dxftw4VAGpahfAnYGlk"",""2026-27!Q4"")"),1286185.75)</f>
        <v>1286185.75</v>
      </c>
      <c r="AG21" s="59">
        <f>IFERROR(__xludf.DUMMYFUNCTION("IMPORTRANGE(""1ix1-nYckIcOYO0crqDtE6JH1Dxftw4VAGpahfAnYGlk"",""2026-27!Q3"")"),25.0)</f>
        <v>25</v>
      </c>
      <c r="AH21" s="62">
        <f t="shared" si="35"/>
        <v>0.6488049463</v>
      </c>
      <c r="AI21" s="59">
        <f>IFERROR(__xludf.DUMMYFUNCTION("IMPORTRANGE(""1ix1-nYckIcOYO0crqDtE6JH1Dxftw4VAGpahfAnYGlk"",""2026-27!R4"")"),1270569.0)</f>
        <v>1270569</v>
      </c>
      <c r="AJ21" s="59">
        <f>IFERROR(__xludf.DUMMYFUNCTION("IMPORTRANGE(""1ix1-nYckIcOYO0crqDtE6JH1Dxftw4VAGpahfAnYGlk"",""2026-27!R3"")"),24.0)</f>
        <v>24</v>
      </c>
      <c r="AK21" s="59">
        <f>IFERROR(__xludf.DUMMYFUNCTION("IMPORTRANGE(""1ix1-nYckIcOYO0crqDtE6JH1Dxftw4VAGpahfAnYGlk"",""2026-27!S4"")"),0.0)</f>
        <v>0</v>
      </c>
      <c r="AL21" s="59">
        <f>IFERROR(__xludf.DUMMYFUNCTION("IMPORTRANGE(""1ix1-nYckIcOYO0crqDtE6JH1Dxftw4VAGpahfAnYGlk"",""2026-27!S3"")"),0.0)</f>
        <v>0</v>
      </c>
      <c r="AM21" s="59">
        <f>IFERROR(__xludf.DUMMYFUNCTION("IMPORTRANGE(""1ix1-nYckIcOYO0crqDtE6JH1Dxftw4VAGpahfAnYGlk"",""2026-27!T4"")"),0.0)</f>
        <v>0</v>
      </c>
      <c r="AN21" s="59">
        <f>IFERROR(__xludf.DUMMYFUNCTION("IMPORTRANGE(""1ix1-nYckIcOYO0crqDtE6JH1Dxftw4VAGpahfAnYGlk"",""2026-27!T3"")"),0.0)</f>
        <v>0</v>
      </c>
      <c r="AO21" s="62" t="str">
        <f t="shared" si="36"/>
        <v/>
      </c>
      <c r="AP21" s="59">
        <f>IFERROR(__xludf.DUMMYFUNCTION("IMPORTRANGE(""1ix1-nYckIcOYO0crqDtE6JH1Dxftw4VAGpahfAnYGlk"",""2026-27!U4"")"),0.0)</f>
        <v>0</v>
      </c>
      <c r="AQ21" s="59">
        <f>IFERROR(__xludf.DUMMYFUNCTION("IMPORTRANGE(""1ix1-nYckIcOYO0crqDtE6JH1Dxftw4VAGpahfAnYGlk"",""2026-27!U3"")"),0.0)</f>
        <v>0</v>
      </c>
      <c r="AR21" s="59">
        <f>IFERROR(__xludf.DUMMYFUNCTION("IMPORTRANGE(""1ix1-nYckIcOYO0crqDtE6JH1Dxftw4VAGpahfAnYGlk"",""2026-27!V4"")"),0.0)</f>
        <v>0</v>
      </c>
      <c r="AS21" s="59">
        <f>IFERROR(__xludf.DUMMYFUNCTION("IMPORTRANGE(""1ix1-nYckIcOYO0crqDtE6JH1Dxftw4VAGpahfAnYGlk"",""2026-27!V3"")"),0.0)</f>
        <v>0</v>
      </c>
      <c r="AT21" s="59">
        <f>IFERROR(__xludf.DUMMYFUNCTION("IMPORTRANGE(""1ix1-nYckIcOYO0crqDtE6JH1Dxftw4VAGpahfAnYGlk"",""2026-27!W4"")"),0.0)</f>
        <v>0</v>
      </c>
      <c r="AU21" s="59">
        <f>IFERROR(__xludf.DUMMYFUNCTION("IMPORTRANGE(""1ix1-nYckIcOYO0crqDtE6JH1Dxftw4VAGpahfAnYGlk"",""2026-27!W3"")"),0.0)</f>
        <v>0</v>
      </c>
      <c r="AV21" s="62" t="str">
        <f t="shared" si="37"/>
        <v/>
      </c>
      <c r="AW21" s="59">
        <f>IFERROR(__xludf.DUMMYFUNCTION("IMPORTRANGE(""1ix1-nYckIcOYO0crqDtE6JH1Dxftw4VAGpahfAnYGlk"",""2026-27!X4"")"),0.0)</f>
        <v>0</v>
      </c>
      <c r="AX21" s="59">
        <f>IFERROR(__xludf.DUMMYFUNCTION("IMPORTRANGE(""1ix1-nYckIcOYO0crqDtE6JH1Dxftw4VAGpahfAnYGlk"",""2026-27!X3"")"),0.0)</f>
        <v>0</v>
      </c>
      <c r="AY21" s="59">
        <f>IFERROR(__xludf.DUMMYFUNCTION("IMPORTRANGE(""1ix1-nYckIcOYO0crqDtE6JH1Dxftw4VAGpahfAnYGlk"",""2026-27!Y4"")"),0.0)</f>
        <v>0</v>
      </c>
      <c r="AZ21" s="59">
        <f>IFERROR(__xludf.DUMMYFUNCTION("IMPORTRANGE(""1ix1-nYckIcOYO0crqDtE6JH1Dxftw4VAGpahfAnYGlk"",""2026-27!Y3"")"),0.0)</f>
        <v>0</v>
      </c>
      <c r="BA21" s="59">
        <f>IFERROR(__xludf.DUMMYFUNCTION("IMPORTRANGE(""1ix1-nYckIcOYO0crqDtE6JH1Dxftw4VAGpahfAnYGlk"",""2026-27!Z4"")"),0.0)</f>
        <v>0</v>
      </c>
      <c r="BB21" s="59">
        <f>IFERROR(__xludf.DUMMYFUNCTION("IMPORTRANGE(""1ix1-nYckIcOYO0crqDtE6JH1Dxftw4VAGpahfAnYGlk"",""2026-27!Z3"")"),0.0)</f>
        <v>0</v>
      </c>
      <c r="BC21" s="63" t="str">
        <f t="shared" si="38"/>
        <v/>
      </c>
      <c r="BD21" s="59">
        <f>IFERROR(__xludf.DUMMYFUNCTION("IMPORTRANGE(""1ix1-nYckIcOYO0crqDtE6JH1Dxftw4VAGpahfAnYGlk"",""2026-27!AA4"")"),0.0)</f>
        <v>0</v>
      </c>
      <c r="BE21" s="59">
        <f>IFERROR(__xludf.DUMMYFUNCTION("IMPORTRANGE(""1ix1-nYckIcOYO0crqDtE6JH1Dxftw4VAGpahfAnYGlk"",""2026-27!AA3"")"),0.0)</f>
        <v>0</v>
      </c>
      <c r="BF21" s="59">
        <f>IFERROR(__xludf.DUMMYFUNCTION("IMPORTRANGE(""1ix1-nYckIcOYO0crqDtE6JH1Dxftw4VAGpahfAnYGlk"",""2026-27!AB4"")"),0.0)</f>
        <v>0</v>
      </c>
      <c r="BG21" s="59">
        <f>IFERROR(__xludf.DUMMYFUNCTION("IMPORTRANGE(""1ix1-nYckIcOYO0crqDtE6JH1Dxftw4VAGpahfAnYGlk"",""2026-27!AB3"")"),0.0)</f>
        <v>0</v>
      </c>
      <c r="BH21" s="59">
        <f>IFERROR(__xludf.DUMMYFUNCTION("IMPORTRANGE(""1ix1-nYckIcOYO0crqDtE6JH1Dxftw4VAGpahfAnYGlk"",""2026-27!AC4"")"),0.0)</f>
        <v>0</v>
      </c>
      <c r="BI21" s="59">
        <f>IFERROR(__xludf.DUMMYFUNCTION("IMPORTRANGE(""1ix1-nYckIcOYO0crqDtE6JH1Dxftw4VAGpahfAnYGlk"",""2026-27!AC3"")"),0.0)</f>
        <v>0</v>
      </c>
      <c r="BJ21" s="63" t="str">
        <f t="shared" si="39"/>
        <v/>
      </c>
      <c r="BK21" s="59">
        <f>IFERROR(__xludf.DUMMYFUNCTION("IMPORTRANGE(""1ix1-nYckIcOYO0crqDtE6JH1Dxftw4VAGpahfAnYGlk"",""2026-27!AD4"")"),0.0)</f>
        <v>0</v>
      </c>
      <c r="BL21" s="59">
        <f>IFERROR(__xludf.DUMMYFUNCTION("IMPORTRANGE(""1ix1-nYckIcOYO0crqDtE6JH1Dxftw4VAGpahfAnYGlk"",""2026-27!AD3"")"),0.0)</f>
        <v>0</v>
      </c>
      <c r="BM21" s="59">
        <f>IFERROR(__xludf.DUMMYFUNCTION("IMPORTRANGE(""1ix1-nYckIcOYO0crqDtE6JH1Dxftw4VAGpahfAnYGlk"",""2026-27!AE4"")"),0.0)</f>
        <v>0</v>
      </c>
      <c r="BN21" s="59">
        <f>IFERROR(__xludf.DUMMYFUNCTION("IMPORTRANGE(""1ix1-nYckIcOYO0crqDtE6JH1Dxftw4VAGpahfAnYGlk"",""2026-27!AE3"")"),0.0)</f>
        <v>0</v>
      </c>
      <c r="BO21" s="59">
        <f>IFERROR(__xludf.DUMMYFUNCTION("IMPORTRANGE(""1ix1-nYckIcOYO0crqDtE6JH1Dxftw4VAGpahfAnYGlk"",""2026-27!AF4"")"),0.0)</f>
        <v>0</v>
      </c>
      <c r="BP21" s="59">
        <f>IFERROR(__xludf.DUMMYFUNCTION("IMPORTRANGE(""1ix1-nYckIcOYO0crqDtE6JH1Dxftw4VAGpahfAnYGlk"",""2026-27!AF3"")"),0.0)</f>
        <v>0</v>
      </c>
      <c r="BQ21" s="63" t="str">
        <f t="shared" si="40"/>
        <v/>
      </c>
      <c r="BR21" s="59">
        <f>IFERROR(__xludf.DUMMYFUNCTION("IMPORTRANGE(""1ix1-nYckIcOYO0crqDtE6JH1Dxftw4VAGpahfAnYGlk"",""2026-27!AG4"")"),0.0)</f>
        <v>0</v>
      </c>
      <c r="BS21" s="59">
        <f>IFERROR(__xludf.DUMMYFUNCTION("IMPORTRANGE(""1ix1-nYckIcOYO0crqDtE6JH1Dxftw4VAGpahfAnYGlk"",""2026-27!AG3"")"),0.0)</f>
        <v>0</v>
      </c>
      <c r="BT21" s="59">
        <f>IFERROR(__xludf.DUMMYFUNCTION("IMPORTRANGE(""1ix1-nYckIcOYO0crqDtE6JH1Dxftw4VAGpahfAnYGlk"",""2026-27!AH4"")"),0.0)</f>
        <v>0</v>
      </c>
      <c r="BU21" s="59">
        <f>IFERROR(__xludf.DUMMYFUNCTION("IMPORTRANGE(""1ix1-nYckIcOYO0crqDtE6JH1Dxftw4VAGpahfAnYGlk"",""2026-27!AH3"")"),0.0)</f>
        <v>0</v>
      </c>
      <c r="BV21" s="59">
        <f>IFERROR(__xludf.DUMMYFUNCTION("IMPORTRANGE(""1ix1-nYckIcOYO0crqDtE6JH1Dxftw4VAGpahfAnYGlk"",""2026-27!AI4"")"),0.0)</f>
        <v>0</v>
      </c>
      <c r="BW21" s="59">
        <f>IFERROR(__xludf.DUMMYFUNCTION("IMPORTRANGE(""1ix1-nYckIcOYO0crqDtE6JH1Dxftw4VAGpahfAnYGlk"",""2026-27!AI3"")"),0.0)</f>
        <v>0</v>
      </c>
      <c r="BX21" s="63" t="str">
        <f t="shared" si="41"/>
        <v/>
      </c>
      <c r="BY21" s="59">
        <f>IFERROR(__xludf.DUMMYFUNCTION("IMPORTRANGE(""1ix1-nYckIcOYO0crqDtE6JH1Dxftw4VAGpahfAnYGlk"",""2026-27!AJ4"")"),0.0)</f>
        <v>0</v>
      </c>
      <c r="BZ21" s="59">
        <f>IFERROR(__xludf.DUMMYFUNCTION("IMPORTRANGE(""1ix1-nYckIcOYO0crqDtE6JH1Dxftw4VAGpahfAnYGlk"",""2026-27!AJ3"")"),0.0)</f>
        <v>0</v>
      </c>
      <c r="CA21" s="59">
        <f>IFERROR(__xludf.DUMMYFUNCTION("IMPORTRANGE(""1ix1-nYckIcOYO0crqDtE6JH1Dxftw4VAGpahfAnYGlk"",""2026-27!AK4"")"),0.0)</f>
        <v>0</v>
      </c>
      <c r="CB21" s="59">
        <f>IFERROR(__xludf.DUMMYFUNCTION("IMPORTRANGE(""1ix1-nYckIcOYO0crqDtE6JH1Dxftw4VAGpahfAnYGlk"",""2026-27!AK3"")"),0.0)</f>
        <v>0</v>
      </c>
      <c r="CC21" s="59">
        <f>IFERROR(__xludf.DUMMYFUNCTION("IMPORTRANGE(""1ix1-nYckIcOYO0crqDtE6JH1Dxftw4VAGpahfAnYGlk"",""2026-27!AL4"")"),0.0)</f>
        <v>0</v>
      </c>
      <c r="CD21" s="59">
        <f>IFERROR(__xludf.DUMMYFUNCTION("IMPORTRANGE(""1ix1-nYckIcOYO0crqDtE6JH1Dxftw4VAGpahfAnYGlk"",""2026-27!AL3"")"),0.0)</f>
        <v>0</v>
      </c>
      <c r="CE21" s="63" t="str">
        <f t="shared" si="42"/>
        <v/>
      </c>
      <c r="CF21" s="59">
        <f>IFERROR(__xludf.DUMMYFUNCTION("IMPORTRANGE(""1ix1-nYckIcOYO0crqDtE6JH1Dxftw4VAGpahfAnYGlk"",""2026-27!AM4"")"),0.0)</f>
        <v>0</v>
      </c>
      <c r="CG21" s="59">
        <f>IFERROR(__xludf.DUMMYFUNCTION("IMPORTRANGE(""1ix1-nYckIcOYO0crqDtE6JH1Dxftw4VAGpahfAnYGlk"",""2026-27!AM3"")"),0.0)</f>
        <v>0</v>
      </c>
      <c r="CH21" s="59">
        <f>IFERROR(__xludf.DUMMYFUNCTION("IMPORTRANGE(""1ix1-nYckIcOYO0crqDtE6JH1Dxftw4VAGpahfAnYGlk"",""2026-27!AN4"")"),0.0)</f>
        <v>0</v>
      </c>
      <c r="CI21" s="59">
        <f>IFERROR(__xludf.DUMMYFUNCTION("IMPORTRANGE(""1ix1-nYckIcOYO0crqDtE6JH1Dxftw4VAGpahfAnYGlk"",""2026-27!AN3"")"),0.0)</f>
        <v>0</v>
      </c>
      <c r="CJ21" s="59">
        <f>IFERROR(__xludf.DUMMYFUNCTION("IMPORTRANGE(""1ix1-nYckIcOYO0crqDtE6JH1Dxftw4VAGpahfAnYGlk"",""2026-27!AO4"")"),0.0)</f>
        <v>0</v>
      </c>
      <c r="CK21" s="59">
        <f>IFERROR(__xludf.DUMMYFUNCTION("IMPORTRANGE(""1ix1-nYckIcOYO0crqDtE6JH1Dxftw4VAGpahfAnYGlk"",""2026-27!AO3"")"),0.0)</f>
        <v>0</v>
      </c>
      <c r="CL21" s="63" t="str">
        <f t="shared" si="43"/>
        <v/>
      </c>
      <c r="CM21" s="59">
        <f>IFERROR(__xludf.DUMMYFUNCTION("IMPORTRANGE(""1ix1-nYckIcOYO0crqDtE6JH1Dxftw4VAGpahfAnYGlk"",""2026-27!AP4"")"),0.0)</f>
        <v>0</v>
      </c>
      <c r="CN21" s="59">
        <f>IFERROR(__xludf.DUMMYFUNCTION("IMPORTRANGE(""1ix1-nYckIcOYO0crqDtE6JH1Dxftw4VAGpahfAnYGlk"",""2026-27!AP3"")"),0.0)</f>
        <v>0</v>
      </c>
      <c r="CO21" s="59">
        <f>IFERROR(__xludf.DUMMYFUNCTION("IMPORTRANGE(""1ix1-nYckIcOYO0crqDtE6JH1Dxftw4VAGpahfAnYGlk"",""2026-27!AQ4"")"),0.0)</f>
        <v>0</v>
      </c>
      <c r="CP21" s="59">
        <f>IFERROR(__xludf.DUMMYFUNCTION("IMPORTRANGE(""1ix1-nYckIcOYO0crqDtE6JH1Dxftw4VAGpahfAnYGlk"",""2026-27!AQ3"")"),0.0)</f>
        <v>0</v>
      </c>
      <c r="CQ21" s="59">
        <f>IFERROR(__xludf.DUMMYFUNCTION("IMPORTRANGE(""1ix1-nYckIcOYO0crqDtE6JH1Dxftw4VAGpahfAnYGlk"",""2026-27!AR4"")"),0.0)</f>
        <v>0</v>
      </c>
      <c r="CR21" s="59">
        <f>IFERROR(__xludf.DUMMYFUNCTION("IMPORTRANGE(""1ix1-nYckIcOYO0crqDtE6JH1Dxftw4VAGpahfAnYGlk"",""2026-27!AR3"")"),0.0)</f>
        <v>0</v>
      </c>
      <c r="CS21" s="63" t="str">
        <f t="shared" si="44"/>
        <v/>
      </c>
      <c r="CT21" s="59">
        <f>IFERROR(__xludf.DUMMYFUNCTION("IMPORTRANGE(""1ix1-nYckIcOYO0crqDtE6JH1Dxftw4VAGpahfAnYGlk"",""2026-27!AS4"")"),0.0)</f>
        <v>0</v>
      </c>
      <c r="CU21" s="59">
        <f>IFERROR(__xludf.DUMMYFUNCTION("IMPORTRANGE(""1ix1-nYckIcOYO0crqDtE6JH1Dxftw4VAGpahfAnYGlk"",""2026-27!AS3"")"),0.0)</f>
        <v>0</v>
      </c>
      <c r="CV21" s="64"/>
    </row>
    <row r="22">
      <c r="A22" s="82" t="s">
        <v>48</v>
      </c>
      <c r="B22" s="41"/>
      <c r="C22" s="75" t="s">
        <v>55</v>
      </c>
      <c r="D22" s="69" t="s">
        <v>56</v>
      </c>
      <c r="E22" s="72">
        <v>6.378870243E9</v>
      </c>
      <c r="F22" s="70">
        <v>45733.0</v>
      </c>
      <c r="G22" s="66"/>
      <c r="H22" s="66"/>
      <c r="I22" s="57">
        <v>33550.0</v>
      </c>
      <c r="J22" s="58">
        <v>1500000.0</v>
      </c>
      <c r="K22" s="61">
        <f>IFERROR(__xludf.DUMMYFUNCTION("IMPORTRANGE(""https://docs.google.com/spreadsheets/d/1LxLvfF01hkJjA82h3lUiStXhCiLi6vZmRH5Kc6hYsVY/edit?gid=162659938#gid=162659938"",""2026-27!A3"")"),92.0)</f>
        <v>92</v>
      </c>
      <c r="L22" s="61">
        <f>IFERROR(__xludf.DUMMYFUNCTION("IMPORTRANGE(""https://docs.google.com/spreadsheets/d/1LxLvfF01hkJjA82h3lUiStXhCiLi6vZmRH5Kc6hYsVY/edit?gid=162659938#gid=162659938"",""2026-27!G4"")"),1.23E7)</f>
        <v>12300000</v>
      </c>
      <c r="M22" s="61">
        <f t="shared" ref="M22:M23" si="46">SUM(R22+Y22+AF22+AM22+AT22+BA22+BH22+BO22+BV22+CC22+CJ22+CQ22)</f>
        <v>2661536.69</v>
      </c>
      <c r="N22" s="60">
        <f t="shared" si="31"/>
        <v>0.1943339837</v>
      </c>
      <c r="O22" s="61">
        <f t="shared" ref="O22:O23" si="47">SUM(U22,AB22,AI22,AP22,AW22,BD22,BK22,BR22,BY22,CF22,CM22,CT22)</f>
        <v>2390308</v>
      </c>
      <c r="P22" s="59">
        <f>IFERROR(__xludf.DUMMYFUNCTION("IMPORTRANGE(""https://docs.google.com/spreadsheets/d/1LxLvfF01hkJjA82h3lUiStXhCiLi6vZmRH5Kc6hYsVY/edit?gid=162659938#gid=162659938"",""2026-27!J4"")"),1029500.0)</f>
        <v>1029500</v>
      </c>
      <c r="Q22" s="59">
        <f>IFERROR(__xludf.DUMMYFUNCTION("IMPORTRANGE(""https://docs.google.com/spreadsheets/d/1LxLvfF01hkJjA82h3lUiStXhCiLi6vZmRH5Kc6hYsVY/edit?gid=162659938#gid=162659938"",""2026-27!J3"")"),84.0)</f>
        <v>84</v>
      </c>
      <c r="R22" s="59">
        <f>IFERROR(__xludf.DUMMYFUNCTION("IMPORTRANGE(""https://docs.google.com/spreadsheets/d/1LxLvfF01hkJjA82h3lUiStXhCiLi6vZmRH5Kc6hYsVY/edit?gid=162659938#gid=162659938"",""2026-27!K4"")"),578456.9)</f>
        <v>578456.9</v>
      </c>
      <c r="S22" s="59">
        <f>IFERROR(__xludf.DUMMYFUNCTION("IMPORTRANGE(""https://docs.google.com/spreadsheets/d/1LxLvfF01hkJjA82h3lUiStXhCiLi6vZmRH5Kc6hYsVY/edit?gid=162659938#gid=162659938"",""2026-27!K3"")"),9.0)</f>
        <v>9</v>
      </c>
      <c r="T22" s="62">
        <f t="shared" si="33"/>
        <v>1.093851384</v>
      </c>
      <c r="U22" s="59">
        <f>IFERROR(__xludf.DUMMYFUNCTION("IMPORTRANGE(""https://docs.google.com/spreadsheets/d/1LxLvfF01hkJjA82h3lUiStXhCiLi6vZmRH5Kc6hYsVY/edit?gid=162659938#gid=162659938"",""2026-27!L4"")"),1126120.0)</f>
        <v>1126120</v>
      </c>
      <c r="V22" s="85">
        <f>IFERROR(__xludf.DUMMYFUNCTION("IMPORTRANGE(""https://docs.google.com/spreadsheets/d/1LxLvfF01hkJjA82h3lUiStXhCiLi6vZmRH5Kc6hYsVY/edit?gid=162659938#gid=162659938"",""2026-27!L3"")"),17.0)</f>
        <v>17</v>
      </c>
      <c r="W22" s="59">
        <f>IFERROR(__xludf.DUMMYFUNCTION("IMPORTRANGE(""https://docs.google.com/spreadsheets/d/1LxLvfF01hkJjA82h3lUiStXhCiLi6vZmRH5Kc6hYsVY/edit?gid=162659938#gid=162659938"",""2026-27!M4"")"),1024500.0)</f>
        <v>1024500</v>
      </c>
      <c r="X22" s="85">
        <f>IFERROR(__xludf.DUMMYFUNCTION("IMPORTRANGE(""https://docs.google.com/spreadsheets/d/1LxLvfF01hkJjA82h3lUiStXhCiLi6vZmRH5Kc6hYsVY/edit?gid=162659938#gid=162659938"",""2026-27!M3"")"),84.0)</f>
        <v>84</v>
      </c>
      <c r="Y22" s="59">
        <f>IFERROR(__xludf.DUMMYFUNCTION("importrange(""https://docs.google.com/spreadsheets/d/1LxLvfF01hkJjA82h3lUiStXhCiLi6vZmRH5Kc6hYsVY/edit?gid=162659938#gid=162659938"",""2026-27!n4"")"),658195.9199999999)</f>
        <v>658195.92</v>
      </c>
      <c r="Z22" s="59">
        <f>IFERROR(__xludf.DUMMYFUNCTION("importrange(""https://docs.google.com/spreadsheets/d/1LxLvfF01hkJjA82h3lUiStXhCiLi6vZmRH5Kc6hYsVY/edit?gid=162659938#gid=162659938"",""2026-27!n3"")"),15.0)</f>
        <v>15</v>
      </c>
      <c r="AA22" s="62">
        <f t="shared" si="34"/>
        <v>1.233956076</v>
      </c>
      <c r="AB22" s="59">
        <f>IFERROR(__xludf.DUMMYFUNCTION("importrange(""https://docs.google.com/spreadsheets/d/1LxLvfF01hkJjA82h3lUiStXhCiLi6vZmRH5Kc6hYsVY/edit?gid=162659938#gid=162659938"",""2026-27!o4"")"),1264188.0)</f>
        <v>1264188</v>
      </c>
      <c r="AC22" s="59">
        <f>IFERROR(__xludf.DUMMYFUNCTION("importrange(""https://docs.google.com/spreadsheets/d/1LxLvfF01hkJjA82h3lUiStXhCiLi6vZmRH5Kc6hYsVY/edit?gid=162659938#gid=162659938"",""2026-27!o3"")"),22.0)</f>
        <v>22</v>
      </c>
      <c r="AD22" s="59">
        <f>IFERROR(__xludf.DUMMYFUNCTION("importrange(""https://docs.google.com/spreadsheets/d/1LxLvfF01hkJjA82h3lUiStXhCiLi6vZmRH5Kc6hYsVY/edit?gid=162659938#gid=162659938"",""2026-27!p4"")"),1012500.0)</f>
        <v>1012500</v>
      </c>
      <c r="AE22" s="59">
        <f>IFERROR(__xludf.DUMMYFUNCTION("importrange(""https://docs.google.com/spreadsheets/d/1LxLvfF01hkJjA82h3lUiStXhCiLi6vZmRH5Kc6hYsVY/edit?gid=162659938#gid=162659938"",""2026-27!p3"")"),84.0)</f>
        <v>84</v>
      </c>
      <c r="AF22" s="59">
        <f>IFERROR(__xludf.DUMMYFUNCTION("importrange(""https://docs.google.com/spreadsheets/d/1LxLvfF01hkJjA82h3lUiStXhCiLi6vZmRH5Kc6hYsVY/edit?gid=162659938#gid=162659938"",""2026-27!q4"")"),1424883.8699999999)</f>
        <v>1424883.87</v>
      </c>
      <c r="AG22" s="59">
        <f>IFERROR(__xludf.DUMMYFUNCTION("importrange(""https://docs.google.com/spreadsheets/d/1LxLvfF01hkJjA82h3lUiStXhCiLi6vZmRH5Kc6hYsVY/edit?gid=162659938#gid=162659938"",""2026-27!q3"")"),14.0)</f>
        <v>14</v>
      </c>
      <c r="AH22" s="62">
        <f t="shared" si="35"/>
        <v>0</v>
      </c>
      <c r="AI22" s="59">
        <f>IFERROR(__xludf.DUMMYFUNCTION("importrange(""https://docs.google.com/spreadsheets/d/1LxLvfF01hkJjA82h3lUiStXhCiLi6vZmRH5Kc6hYsVY/edit?gid=162659938#gid=162659938"",""2026-27!r4"")"),0.0)</f>
        <v>0</v>
      </c>
      <c r="AJ22" s="59">
        <f>IFERROR(__xludf.DUMMYFUNCTION("importrange(""https://docs.google.com/spreadsheets/d/1LxLvfF01hkJjA82h3lUiStXhCiLi6vZmRH5Kc6hYsVY/edit?gid=162659938#gid=162659938"",""2026-27!r3"")"),0.0)</f>
        <v>0</v>
      </c>
      <c r="AK22" s="59">
        <f>IFERROR(__xludf.DUMMYFUNCTION("importrange(""https://docs.google.com/spreadsheets/d/1LxLvfF01hkJjA82h3lUiStXhCiLi6vZmRH5Kc6hYsVY/edit?gid=162659938#gid=162659938"",""2026-27!s4"")"),1029500.0)</f>
        <v>1029500</v>
      </c>
      <c r="AL22" s="59">
        <f>IFERROR(__xludf.DUMMYFUNCTION("importrange(""https://docs.google.com/spreadsheets/d/1LxLvfF01hkJjA82h3lUiStXhCiLi6vZmRH5Kc6hYsVY/edit?gid=162659938#gid=162659938"",""2026-27!s3"")"),84.0)</f>
        <v>84</v>
      </c>
      <c r="AM22" s="61">
        <f>IFERROR(__xludf.DUMMYFUNCTION("importrange(""https://docs.google.com/spreadsheets/d/1LxLvfF01hkJjA82h3lUiStXhCiLi6vZmRH5Kc6hYsVY/edit?gid=162659938#gid=162659938"",""2026-27!t4"")"),0.0)</f>
        <v>0</v>
      </c>
      <c r="AN22" s="59">
        <f>IFERROR(__xludf.DUMMYFUNCTION("importrange(""https://docs.google.com/spreadsheets/d/1LxLvfF01hkJjA82h3lUiStXhCiLi6vZmRH5Kc6hYsVY/edit?gid=162659938#gid=162659938"",""2026-27!t3"")"),0.0)</f>
        <v>0</v>
      </c>
      <c r="AO22" s="62">
        <f t="shared" si="36"/>
        <v>0</v>
      </c>
      <c r="AP22" s="59">
        <f>IFERROR(__xludf.DUMMYFUNCTION("importrange(""https://docs.google.com/spreadsheets/d/1LxLvfF01hkJjA82h3lUiStXhCiLi6vZmRH5Kc6hYsVY/edit?gid=162659938#gid=162659938"",""2026-27!u4"")"),0.0)</f>
        <v>0</v>
      </c>
      <c r="AQ22" s="59">
        <f>IFERROR(__xludf.DUMMYFUNCTION("importrange(""https://docs.google.com/spreadsheets/d/1LxLvfF01hkJjA82h3lUiStXhCiLi6vZmRH5Kc6hYsVY/edit?gid=162659938#gid=162659938"",""2026-27!u3"")"),0.0)</f>
        <v>0</v>
      </c>
      <c r="AR22" s="59">
        <f>IFERROR(__xludf.DUMMYFUNCTION("importrange(""https://docs.google.com/spreadsheets/d/1LxLvfF01hkJjA82h3lUiStXhCiLi6vZmRH5Kc6hYsVY/edit?gid=162659938#gid=162659938"",""2026-27!v4"")"),1024500.0)</f>
        <v>1024500</v>
      </c>
      <c r="AS22" s="59">
        <f>IFERROR(__xludf.DUMMYFUNCTION("importrange(""https://docs.google.com/spreadsheets/d/1LxLvfF01hkJjA82h3lUiStXhCiLi6vZmRH5Kc6hYsVY/edit?gid=162659938#gid=162659938"",""2026-27!v3"")"),84.0)</f>
        <v>84</v>
      </c>
      <c r="AT22" s="61">
        <f>IFERROR(__xludf.DUMMYFUNCTION("importrange(""https://docs.google.com/spreadsheets/d/1LxLvfF01hkJjA82h3lUiStXhCiLi6vZmRH5Kc6hYsVY/edit?gid=162659938#gid=162659938"",""2026-27!w4"")"),0.0)</f>
        <v>0</v>
      </c>
      <c r="AU22" s="59">
        <f>IFERROR(__xludf.DUMMYFUNCTION("importrange(""https://docs.google.com/spreadsheets/d/1LxLvfF01hkJjA82h3lUiStXhCiLi6vZmRH5Kc6hYsVY/edit?gid=162659938#gid=162659938"",""2026-27!w3"")"),0.0)</f>
        <v>0</v>
      </c>
      <c r="AV22" s="62">
        <f t="shared" si="37"/>
        <v>0</v>
      </c>
      <c r="AW22" s="59">
        <f>IFERROR(__xludf.DUMMYFUNCTION("importrange(""https://docs.google.com/spreadsheets/d/1LxLvfF01hkJjA82h3lUiStXhCiLi6vZmRH5Kc6hYsVY/edit?gid=162659938#gid=162659938"",""2026-27!x4"")"),0.0)</f>
        <v>0</v>
      </c>
      <c r="AX22" s="59">
        <f>IFERROR(__xludf.DUMMYFUNCTION("importrange(""https://docs.google.com/spreadsheets/d/1LxLvfF01hkJjA82h3lUiStXhCiLi6vZmRH5Kc6hYsVY/edit?gid=162659938#gid=162659938"",""2026-27!x3"")"),0.0)</f>
        <v>0</v>
      </c>
      <c r="AY22" s="59">
        <f>IFERROR(__xludf.DUMMYFUNCTION("importrange(""https://docs.google.com/spreadsheets/d/1LxLvfF01hkJjA82h3lUiStXhCiLi6vZmRH5Kc6hYsVY/edit?gid=162659938#gid=162659938"",""2026-27!y4"")"),1012500.0)</f>
        <v>1012500</v>
      </c>
      <c r="AZ22" s="59">
        <f>IFERROR(__xludf.DUMMYFUNCTION("importrange(""https://docs.google.com/spreadsheets/d/1LxLvfF01hkJjA82h3lUiStXhCiLi6vZmRH5Kc6hYsVY/edit?gid=162659938#gid=162659938"",""2026-27!y3"")"),84.0)</f>
        <v>84</v>
      </c>
      <c r="BA22" s="61">
        <f>IFERROR(__xludf.DUMMYFUNCTION("importrange(""https://docs.google.com/spreadsheets/d/1LxLvfF01hkJjA82h3lUiStXhCiLi6vZmRH5Kc6hYsVY/edit?gid=162659938#gid=162659938"",""2026-27!z4"")"),0.0)</f>
        <v>0</v>
      </c>
      <c r="BB22" s="59">
        <f>IFERROR(__xludf.DUMMYFUNCTION("importrange(""https://docs.google.com/spreadsheets/d/1LxLvfF01hkJjA82h3lUiStXhCiLi6vZmRH5Kc6hYsVY/edit?gid=162659938#gid=162659938"",""2026-27!z3"")"),0.0)</f>
        <v>0</v>
      </c>
      <c r="BC22" s="63">
        <f t="shared" si="38"/>
        <v>0</v>
      </c>
      <c r="BD22" s="59">
        <f>IFERROR(__xludf.DUMMYFUNCTION("importrange(""https://docs.google.com/spreadsheets/d/1LxLvfF01hkJjA82h3lUiStXhCiLi6vZmRH5Kc6hYsVY/edit?gid=162659938#gid=162659938"",""2026-27!aa4"")"),0.0)</f>
        <v>0</v>
      </c>
      <c r="BE22" s="59">
        <f>IFERROR(__xludf.DUMMYFUNCTION("importrange(""https://docs.google.com/spreadsheets/d/1LxLvfF01hkJjA82h3lUiStXhCiLi6vZmRH5Kc6hYsVY/edit?gid=162659938#gid=162659938"",""2026-27!aa3"")"),0.0)</f>
        <v>0</v>
      </c>
      <c r="BF22" s="59">
        <f>IFERROR(__xludf.DUMMYFUNCTION("importrange(""https://docs.google.com/spreadsheets/d/1LxLvfF01hkJjA82h3lUiStXhCiLi6vZmRH5Kc6hYsVY/edit?gid=162659938#gid=162659938"",""2026-27!ab4"")"),1029500.0)</f>
        <v>1029500</v>
      </c>
      <c r="BG22" s="59">
        <f>IFERROR(__xludf.DUMMYFUNCTION("importrange(""https://docs.google.com/spreadsheets/d/1LxLvfF01hkJjA82h3lUiStXhCiLi6vZmRH5Kc6hYsVY/edit?gid=162659938#gid=162659938"",""2026-27!ab3"")"),84.0)</f>
        <v>84</v>
      </c>
      <c r="BH22" s="59">
        <f>IFERROR(__xludf.DUMMYFUNCTION("importrange(""https://docs.google.com/spreadsheets/d/1LxLvfF01hkJjA82h3lUiStXhCiLi6vZmRH5Kc6hYsVY/edit?gid=162659938#gid=162659938"",""2026-27!ac4"")"),0.0)</f>
        <v>0</v>
      </c>
      <c r="BI22" s="59">
        <f>IFERROR(__xludf.DUMMYFUNCTION("importrange(""https://docs.google.com/spreadsheets/d/1LxLvfF01hkJjA82h3lUiStXhCiLi6vZmRH5Kc6hYsVY/edit?gid=162659938#gid=162659938"",""2026-27!ac3"")"),0.0)</f>
        <v>0</v>
      </c>
      <c r="BJ22" s="63">
        <f t="shared" si="39"/>
        <v>0</v>
      </c>
      <c r="BK22" s="59">
        <f>IFERROR(__xludf.DUMMYFUNCTION("importrange(""https://docs.google.com/spreadsheets/d/1LxLvfF01hkJjA82h3lUiStXhCiLi6vZmRH5Kc6hYsVY/edit?gid=162659938#gid=162659938"",""2026-27!ad4"")"),0.0)</f>
        <v>0</v>
      </c>
      <c r="BL22" s="59">
        <f>IFERROR(__xludf.DUMMYFUNCTION("importrange(""https://docs.google.com/spreadsheets/d/1LxLvfF01hkJjA82h3lUiStXhCiLi6vZmRH5Kc6hYsVY/edit?gid=162659938#gid=162659938"",""2026-27!ad3"")"),0.0)</f>
        <v>0</v>
      </c>
      <c r="BM22" s="59">
        <f>IFERROR(__xludf.DUMMYFUNCTION("importrange(""https://docs.google.com/spreadsheets/d/1LxLvfF01hkJjA82h3lUiStXhCiLi6vZmRH5Kc6hYsVY/edit?gid=162659938#gid=162659938"",""2026-27!ae4"")"),1024500.0)</f>
        <v>1024500</v>
      </c>
      <c r="BN22" s="59">
        <f>IFERROR(__xludf.DUMMYFUNCTION("importrange(""https://docs.google.com/spreadsheets/d/1LxLvfF01hkJjA82h3lUiStXhCiLi6vZmRH5Kc6hYsVY/edit?gid=162659938#gid=162659938"",""2026-27!ae3"")"),84.0)</f>
        <v>84</v>
      </c>
      <c r="BO22" s="59">
        <f>IFERROR(__xludf.DUMMYFUNCTION("importrange(""https://docs.google.com/spreadsheets/d/1LxLvfF01hkJjA82h3lUiStXhCiLi6vZmRH5Kc6hYsVY/edit?gid=162659938#gid=162659938"",""2026-27!af4"")"),0.0)</f>
        <v>0</v>
      </c>
      <c r="BP22" s="59">
        <f>IFERROR(__xludf.DUMMYFUNCTION("importrange(""https://docs.google.com/spreadsheets/d/1LxLvfF01hkJjA82h3lUiStXhCiLi6vZmRH5Kc6hYsVY/edit?gid=162659938#gid=162659938"",""2026-27!af3"")"),0.0)</f>
        <v>0</v>
      </c>
      <c r="BQ22" s="63">
        <f t="shared" si="40"/>
        <v>0</v>
      </c>
      <c r="BR22" s="59">
        <f>IFERROR(__xludf.DUMMYFUNCTION("importrange(""https://docs.google.com/spreadsheets/d/1LxLvfF01hkJjA82h3lUiStXhCiLi6vZmRH5Kc6hYsVY/edit?gid=162659938#gid=162659938"",""2026-27!ag4"")"),0.0)</f>
        <v>0</v>
      </c>
      <c r="BS22" s="59">
        <f>IFERROR(__xludf.DUMMYFUNCTION("importrange(""https://docs.google.com/spreadsheets/d/1LxLvfF01hkJjA82h3lUiStXhCiLi6vZmRH5Kc6hYsVY/edit?gid=162659938#gid=162659938"",""2026-27!ag3"")"),0.0)</f>
        <v>0</v>
      </c>
      <c r="BT22" s="59">
        <f>IFERROR(__xludf.DUMMYFUNCTION("importrange(""https://docs.google.com/spreadsheets/d/1LxLvfF01hkJjA82h3lUiStXhCiLi6vZmRH5Kc6hYsVY/edit?gid=162659938#gid=162659938"",""2026-27!ah4"")"),1012500.0)</f>
        <v>1012500</v>
      </c>
      <c r="BU22" s="59">
        <f>IFERROR(__xludf.DUMMYFUNCTION("importrange(""https://docs.google.com/spreadsheets/d/1LxLvfF01hkJjA82h3lUiStXhCiLi6vZmRH5Kc6hYsVY/edit?gid=162659938#gid=162659938"",""2026-27!ah3"")"),84.0)</f>
        <v>84</v>
      </c>
      <c r="BV22" s="59">
        <f>IFERROR(__xludf.DUMMYFUNCTION("importrange(""https://docs.google.com/spreadsheets/d/1LxLvfF01hkJjA82h3lUiStXhCiLi6vZmRH5Kc6hYsVY/edit?gid=162659938#gid=162659938"",""2026-27!ai4"")"),0.0)</f>
        <v>0</v>
      </c>
      <c r="BW22" s="59">
        <f>IFERROR(__xludf.DUMMYFUNCTION("importrange(""https://docs.google.com/spreadsheets/d/1LxLvfF01hkJjA82h3lUiStXhCiLi6vZmRH5Kc6hYsVY/edit?gid=162659938#gid=162659938"",""2026-27!ai3"")"),0.0)</f>
        <v>0</v>
      </c>
      <c r="BX22" s="63">
        <f t="shared" si="41"/>
        <v>0</v>
      </c>
      <c r="BY22" s="59">
        <f>IFERROR(__xludf.DUMMYFUNCTION("importrange(""https://docs.google.com/spreadsheets/d/1LxLvfF01hkJjA82h3lUiStXhCiLi6vZmRH5Kc6hYsVY/edit?gid=162659938#gid=162659938"",""2026-27!aj4"")"),0.0)</f>
        <v>0</v>
      </c>
      <c r="BZ22" s="59">
        <f>IFERROR(__xludf.DUMMYFUNCTION("importrange(""https://docs.google.com/spreadsheets/d/1LxLvfF01hkJjA82h3lUiStXhCiLi6vZmRH5Kc6hYsVY/edit?gid=162659938#gid=162659938"",""2026-27!aj3"")"),0.0)</f>
        <v>0</v>
      </c>
      <c r="CA22" s="59">
        <f>IFERROR(__xludf.DUMMYFUNCTION("importrange(""https://docs.google.com/spreadsheets/d/1LxLvfF01hkJjA82h3lUiStXhCiLi6vZmRH5Kc6hYsVY/edit?gid=162659938#gid=162659938"",""2026-27!ak4"")"),1029500.0)</f>
        <v>1029500</v>
      </c>
      <c r="CB22" s="59">
        <f>IFERROR(__xludf.DUMMYFUNCTION("importrange(""https://docs.google.com/spreadsheets/d/1LxLvfF01hkJjA82h3lUiStXhCiLi6vZmRH5Kc6hYsVY/edit?gid=162659938#gid=162659938"",""2026-27!ak3"")"),84.0)</f>
        <v>84</v>
      </c>
      <c r="CC22" s="59">
        <f>IFERROR(__xludf.DUMMYFUNCTION("importrange(""https://docs.google.com/spreadsheets/d/1LxLvfF01hkJjA82h3lUiStXhCiLi6vZmRH5Kc6hYsVY/edit?gid=162659938#gid=162659938"",""2026-27!al4"")"),0.0)</f>
        <v>0</v>
      </c>
      <c r="CD22" s="59">
        <f>IFERROR(__xludf.DUMMYFUNCTION("importrange(""https://docs.google.com/spreadsheets/d/1LxLvfF01hkJjA82h3lUiStXhCiLi6vZmRH5Kc6hYsVY/edit?gid=162659938#gid=162659938"",""2026-27!ai3"")"),0.0)</f>
        <v>0</v>
      </c>
      <c r="CE22" s="63">
        <f t="shared" si="42"/>
        <v>0</v>
      </c>
      <c r="CF22" s="59">
        <f>IFERROR(__xludf.DUMMYFUNCTION("importrange(""https://docs.google.com/spreadsheets/d/1LxLvfF01hkJjA82h3lUiStXhCiLi6vZmRH5Kc6hYsVY/edit?gid=162659938#gid=162659938"",""2026-27!am4"")"),0.0)</f>
        <v>0</v>
      </c>
      <c r="CG22" s="59">
        <f>IFERROR(__xludf.DUMMYFUNCTION("importrange(""https://docs.google.com/spreadsheets/d/1LxLvfF01hkJjA82h3lUiStXhCiLi6vZmRH5Kc6hYsVY/edit?gid=162659938#gid=162659938"",""2026-27!am3"")"),0.0)</f>
        <v>0</v>
      </c>
      <c r="CH22" s="59">
        <f>IFERROR(__xludf.DUMMYFUNCTION("importrange(""https://docs.google.com/spreadsheets/d/1LxLvfF01hkJjA82h3lUiStXhCiLi6vZmRH5Kc6hYsVY/edit?gid=162659938#gid=162659938"",""2026-27!an4"")"),1024500.0)</f>
        <v>1024500</v>
      </c>
      <c r="CI22" s="59">
        <f>IFERROR(__xludf.DUMMYFUNCTION("importrange(""https://docs.google.com/spreadsheets/d/1LxLvfF01hkJjA82h3lUiStXhCiLi6vZmRH5Kc6hYsVY/edit?gid=162659938#gid=162659938"",""2026-27!an3"")"),84.0)</f>
        <v>84</v>
      </c>
      <c r="CJ22" s="59">
        <f>IFERROR(__xludf.DUMMYFUNCTION("importrange(""https://docs.google.com/spreadsheets/d/1LxLvfF01hkJjA82h3lUiStXhCiLi6vZmRH5Kc6hYsVY/edit?gid=162659938#gid=162659938"",""2026-27!ao4"")"),0.0)</f>
        <v>0</v>
      </c>
      <c r="CK22" s="59">
        <f>IFERROR(__xludf.DUMMYFUNCTION("importrange(""https://docs.google.com/spreadsheets/d/1LxLvfF01hkJjA82h3lUiStXhCiLi6vZmRH5Kc6hYsVY/edit?gid=162659938#gid=162659938"",""2026-27!ao3"")"),0.0)</f>
        <v>0</v>
      </c>
      <c r="CL22" s="63">
        <f t="shared" si="43"/>
        <v>0</v>
      </c>
      <c r="CM22" s="59">
        <f>IFERROR(__xludf.DUMMYFUNCTION("importrange(""https://docs.google.com/spreadsheets/d/1LxLvfF01hkJjA82h3lUiStXhCiLi6vZmRH5Kc6hYsVY/edit?gid=162659938#gid=162659938"",""2026-27!ap4"")"),0.0)</f>
        <v>0</v>
      </c>
      <c r="CN22" s="59">
        <f>IFERROR(__xludf.DUMMYFUNCTION("importrange(""https://docs.google.com/spreadsheets/d/1LxLvfF01hkJjA82h3lUiStXhCiLi6vZmRH5Kc6hYsVY/edit?gid=162659938#gid=162659938"",""2026-27!ap3"")"),0.0)</f>
        <v>0</v>
      </c>
      <c r="CO22" s="59">
        <f>IFERROR(__xludf.DUMMYFUNCTION("importrange(""https://docs.google.com/spreadsheets/d/1LxLvfF01hkJjA82h3lUiStXhCiLi6vZmRH5Kc6hYsVY/edit?gid=162659938#gid=162659938"",""2026-27!aq4"")"),1012500.0)</f>
        <v>1012500</v>
      </c>
      <c r="CP22" s="59">
        <f>IFERROR(__xludf.DUMMYFUNCTION("importrange(""https://docs.google.com/spreadsheets/d/1LxLvfF01hkJjA82h3lUiStXhCiLi6vZmRH5Kc6hYsVY/edit?gid=162659938#gid=162659938"",""2026-27!aq3"")"),84.0)</f>
        <v>84</v>
      </c>
      <c r="CQ22" s="59">
        <f>IFERROR(__xludf.DUMMYFUNCTION("importrange(""https://docs.google.com/spreadsheets/d/1LxLvfF01hkJjA82h3lUiStXhCiLi6vZmRH5Kc6hYsVY/edit?gid=162659938#gid=162659938"",""2026-27!ar4"")"),0.0)</f>
        <v>0</v>
      </c>
      <c r="CR22" s="59">
        <f>IFERROR(__xludf.DUMMYFUNCTION("importrange(""https://docs.google.com/spreadsheets/d/1LxLvfF01hkJjA82h3lUiStXhCiLi6vZmRH5Kc6hYsVY/edit?gid=162659938#gid=162659938"",""2026-27!ar3"")"),0.0)</f>
        <v>0</v>
      </c>
      <c r="CS22" s="63">
        <f t="shared" si="44"/>
        <v>0</v>
      </c>
      <c r="CT22" s="59">
        <f>IFERROR(__xludf.DUMMYFUNCTION("importrange(""https://docs.google.com/spreadsheets/d/1LxLvfF01hkJjA82h3lUiStXhCiLi6vZmRH5Kc6hYsVY/edit?gid=162659938#gid=162659938"",""2026-27!as4"")"),0.0)</f>
        <v>0</v>
      </c>
      <c r="CU22" s="59">
        <f>IFERROR(__xludf.DUMMYFUNCTION("importrange(""https://docs.google.com/spreadsheets/d/1LxLvfF01hkJjA82h3lUiStXhCiLi6vZmRH5Kc6hYsVY/edit?gid=162659938#gid=162659938"",""2026-27!as3"")"),0.0)</f>
        <v>0</v>
      </c>
      <c r="CV22" s="64"/>
    </row>
    <row r="23">
      <c r="A23" s="82" t="s">
        <v>48</v>
      </c>
      <c r="B23" s="41"/>
      <c r="C23" s="87" t="s">
        <v>57</v>
      </c>
      <c r="D23" s="53" t="s">
        <v>58</v>
      </c>
      <c r="E23" s="54">
        <v>9.079886609E9</v>
      </c>
      <c r="F23" s="88">
        <v>45861.0</v>
      </c>
      <c r="I23" s="89">
        <v>24120.0</v>
      </c>
      <c r="J23" s="58">
        <v>800000.0</v>
      </c>
      <c r="K23" s="61">
        <f>IFERROR(__xludf.DUMMYFUNCTION("IMPORTRANGE(""https://docs.google.com/spreadsheets/d/15DQ8hh_awzBvwln7i3DA9s8321S_hSqWhFiBmw5ANFI/edit?gid=162659938#gid=162659938"",""2026-27!A3"")"),41.0)</f>
        <v>41</v>
      </c>
      <c r="L23" s="61">
        <f>IFERROR(__xludf.DUMMYFUNCTION("IMPORTRANGE(""https://docs.google.com/spreadsheets/d/15DQ8hh_awzBvwln7i3DA9s8321S_hSqWhFiBmw5ANFI/edit?gid=162659938#gid=162659938"",""2026-27!G4"")"),5700000.0)</f>
        <v>5700000</v>
      </c>
      <c r="M23" s="61">
        <f t="shared" si="46"/>
        <v>845658.51</v>
      </c>
      <c r="N23" s="60">
        <f t="shared" si="31"/>
        <v>0.04013929825</v>
      </c>
      <c r="O23" s="61">
        <f t="shared" si="47"/>
        <v>228794</v>
      </c>
      <c r="P23" s="59">
        <f>IFERROR(__xludf.DUMMYFUNCTION("IMPORTRANGE(""https://docs.google.com/spreadsheets/d/15DQ8hh_awzBvwln7i3DA9s8321S_hSqWhFiBmw5ANFI/edit?gid=162659938#gid=162659938"",""2026-27!J4"")"),605000.0)</f>
        <v>605000</v>
      </c>
      <c r="Q23" s="59">
        <f>IFERROR(__xludf.DUMMYFUNCTION("IMPORTRANGE(""https://docs.google.com/spreadsheets/d/15DQ8hh_awzBvwln7i3DA9s8321S_hSqWhFiBmw5ANFI/edit?gid=162659938#gid=162659938"",""2026-27!J3"")"),38.0)</f>
        <v>38</v>
      </c>
      <c r="R23" s="59">
        <f>IFERROR(__xludf.DUMMYFUNCTION("IMPORTRANGE(""https://docs.google.com/spreadsheets/d/15DQ8hh_awzBvwln7i3DA9s8321S_hSqWhFiBmw5ANFI/edit?gid=162659938#gid=162659938"",""2026-27!K4"")"),225883.71999999997)</f>
        <v>225883.72</v>
      </c>
      <c r="S23" s="59">
        <f>IFERROR(__xludf.DUMMYFUNCTION("IMPORTRANGE(""https://docs.google.com/spreadsheets/d/15DQ8hh_awzBvwln7i3DA9s8321S_hSqWhFiBmw5ANFI/edit?gid=162659938#gid=162659938"",""2026-27!K3"")"),12.0)</f>
        <v>12</v>
      </c>
      <c r="T23" s="62">
        <f t="shared" si="33"/>
        <v>0.2811702479</v>
      </c>
      <c r="U23" s="59">
        <f>IFERROR(__xludf.DUMMYFUNCTION("IMPORTRANGE(""https://docs.google.com/spreadsheets/d/15DQ8hh_awzBvwln7i3DA9s8321S_hSqWhFiBmw5ANFI/edit?gid=162659938#gid=162659938"",""2026-27!L4"")"),170108.0)</f>
        <v>170108</v>
      </c>
      <c r="V23" s="85">
        <f>IFERROR(__xludf.DUMMYFUNCTION("IMPORTRANGE(""https://docs.google.com/spreadsheets/d/15DQ8hh_awzBvwln7i3DA9s8321S_hSqWhFiBmw5ANFI/edit?gid=162659938#gid=162659938"",""2026-27!L3"")"),10.0)</f>
        <v>10</v>
      </c>
      <c r="W23" s="59">
        <f>IFERROR(__xludf.DUMMYFUNCTION("IMPORTRANGE(""https://docs.google.com/spreadsheets/d/15DQ8hh_awzBvwln7i3DA9s8321S_hSqWhFiBmw5ANFI/edit?gid=162659938#gid=162659938"",""2026-27!M4"")"),720000.0)</f>
        <v>720000</v>
      </c>
      <c r="X23" s="85">
        <f>IFERROR(__xludf.DUMMYFUNCTION("IMPORTRANGE(""https://docs.google.com/spreadsheets/d/15DQ8hh_awzBvwln7i3DA9s8321S_hSqWhFiBmw5ANFI/edit?gid=162659938#gid=162659938"",""2026-27!M3"")"),38.0)</f>
        <v>38</v>
      </c>
      <c r="Y23" s="59">
        <f>IFERROR(__xludf.DUMMYFUNCTION("importrange(""https://docs.google.com/spreadsheets/d/15DQ8hh_awzBvwln7i3DA9s8321S_hSqWhFiBmw5ANFI/edit?gid=162659938#gid=162659938"",""2026-27!n4"")"),389508.67000000004)</f>
        <v>389508.67</v>
      </c>
      <c r="Z23" s="59">
        <f>IFERROR(__xludf.DUMMYFUNCTION("importrange(""https://docs.google.com/spreadsheets/d/15DQ8hh_awzBvwln7i3DA9s8321S_hSqWhFiBmw5ANFI/edit?gid=162659938#gid=162659938"",""2026-27!n3"")"),9.0)</f>
        <v>9</v>
      </c>
      <c r="AA23" s="62">
        <f t="shared" si="34"/>
        <v>0.08150833333</v>
      </c>
      <c r="AB23" s="59">
        <f>IFERROR(__xludf.DUMMYFUNCTION("importrange(""https://docs.google.com/spreadsheets/d/15DQ8hh_awzBvwln7i3DA9s8321S_hSqWhFiBmw5ANFI/edit?gid=162659938#gid=162659938"",""2026-27!o4"")"),58686.0)</f>
        <v>58686</v>
      </c>
      <c r="AC23" s="59">
        <f>IFERROR(__xludf.DUMMYFUNCTION("importrange(""https://docs.google.com/spreadsheets/d/15DQ8hh_awzBvwln7i3DA9s8321S_hSqWhFiBmw5ANFI/edit?gid=162659938#gid=162659938"",""2026-27!o3"")"),4.0)</f>
        <v>4</v>
      </c>
      <c r="AD23" s="59">
        <f>IFERROR(__xludf.DUMMYFUNCTION("importrange(""https://docs.google.com/spreadsheets/d/15DQ8hh_awzBvwln7i3DA9s8321S_hSqWhFiBmw5ANFI/edit?gid=162659938#gid=162659938"",""2026-27!p4"")"),0.0)</f>
        <v>0</v>
      </c>
      <c r="AE23" s="59">
        <f>IFERROR(__xludf.DUMMYFUNCTION("importrange(""https://docs.google.com/spreadsheets/d/15DQ8hh_awzBvwln7i3DA9s8321S_hSqWhFiBmw5ANFI/edit?gid=162659938#gid=162659938"",""2026-27!p3"")"),0.0)</f>
        <v>0</v>
      </c>
      <c r="AF23" s="59">
        <f>IFERROR(__xludf.DUMMYFUNCTION("importrange(""https://docs.google.com/spreadsheets/d/15DQ8hh_awzBvwln7i3DA9s8321S_hSqWhFiBmw5ANFI/edit?gid=162659938#gid=162659938"",""2026-27!q4"")"),230266.12000000002)</f>
        <v>230266.12</v>
      </c>
      <c r="AG23" s="59">
        <f>IFERROR(__xludf.DUMMYFUNCTION("importrange(""https://docs.google.com/spreadsheets/d/15DQ8hh_awzBvwln7i3DA9s8321S_hSqWhFiBmw5ANFI/edit?gid=162659938#gid=162659938"",""2026-27!q3"")"),10.0)</f>
        <v>10</v>
      </c>
      <c r="AH23" s="62" t="str">
        <f t="shared" si="35"/>
        <v/>
      </c>
      <c r="AI23" s="59">
        <f>IFERROR(__xludf.DUMMYFUNCTION("importrange(""https://docs.google.com/spreadsheets/d/15DQ8hh_awzBvwln7i3DA9s8321S_hSqWhFiBmw5ANFI/edit?gid=162659938#gid=162659938"",""2026-27!r4"")"),0.0)</f>
        <v>0</v>
      </c>
      <c r="AJ23" s="59">
        <f>IFERROR(__xludf.DUMMYFUNCTION("importrange(""https://docs.google.com/spreadsheets/d/15DQ8hh_awzBvwln7i3DA9s8321S_hSqWhFiBmw5ANFI/edit?gid=162659938#gid=162659938"",""2026-27!r3"")"),0.0)</f>
        <v>0</v>
      </c>
      <c r="AK23" s="59">
        <f>IFERROR(__xludf.DUMMYFUNCTION("importrange(""https://docs.google.com/spreadsheets/d/15DQ8hh_awzBvwln7i3DA9s8321S_hSqWhFiBmw5ANFI/edit?gid=162659938#gid=162659938"",""2026-27!s4"")"),0.0)</f>
        <v>0</v>
      </c>
      <c r="AL23" s="59">
        <f>IFERROR(__xludf.DUMMYFUNCTION("importrange(""https://docs.google.com/spreadsheets/d/15DQ8hh_awzBvwln7i3DA9s8321S_hSqWhFiBmw5ANFI/edit?gid=162659938#gid=162659938"",""2026-27!s3"")"),0.0)</f>
        <v>0</v>
      </c>
      <c r="AM23" s="61">
        <f>IFERROR(__xludf.DUMMYFUNCTION("importrange(""https://docs.google.com/spreadsheets/d/15DQ8hh_awzBvwln7i3DA9s8321S_hSqWhFiBmw5ANFI/edit?gid=162659938#gid=162659938"",""2026-27!t4"")"),0.0)</f>
        <v>0</v>
      </c>
      <c r="AN23" s="59">
        <f>IFERROR(__xludf.DUMMYFUNCTION("importrange(""https://docs.google.com/spreadsheets/d/15DQ8hh_awzBvwln7i3DA9s8321S_hSqWhFiBmw5ANFI/edit?gid=162659938#gid=162659938"",""2026-27!t3"")"),0.0)</f>
        <v>0</v>
      </c>
      <c r="AO23" s="62" t="str">
        <f t="shared" si="36"/>
        <v/>
      </c>
      <c r="AP23" s="59">
        <f>IFERROR(__xludf.DUMMYFUNCTION("importrange(""https://docs.google.com/spreadsheets/d/15DQ8hh_awzBvwln7i3DA9s8321S_hSqWhFiBmw5ANFI/edit?gid=162659938#gid=162659938"",""2026-27!u4"")"),0.0)</f>
        <v>0</v>
      </c>
      <c r="AQ23" s="59">
        <f>IFERROR(__xludf.DUMMYFUNCTION("importrange(""https://docs.google.com/spreadsheets/d/15DQ8hh_awzBvwln7i3DA9s8321S_hSqWhFiBmw5ANFI/edit?gid=162659938#gid=162659938"",""2026-27!u3"")"),0.0)</f>
        <v>0</v>
      </c>
      <c r="AR23" s="59">
        <f>IFERROR(__xludf.DUMMYFUNCTION("importrange(""https://docs.google.com/spreadsheets/d/15DQ8hh_awzBvwln7i3DA9s8321S_hSqWhFiBmw5ANFI/edit?gid=162659938#gid=162659938"",""2026-27!v4"")"),0.0)</f>
        <v>0</v>
      </c>
      <c r="AS23" s="59">
        <f>IFERROR(__xludf.DUMMYFUNCTION("importrange(""https://docs.google.com/spreadsheets/d/15DQ8hh_awzBvwln7i3DA9s8321S_hSqWhFiBmw5ANFI/edit?gid=162659938#gid=162659938"",""2026-27!v3"")"),0.0)</f>
        <v>0</v>
      </c>
      <c r="AT23" s="61">
        <f>IFERROR(__xludf.DUMMYFUNCTION("importrange(""https://docs.google.com/spreadsheets/d/15DQ8hh_awzBvwln7i3DA9s8321S_hSqWhFiBmw5ANFI/edit?gid=162659938#gid=162659938"",""2026-27!w4"")"),0.0)</f>
        <v>0</v>
      </c>
      <c r="AU23" s="59">
        <f>IFERROR(__xludf.DUMMYFUNCTION("importrange(""https://docs.google.com/spreadsheets/d/15DQ8hh_awzBvwln7i3DA9s8321S_hSqWhFiBmw5ANFI/edit?gid=162659938#gid=162659938"",""2026-27!w3"")"),0.0)</f>
        <v>0</v>
      </c>
      <c r="AV23" s="62" t="str">
        <f t="shared" si="37"/>
        <v/>
      </c>
      <c r="AW23" s="59">
        <f>IFERROR(__xludf.DUMMYFUNCTION("importrange(""https://docs.google.com/spreadsheets/d/15DQ8hh_awzBvwln7i3DA9s8321S_hSqWhFiBmw5ANFI/edit?gid=162659938#gid=162659938"",""2026-27!x4"")"),0.0)</f>
        <v>0</v>
      </c>
      <c r="AX23" s="59">
        <f>IFERROR(__xludf.DUMMYFUNCTION("importrange(""https://docs.google.com/spreadsheets/d/15DQ8hh_awzBvwln7i3DA9s8321S_hSqWhFiBmw5ANFI/edit?gid=162659938#gid=162659938"",""2026-27!x3"")"),0.0)</f>
        <v>0</v>
      </c>
      <c r="AY23" s="59">
        <f>IFERROR(__xludf.DUMMYFUNCTION("importrange(""https://docs.google.com/spreadsheets/d/15DQ8hh_awzBvwln7i3DA9s8321S_hSqWhFiBmw5ANFI/edit?gid=162659938#gid=162659938"",""2026-27!y4"")"),0.0)</f>
        <v>0</v>
      </c>
      <c r="AZ23" s="59">
        <f>IFERROR(__xludf.DUMMYFUNCTION("importrange(""https://docs.google.com/spreadsheets/d/15DQ8hh_awzBvwln7i3DA9s8321S_hSqWhFiBmw5ANFI/edit?gid=162659938#gid=162659938"",""2026-27!y3"")"),0.0)</f>
        <v>0</v>
      </c>
      <c r="BA23" s="61">
        <f>IFERROR(__xludf.DUMMYFUNCTION("importrange(""https://docs.google.com/spreadsheets/d/15DQ8hh_awzBvwln7i3DA9s8321S_hSqWhFiBmw5ANFI/edit?gid=162659938#gid=162659938"",""2026-27!z4"")"),0.0)</f>
        <v>0</v>
      </c>
      <c r="BB23" s="59">
        <f>IFERROR(__xludf.DUMMYFUNCTION("importrange(""https://docs.google.com/spreadsheets/d/15DQ8hh_awzBvwln7i3DA9s8321S_hSqWhFiBmw5ANFI/edit?gid=162659938#gid=162659938"",""2026-27!z3"")"),0.0)</f>
        <v>0</v>
      </c>
      <c r="BC23" s="63" t="str">
        <f t="shared" si="38"/>
        <v/>
      </c>
      <c r="BD23" s="59">
        <f>IFERROR(__xludf.DUMMYFUNCTION("importrange(""https://docs.google.com/spreadsheets/d/15DQ8hh_awzBvwln7i3DA9s8321S_hSqWhFiBmw5ANFI/edit?gid=162659938#gid=162659938"",""2026-27!aa4"")"),0.0)</f>
        <v>0</v>
      </c>
      <c r="BE23" s="59">
        <f>IFERROR(__xludf.DUMMYFUNCTION("importrange(""https://docs.google.com/spreadsheets/d/15DQ8hh_awzBvwln7i3DA9s8321S_hSqWhFiBmw5ANFI/edit?gid=162659938#gid=162659938"",""2026-27!aa3"")"),0.0)</f>
        <v>0</v>
      </c>
      <c r="BF23" s="59">
        <f>IFERROR(__xludf.DUMMYFUNCTION("importrange(""https://docs.google.com/spreadsheets/d/15DQ8hh_awzBvwln7i3DA9s8321S_hSqWhFiBmw5ANFI/edit?gid=162659938#gid=162659938"",""2026-27!ab4"")"),0.0)</f>
        <v>0</v>
      </c>
      <c r="BG23" s="59">
        <f>IFERROR(__xludf.DUMMYFUNCTION("importrange(""https://docs.google.com/spreadsheets/d/15DQ8hh_awzBvwln7i3DA9s8321S_hSqWhFiBmw5ANFI/edit?gid=162659938#gid=162659938"",""2026-27!ab3"")"),0.0)</f>
        <v>0</v>
      </c>
      <c r="BH23" s="59">
        <f>IFERROR(__xludf.DUMMYFUNCTION("importrange(""https://docs.google.com/spreadsheets/d/15DQ8hh_awzBvwln7i3DA9s8321S_hSqWhFiBmw5ANFI/edit?gid=162659938#gid=162659938"",""2026-27!ac4"")"),0.0)</f>
        <v>0</v>
      </c>
      <c r="BI23" s="59">
        <f>IFERROR(__xludf.DUMMYFUNCTION("importrange(""https://docs.google.com/spreadsheets/d/15DQ8hh_awzBvwln7i3DA9s8321S_hSqWhFiBmw5ANFI/edit?gid=162659938#gid=162659938"",""2026-27!ac3"")"),0.0)</f>
        <v>0</v>
      </c>
      <c r="BJ23" s="63" t="str">
        <f t="shared" si="39"/>
        <v/>
      </c>
      <c r="BK23" s="59">
        <f>IFERROR(__xludf.DUMMYFUNCTION("importrange(""https://docs.google.com/spreadsheets/d/15DQ8hh_awzBvwln7i3DA9s8321S_hSqWhFiBmw5ANFI/edit?gid=162659938#gid=162659938"",""2026-27!ad4"")"),0.0)</f>
        <v>0</v>
      </c>
      <c r="BL23" s="59">
        <f>IFERROR(__xludf.DUMMYFUNCTION("importrange(""https://docs.google.com/spreadsheets/d/15DQ8hh_awzBvwln7i3DA9s8321S_hSqWhFiBmw5ANFI/edit?gid=162659938#gid=162659938"",""2026-27!ad3"")"),0.0)</f>
        <v>0</v>
      </c>
      <c r="BM23" s="59">
        <f>IFERROR(__xludf.DUMMYFUNCTION("importrange(""https://docs.google.com/spreadsheets/d/15DQ8hh_awzBvwln7i3DA9s8321S_hSqWhFiBmw5ANFI/edit?gid=162659938#gid=162659938"",""2026-27!ae4"")"),0.0)</f>
        <v>0</v>
      </c>
      <c r="BN23" s="59">
        <f>IFERROR(__xludf.DUMMYFUNCTION("importrange(""https://docs.google.com/spreadsheets/d/15DQ8hh_awzBvwln7i3DA9s8321S_hSqWhFiBmw5ANFI/edit?gid=162659938#gid=162659938"",""2026-27!ae3"")"),0.0)</f>
        <v>0</v>
      </c>
      <c r="BO23" s="59">
        <f>IFERROR(__xludf.DUMMYFUNCTION("importrange(""https://docs.google.com/spreadsheets/d/15DQ8hh_awzBvwln7i3DA9s8321S_hSqWhFiBmw5ANFI/edit?gid=162659938#gid=162659938"",""2026-27!af4"")"),0.0)</f>
        <v>0</v>
      </c>
      <c r="BP23" s="59">
        <f>IFERROR(__xludf.DUMMYFUNCTION("importrange(""https://docs.google.com/spreadsheets/d/15DQ8hh_awzBvwln7i3DA9s8321S_hSqWhFiBmw5ANFI/edit?gid=162659938#gid=162659938"",""2026-27!af3"")"),0.0)</f>
        <v>0</v>
      </c>
      <c r="BQ23" s="63" t="str">
        <f t="shared" si="40"/>
        <v/>
      </c>
      <c r="BR23" s="59">
        <f>IFERROR(__xludf.DUMMYFUNCTION("importrange(""https://docs.google.com/spreadsheets/d/15DQ8hh_awzBvwln7i3DA9s8321S_hSqWhFiBmw5ANFI/edit?gid=162659938#gid=162659938"",""2026-27!ag4"")"),0.0)</f>
        <v>0</v>
      </c>
      <c r="BS23" s="59">
        <f>IFERROR(__xludf.DUMMYFUNCTION("importrange(""https://docs.google.com/spreadsheets/d/15DQ8hh_awzBvwln7i3DA9s8321S_hSqWhFiBmw5ANFI/edit?gid=162659938#gid=162659938"",""2026-27!ag3"")"),0.0)</f>
        <v>0</v>
      </c>
      <c r="BT23" s="59">
        <f>IFERROR(__xludf.DUMMYFUNCTION("importrange(""https://docs.google.com/spreadsheets/d/15DQ8hh_awzBvwln7i3DA9s8321S_hSqWhFiBmw5ANFI/edit?gid=162659938#gid=162659938"",""2026-27!ah4"")"),0.0)</f>
        <v>0</v>
      </c>
      <c r="BU23" s="59">
        <f>IFERROR(__xludf.DUMMYFUNCTION("importrange(""https://docs.google.com/spreadsheets/d/15DQ8hh_awzBvwln7i3DA9s8321S_hSqWhFiBmw5ANFI/edit?gid=162659938#gid=162659938"",""2026-27!ah3"")"),0.0)</f>
        <v>0</v>
      </c>
      <c r="BV23" s="59">
        <f>IFERROR(__xludf.DUMMYFUNCTION("importrange(""https://docs.google.com/spreadsheets/d/15DQ8hh_awzBvwln7i3DA9s8321S_hSqWhFiBmw5ANFI/edit?gid=162659938#gid=162659938"",""2026-27!ai4"")"),0.0)</f>
        <v>0</v>
      </c>
      <c r="BW23" s="59">
        <f>IFERROR(__xludf.DUMMYFUNCTION("importrange(""https://docs.google.com/spreadsheets/d/15DQ8hh_awzBvwln7i3DA9s8321S_hSqWhFiBmw5ANFI/edit?gid=162659938#gid=162659938"",""2026-27!ai3"")"),0.0)</f>
        <v>0</v>
      </c>
      <c r="BX23" s="63" t="str">
        <f t="shared" si="41"/>
        <v/>
      </c>
      <c r="BY23" s="59">
        <f>IFERROR(__xludf.DUMMYFUNCTION("importrange(""https://docs.google.com/spreadsheets/d/15DQ8hh_awzBvwln7i3DA9s8321S_hSqWhFiBmw5ANFI/edit?gid=162659938#gid=162659938"",""2026-27!aj4"")"),0.0)</f>
        <v>0</v>
      </c>
      <c r="BZ23" s="59">
        <f>IFERROR(__xludf.DUMMYFUNCTION("importrange(""https://docs.google.com/spreadsheets/d/15DQ8hh_awzBvwln7i3DA9s8321S_hSqWhFiBmw5ANFI/edit?gid=162659938#gid=162659938"",""2026-27!aj3"")"),0.0)</f>
        <v>0</v>
      </c>
      <c r="CA23" s="59">
        <f>IFERROR(__xludf.DUMMYFUNCTION("importrange(""https://docs.google.com/spreadsheets/d/15DQ8hh_awzBvwln7i3DA9s8321S_hSqWhFiBmw5ANFI/edit?gid=162659938#gid=162659938"",""2026-27!ak4"")"),0.0)</f>
        <v>0</v>
      </c>
      <c r="CB23" s="59">
        <f>IFERROR(__xludf.DUMMYFUNCTION("importrange(""https://docs.google.com/spreadsheets/d/15DQ8hh_awzBvwln7i3DA9s8321S_hSqWhFiBmw5ANFI/edit?gid=162659938#gid=162659938"",""2026-27!ak3"")"),0.0)</f>
        <v>0</v>
      </c>
      <c r="CC23" s="59">
        <f>IFERROR(__xludf.DUMMYFUNCTION("importrange(""https://docs.google.com/spreadsheets/d/15DQ8hh_awzBvwln7i3DA9s8321S_hSqWhFiBmw5ANFI/edit?gid=162659938#gid=162659938"",""2026-27!al4"")"),0.0)</f>
        <v>0</v>
      </c>
      <c r="CD23" s="59">
        <f>IFERROR(__xludf.DUMMYFUNCTION("importrange(""https://docs.google.com/spreadsheets/d/15DQ8hh_awzBvwln7i3DA9s8321S_hSqWhFiBmw5ANFI/edit?gid=162659938#gid=162659938"",""2026-27!ai3"")"),0.0)</f>
        <v>0</v>
      </c>
      <c r="CE23" s="63" t="str">
        <f t="shared" si="42"/>
        <v/>
      </c>
      <c r="CF23" s="59">
        <f>IFERROR(__xludf.DUMMYFUNCTION("importrange(""https://docs.google.com/spreadsheets/d/15DQ8hh_awzBvwln7i3DA9s8321S_hSqWhFiBmw5ANFI/edit?gid=162659938#gid=162659938"",""2026-27!am4"")"),0.0)</f>
        <v>0</v>
      </c>
      <c r="CG23" s="59">
        <f>IFERROR(__xludf.DUMMYFUNCTION("importrange(""https://docs.google.com/spreadsheets/d/15DQ8hh_awzBvwln7i3DA9s8321S_hSqWhFiBmw5ANFI/edit?gid=162659938#gid=162659938"",""2026-27!am3"")"),0.0)</f>
        <v>0</v>
      </c>
      <c r="CH23" s="59">
        <f>IFERROR(__xludf.DUMMYFUNCTION("importrange(""https://docs.google.com/spreadsheets/d/15DQ8hh_awzBvwln7i3DA9s8321S_hSqWhFiBmw5ANFI/edit?gid=162659938#gid=162659938"",""2026-27!an4"")"),0.0)</f>
        <v>0</v>
      </c>
      <c r="CI23" s="59">
        <f>IFERROR(__xludf.DUMMYFUNCTION("importrange(""https://docs.google.com/spreadsheets/d/15DQ8hh_awzBvwln7i3DA9s8321S_hSqWhFiBmw5ANFI/edit?gid=162659938#gid=162659938"",""2026-27!an3"")"),0.0)</f>
        <v>0</v>
      </c>
      <c r="CJ23" s="59">
        <f>IFERROR(__xludf.DUMMYFUNCTION("importrange(""https://docs.google.com/spreadsheets/d/15DQ8hh_awzBvwln7i3DA9s8321S_hSqWhFiBmw5ANFI/edit?gid=162659938#gid=162659938"",""2026-27!ao4"")"),0.0)</f>
        <v>0</v>
      </c>
      <c r="CK23" s="59">
        <f>IFERROR(__xludf.DUMMYFUNCTION("importrange(""https://docs.google.com/spreadsheets/d/15DQ8hh_awzBvwln7i3DA9s8321S_hSqWhFiBmw5ANFI/edit?gid=162659938#gid=162659938"",""2026-27!ao3"")"),0.0)</f>
        <v>0</v>
      </c>
      <c r="CL23" s="63" t="str">
        <f t="shared" si="43"/>
        <v/>
      </c>
      <c r="CM23" s="59">
        <f>IFERROR(__xludf.DUMMYFUNCTION("importrange(""https://docs.google.com/spreadsheets/d/15DQ8hh_awzBvwln7i3DA9s8321S_hSqWhFiBmw5ANFI/edit?gid=162659938#gid=162659938"",""2026-27!ap4"")"),0.0)</f>
        <v>0</v>
      </c>
      <c r="CN23" s="59">
        <f>IFERROR(__xludf.DUMMYFUNCTION("importrange(""https://docs.google.com/spreadsheets/d/15DQ8hh_awzBvwln7i3DA9s8321S_hSqWhFiBmw5ANFI/edit?gid=162659938#gid=162659938"",""2026-27!ap3"")"),0.0)</f>
        <v>0</v>
      </c>
      <c r="CO23" s="59">
        <f>IFERROR(__xludf.DUMMYFUNCTION("importrange(""https://docs.google.com/spreadsheets/d/15DQ8hh_awzBvwln7i3DA9s8321S_hSqWhFiBmw5ANFI/edit?gid=162659938#gid=162659938"",""2026-27!aq4"")"),0.0)</f>
        <v>0</v>
      </c>
      <c r="CP23" s="59">
        <f>IFERROR(__xludf.DUMMYFUNCTION("importrange(""https://docs.google.com/spreadsheets/d/15DQ8hh_awzBvwln7i3DA9s8321S_hSqWhFiBmw5ANFI/edit?gid=162659938#gid=162659938"",""2026-27!aq3"")"),0.0)</f>
        <v>0</v>
      </c>
      <c r="CQ23" s="59">
        <f>IFERROR(__xludf.DUMMYFUNCTION("importrange(""https://docs.google.com/spreadsheets/d/15DQ8hh_awzBvwln7i3DA9s8321S_hSqWhFiBmw5ANFI/edit?gid=162659938#gid=162659938"",""2026-27!ar4"")"),0.0)</f>
        <v>0</v>
      </c>
      <c r="CR23" s="59">
        <f>IFERROR(__xludf.DUMMYFUNCTION("importrange(""https://docs.google.com/spreadsheets/d/15DQ8hh_awzBvwln7i3DA9s8321S_hSqWhFiBmw5ANFI/edit?gid=162659938#gid=162659938"",""2026-27!ar3"")"),0.0)</f>
        <v>0</v>
      </c>
      <c r="CS23" s="63" t="str">
        <f t="shared" si="44"/>
        <v/>
      </c>
      <c r="CT23" s="59">
        <f>IFERROR(__xludf.DUMMYFUNCTION("importrange(""https://docs.google.com/spreadsheets/d/15DQ8hh_awzBvwln7i3DA9s8321S_hSqWhFiBmw5ANFI/edit?gid=162659938#gid=162659938"",""2026-27!as4"")"),0.0)</f>
        <v>0</v>
      </c>
      <c r="CU23" s="59">
        <f>IFERROR(__xludf.DUMMYFUNCTION("importrange(""https://docs.google.com/spreadsheets/d/15DQ8hh_awzBvwln7i3DA9s8321S_hSqWhFiBmw5ANFI/edit?gid=162659938#gid=162659938"",""2026-27!as3"")"),0.0)</f>
        <v>0</v>
      </c>
      <c r="CV23" s="64"/>
    </row>
    <row r="24">
      <c r="A24" s="82" t="s">
        <v>48</v>
      </c>
      <c r="B24" s="41"/>
      <c r="C24" s="75" t="s">
        <v>59</v>
      </c>
      <c r="D24" s="69" t="s">
        <v>60</v>
      </c>
      <c r="E24" s="72">
        <v>7.827171718E9</v>
      </c>
      <c r="F24" s="70">
        <v>45979.0</v>
      </c>
      <c r="G24" s="5"/>
      <c r="H24" s="5"/>
      <c r="I24" s="74">
        <v>37740.0</v>
      </c>
      <c r="J24" s="58">
        <v>600000.0</v>
      </c>
      <c r="K24" s="59">
        <f>IFERROR(__xludf.DUMMYFUNCTION("IMPORTRANGE(""1OTBjdj7HKLUdboQDmQulWdk3sem1C_Gc1u9CgZqoPZk"",""2026-27!A3"")"),45.0)</f>
        <v>45</v>
      </c>
      <c r="L24" s="59">
        <f>IFERROR(__xludf.DUMMYFUNCTION("IMPORTRANGE(""1OTBjdj7HKLUdboQDmQulWdk3sem1C_Gc1u9CgZqoPZk"",""2026-27!G4"")"),1.116E7)</f>
        <v>11160000</v>
      </c>
      <c r="M24" s="59">
        <f>R24+Y24+AF24+AM24+AT24+BA24+BH24+BO24+BV24+CC24+CJ24+CQ24</f>
        <v>1447955.34</v>
      </c>
      <c r="N24" s="60">
        <f t="shared" si="31"/>
        <v>0.06143243728</v>
      </c>
      <c r="O24" s="61">
        <f>U24+AB24+AI24+AP24+AW24+BD24+BK24+BR24+BY24+CF24+CM24+CT24</f>
        <v>685586</v>
      </c>
      <c r="P24" s="59">
        <f>IFERROR(__xludf.DUMMYFUNCTION("IMPORTRANGE(""1OTBjdj7HKLUdboQDmQulWdk3sem1C_Gc1u9CgZqoPZk"",""2026-27!J4"")"),0.0)</f>
        <v>0</v>
      </c>
      <c r="Q24" s="59">
        <f>IFERROR(__xludf.DUMMYFUNCTION("IMPORTRANGE(""1OTBjdj7HKLUdboQDmQulWdk3sem1C_Gc1u9CgZqoPZk"",""2026-27!J3"")"),0.0)</f>
        <v>0</v>
      </c>
      <c r="R24" s="59">
        <f>IFERROR(__xludf.DUMMYFUNCTION("IMPORTRANGE(""1OTBjdj7HKLUdboQDmQulWdk3sem1C_Gc1u9CgZqoPZk"",""2026-27!K4"")"),0.0)</f>
        <v>0</v>
      </c>
      <c r="S24" s="59">
        <f>IFERROR(__xludf.DUMMYFUNCTION("IMPORTRANGE(""1OTBjdj7HKLUdboQDmQulWdk3sem1C_Gc1u9CgZqoPZk"",""2026-27!K3"")"),0.0)</f>
        <v>0</v>
      </c>
      <c r="T24" s="62" t="str">
        <f t="shared" si="33"/>
        <v/>
      </c>
      <c r="U24" s="59">
        <f>IFERROR(__xludf.DUMMYFUNCTION("IMPORTRANGE(""1OTBjdj7HKLUdboQDmQulWdk3sem1C_Gc1u9CgZqoPZk"",""2026-27!L4"")"),0.0)</f>
        <v>0</v>
      </c>
      <c r="V24" s="59">
        <f>IFERROR(__xludf.DUMMYFUNCTION("IMPORTRANGE(""1OTBjdj7HKLUdboQDmQulWdk3sem1C_Gc1u9CgZqoPZk"",""2026-27!L3"")"),0.0)</f>
        <v>0</v>
      </c>
      <c r="W24" s="59">
        <f>IFERROR(__xludf.DUMMYFUNCTION("IMPORTRANGE(""1OTBjdj7HKLUdboQDmQulWdk3sem1C_Gc1u9CgZqoPZk"",""2026-27!m4"")"),1090000.0)</f>
        <v>1090000</v>
      </c>
      <c r="X24" s="59">
        <f>IFERROR(__xludf.DUMMYFUNCTION("IMPORTRANGE(""1OTBjdj7HKLUdboQDmQulWdk3sem1C_Gc1u9CgZqoPZk"",""2026-27!m3"")"),27.0)</f>
        <v>27</v>
      </c>
      <c r="Y24" s="59">
        <f>IFERROR(__xludf.DUMMYFUNCTION("IMPORTRANGE(""1OTBjdj7HKLUdboQDmQulWdk3sem1C_Gc1u9CgZqoPZk"",""2026-27!N4"")"),685586.3)</f>
        <v>685586.3</v>
      </c>
      <c r="Z24" s="59">
        <f>IFERROR(__xludf.DUMMYFUNCTION("IMPORTRANGE(""1OTBjdj7HKLUdboQDmQulWdk3sem1C_Gc1u9CgZqoPZk"",""2026-27!N3"")"),8.0)</f>
        <v>8</v>
      </c>
      <c r="AA24" s="62">
        <f t="shared" si="34"/>
        <v>0.6289779817</v>
      </c>
      <c r="AB24" s="59">
        <f>IFERROR(__xludf.DUMMYFUNCTION("IMPORTRANGE(""1OTBjdj7HKLUdboQDmQulWdk3sem1C_Gc1u9CgZqoPZk"",""2026-27!O4"")"),685586.0)</f>
        <v>685586</v>
      </c>
      <c r="AC24" s="59">
        <f>IFERROR(__xludf.DUMMYFUNCTION("IMPORTRANGE(""1OTBjdj7HKLUdboQDmQulWdk3sem1C_Gc1u9CgZqoPZk"",""2026-27!O3"")"),8.0)</f>
        <v>8</v>
      </c>
      <c r="AD24" s="59">
        <f>IFERROR(__xludf.DUMMYFUNCTION("IMPORTRANGE(""1OTBjdj7HKLUdboQDmQulWdk3sem1C_Gc1u9CgZqoPZk"",""2026-27!P4"")"),1120000.0)</f>
        <v>1120000</v>
      </c>
      <c r="AE24" s="59">
        <f>IFERROR(__xludf.DUMMYFUNCTION("IMPORTRANGE(""1OTBjdj7HKLUdboQDmQulWdk3sem1C_Gc1u9CgZqoPZk"",""2026-27!P3"")"),27.0)</f>
        <v>27</v>
      </c>
      <c r="AF24" s="59">
        <f>IFERROR(__xludf.DUMMYFUNCTION("IMPORTRANGE(""1OTBjdj7HKLUdboQDmQulWdk3sem1C_Gc1u9CgZqoPZk"",""2026-27!Q4"")"),762369.04)</f>
        <v>762369.04</v>
      </c>
      <c r="AG24" s="59">
        <f>IFERROR(__xludf.DUMMYFUNCTION("IMPORTRANGE(""1OTBjdj7HKLUdboQDmQulWdk3sem1C_Gc1u9CgZqoPZk"",""2026-27!Q3"")"),13.0)</f>
        <v>13</v>
      </c>
      <c r="AH24" s="62">
        <f t="shared" si="35"/>
        <v>0</v>
      </c>
      <c r="AI24" s="59">
        <f>IFERROR(__xludf.DUMMYFUNCTION("IMPORTRANGE(""1OTBjdj7HKLUdboQDmQulWdk3sem1C_Gc1u9CgZqoPZk"",""2026-27!R4"")"),0.0)</f>
        <v>0</v>
      </c>
      <c r="AJ24" s="59">
        <f>IFERROR(__xludf.DUMMYFUNCTION("IMPORTRANGE(""1OTBjdj7HKLUdboQDmQulWdk3sem1C_Gc1u9CgZqoPZk"",""2026-27!R3"")"),0.0)</f>
        <v>0</v>
      </c>
      <c r="AK24" s="59">
        <f>IFERROR(__xludf.DUMMYFUNCTION("IMPORTRANGE(""1OTBjdj7HKLUdboQDmQulWdk3sem1C_Gc1u9CgZqoPZk"",""2026-27!S4"")"),0.0)</f>
        <v>0</v>
      </c>
      <c r="AL24" s="59">
        <f>IFERROR(__xludf.DUMMYFUNCTION("IMPORTRANGE(""1OTBjdj7HKLUdboQDmQulWdk3sem1C_Gc1u9CgZqoPZk"",""2026-27!S3"")"),0.0)</f>
        <v>0</v>
      </c>
      <c r="AM24" s="59">
        <f>IFERROR(__xludf.DUMMYFUNCTION("IMPORTRANGE(""1OTBjdj7HKLUdboQDmQulWdk3sem1C_Gc1u9CgZqoPZk"",""2026-27!T4"")"),0.0)</f>
        <v>0</v>
      </c>
      <c r="AN24" s="59">
        <f>IFERROR(__xludf.DUMMYFUNCTION("IMPORTRANGE(""1OTBjdj7HKLUdboQDmQulWdk3sem1C_Gc1u9CgZqoPZk"",""2026-27!T3"")"),0.0)</f>
        <v>0</v>
      </c>
      <c r="AO24" s="62" t="str">
        <f t="shared" si="36"/>
        <v/>
      </c>
      <c r="AP24" s="59">
        <f>IFERROR(__xludf.DUMMYFUNCTION("IMPORTRANGE(""1OTBjdj7HKLUdboQDmQulWdk3sem1C_Gc1u9CgZqoPZk"",""2026-27!U4"")"),0.0)</f>
        <v>0</v>
      </c>
      <c r="AQ24" s="59">
        <f>IFERROR(__xludf.DUMMYFUNCTION("IMPORTRANGE(""1OTBjdj7HKLUdboQDmQulWdk3sem1C_Gc1u9CgZqoPZk"",""2026-27!U3"")"),0.0)</f>
        <v>0</v>
      </c>
      <c r="AR24" s="59">
        <f>IFERROR(__xludf.DUMMYFUNCTION("IMPORTRANGE(""1OTBjdj7HKLUdboQDmQulWdk3sem1C_Gc1u9CgZqoPZk"",""2026-27!V4"")"),0.0)</f>
        <v>0</v>
      </c>
      <c r="AS24" s="59">
        <f>IFERROR(__xludf.DUMMYFUNCTION("IMPORTRANGE(""1OTBjdj7HKLUdboQDmQulWdk3sem1C_Gc1u9CgZqoPZk"",""2026-27!V3"")"),0.0)</f>
        <v>0</v>
      </c>
      <c r="AT24" s="59">
        <f>IFERROR(__xludf.DUMMYFUNCTION("IMPORTRANGE(""1OTBjdj7HKLUdboQDmQulWdk3sem1C_Gc1u9CgZqoPZk"",""2026-27!W4"")"),0.0)</f>
        <v>0</v>
      </c>
      <c r="AU24" s="59">
        <f>IFERROR(__xludf.DUMMYFUNCTION("IMPORTRANGE(""1OTBjdj7HKLUdboQDmQulWdk3sem1C_Gc1u9CgZqoPZk"",""2026-27!W3"")"),0.0)</f>
        <v>0</v>
      </c>
      <c r="AV24" s="62" t="str">
        <f t="shared" si="37"/>
        <v/>
      </c>
      <c r="AW24" s="59">
        <f>IFERROR(__xludf.DUMMYFUNCTION("IMPORTRANGE(""1OTBjdj7HKLUdboQDmQulWdk3sem1C_Gc1u9CgZqoPZk"",""2026-27!X4"")"),0.0)</f>
        <v>0</v>
      </c>
      <c r="AX24" s="59">
        <f>IFERROR(__xludf.DUMMYFUNCTION("IMPORTRANGE(""1OTBjdj7HKLUdboQDmQulWdk3sem1C_Gc1u9CgZqoPZk"",""2026-27!X3"")"),0.0)</f>
        <v>0</v>
      </c>
      <c r="AY24" s="59">
        <f>IFERROR(__xludf.DUMMYFUNCTION("IMPORTRANGE(""1OTBjdj7HKLUdboQDmQulWdk3sem1C_Gc1u9CgZqoPZk"",""2026-27!Y4"")"),0.0)</f>
        <v>0</v>
      </c>
      <c r="AZ24" s="59">
        <f>IFERROR(__xludf.DUMMYFUNCTION("IMPORTRANGE(""1OTBjdj7HKLUdboQDmQulWdk3sem1C_Gc1u9CgZqoPZk"",""2026-27!Y3"")"),0.0)</f>
        <v>0</v>
      </c>
      <c r="BA24" s="59">
        <f>IFERROR(__xludf.DUMMYFUNCTION("IMPORTRANGE(""1OTBjdj7HKLUdboQDmQulWdk3sem1C_Gc1u9CgZqoPZk"",""2026-27!Z4"")"),0.0)</f>
        <v>0</v>
      </c>
      <c r="BB24" s="59">
        <f>IFERROR(__xludf.DUMMYFUNCTION("IMPORTRANGE(""1OTBjdj7HKLUdboQDmQulWdk3sem1C_Gc1u9CgZqoPZk"",""2026-27!Z3"")"),0.0)</f>
        <v>0</v>
      </c>
      <c r="BC24" s="63" t="str">
        <f t="shared" si="38"/>
        <v/>
      </c>
      <c r="BD24" s="59">
        <f>IFERROR(__xludf.DUMMYFUNCTION("IMPORTRANGE(""1OTBjdj7HKLUdboQDmQulWdk3sem1C_Gc1u9CgZqoPZk"",""2026-27!AA4"")"),0.0)</f>
        <v>0</v>
      </c>
      <c r="BE24" s="59">
        <f>IFERROR(__xludf.DUMMYFUNCTION("IMPORTRANGE(""1OTBjdj7HKLUdboQDmQulWdk3sem1C_Gc1u9CgZqoPZk"",""2026-27!AA3"")"),0.0)</f>
        <v>0</v>
      </c>
      <c r="BF24" s="59">
        <f>IFERROR(__xludf.DUMMYFUNCTION("IMPORTRANGE(""1OTBjdj7HKLUdboQDmQulWdk3sem1C_Gc1u9CgZqoPZk"",""2026-27!AB4"")"),0.0)</f>
        <v>0</v>
      </c>
      <c r="BG24" s="59">
        <f>IFERROR(__xludf.DUMMYFUNCTION("IMPORTRANGE(""1OTBjdj7HKLUdboQDmQulWdk3sem1C_Gc1u9CgZqoPZk"",""2026-27!AB3"")"),0.0)</f>
        <v>0</v>
      </c>
      <c r="BH24" s="59">
        <f>IFERROR(__xludf.DUMMYFUNCTION("IMPORTRANGE(""1OTBjdj7HKLUdboQDmQulWdk3sem1C_Gc1u9CgZqoPZk"",""2026-27!AC4"")"),0.0)</f>
        <v>0</v>
      </c>
      <c r="BI24" s="59">
        <f>IFERROR(__xludf.DUMMYFUNCTION("IMPORTRANGE(""1OTBjdj7HKLUdboQDmQulWdk3sem1C_Gc1u9CgZqoPZk"",""2026-27!AC3"")"),0.0)</f>
        <v>0</v>
      </c>
      <c r="BJ24" s="63" t="str">
        <f t="shared" si="39"/>
        <v/>
      </c>
      <c r="BK24" s="59">
        <f>IFERROR(__xludf.DUMMYFUNCTION("IMPORTRANGE(""1OTBjdj7HKLUdboQDmQulWdk3sem1C_Gc1u9CgZqoPZk"",""2026-27!AD4"")"),0.0)</f>
        <v>0</v>
      </c>
      <c r="BL24" s="59">
        <f>IFERROR(__xludf.DUMMYFUNCTION("IMPORTRANGE(""1OTBjdj7HKLUdboQDmQulWdk3sem1C_Gc1u9CgZqoPZk"",""2026-27!AD3"")"),0.0)</f>
        <v>0</v>
      </c>
      <c r="BM24" s="59">
        <f>IFERROR(__xludf.DUMMYFUNCTION("IMPORTRANGE(""1OTBjdj7HKLUdboQDmQulWdk3sem1C_Gc1u9CgZqoPZk"",""2026-27!AE4"")"),0.0)</f>
        <v>0</v>
      </c>
      <c r="BN24" s="59">
        <f>IFERROR(__xludf.DUMMYFUNCTION("IMPORTRANGE(""1OTBjdj7HKLUdboQDmQulWdk3sem1C_Gc1u9CgZqoPZk"",""2026-27!AE3"")"),0.0)</f>
        <v>0</v>
      </c>
      <c r="BO24" s="59">
        <f>IFERROR(__xludf.DUMMYFUNCTION("IMPORTRANGE(""1OTBjdj7HKLUdboQDmQulWdk3sem1C_Gc1u9CgZqoPZk"",""2026-27!AF4"")"),0.0)</f>
        <v>0</v>
      </c>
      <c r="BP24" s="59">
        <f>IFERROR(__xludf.DUMMYFUNCTION("IMPORTRANGE(""1OTBjdj7HKLUdboQDmQulWdk3sem1C_Gc1u9CgZqoPZk"",""2026-27!AF3"")"),0.0)</f>
        <v>0</v>
      </c>
      <c r="BQ24" s="63" t="str">
        <f t="shared" si="40"/>
        <v/>
      </c>
      <c r="BR24" s="59">
        <f>IFERROR(__xludf.DUMMYFUNCTION("IMPORTRANGE(""1OTBjdj7HKLUdboQDmQulWdk3sem1C_Gc1u9CgZqoPZk"",""2026-27!AG4"")"),0.0)</f>
        <v>0</v>
      </c>
      <c r="BS24" s="59">
        <f>IFERROR(__xludf.DUMMYFUNCTION("IMPORTRANGE(""1OTBjdj7HKLUdboQDmQulWdk3sem1C_Gc1u9CgZqoPZk"",""2026-27!AG3"")"),0.0)</f>
        <v>0</v>
      </c>
      <c r="BT24" s="59">
        <f>IFERROR(__xludf.DUMMYFUNCTION("IMPORTRANGE(""1OTBjdj7HKLUdboQDmQulWdk3sem1C_Gc1u9CgZqoPZk"",""2026-27!AH4"")"),0.0)</f>
        <v>0</v>
      </c>
      <c r="BU24" s="59">
        <f>IFERROR(__xludf.DUMMYFUNCTION("IMPORTRANGE(""1OTBjdj7HKLUdboQDmQulWdk3sem1C_Gc1u9CgZqoPZk"",""2026-27!AH3"")"),0.0)</f>
        <v>0</v>
      </c>
      <c r="BV24" s="59">
        <f>IFERROR(__xludf.DUMMYFUNCTION("IMPORTRANGE(""1OTBjdj7HKLUdboQDmQulWdk3sem1C_Gc1u9CgZqoPZk"",""2026-27!AI4"")"),0.0)</f>
        <v>0</v>
      </c>
      <c r="BW24" s="59">
        <f>IFERROR(__xludf.DUMMYFUNCTION("IMPORTRANGE(""1OTBjdj7HKLUdboQDmQulWdk3sem1C_Gc1u9CgZqoPZk"",""2026-27!AI3"")"),0.0)</f>
        <v>0</v>
      </c>
      <c r="BX24" s="63" t="str">
        <f t="shared" si="41"/>
        <v/>
      </c>
      <c r="BY24" s="59">
        <f>IFERROR(__xludf.DUMMYFUNCTION("IMPORTRANGE(""1OTBjdj7HKLUdboQDmQulWdk3sem1C_Gc1u9CgZqoPZk"",""2026-27!AJ4"")"),0.0)</f>
        <v>0</v>
      </c>
      <c r="BZ24" s="59">
        <f>IFERROR(__xludf.DUMMYFUNCTION("IMPORTRANGE(""1OTBjdj7HKLUdboQDmQulWdk3sem1C_Gc1u9CgZqoPZk"",""2026-27!AJ3"")"),0.0)</f>
        <v>0</v>
      </c>
      <c r="CA24" s="59">
        <f>IFERROR(__xludf.DUMMYFUNCTION("IMPORTRANGE(""1OTBjdj7HKLUdboQDmQulWdk3sem1C_Gc1u9CgZqoPZk"",""2026-27!AK4"")"),0.0)</f>
        <v>0</v>
      </c>
      <c r="CB24" s="59">
        <f>IFERROR(__xludf.DUMMYFUNCTION("IMPORTRANGE(""1OTBjdj7HKLUdboQDmQulWdk3sem1C_Gc1u9CgZqoPZk"",""2026-27!AK3"")"),0.0)</f>
        <v>0</v>
      </c>
      <c r="CC24" s="59">
        <f>IFERROR(__xludf.DUMMYFUNCTION("IMPORTRANGE(""1OTBjdj7HKLUdboQDmQulWdk3sem1C_Gc1u9CgZqoPZk"",""2026-27!AL4"")"),0.0)</f>
        <v>0</v>
      </c>
      <c r="CD24" s="59">
        <f>IFERROR(__xludf.DUMMYFUNCTION("IMPORTRANGE(""1OTBjdj7HKLUdboQDmQulWdk3sem1C_Gc1u9CgZqoPZk"",""2026-27!AL3"")"),0.0)</f>
        <v>0</v>
      </c>
      <c r="CE24" s="63" t="str">
        <f t="shared" si="42"/>
        <v/>
      </c>
      <c r="CF24" s="59">
        <f>IFERROR(__xludf.DUMMYFUNCTION("IMPORTRANGE(""1OTBjdj7HKLUdboQDmQulWdk3sem1C_Gc1u9CgZqoPZk"",""2026-27!AM4"")"),0.0)</f>
        <v>0</v>
      </c>
      <c r="CG24" s="59">
        <f>IFERROR(__xludf.DUMMYFUNCTION("IMPORTRANGE(""1OTBjdj7HKLUdboQDmQulWdk3sem1C_Gc1u9CgZqoPZk"",""2026-27!AM3"")"),0.0)</f>
        <v>0</v>
      </c>
      <c r="CH24" s="59">
        <f>IFERROR(__xludf.DUMMYFUNCTION("IMPORTRANGE(""1OTBjdj7HKLUdboQDmQulWdk3sem1C_Gc1u9CgZqoPZk"",""2026-27!AN4"")"),0.0)</f>
        <v>0</v>
      </c>
      <c r="CI24" s="59">
        <f>IFERROR(__xludf.DUMMYFUNCTION("IMPORTRANGE(""1OTBjdj7HKLUdboQDmQulWdk3sem1C_Gc1u9CgZqoPZk"",""2026-27!AN3"")"),0.0)</f>
        <v>0</v>
      </c>
      <c r="CJ24" s="59">
        <f>IFERROR(__xludf.DUMMYFUNCTION("IMPORTRANGE(""1OTBjdj7HKLUdboQDmQulWdk3sem1C_Gc1u9CgZqoPZk"",""2026-27!AO4"")"),0.0)</f>
        <v>0</v>
      </c>
      <c r="CK24" s="59">
        <f>IFERROR(__xludf.DUMMYFUNCTION("IMPORTRANGE(""1OTBjdj7HKLUdboQDmQulWdk3sem1C_Gc1u9CgZqoPZk"",""2026-27!AO3"")"),0.0)</f>
        <v>0</v>
      </c>
      <c r="CL24" s="63" t="str">
        <f t="shared" si="43"/>
        <v/>
      </c>
      <c r="CM24" s="59">
        <f>IFERROR(__xludf.DUMMYFUNCTION("IMPORTRANGE(""1OTBjdj7HKLUdboQDmQulWdk3sem1C_Gc1u9CgZqoPZk"",""2026-27!AP4"")"),0.0)</f>
        <v>0</v>
      </c>
      <c r="CN24" s="59">
        <f>IFERROR(__xludf.DUMMYFUNCTION("IMPORTRANGE(""1OTBjdj7HKLUdboQDmQulWdk3sem1C_Gc1u9CgZqoPZk"",""2026-27!AP3"")"),0.0)</f>
        <v>0</v>
      </c>
      <c r="CO24" s="59">
        <f>IFERROR(__xludf.DUMMYFUNCTION("IMPORTRANGE(""1OTBjdj7HKLUdboQDmQulWdk3sem1C_Gc1u9CgZqoPZk"",""2026-27!AQ4"")"),0.0)</f>
        <v>0</v>
      </c>
      <c r="CP24" s="59">
        <f>IFERROR(__xludf.DUMMYFUNCTION("IMPORTRANGE(""1OTBjdj7HKLUdboQDmQulWdk3sem1C_Gc1u9CgZqoPZk"",""2026-27!AQ3"")"),0.0)</f>
        <v>0</v>
      </c>
      <c r="CQ24" s="59">
        <f>IFERROR(__xludf.DUMMYFUNCTION("IMPORTRANGE(""1OTBjdj7HKLUdboQDmQulWdk3sem1C_Gc1u9CgZqoPZk"",""2026-27!AR4"")"),0.0)</f>
        <v>0</v>
      </c>
      <c r="CR24" s="59">
        <f>IFERROR(__xludf.DUMMYFUNCTION("IMPORTRANGE(""1OTBjdj7HKLUdboQDmQulWdk3sem1C_Gc1u9CgZqoPZk"",""2026-27!AR3"")"),0.0)</f>
        <v>0</v>
      </c>
      <c r="CS24" s="63" t="str">
        <f t="shared" si="44"/>
        <v/>
      </c>
      <c r="CT24" s="59">
        <f>IFERROR(__xludf.DUMMYFUNCTION("IMPORTRANGE(""1OTBjdj7HKLUdboQDmQulWdk3sem1C_Gc1u9CgZqoPZk"",""2026-27!AS4"")"),0.0)</f>
        <v>0</v>
      </c>
      <c r="CU24" s="59">
        <f>IFERROR(__xludf.DUMMYFUNCTION("IMPORTRANGE(""1OTBjdj7HKLUdboQDmQulWdk3sem1C_Gc1u9CgZqoPZk"",""2026-27!AS3"")"),0.0)</f>
        <v>0</v>
      </c>
      <c r="CV24" s="64"/>
    </row>
    <row r="25">
      <c r="A25" s="1"/>
      <c r="B25" s="41"/>
      <c r="C25" s="90" t="s">
        <v>61</v>
      </c>
      <c r="D25" s="53"/>
      <c r="E25" s="54"/>
      <c r="F25" s="55"/>
      <c r="G25" s="66"/>
      <c r="H25" s="66"/>
      <c r="I25" s="57"/>
      <c r="J25" s="58">
        <v>1000000.0</v>
      </c>
      <c r="K25" s="59"/>
      <c r="L25" s="59"/>
      <c r="M25" s="59"/>
      <c r="N25" s="60"/>
      <c r="O25" s="61"/>
      <c r="P25" s="59"/>
      <c r="Q25" s="59"/>
      <c r="R25" s="59"/>
      <c r="S25" s="59"/>
      <c r="T25" s="62"/>
      <c r="U25" s="59"/>
      <c r="V25" s="59"/>
      <c r="W25" s="59"/>
      <c r="X25" s="59"/>
      <c r="Y25" s="59"/>
      <c r="Z25" s="59"/>
      <c r="AA25" s="62"/>
      <c r="AB25" s="59"/>
      <c r="AC25" s="59"/>
      <c r="AD25" s="59"/>
      <c r="AE25" s="59"/>
      <c r="AF25" s="59"/>
      <c r="AG25" s="59"/>
      <c r="AH25" s="62"/>
      <c r="AI25" s="59"/>
      <c r="AJ25" s="59"/>
      <c r="AK25" s="59"/>
      <c r="AL25" s="59"/>
      <c r="AM25" s="59"/>
      <c r="AN25" s="59"/>
      <c r="AO25" s="62"/>
      <c r="AP25" s="59"/>
      <c r="AQ25" s="59"/>
      <c r="AR25" s="59"/>
      <c r="AS25" s="59"/>
      <c r="AT25" s="59"/>
      <c r="AU25" s="59"/>
      <c r="AV25" s="62"/>
      <c r="AW25" s="59"/>
      <c r="AX25" s="59"/>
      <c r="AY25" s="59"/>
      <c r="AZ25" s="59"/>
      <c r="BA25" s="59"/>
      <c r="BB25" s="59"/>
      <c r="BC25" s="63"/>
      <c r="BD25" s="59"/>
      <c r="BE25" s="59"/>
      <c r="BF25" s="59"/>
      <c r="BG25" s="59"/>
      <c r="BH25" s="59"/>
      <c r="BI25" s="59"/>
      <c r="BJ25" s="63"/>
      <c r="BK25" s="59"/>
      <c r="BL25" s="59"/>
      <c r="BM25" s="59"/>
      <c r="BN25" s="59"/>
      <c r="BO25" s="59"/>
      <c r="BP25" s="59"/>
      <c r="BQ25" s="63"/>
      <c r="BR25" s="59"/>
      <c r="BS25" s="59"/>
      <c r="BT25" s="59"/>
      <c r="BU25" s="59"/>
      <c r="BV25" s="59"/>
      <c r="BW25" s="59"/>
      <c r="BX25" s="63"/>
      <c r="BY25" s="59"/>
      <c r="BZ25" s="59"/>
      <c r="CA25" s="59"/>
      <c r="CB25" s="59"/>
      <c r="CC25" s="59"/>
      <c r="CD25" s="59"/>
      <c r="CE25" s="63"/>
      <c r="CF25" s="59"/>
      <c r="CG25" s="59"/>
      <c r="CH25" s="59"/>
      <c r="CI25" s="59"/>
      <c r="CJ25" s="59"/>
      <c r="CK25" s="59"/>
      <c r="CL25" s="63"/>
      <c r="CM25" s="59"/>
      <c r="CN25" s="59"/>
      <c r="CO25" s="59"/>
      <c r="CP25" s="59"/>
      <c r="CQ25" s="59"/>
      <c r="CR25" s="59"/>
      <c r="CS25" s="63"/>
      <c r="CT25" s="59"/>
      <c r="CU25" s="59"/>
      <c r="CV25" s="64"/>
    </row>
    <row r="26">
      <c r="A26" s="1" t="s">
        <v>62</v>
      </c>
      <c r="B26" s="83" t="s">
        <v>62</v>
      </c>
      <c r="C26" s="52" t="s">
        <v>63</v>
      </c>
      <c r="D26" s="53" t="s">
        <v>64</v>
      </c>
      <c r="E26" s="54">
        <v>6.005583186E9</v>
      </c>
      <c r="F26" s="55">
        <v>44684.0</v>
      </c>
      <c r="G26" s="66"/>
      <c r="H26" s="66"/>
      <c r="I26" s="57">
        <v>43505.0</v>
      </c>
      <c r="J26" s="58">
        <v>1500000.0</v>
      </c>
      <c r="K26" s="59">
        <f>IFERROR(__xludf.DUMMYFUNCTION("IMPORTRANGE(""1w-3KAp1up5hLV6GlsNUXDHIiGxvCfYJy6ATEQaQp3Rw"",""2026-27!A3"")"),32.0)</f>
        <v>32</v>
      </c>
      <c r="L26" s="59">
        <f>IFERROR(__xludf.DUMMYFUNCTION("IMPORTRANGE(""1w-3KAp1up5hLV6GlsNUXDHIiGxvCfYJy6ATEQaQp3Rw"",""2026-27!G4"")"),1.92E7)</f>
        <v>19200000</v>
      </c>
      <c r="M26" s="59">
        <f t="shared" ref="M26:M35" si="48">R26+Y26+AF26+AM26+AT26+BA26+BH26+BO26+BV26+CC26+CJ26+CQ26</f>
        <v>3265850.55</v>
      </c>
      <c r="N26" s="60">
        <f t="shared" ref="N26:N35" si="49">iferror(O26/L26,"")</f>
        <v>0.1130628125</v>
      </c>
      <c r="O26" s="61">
        <f t="shared" ref="O26:O35" si="50">U26+AB26+AI26+AP26+AW26+BD26+BK26+BR26+BY26+CF26+CM26+CT26</f>
        <v>2170806</v>
      </c>
      <c r="P26" s="59">
        <f>IFERROR(__xludf.DUMMYFUNCTION("IMPORTRANGE(""1w-3KAp1up5hLV6GlsNUXDHIiGxvCfYJy6ATEQaQp3Rw"",""2026-27!J4"")"),1742499.0)</f>
        <v>1742499</v>
      </c>
      <c r="Q26" s="59">
        <f>IFERROR(__xludf.DUMMYFUNCTION("IMPORTRANGE(""1w-3KAp1up5hLV6GlsNUXDHIiGxvCfYJy6ATEQaQp3Rw"",""2026-27!J3"")"),29.0)</f>
        <v>29</v>
      </c>
      <c r="R26" s="59">
        <f>IFERROR(__xludf.DUMMYFUNCTION("IMPORTRANGE(""1w-3KAp1up5hLV6GlsNUXDHIiGxvCfYJy6ATEQaQp3Rw"",""2026-27!K4"")"),897099.4)</f>
        <v>897099.4</v>
      </c>
      <c r="S26" s="59">
        <f>IFERROR(__xludf.DUMMYFUNCTION("IMPORTRANGE(""1w-3KAp1up5hLV6GlsNUXDHIiGxvCfYJy6ATEQaQp3Rw"",""2026-27!K3"")"),1.0)</f>
        <v>1</v>
      </c>
      <c r="T26" s="62">
        <f t="shared" ref="T26:T35" si="51">IFERROR((U26/P26),"")</f>
        <v>0.5148347287</v>
      </c>
      <c r="U26" s="59">
        <f>IFERROR(__xludf.DUMMYFUNCTION("IMPORTRANGE(""1w-3KAp1up5hLV6GlsNUXDHIiGxvCfYJy6ATEQaQp3Rw"",""2026-27!L4"")"),897099.0)</f>
        <v>897099</v>
      </c>
      <c r="V26" s="59">
        <f>IFERROR(__xludf.DUMMYFUNCTION("IMPORTRANGE(""1w-3KAp1up5hLV6GlsNUXDHIiGxvCfYJy6ATEQaQp3Rw"",""2026-27!L3"")"),1.0)</f>
        <v>1</v>
      </c>
      <c r="W26" s="59">
        <f>IFERROR(__xludf.DUMMYFUNCTION("IMPORTRANGE(""1w-3KAp1up5hLV6GlsNUXDHIiGxvCfYJy6ATEQaQp3Rw"",""2026-27!m4"")"),1682499.0)</f>
        <v>1682499</v>
      </c>
      <c r="X26" s="59">
        <f>IFERROR(__xludf.DUMMYFUNCTION("IMPORTRANGE(""1w-3KAp1up5hLV6GlsNUXDHIiGxvCfYJy6ATEQaQp3Rw"",""2026-27!m3"")"),30.0)</f>
        <v>30</v>
      </c>
      <c r="Y26" s="59">
        <f>IFERROR(__xludf.DUMMYFUNCTION("IMPORTRANGE(""1w-3KAp1up5hLV6GlsNUXDHIiGxvCfYJy6ATEQaQp3Rw"",""2026-27!N4"")"),1266762.77)</f>
        <v>1266762.77</v>
      </c>
      <c r="Z26" s="59">
        <f>IFERROR(__xludf.DUMMYFUNCTION("IMPORTRANGE(""1w-3KAp1up5hLV6GlsNUXDHIiGxvCfYJy6ATEQaQp3Rw"",""2026-27!N3"")"),7.0)</f>
        <v>7</v>
      </c>
      <c r="AA26" s="62">
        <f t="shared" ref="AA26:AA35" si="52">IFERROR((AB26/W26),"")</f>
        <v>0.7570328422</v>
      </c>
      <c r="AB26" s="59">
        <f>IFERROR(__xludf.DUMMYFUNCTION("IMPORTRANGE(""1w-3KAp1up5hLV6GlsNUXDHIiGxvCfYJy6ATEQaQp3Rw"",""2026-27!O4"")"),1273707.0)</f>
        <v>1273707</v>
      </c>
      <c r="AC26" s="59">
        <f>IFERROR(__xludf.DUMMYFUNCTION("IMPORTRANGE(""1w-3KAp1up5hLV6GlsNUXDHIiGxvCfYJy6ATEQaQp3Rw"",""2026-27!O3"")"),7.0)</f>
        <v>7</v>
      </c>
      <c r="AD26" s="59">
        <f>IFERROR(__xludf.DUMMYFUNCTION("IMPORTRANGE(""1w-3KAp1up5hLV6GlsNUXDHIiGxvCfYJy6ATEQaQp3Rw"",""2026-27!P4"")"),1374999.0)</f>
        <v>1374999</v>
      </c>
      <c r="AE26" s="59">
        <f>IFERROR(__xludf.DUMMYFUNCTION("IMPORTRANGE(""1w-3KAp1up5hLV6GlsNUXDHIiGxvCfYJy6ATEQaQp3Rw"",""2026-27!P3"")"),30.0)</f>
        <v>30</v>
      </c>
      <c r="AF26" s="59">
        <f>IFERROR(__xludf.DUMMYFUNCTION("IMPORTRANGE(""1w-3KAp1up5hLV6GlsNUXDHIiGxvCfYJy6ATEQaQp3Rw"",""2026-27!Q4"")"),1101988.38)</f>
        <v>1101988.38</v>
      </c>
      <c r="AG26" s="59">
        <f>IFERROR(__xludf.DUMMYFUNCTION("IMPORTRANGE(""1w-3KAp1up5hLV6GlsNUXDHIiGxvCfYJy6ATEQaQp3Rw"",""2026-27!Q3"")"),1.0)</f>
        <v>1</v>
      </c>
      <c r="AH26" s="62">
        <f t="shared" ref="AH26:AH35" si="53">IFERROR((AI26/AD26),"")</f>
        <v>0</v>
      </c>
      <c r="AI26" s="59">
        <f>IFERROR(__xludf.DUMMYFUNCTION("IMPORTRANGE(""1w-3KAp1up5hLV6GlsNUXDHIiGxvCfYJy6ATEQaQp3Rw"",""2026-27!R4"")"),0.0)</f>
        <v>0</v>
      </c>
      <c r="AJ26" s="59">
        <f>IFERROR(__xludf.DUMMYFUNCTION("IMPORTRANGE(""1w-3KAp1up5hLV6GlsNUXDHIiGxvCfYJy6ATEQaQp3Rw"",""2026-27!R3"")"),0.0)</f>
        <v>0</v>
      </c>
      <c r="AK26" s="59">
        <f>IFERROR(__xludf.DUMMYFUNCTION("IMPORTRANGE(""1w-3KAp1up5hLV6GlsNUXDHIiGxvCfYJy6ATEQaQp3Rw"",""2026-27!S4"")"),0.0)</f>
        <v>0</v>
      </c>
      <c r="AL26" s="59">
        <f>IFERROR(__xludf.DUMMYFUNCTION("IMPORTRANGE(""1w-3KAp1up5hLV6GlsNUXDHIiGxvCfYJy6ATEQaQp3Rw"",""2026-27!S3"")"),0.0)</f>
        <v>0</v>
      </c>
      <c r="AM26" s="59">
        <f>IFERROR(__xludf.DUMMYFUNCTION("IMPORTRANGE(""1w-3KAp1up5hLV6GlsNUXDHIiGxvCfYJy6ATEQaQp3Rw"",""2026-27!T4"")"),0.0)</f>
        <v>0</v>
      </c>
      <c r="AN26" s="59">
        <f>IFERROR(__xludf.DUMMYFUNCTION("IMPORTRANGE(""1w-3KAp1up5hLV6GlsNUXDHIiGxvCfYJy6ATEQaQp3Rw"",""2026-27!T3"")"),0.0)</f>
        <v>0</v>
      </c>
      <c r="AO26" s="62" t="str">
        <f t="shared" ref="AO26:AO35" si="54">IFERROR((AP26/AK26),"")</f>
        <v/>
      </c>
      <c r="AP26" s="59">
        <f>IFERROR(__xludf.DUMMYFUNCTION("IMPORTRANGE(""1w-3KAp1up5hLV6GlsNUXDHIiGxvCfYJy6ATEQaQp3Rw"",""2026-27!U4"")"),0.0)</f>
        <v>0</v>
      </c>
      <c r="AQ26" s="59">
        <f>IFERROR(__xludf.DUMMYFUNCTION("IMPORTRANGE(""1w-3KAp1up5hLV6GlsNUXDHIiGxvCfYJy6ATEQaQp3Rw"",""2026-27!U3"")"),0.0)</f>
        <v>0</v>
      </c>
      <c r="AR26" s="59">
        <f>IFERROR(__xludf.DUMMYFUNCTION("IMPORTRANGE(""1w-3KAp1up5hLV6GlsNUXDHIiGxvCfYJy6ATEQaQp3Rw"",""2026-27!V4"")"),0.0)</f>
        <v>0</v>
      </c>
      <c r="AS26" s="59">
        <f>IFERROR(__xludf.DUMMYFUNCTION("IMPORTRANGE(""1w-3KAp1up5hLV6GlsNUXDHIiGxvCfYJy6ATEQaQp3Rw"",""2026-27!V3"")"),0.0)</f>
        <v>0</v>
      </c>
      <c r="AT26" s="59">
        <f>IFERROR(__xludf.DUMMYFUNCTION("IMPORTRANGE(""1w-3KAp1up5hLV6GlsNUXDHIiGxvCfYJy6ATEQaQp3Rw"",""2026-27!W4"")"),0.0)</f>
        <v>0</v>
      </c>
      <c r="AU26" s="59">
        <f>IFERROR(__xludf.DUMMYFUNCTION("IMPORTRANGE(""1w-3KAp1up5hLV6GlsNUXDHIiGxvCfYJy6ATEQaQp3Rw"",""2026-27!W3"")"),0.0)</f>
        <v>0</v>
      </c>
      <c r="AV26" s="62" t="str">
        <f t="shared" ref="AV26:AV35" si="55">IFERROR((AW26/AR26),"")</f>
        <v/>
      </c>
      <c r="AW26" s="59">
        <f>IFERROR(__xludf.DUMMYFUNCTION("IMPORTRANGE(""1w-3KAp1up5hLV6GlsNUXDHIiGxvCfYJy6ATEQaQp3Rw"",""2026-27!X4"")"),0.0)</f>
        <v>0</v>
      </c>
      <c r="AX26" s="59">
        <f>IFERROR(__xludf.DUMMYFUNCTION("IMPORTRANGE(""1w-3KAp1up5hLV6GlsNUXDHIiGxvCfYJy6ATEQaQp3Rw"",""2026-27!X3"")"),0.0)</f>
        <v>0</v>
      </c>
      <c r="AY26" s="59">
        <f>IFERROR(__xludf.DUMMYFUNCTION("IMPORTRANGE(""1w-3KAp1up5hLV6GlsNUXDHIiGxvCfYJy6ATEQaQp3Rw"",""2026-27!Y4"")"),0.0)</f>
        <v>0</v>
      </c>
      <c r="AZ26" s="59">
        <f>IFERROR(__xludf.DUMMYFUNCTION("IMPORTRANGE(""1w-3KAp1up5hLV6GlsNUXDHIiGxvCfYJy6ATEQaQp3Rw"",""2026-27!Y3"")"),0.0)</f>
        <v>0</v>
      </c>
      <c r="BA26" s="59">
        <f>IFERROR(__xludf.DUMMYFUNCTION("IMPORTRANGE(""1w-3KAp1up5hLV6GlsNUXDHIiGxvCfYJy6ATEQaQp3Rw"",""2026-27!Z4"")"),0.0)</f>
        <v>0</v>
      </c>
      <c r="BB26" s="59">
        <f>IFERROR(__xludf.DUMMYFUNCTION("IMPORTRANGE(""1w-3KAp1up5hLV6GlsNUXDHIiGxvCfYJy6ATEQaQp3Rw"",""2026-27!Z3"")"),0.0)</f>
        <v>0</v>
      </c>
      <c r="BC26" s="63" t="str">
        <f t="shared" ref="BC26:BC35" si="56">IFERROR((BD26/AY26),"")</f>
        <v/>
      </c>
      <c r="BD26" s="59">
        <f>IFERROR(__xludf.DUMMYFUNCTION("IMPORTRANGE(""1w-3KAp1up5hLV6GlsNUXDHIiGxvCfYJy6ATEQaQp3Rw"",""2026-27!AA4"")"),0.0)</f>
        <v>0</v>
      </c>
      <c r="BE26" s="59">
        <f>IFERROR(__xludf.DUMMYFUNCTION("IMPORTRANGE(""1w-3KAp1up5hLV6GlsNUXDHIiGxvCfYJy6ATEQaQp3Rw"",""2026-27!AA3"")"),0.0)</f>
        <v>0</v>
      </c>
      <c r="BF26" s="59">
        <f>IFERROR(__xludf.DUMMYFUNCTION("IMPORTRANGE(""1w-3KAp1up5hLV6GlsNUXDHIiGxvCfYJy6ATEQaQp3Rw"",""2026-27!AB4"")"),0.0)</f>
        <v>0</v>
      </c>
      <c r="BG26" s="59">
        <f>IFERROR(__xludf.DUMMYFUNCTION("IMPORTRANGE(""1w-3KAp1up5hLV6GlsNUXDHIiGxvCfYJy6ATEQaQp3Rw"",""2026-27!AB3"")"),0.0)</f>
        <v>0</v>
      </c>
      <c r="BH26" s="59">
        <f>IFERROR(__xludf.DUMMYFUNCTION("IMPORTRANGE(""1w-3KAp1up5hLV6GlsNUXDHIiGxvCfYJy6ATEQaQp3Rw"",""2026-27!AC4"")"),0.0)</f>
        <v>0</v>
      </c>
      <c r="BI26" s="59">
        <f>IFERROR(__xludf.DUMMYFUNCTION("IMPORTRANGE(""1w-3KAp1up5hLV6GlsNUXDHIiGxvCfYJy6ATEQaQp3Rw"",""2026-27!AC3"")"),0.0)</f>
        <v>0</v>
      </c>
      <c r="BJ26" s="63" t="str">
        <f t="shared" ref="BJ26:BJ35" si="57">IFERROR((BK26/BF26),"")</f>
        <v/>
      </c>
      <c r="BK26" s="59">
        <f>IFERROR(__xludf.DUMMYFUNCTION("IMPORTRANGE(""1w-3KAp1up5hLV6GlsNUXDHIiGxvCfYJy6ATEQaQp3Rw"",""2026-27!AD4"")"),0.0)</f>
        <v>0</v>
      </c>
      <c r="BL26" s="59">
        <f>IFERROR(__xludf.DUMMYFUNCTION("IMPORTRANGE(""1w-3KAp1up5hLV6GlsNUXDHIiGxvCfYJy6ATEQaQp3Rw"",""2026-27!AD3"")"),0.0)</f>
        <v>0</v>
      </c>
      <c r="BM26" s="59">
        <f>IFERROR(__xludf.DUMMYFUNCTION("IMPORTRANGE(""1w-3KAp1up5hLV6GlsNUXDHIiGxvCfYJy6ATEQaQp3Rw"",""2026-27!AE4"")"),0.0)</f>
        <v>0</v>
      </c>
      <c r="BN26" s="59">
        <f>IFERROR(__xludf.DUMMYFUNCTION("IMPORTRANGE(""1w-3KAp1up5hLV6GlsNUXDHIiGxvCfYJy6ATEQaQp3Rw"",""2026-27!AE3"")"),0.0)</f>
        <v>0</v>
      </c>
      <c r="BO26" s="59">
        <f>IFERROR(__xludf.DUMMYFUNCTION("IMPORTRANGE(""1w-3KAp1up5hLV6GlsNUXDHIiGxvCfYJy6ATEQaQp3Rw"",""2026-27!AF4"")"),0.0)</f>
        <v>0</v>
      </c>
      <c r="BP26" s="59">
        <f>IFERROR(__xludf.DUMMYFUNCTION("IMPORTRANGE(""1w-3KAp1up5hLV6GlsNUXDHIiGxvCfYJy6ATEQaQp3Rw"",""2026-27!AF3"")"),0.0)</f>
        <v>0</v>
      </c>
      <c r="BQ26" s="63" t="str">
        <f t="shared" ref="BQ26:BQ35" si="58">IFERROR((BR26/BM26),"")</f>
        <v/>
      </c>
      <c r="BR26" s="59">
        <f>IFERROR(__xludf.DUMMYFUNCTION("IMPORTRANGE(""1w-3KAp1up5hLV6GlsNUXDHIiGxvCfYJy6ATEQaQp3Rw"",""2026-27!AG4"")"),0.0)</f>
        <v>0</v>
      </c>
      <c r="BS26" s="59">
        <f>IFERROR(__xludf.DUMMYFUNCTION("IMPORTRANGE(""1w-3KAp1up5hLV6GlsNUXDHIiGxvCfYJy6ATEQaQp3Rw"",""2026-27!AG3"")"),0.0)</f>
        <v>0</v>
      </c>
      <c r="BT26" s="59">
        <f>IFERROR(__xludf.DUMMYFUNCTION("IMPORTRANGE(""1w-3KAp1up5hLV6GlsNUXDHIiGxvCfYJy6ATEQaQp3Rw"",""2026-27!AH4"")"),0.0)</f>
        <v>0</v>
      </c>
      <c r="BU26" s="59">
        <f>IFERROR(__xludf.DUMMYFUNCTION("IMPORTRANGE(""1w-3KAp1up5hLV6GlsNUXDHIiGxvCfYJy6ATEQaQp3Rw"",""2026-27!AH3"")"),0.0)</f>
        <v>0</v>
      </c>
      <c r="BV26" s="59">
        <f>IFERROR(__xludf.DUMMYFUNCTION("IMPORTRANGE(""1w-3KAp1up5hLV6GlsNUXDHIiGxvCfYJy6ATEQaQp3Rw"",""2026-27!AI4"")"),0.0)</f>
        <v>0</v>
      </c>
      <c r="BW26" s="59">
        <f>IFERROR(__xludf.DUMMYFUNCTION("IMPORTRANGE(""1w-3KAp1up5hLV6GlsNUXDHIiGxvCfYJy6ATEQaQp3Rw"",""2026-27!AI3"")"),0.0)</f>
        <v>0</v>
      </c>
      <c r="BX26" s="63" t="str">
        <f t="shared" ref="BX26:BX35" si="59">IFERROR((BY26/BT26),"")</f>
        <v/>
      </c>
      <c r="BY26" s="59">
        <f>IFERROR(__xludf.DUMMYFUNCTION("IMPORTRANGE(""1w-3KAp1up5hLV6GlsNUXDHIiGxvCfYJy6ATEQaQp3Rw"",""2026-27!AJ4"")"),0.0)</f>
        <v>0</v>
      </c>
      <c r="BZ26" s="59">
        <f>IFERROR(__xludf.DUMMYFUNCTION("IMPORTRANGE(""1w-3KAp1up5hLV6GlsNUXDHIiGxvCfYJy6ATEQaQp3Rw"",""2026-27!AJ3"")"),0.0)</f>
        <v>0</v>
      </c>
      <c r="CA26" s="59">
        <f>IFERROR(__xludf.DUMMYFUNCTION("IMPORTRANGE(""1w-3KAp1up5hLV6GlsNUXDHIiGxvCfYJy6ATEQaQp3Rw"",""2026-27!AK4"")"),0.0)</f>
        <v>0</v>
      </c>
      <c r="CB26" s="59">
        <f>IFERROR(__xludf.DUMMYFUNCTION("IMPORTRANGE(""1w-3KAp1up5hLV6GlsNUXDHIiGxvCfYJy6ATEQaQp3Rw"",""2026-27!AK3"")"),0.0)</f>
        <v>0</v>
      </c>
      <c r="CC26" s="59">
        <f>IFERROR(__xludf.DUMMYFUNCTION("IMPORTRANGE(""1w-3KAp1up5hLV6GlsNUXDHIiGxvCfYJy6ATEQaQp3Rw"",""2026-27!AL4"")"),0.0)</f>
        <v>0</v>
      </c>
      <c r="CD26" s="59">
        <f>IFERROR(__xludf.DUMMYFUNCTION("IMPORTRANGE(""1w-3KAp1up5hLV6GlsNUXDHIiGxvCfYJy6ATEQaQp3Rw"",""2026-27!AL3"")"),0.0)</f>
        <v>0</v>
      </c>
      <c r="CE26" s="63" t="str">
        <f t="shared" ref="CE26:CE35" si="60">IFERROR((CF26/CA26),"")</f>
        <v/>
      </c>
      <c r="CF26" s="59">
        <f>IFERROR(__xludf.DUMMYFUNCTION("IMPORTRANGE(""1w-3KAp1up5hLV6GlsNUXDHIiGxvCfYJy6ATEQaQp3Rw"",""2026-27!AM4"")"),0.0)</f>
        <v>0</v>
      </c>
      <c r="CG26" s="59">
        <f>IFERROR(__xludf.DUMMYFUNCTION("IMPORTRANGE(""1w-3KAp1up5hLV6GlsNUXDHIiGxvCfYJy6ATEQaQp3Rw"",""2026-27!AM3"")"),0.0)</f>
        <v>0</v>
      </c>
      <c r="CH26" s="59">
        <f>IFERROR(__xludf.DUMMYFUNCTION("IMPORTRANGE(""1w-3KAp1up5hLV6GlsNUXDHIiGxvCfYJy6ATEQaQp3Rw"",""2026-27!AN4"")"),0.0)</f>
        <v>0</v>
      </c>
      <c r="CI26" s="59">
        <f>IFERROR(__xludf.DUMMYFUNCTION("IMPORTRANGE(""1w-3KAp1up5hLV6GlsNUXDHIiGxvCfYJy6ATEQaQp3Rw"",""2026-27!AN3"")"),0.0)</f>
        <v>0</v>
      </c>
      <c r="CJ26" s="59">
        <f>IFERROR(__xludf.DUMMYFUNCTION("IMPORTRANGE(""1w-3KAp1up5hLV6GlsNUXDHIiGxvCfYJy6ATEQaQp3Rw"",""2026-27!AO4"")"),0.0)</f>
        <v>0</v>
      </c>
      <c r="CK26" s="59">
        <f>IFERROR(__xludf.DUMMYFUNCTION("IMPORTRANGE(""1w-3KAp1up5hLV6GlsNUXDHIiGxvCfYJy6ATEQaQp3Rw"",""2026-27!AO3"")"),0.0)</f>
        <v>0</v>
      </c>
      <c r="CL26" s="63" t="str">
        <f t="shared" ref="CL26:CL35" si="61">IFERROR((CM26/CH26),"")</f>
        <v/>
      </c>
      <c r="CM26" s="59">
        <f>IFERROR(__xludf.DUMMYFUNCTION("IMPORTRANGE(""1w-3KAp1up5hLV6GlsNUXDHIiGxvCfYJy6ATEQaQp3Rw"",""2026-27!AP4"")"),0.0)</f>
        <v>0</v>
      </c>
      <c r="CN26" s="59">
        <f>IFERROR(__xludf.DUMMYFUNCTION("IMPORTRANGE(""1w-3KAp1up5hLV6GlsNUXDHIiGxvCfYJy6ATEQaQp3Rw"",""2026-27!AP3"")"),0.0)</f>
        <v>0</v>
      </c>
      <c r="CO26" s="59">
        <f>IFERROR(__xludf.DUMMYFUNCTION("IMPORTRANGE(""1w-3KAp1up5hLV6GlsNUXDHIiGxvCfYJy6ATEQaQp3Rw"",""2026-27!AQ4"")"),0.0)</f>
        <v>0</v>
      </c>
      <c r="CP26" s="59">
        <f>IFERROR(__xludf.DUMMYFUNCTION("IMPORTRANGE(""1w-3KAp1up5hLV6GlsNUXDHIiGxvCfYJy6ATEQaQp3Rw"",""2026-27!AQ3"")"),0.0)</f>
        <v>0</v>
      </c>
      <c r="CQ26" s="59">
        <f>IFERROR(__xludf.DUMMYFUNCTION("IMPORTRANGE(""1w-3KAp1up5hLV6GlsNUXDHIiGxvCfYJy6ATEQaQp3Rw"",""2026-27!AR4"")"),0.0)</f>
        <v>0</v>
      </c>
      <c r="CR26" s="59">
        <f>IFERROR(__xludf.DUMMYFUNCTION("IMPORTRANGE(""1w-3KAp1up5hLV6GlsNUXDHIiGxvCfYJy6ATEQaQp3Rw"",""2026-27!AR3"")"),0.0)</f>
        <v>0</v>
      </c>
      <c r="CS26" s="63" t="str">
        <f t="shared" ref="CS26:CS35" si="62">IFERROR((CT26/CO26),"")</f>
        <v/>
      </c>
      <c r="CT26" s="59">
        <f>IFERROR(__xludf.DUMMYFUNCTION("IMPORTRANGE(""1w-3KAp1up5hLV6GlsNUXDHIiGxvCfYJy6ATEQaQp3Rw"",""2026-27!AS4"")"),0.0)</f>
        <v>0</v>
      </c>
      <c r="CU26" s="59">
        <f>IFERROR(__xludf.DUMMYFUNCTION("IMPORTRANGE(""1w-3KAp1up5hLV6GlsNUXDHIiGxvCfYJy6ATEQaQp3Rw"",""2026-27!AS3"")"),0.0)</f>
        <v>0</v>
      </c>
      <c r="CV26" s="64"/>
    </row>
    <row r="27">
      <c r="A27" s="1" t="s">
        <v>62</v>
      </c>
      <c r="B27" s="41"/>
      <c r="C27" s="91" t="s">
        <v>65</v>
      </c>
      <c r="D27" s="53" t="s">
        <v>66</v>
      </c>
      <c r="E27" s="54">
        <v>7.889728275E9</v>
      </c>
      <c r="F27" s="55">
        <v>45068.0</v>
      </c>
      <c r="G27" s="92"/>
      <c r="H27" s="92"/>
      <c r="I27" s="57">
        <v>31660.0</v>
      </c>
      <c r="J27" s="58">
        <v>1500000.0</v>
      </c>
      <c r="K27" s="59">
        <f>IFERROR(__xludf.DUMMYFUNCTION("IMPORTRANGE(""1qTONJRlBa-WVOcjo_gO-Pc4UYQPCdFt2w4TVrB12iZM"",""2026-27!A3"")"),41.0)</f>
        <v>41</v>
      </c>
      <c r="L27" s="59">
        <f>IFERROR(__xludf.DUMMYFUNCTION("IMPORTRANGE(""1qTONJRlBa-WVOcjo_gO-Pc4UYQPCdFt2w4TVrB12iZM"",""2026-27!G4"")"),2.0E7)</f>
        <v>20000000</v>
      </c>
      <c r="M27" s="59">
        <f t="shared" si="48"/>
        <v>3940591.1</v>
      </c>
      <c r="N27" s="60">
        <f t="shared" si="49"/>
        <v>0.195594</v>
      </c>
      <c r="O27" s="61">
        <f t="shared" si="50"/>
        <v>3911880</v>
      </c>
      <c r="P27" s="59">
        <f>IFERROR(__xludf.DUMMYFUNCTION("IMPORTRANGE(""1qTONJRlBa-WVOcjo_gO-Pc4UYQPCdFt2w4TVrB12iZM"",""2026-27!J4"")"),2000000.0)</f>
        <v>2000000</v>
      </c>
      <c r="Q27" s="59">
        <f>IFERROR(__xludf.DUMMYFUNCTION("IMPORTRANGE(""1qTONJRlBa-WVOcjo_gO-Pc4UYQPCdFt2w4TVrB12iZM"",""2026-27!J3"")"),9.0)</f>
        <v>9</v>
      </c>
      <c r="R27" s="59">
        <f>IFERROR(__xludf.DUMMYFUNCTION("IMPORTRANGE(""1qTONJRlBa-WVOcjo_gO-Pc4UYQPCdFt2w4TVrB12iZM"",""2026-27!K4"")"),1856510.0)</f>
        <v>1856510</v>
      </c>
      <c r="S27" s="59">
        <f>IFERROR(__xludf.DUMMYFUNCTION("IMPORTRANGE(""1qTONJRlBa-WVOcjo_gO-Pc4UYQPCdFt2w4TVrB12iZM"",""2026-27!K3"")"),4.0)</f>
        <v>4</v>
      </c>
      <c r="T27" s="62">
        <f t="shared" si="51"/>
        <v>0.6130405</v>
      </c>
      <c r="U27" s="59">
        <f>IFERROR(__xludf.DUMMYFUNCTION("IMPORTRANGE(""1qTONJRlBa-WVOcjo_gO-Pc4UYQPCdFt2w4TVrB12iZM"",""2026-27!L4"")"),1226081.0)</f>
        <v>1226081</v>
      </c>
      <c r="V27" s="59">
        <f>IFERROR(__xludf.DUMMYFUNCTION("IMPORTRANGE(""1qTONJRlBa-WVOcjo_gO-Pc4UYQPCdFt2w4TVrB12iZM"",""2026-27!L3"")"),4.0)</f>
        <v>4</v>
      </c>
      <c r="W27" s="59">
        <f>IFERROR(__xludf.DUMMYFUNCTION("IMPORTRANGE(""1qTONJRlBa-WVOcjo_gO-Pc4UYQPCdFt2w4TVrB12iZM"",""2026-27!m4"")"),2100000.0)</f>
        <v>2100000</v>
      </c>
      <c r="X27" s="59">
        <f>IFERROR(__xludf.DUMMYFUNCTION("IMPORTRANGE(""1qTONJRlBa-WVOcjo_gO-Pc4UYQPCdFt2w4TVrB12iZM"",""2026-27!m3"")"),14.0)</f>
        <v>14</v>
      </c>
      <c r="Y27" s="59">
        <f>IFERROR(__xludf.DUMMYFUNCTION("IMPORTRANGE(""1qTONJRlBa-WVOcjo_gO-Pc4UYQPCdFt2w4TVrB12iZM"",""2026-27!N4"")"),275193.19999999995)</f>
        <v>275193.2</v>
      </c>
      <c r="Z27" s="59">
        <f>IFERROR(__xludf.DUMMYFUNCTION("IMPORTRANGE(""1qTONJRlBa-WVOcjo_gO-Pc4UYQPCdFt2w4TVrB12iZM"",""2026-27!N3"")"),5.0)</f>
        <v>5</v>
      </c>
      <c r="AA27" s="62">
        <f t="shared" si="52"/>
        <v>0.4257828571</v>
      </c>
      <c r="AB27" s="59">
        <f>IFERROR(__xludf.DUMMYFUNCTION("IMPORTRANGE(""1qTONJRlBa-WVOcjo_gO-Pc4UYQPCdFt2w4TVrB12iZM"",""2026-27!O4"")"),894144.0)</f>
        <v>894144</v>
      </c>
      <c r="AC27" s="59">
        <f>IFERROR(__xludf.DUMMYFUNCTION("IMPORTRANGE(""1qTONJRlBa-WVOcjo_gO-Pc4UYQPCdFt2w4TVrB12iZM"",""2026-27!O3"")"),6.0)</f>
        <v>6</v>
      </c>
      <c r="AD27" s="59">
        <f>IFERROR(__xludf.DUMMYFUNCTION("IMPORTRANGE(""1qTONJRlBa-WVOcjo_gO-Pc4UYQPCdFt2w4TVrB12iZM"",""2026-27!P4"")"),1930000.0)</f>
        <v>1930000</v>
      </c>
      <c r="AE27" s="59">
        <f>IFERROR(__xludf.DUMMYFUNCTION("IMPORTRANGE(""1qTONJRlBa-WVOcjo_gO-Pc4UYQPCdFt2w4TVrB12iZM"",""2026-27!P3"")"),16.0)</f>
        <v>16</v>
      </c>
      <c r="AF27" s="59">
        <f>IFERROR(__xludf.DUMMYFUNCTION("IMPORTRANGE(""1qTONJRlBa-WVOcjo_gO-Pc4UYQPCdFt2w4TVrB12iZM"",""2026-27!Q4"")"),1808887.9)</f>
        <v>1808887.9</v>
      </c>
      <c r="AG27" s="59">
        <f>IFERROR(__xludf.DUMMYFUNCTION("IMPORTRANGE(""1qTONJRlBa-WVOcjo_gO-Pc4UYQPCdFt2w4TVrB12iZM"",""2026-27!Q3"")"),10.0)</f>
        <v>10</v>
      </c>
      <c r="AH27" s="62">
        <f t="shared" si="53"/>
        <v>0.9283186528</v>
      </c>
      <c r="AI27" s="59">
        <f>IFERROR(__xludf.DUMMYFUNCTION("IMPORTRANGE(""1qTONJRlBa-WVOcjo_gO-Pc4UYQPCdFt2w4TVrB12iZM"",""2026-27!R4"")"),1791655.0)</f>
        <v>1791655</v>
      </c>
      <c r="AJ27" s="59">
        <f>IFERROR(__xludf.DUMMYFUNCTION("IMPORTRANGE(""1qTONJRlBa-WVOcjo_gO-Pc4UYQPCdFt2w4TVrB12iZM"",""2026-27!R3"")"),10.0)</f>
        <v>10</v>
      </c>
      <c r="AK27" s="59">
        <f>IFERROR(__xludf.DUMMYFUNCTION("IMPORTRANGE(""1qTONJRlBa-WVOcjo_gO-Pc4UYQPCdFt2w4TVrB12iZM"",""2026-27!S4"")"),2000000.0)</f>
        <v>2000000</v>
      </c>
      <c r="AL27" s="59">
        <f>IFERROR(__xludf.DUMMYFUNCTION("IMPORTRANGE(""1qTONJRlBa-WVOcjo_gO-Pc4UYQPCdFt2w4TVrB12iZM"",""2026-27!S3"")"),27.0)</f>
        <v>27</v>
      </c>
      <c r="AM27" s="59">
        <f>IFERROR(__xludf.DUMMYFUNCTION("IMPORTRANGE(""1qTONJRlBa-WVOcjo_gO-Pc4UYQPCdFt2w4TVrB12iZM"",""2026-27!T4"")"),0.0)</f>
        <v>0</v>
      </c>
      <c r="AN27" s="59">
        <f>IFERROR(__xludf.DUMMYFUNCTION("IMPORTRANGE(""1qTONJRlBa-WVOcjo_gO-Pc4UYQPCdFt2w4TVrB12iZM"",""2026-27!T3"")"),0.0)</f>
        <v>0</v>
      </c>
      <c r="AO27" s="62">
        <f t="shared" si="54"/>
        <v>0</v>
      </c>
      <c r="AP27" s="59">
        <f>IFERROR(__xludf.DUMMYFUNCTION("IMPORTRANGE(""1qTONJRlBa-WVOcjo_gO-Pc4UYQPCdFt2w4TVrB12iZM"",""2026-27!U4"")"),0.0)</f>
        <v>0</v>
      </c>
      <c r="AQ27" s="59">
        <f>IFERROR(__xludf.DUMMYFUNCTION("IMPORTRANGE(""1qTONJRlBa-WVOcjo_gO-Pc4UYQPCdFt2w4TVrB12iZM"",""2026-27!U3"")"),0.0)</f>
        <v>0</v>
      </c>
      <c r="AR27" s="59">
        <f>IFERROR(__xludf.DUMMYFUNCTION("IMPORTRANGE(""1qTONJRlBa-WVOcjo_gO-Pc4UYQPCdFt2w4TVrB12iZM"",""2026-27!V4"")"),0.0)</f>
        <v>0</v>
      </c>
      <c r="AS27" s="59">
        <f>IFERROR(__xludf.DUMMYFUNCTION("IMPORTRANGE(""1qTONJRlBa-WVOcjo_gO-Pc4UYQPCdFt2w4TVrB12iZM"",""2026-27!V3"")"),0.0)</f>
        <v>0</v>
      </c>
      <c r="AT27" s="59">
        <f>IFERROR(__xludf.DUMMYFUNCTION("IMPORTRANGE(""1qTONJRlBa-WVOcjo_gO-Pc4UYQPCdFt2w4TVrB12iZM"",""2026-27!W4"")"),0.0)</f>
        <v>0</v>
      </c>
      <c r="AU27" s="59">
        <f>IFERROR(__xludf.DUMMYFUNCTION("IMPORTRANGE(""1qTONJRlBa-WVOcjo_gO-Pc4UYQPCdFt2w4TVrB12iZM"",""2026-27!W3"")"),0.0)</f>
        <v>0</v>
      </c>
      <c r="AV27" s="62" t="str">
        <f t="shared" si="55"/>
        <v/>
      </c>
      <c r="AW27" s="59">
        <f>IFERROR(__xludf.DUMMYFUNCTION("IMPORTRANGE(""1qTONJRlBa-WVOcjo_gO-Pc4UYQPCdFt2w4TVrB12iZM"",""2026-27!X4"")"),0.0)</f>
        <v>0</v>
      </c>
      <c r="AX27" s="59">
        <f>IFERROR(__xludf.DUMMYFUNCTION("IMPORTRANGE(""1qTONJRlBa-WVOcjo_gO-Pc4UYQPCdFt2w4TVrB12iZM"",""2026-27!X3"")"),0.0)</f>
        <v>0</v>
      </c>
      <c r="AY27" s="59">
        <f>IFERROR(__xludf.DUMMYFUNCTION("IMPORTRANGE(""1qTONJRlBa-WVOcjo_gO-Pc4UYQPCdFt2w4TVrB12iZM"",""2026-27!Y4"")"),0.0)</f>
        <v>0</v>
      </c>
      <c r="AZ27" s="59">
        <f>IFERROR(__xludf.DUMMYFUNCTION("IMPORTRANGE(""1qTONJRlBa-WVOcjo_gO-Pc4UYQPCdFt2w4TVrB12iZM"",""2026-27!Y3"")"),0.0)</f>
        <v>0</v>
      </c>
      <c r="BA27" s="59">
        <f>IFERROR(__xludf.DUMMYFUNCTION("IMPORTRANGE(""1qTONJRlBa-WVOcjo_gO-Pc4UYQPCdFt2w4TVrB12iZM"",""2026-27!Z4"")"),0.0)</f>
        <v>0</v>
      </c>
      <c r="BB27" s="59">
        <f>IFERROR(__xludf.DUMMYFUNCTION("IMPORTRANGE(""1qTONJRlBa-WVOcjo_gO-Pc4UYQPCdFt2w4TVrB12iZM"",""2026-27!Z3"")"),0.0)</f>
        <v>0</v>
      </c>
      <c r="BC27" s="63" t="str">
        <f t="shared" si="56"/>
        <v/>
      </c>
      <c r="BD27" s="59">
        <f>IFERROR(__xludf.DUMMYFUNCTION("IMPORTRANGE(""1qTONJRlBa-WVOcjo_gO-Pc4UYQPCdFt2w4TVrB12iZM"",""2026-27!AA4"")"),0.0)</f>
        <v>0</v>
      </c>
      <c r="BE27" s="59">
        <f>IFERROR(__xludf.DUMMYFUNCTION("IMPORTRANGE(""1qTONJRlBa-WVOcjo_gO-Pc4UYQPCdFt2w4TVrB12iZM"",""2026-27!AA3"")"),0.0)</f>
        <v>0</v>
      </c>
      <c r="BF27" s="59">
        <f>IFERROR(__xludf.DUMMYFUNCTION("IMPORTRANGE(""1qTONJRlBa-WVOcjo_gO-Pc4UYQPCdFt2w4TVrB12iZM"",""2026-27!AB4"")"),0.0)</f>
        <v>0</v>
      </c>
      <c r="BG27" s="59">
        <f>IFERROR(__xludf.DUMMYFUNCTION("IMPORTRANGE(""1qTONJRlBa-WVOcjo_gO-Pc4UYQPCdFt2w4TVrB12iZM"",""2026-27!AB3"")"),0.0)</f>
        <v>0</v>
      </c>
      <c r="BH27" s="59">
        <f>IFERROR(__xludf.DUMMYFUNCTION("IMPORTRANGE(""1qTONJRlBa-WVOcjo_gO-Pc4UYQPCdFt2w4TVrB12iZM"",""2026-27!AC4"")"),0.0)</f>
        <v>0</v>
      </c>
      <c r="BI27" s="59">
        <f>IFERROR(__xludf.DUMMYFUNCTION("IMPORTRANGE(""1qTONJRlBa-WVOcjo_gO-Pc4UYQPCdFt2w4TVrB12iZM"",""2026-27!AC3"")"),0.0)</f>
        <v>0</v>
      </c>
      <c r="BJ27" s="63" t="str">
        <f t="shared" si="57"/>
        <v/>
      </c>
      <c r="BK27" s="59">
        <f>IFERROR(__xludf.DUMMYFUNCTION("IMPORTRANGE(""1qTONJRlBa-WVOcjo_gO-Pc4UYQPCdFt2w4TVrB12iZM"",""2026-27!AD4"")"),0.0)</f>
        <v>0</v>
      </c>
      <c r="BL27" s="59">
        <f>IFERROR(__xludf.DUMMYFUNCTION("IMPORTRANGE(""1qTONJRlBa-WVOcjo_gO-Pc4UYQPCdFt2w4TVrB12iZM"",""2026-27!AD3"")"),0.0)</f>
        <v>0</v>
      </c>
      <c r="BM27" s="59">
        <f>IFERROR(__xludf.DUMMYFUNCTION("IMPORTRANGE(""1qTONJRlBa-WVOcjo_gO-Pc4UYQPCdFt2w4TVrB12iZM"",""2026-27!AE4"")"),0.0)</f>
        <v>0</v>
      </c>
      <c r="BN27" s="59">
        <f>IFERROR(__xludf.DUMMYFUNCTION("IMPORTRANGE(""1qTONJRlBa-WVOcjo_gO-Pc4UYQPCdFt2w4TVrB12iZM"",""2026-27!AE3"")"),0.0)</f>
        <v>0</v>
      </c>
      <c r="BO27" s="59">
        <f>IFERROR(__xludf.DUMMYFUNCTION("IMPORTRANGE(""1qTONJRlBa-WVOcjo_gO-Pc4UYQPCdFt2w4TVrB12iZM"",""2026-27!AF4"")"),0.0)</f>
        <v>0</v>
      </c>
      <c r="BP27" s="59">
        <f>IFERROR(__xludf.DUMMYFUNCTION("IMPORTRANGE(""1qTONJRlBa-WVOcjo_gO-Pc4UYQPCdFt2w4TVrB12iZM"",""2026-27!AF3"")"),0.0)</f>
        <v>0</v>
      </c>
      <c r="BQ27" s="63" t="str">
        <f t="shared" si="58"/>
        <v/>
      </c>
      <c r="BR27" s="59">
        <f>IFERROR(__xludf.DUMMYFUNCTION("IMPORTRANGE(""1qTONJRlBa-WVOcjo_gO-Pc4UYQPCdFt2w4TVrB12iZM"",""2026-27!AG4"")"),0.0)</f>
        <v>0</v>
      </c>
      <c r="BS27" s="59">
        <f>IFERROR(__xludf.DUMMYFUNCTION("IMPORTRANGE(""1qTONJRlBa-WVOcjo_gO-Pc4UYQPCdFt2w4TVrB12iZM"",""2026-27!AG3"")"),0.0)</f>
        <v>0</v>
      </c>
      <c r="BT27" s="59">
        <f>IFERROR(__xludf.DUMMYFUNCTION("IMPORTRANGE(""1qTONJRlBa-WVOcjo_gO-Pc4UYQPCdFt2w4TVrB12iZM"",""2026-27!AH4"")"),0.0)</f>
        <v>0</v>
      </c>
      <c r="BU27" s="59">
        <f>IFERROR(__xludf.DUMMYFUNCTION("IMPORTRANGE(""1qTONJRlBa-WVOcjo_gO-Pc4UYQPCdFt2w4TVrB12iZM"",""2026-27!AH3"")"),0.0)</f>
        <v>0</v>
      </c>
      <c r="BV27" s="59">
        <f>IFERROR(__xludf.DUMMYFUNCTION("IMPORTRANGE(""1qTONJRlBa-WVOcjo_gO-Pc4UYQPCdFt2w4TVrB12iZM"",""2026-27!AI4"")"),0.0)</f>
        <v>0</v>
      </c>
      <c r="BW27" s="59">
        <f>IFERROR(__xludf.DUMMYFUNCTION("IMPORTRANGE(""1qTONJRlBa-WVOcjo_gO-Pc4UYQPCdFt2w4TVrB12iZM"",""2026-27!AI3"")"),0.0)</f>
        <v>0</v>
      </c>
      <c r="BX27" s="63" t="str">
        <f t="shared" si="59"/>
        <v/>
      </c>
      <c r="BY27" s="59">
        <f>IFERROR(__xludf.DUMMYFUNCTION("IMPORTRANGE(""1qTONJRlBa-WVOcjo_gO-Pc4UYQPCdFt2w4TVrB12iZM"",""2026-27!AJ4"")"),0.0)</f>
        <v>0</v>
      </c>
      <c r="BZ27" s="59">
        <f>IFERROR(__xludf.DUMMYFUNCTION("IMPORTRANGE(""1qTONJRlBa-WVOcjo_gO-Pc4UYQPCdFt2w4TVrB12iZM"",""2026-27!AJ3"")"),0.0)</f>
        <v>0</v>
      </c>
      <c r="CA27" s="59">
        <f>IFERROR(__xludf.DUMMYFUNCTION("IMPORTRANGE(""1qTONJRlBa-WVOcjo_gO-Pc4UYQPCdFt2w4TVrB12iZM"",""2026-27!AK4"")"),0.0)</f>
        <v>0</v>
      </c>
      <c r="CB27" s="59">
        <f>IFERROR(__xludf.DUMMYFUNCTION("IMPORTRANGE(""1qTONJRlBa-WVOcjo_gO-Pc4UYQPCdFt2w4TVrB12iZM"",""2026-27!AK3"")"),0.0)</f>
        <v>0</v>
      </c>
      <c r="CC27" s="59">
        <f>IFERROR(__xludf.DUMMYFUNCTION("IMPORTRANGE(""1qTONJRlBa-WVOcjo_gO-Pc4UYQPCdFt2w4TVrB12iZM"",""2026-27!AL4"")"),0.0)</f>
        <v>0</v>
      </c>
      <c r="CD27" s="59">
        <f>IFERROR(__xludf.DUMMYFUNCTION("IMPORTRANGE(""1qTONJRlBa-WVOcjo_gO-Pc4UYQPCdFt2w4TVrB12iZM"",""2026-27!AL3"")"),0.0)</f>
        <v>0</v>
      </c>
      <c r="CE27" s="63" t="str">
        <f t="shared" si="60"/>
        <v/>
      </c>
      <c r="CF27" s="59">
        <f>IFERROR(__xludf.DUMMYFUNCTION("IMPORTRANGE(""1qTONJRlBa-WVOcjo_gO-Pc4UYQPCdFt2w4TVrB12iZM"",""2026-27!AM4"")"),0.0)</f>
        <v>0</v>
      </c>
      <c r="CG27" s="59">
        <f>IFERROR(__xludf.DUMMYFUNCTION("IMPORTRANGE(""1qTONJRlBa-WVOcjo_gO-Pc4UYQPCdFt2w4TVrB12iZM"",""2026-27!AM3"")"),0.0)</f>
        <v>0</v>
      </c>
      <c r="CH27" s="59">
        <f>IFERROR(__xludf.DUMMYFUNCTION("IMPORTRANGE(""1qTONJRlBa-WVOcjo_gO-Pc4UYQPCdFt2w4TVrB12iZM"",""2026-27!AN4"")"),0.0)</f>
        <v>0</v>
      </c>
      <c r="CI27" s="59">
        <f>IFERROR(__xludf.DUMMYFUNCTION("IMPORTRANGE(""1qTONJRlBa-WVOcjo_gO-Pc4UYQPCdFt2w4TVrB12iZM"",""2026-27!AN3"")"),0.0)</f>
        <v>0</v>
      </c>
      <c r="CJ27" s="59">
        <f>IFERROR(__xludf.DUMMYFUNCTION("IMPORTRANGE(""1qTONJRlBa-WVOcjo_gO-Pc4UYQPCdFt2w4TVrB12iZM"",""2026-27!AO4"")"),0.0)</f>
        <v>0</v>
      </c>
      <c r="CK27" s="59">
        <f>IFERROR(__xludf.DUMMYFUNCTION("IMPORTRANGE(""1qTONJRlBa-WVOcjo_gO-Pc4UYQPCdFt2w4TVrB12iZM"",""2026-27!AO3"")"),0.0)</f>
        <v>0</v>
      </c>
      <c r="CL27" s="63" t="str">
        <f t="shared" si="61"/>
        <v/>
      </c>
      <c r="CM27" s="59">
        <f>IFERROR(__xludf.DUMMYFUNCTION("IMPORTRANGE(""1qTONJRlBa-WVOcjo_gO-Pc4UYQPCdFt2w4TVrB12iZM"",""2026-27!AP4"")"),0.0)</f>
        <v>0</v>
      </c>
      <c r="CN27" s="59">
        <f>IFERROR(__xludf.DUMMYFUNCTION("IMPORTRANGE(""1qTONJRlBa-WVOcjo_gO-Pc4UYQPCdFt2w4TVrB12iZM"",""2026-27!AP3"")"),0.0)</f>
        <v>0</v>
      </c>
      <c r="CO27" s="59">
        <f>IFERROR(__xludf.DUMMYFUNCTION("IMPORTRANGE(""1qTONJRlBa-WVOcjo_gO-Pc4UYQPCdFt2w4TVrB12iZM"",""2026-27!AQ4"")"),0.0)</f>
        <v>0</v>
      </c>
      <c r="CP27" s="59">
        <f>IFERROR(__xludf.DUMMYFUNCTION("IMPORTRANGE(""1qTONJRlBa-WVOcjo_gO-Pc4UYQPCdFt2w4TVrB12iZM"",""2026-27!AQ3"")"),0.0)</f>
        <v>0</v>
      </c>
      <c r="CQ27" s="59">
        <f>IFERROR(__xludf.DUMMYFUNCTION("IMPORTRANGE(""1qTONJRlBa-WVOcjo_gO-Pc4UYQPCdFt2w4TVrB12iZM"",""2026-27!AR4"")"),0.0)</f>
        <v>0</v>
      </c>
      <c r="CR27" s="59">
        <f>IFERROR(__xludf.DUMMYFUNCTION("IMPORTRANGE(""1qTONJRlBa-WVOcjo_gO-Pc4UYQPCdFt2w4TVrB12iZM"",""2026-27!AR3"")"),0.0)</f>
        <v>0</v>
      </c>
      <c r="CS27" s="63" t="str">
        <f t="shared" si="62"/>
        <v/>
      </c>
      <c r="CT27" s="59">
        <f>IFERROR(__xludf.DUMMYFUNCTION("IMPORTRANGE(""1qTONJRlBa-WVOcjo_gO-Pc4UYQPCdFt2w4TVrB12iZM"",""2026-27!AS4"")"),0.0)</f>
        <v>0</v>
      </c>
      <c r="CU27" s="59">
        <f>IFERROR(__xludf.DUMMYFUNCTION("IMPORTRANGE(""1qTONJRlBa-WVOcjo_gO-Pc4UYQPCdFt2w4TVrB12iZM"",""2026-27!AS3"")"),0.0)</f>
        <v>0</v>
      </c>
      <c r="CV27" s="64"/>
    </row>
    <row r="28">
      <c r="A28" s="1" t="s">
        <v>62</v>
      </c>
      <c r="B28" s="41"/>
      <c r="C28" s="68" t="s">
        <v>67</v>
      </c>
      <c r="D28" s="93" t="s">
        <v>68</v>
      </c>
      <c r="E28" s="54">
        <v>7.006676793E9</v>
      </c>
      <c r="F28" s="55">
        <v>45208.0</v>
      </c>
      <c r="G28" s="92"/>
      <c r="H28" s="92"/>
      <c r="I28" s="57">
        <v>24226.0</v>
      </c>
      <c r="J28" s="58"/>
      <c r="K28" s="59">
        <f>IFERROR(__xludf.DUMMYFUNCTION("IMPORTRANGE(""1YMf8VfbkH6lTtQQ7aEH-rvtJbFw__osbRSbSExrslWo"",""2026-27!A3"")"),24.0)</f>
        <v>24</v>
      </c>
      <c r="L28" s="59">
        <f>IFERROR(__xludf.DUMMYFUNCTION("IMPORTRANGE(""1YMf8VfbkH6lTtQQ7aEH-rvtJbFw__osbRSbSExrslWo"",""2026-27!G4"")"),7000000.0)</f>
        <v>7000000</v>
      </c>
      <c r="M28" s="59">
        <f t="shared" si="48"/>
        <v>250081.79</v>
      </c>
      <c r="N28" s="60">
        <f t="shared" si="49"/>
        <v>0.03231014286</v>
      </c>
      <c r="O28" s="61">
        <f t="shared" si="50"/>
        <v>226171</v>
      </c>
      <c r="P28" s="59">
        <f>IFERROR(__xludf.DUMMYFUNCTION("IMPORTRANGE(""1YMf8VfbkH6lTtQQ7aEH-rvtJbFw__osbRSbSExrslWo"",""2026-27!J4"")"),375000.0)</f>
        <v>375000</v>
      </c>
      <c r="Q28" s="59">
        <f>IFERROR(__xludf.DUMMYFUNCTION("IMPORTRANGE(""1YMf8VfbkH6lTtQQ7aEH-rvtJbFw__osbRSbSExrslWo"",""2026-27!J3"")"),24.0)</f>
        <v>24</v>
      </c>
      <c r="R28" s="59">
        <f>IFERROR(__xludf.DUMMYFUNCTION("IMPORTRANGE(""1YMf8VfbkH6lTtQQ7aEH-rvtJbFw__osbRSbSExrslWo"",""2026-27!K4"")"),137885.09)</f>
        <v>137885.09</v>
      </c>
      <c r="S28" s="59">
        <f>IFERROR(__xludf.DUMMYFUNCTION("IMPORTRANGE(""1YMf8VfbkH6lTtQQ7aEH-rvtJbFw__osbRSbSExrslWo"",""2026-27!K3"")"),3.0)</f>
        <v>3</v>
      </c>
      <c r="T28" s="62">
        <f t="shared" si="51"/>
        <v>0.311192</v>
      </c>
      <c r="U28" s="59">
        <f>IFERROR(__xludf.DUMMYFUNCTION("IMPORTRANGE(""1YMf8VfbkH6lTtQQ7aEH-rvtJbFw__osbRSbSExrslWo"",""2026-27!L4"")"),116697.0)</f>
        <v>116697</v>
      </c>
      <c r="V28" s="59">
        <f>IFERROR(__xludf.DUMMYFUNCTION("IMPORTRANGE(""1YMf8VfbkH6lTtQQ7aEH-rvtJbFw__osbRSbSExrslWo"",""2026-27!L3"")"),3.0)</f>
        <v>3</v>
      </c>
      <c r="W28" s="59">
        <f>IFERROR(__xludf.DUMMYFUNCTION("IMPORTRANGE(""1YMf8VfbkH6lTtQQ7aEH-rvtJbFw__osbRSbSExrslWo"",""2026-27!m4"")"),700000.0)</f>
        <v>700000</v>
      </c>
      <c r="X28" s="59">
        <f>IFERROR(__xludf.DUMMYFUNCTION("IMPORTRANGE(""1YMf8VfbkH6lTtQQ7aEH-rvtJbFw__osbRSbSExrslWo"",""2026-27!m3"")"),24.0)</f>
        <v>24</v>
      </c>
      <c r="Y28" s="59">
        <f>IFERROR(__xludf.DUMMYFUNCTION("IMPORTRANGE(""1YMf8VfbkH6lTtQQ7aEH-rvtJbFw__osbRSbSExrslWo"",""2026-27!N4"")"),112196.70000000001)</f>
        <v>112196.7</v>
      </c>
      <c r="Z28" s="59">
        <f>IFERROR(__xludf.DUMMYFUNCTION("IMPORTRANGE(""1YMf8VfbkH6lTtQQ7aEH-rvtJbFw__osbRSbSExrslWo"",""2026-27!N3"")"),4.0)</f>
        <v>4</v>
      </c>
      <c r="AA28" s="62">
        <f t="shared" si="52"/>
        <v>0.1563914286</v>
      </c>
      <c r="AB28" s="59">
        <f>IFERROR(__xludf.DUMMYFUNCTION("IMPORTRANGE(""1YMf8VfbkH6lTtQQ7aEH-rvtJbFw__osbRSbSExrslWo"",""2026-27!O4"")"),109474.0)</f>
        <v>109474</v>
      </c>
      <c r="AC28" s="59">
        <f>IFERROR(__xludf.DUMMYFUNCTION("IMPORTRANGE(""1YMf8VfbkH6lTtQQ7aEH-rvtJbFw__osbRSbSExrslWo"",""2026-27!O3"")"),5.0)</f>
        <v>5</v>
      </c>
      <c r="AD28" s="59">
        <f>IFERROR(__xludf.DUMMYFUNCTION("IMPORTRANGE(""1YMf8VfbkH6lTtQQ7aEH-rvtJbFw__osbRSbSExrslWo"",""2026-27!P4"")"),675000.0)</f>
        <v>675000</v>
      </c>
      <c r="AE28" s="59">
        <f>IFERROR(__xludf.DUMMYFUNCTION("IMPORTRANGE(""1YMf8VfbkH6lTtQQ7aEH-rvtJbFw__osbRSbSExrslWo"",""2026-27!P3"")"),24.0)</f>
        <v>24</v>
      </c>
      <c r="AF28" s="59">
        <f>IFERROR(__xludf.DUMMYFUNCTION("IMPORTRANGE(""1YMf8VfbkH6lTtQQ7aEH-rvtJbFw__osbRSbSExrslWo"",""2026-27!Q4"")"),0.0)</f>
        <v>0</v>
      </c>
      <c r="AG28" s="59">
        <f>IFERROR(__xludf.DUMMYFUNCTION("IMPORTRANGE(""1YMf8VfbkH6lTtQQ7aEH-rvtJbFw__osbRSbSExrslWo"",""2026-27!Q3"")"),0.0)</f>
        <v>0</v>
      </c>
      <c r="AH28" s="62">
        <f t="shared" si="53"/>
        <v>0</v>
      </c>
      <c r="AI28" s="59">
        <f>IFERROR(__xludf.DUMMYFUNCTION("IMPORTRANGE(""1YMf8VfbkH6lTtQQ7aEH-rvtJbFw__osbRSbSExrslWo"",""2026-27!R4"")"),0.0)</f>
        <v>0</v>
      </c>
      <c r="AJ28" s="59">
        <f>IFERROR(__xludf.DUMMYFUNCTION("IMPORTRANGE(""1YMf8VfbkH6lTtQQ7aEH-rvtJbFw__osbRSbSExrslWo"",""2026-27!R3"")"),0.0)</f>
        <v>0</v>
      </c>
      <c r="AK28" s="59">
        <f>IFERROR(__xludf.DUMMYFUNCTION("IMPORTRANGE(""1YMf8VfbkH6lTtQQ7aEH-rvtJbFw__osbRSbSExrslWo"",""2026-27!S4"")"),0.0)</f>
        <v>0</v>
      </c>
      <c r="AL28" s="59">
        <f>IFERROR(__xludf.DUMMYFUNCTION("IMPORTRANGE(""1YMf8VfbkH6lTtQQ7aEH-rvtJbFw__osbRSbSExrslWo"",""2026-27!S3"")"),0.0)</f>
        <v>0</v>
      </c>
      <c r="AM28" s="59">
        <f>IFERROR(__xludf.DUMMYFUNCTION("IMPORTRANGE(""1YMf8VfbkH6lTtQQ7aEH-rvtJbFw__osbRSbSExrslWo"",""2026-27!T4"")"),0.0)</f>
        <v>0</v>
      </c>
      <c r="AN28" s="59">
        <f>IFERROR(__xludf.DUMMYFUNCTION("IMPORTRANGE(""1YMf8VfbkH6lTtQQ7aEH-rvtJbFw__osbRSbSExrslWo"",""2026-27!T3"")"),0.0)</f>
        <v>0</v>
      </c>
      <c r="AO28" s="62" t="str">
        <f t="shared" si="54"/>
        <v/>
      </c>
      <c r="AP28" s="59">
        <f>IFERROR(__xludf.DUMMYFUNCTION("IMPORTRANGE(""1YMf8VfbkH6lTtQQ7aEH-rvtJbFw__osbRSbSExrslWo"",""2026-27!U4"")"),0.0)</f>
        <v>0</v>
      </c>
      <c r="AQ28" s="59">
        <f>IFERROR(__xludf.DUMMYFUNCTION("IMPORTRANGE(""1YMf8VfbkH6lTtQQ7aEH-rvtJbFw__osbRSbSExrslWo"",""2026-27!U3"")"),0.0)</f>
        <v>0</v>
      </c>
      <c r="AR28" s="59">
        <f>IFERROR(__xludf.DUMMYFUNCTION("IMPORTRANGE(""1YMf8VfbkH6lTtQQ7aEH-rvtJbFw__osbRSbSExrslWo"",""2026-27!V4"")"),0.0)</f>
        <v>0</v>
      </c>
      <c r="AS28" s="59">
        <f>IFERROR(__xludf.DUMMYFUNCTION("IMPORTRANGE(""1YMf8VfbkH6lTtQQ7aEH-rvtJbFw__osbRSbSExrslWo"",""2026-27!V3"")"),0.0)</f>
        <v>0</v>
      </c>
      <c r="AT28" s="59">
        <f>IFERROR(__xludf.DUMMYFUNCTION("IMPORTRANGE(""1YMf8VfbkH6lTtQQ7aEH-rvtJbFw__osbRSbSExrslWo"",""2026-27!W4"")"),0.0)</f>
        <v>0</v>
      </c>
      <c r="AU28" s="59">
        <f>IFERROR(__xludf.DUMMYFUNCTION("IMPORTRANGE(""1YMf8VfbkH6lTtQQ7aEH-rvtJbFw__osbRSbSExrslWo"",""2026-27!W3"")"),0.0)</f>
        <v>0</v>
      </c>
      <c r="AV28" s="62" t="str">
        <f t="shared" si="55"/>
        <v/>
      </c>
      <c r="AW28" s="59">
        <f>IFERROR(__xludf.DUMMYFUNCTION("IMPORTRANGE(""1YMf8VfbkH6lTtQQ7aEH-rvtJbFw__osbRSbSExrslWo"",""2026-27!X4"")"),0.0)</f>
        <v>0</v>
      </c>
      <c r="AX28" s="59">
        <f>IFERROR(__xludf.DUMMYFUNCTION("IMPORTRANGE(""1YMf8VfbkH6lTtQQ7aEH-rvtJbFw__osbRSbSExrslWo"",""2026-27!X3"")"),0.0)</f>
        <v>0</v>
      </c>
      <c r="AY28" s="59">
        <f>IFERROR(__xludf.DUMMYFUNCTION("IMPORTRANGE(""1YMf8VfbkH6lTtQQ7aEH-rvtJbFw__osbRSbSExrslWo"",""2026-27!Y4"")"),0.0)</f>
        <v>0</v>
      </c>
      <c r="AZ28" s="59">
        <f>IFERROR(__xludf.DUMMYFUNCTION("IMPORTRANGE(""1YMf8VfbkH6lTtQQ7aEH-rvtJbFw__osbRSbSExrslWo"",""2026-27!Y3"")"),0.0)</f>
        <v>0</v>
      </c>
      <c r="BA28" s="59">
        <f>IFERROR(__xludf.DUMMYFUNCTION("IMPORTRANGE(""1YMf8VfbkH6lTtQQ7aEH-rvtJbFw__osbRSbSExrslWo"",""2026-27!Z4"")"),0.0)</f>
        <v>0</v>
      </c>
      <c r="BB28" s="59">
        <f>IFERROR(__xludf.DUMMYFUNCTION("IMPORTRANGE(""1YMf8VfbkH6lTtQQ7aEH-rvtJbFw__osbRSbSExrslWo"",""2026-27!Z3"")"),0.0)</f>
        <v>0</v>
      </c>
      <c r="BC28" s="63" t="str">
        <f t="shared" si="56"/>
        <v/>
      </c>
      <c r="BD28" s="59">
        <f>IFERROR(__xludf.DUMMYFUNCTION("IMPORTRANGE(""1YMf8VfbkH6lTtQQ7aEH-rvtJbFw__osbRSbSExrslWo"",""2026-27!AA4"")"),0.0)</f>
        <v>0</v>
      </c>
      <c r="BE28" s="59">
        <f>IFERROR(__xludf.DUMMYFUNCTION("IMPORTRANGE(""1YMf8VfbkH6lTtQQ7aEH-rvtJbFw__osbRSbSExrslWo"",""2026-27!AA3"")"),0.0)</f>
        <v>0</v>
      </c>
      <c r="BF28" s="59">
        <f>IFERROR(__xludf.DUMMYFUNCTION("IMPORTRANGE(""1YMf8VfbkH6lTtQQ7aEH-rvtJbFw__osbRSbSExrslWo"",""2026-27!AB4"")"),0.0)</f>
        <v>0</v>
      </c>
      <c r="BG28" s="59">
        <f>IFERROR(__xludf.DUMMYFUNCTION("IMPORTRANGE(""1YMf8VfbkH6lTtQQ7aEH-rvtJbFw__osbRSbSExrslWo"",""2026-27!AB3"")"),0.0)</f>
        <v>0</v>
      </c>
      <c r="BH28" s="59">
        <f>IFERROR(__xludf.DUMMYFUNCTION("IMPORTRANGE(""1YMf8VfbkH6lTtQQ7aEH-rvtJbFw__osbRSbSExrslWo"",""2026-27!AC4"")"),0.0)</f>
        <v>0</v>
      </c>
      <c r="BI28" s="59">
        <f>IFERROR(__xludf.DUMMYFUNCTION("IMPORTRANGE(""1YMf8VfbkH6lTtQQ7aEH-rvtJbFw__osbRSbSExrslWo"",""2026-27!AC3"")"),0.0)</f>
        <v>0</v>
      </c>
      <c r="BJ28" s="63" t="str">
        <f t="shared" si="57"/>
        <v/>
      </c>
      <c r="BK28" s="59">
        <f>IFERROR(__xludf.DUMMYFUNCTION("IMPORTRANGE(""1YMf8VfbkH6lTtQQ7aEH-rvtJbFw__osbRSbSExrslWo"",""2026-27!AD4"")"),0.0)</f>
        <v>0</v>
      </c>
      <c r="BL28" s="59">
        <f>IFERROR(__xludf.DUMMYFUNCTION("IMPORTRANGE(""1YMf8VfbkH6lTtQQ7aEH-rvtJbFw__osbRSbSExrslWo"",""2026-27!AD3"")"),0.0)</f>
        <v>0</v>
      </c>
      <c r="BM28" s="59">
        <f>IFERROR(__xludf.DUMMYFUNCTION("IMPORTRANGE(""1YMf8VfbkH6lTtQQ7aEH-rvtJbFw__osbRSbSExrslWo"",""2026-27!AE4"")"),0.0)</f>
        <v>0</v>
      </c>
      <c r="BN28" s="59">
        <f>IFERROR(__xludf.DUMMYFUNCTION("IMPORTRANGE(""1YMf8VfbkH6lTtQQ7aEH-rvtJbFw__osbRSbSExrslWo"",""2026-27!AE3"")"),0.0)</f>
        <v>0</v>
      </c>
      <c r="BO28" s="59">
        <f>IFERROR(__xludf.DUMMYFUNCTION("IMPORTRANGE(""1YMf8VfbkH6lTtQQ7aEH-rvtJbFw__osbRSbSExrslWo"",""2026-27!AF4"")"),0.0)</f>
        <v>0</v>
      </c>
      <c r="BP28" s="59">
        <f>IFERROR(__xludf.DUMMYFUNCTION("IMPORTRANGE(""1YMf8VfbkH6lTtQQ7aEH-rvtJbFw__osbRSbSExrslWo"",""2026-27!AF3"")"),0.0)</f>
        <v>0</v>
      </c>
      <c r="BQ28" s="63" t="str">
        <f t="shared" si="58"/>
        <v/>
      </c>
      <c r="BR28" s="59">
        <f>IFERROR(__xludf.DUMMYFUNCTION("IMPORTRANGE(""1YMf8VfbkH6lTtQQ7aEH-rvtJbFw__osbRSbSExrslWo"",""2026-27!AG4"")"),0.0)</f>
        <v>0</v>
      </c>
      <c r="BS28" s="59">
        <f>IFERROR(__xludf.DUMMYFUNCTION("IMPORTRANGE(""1YMf8VfbkH6lTtQQ7aEH-rvtJbFw__osbRSbSExrslWo"",""2026-27!AG3"")"),0.0)</f>
        <v>0</v>
      </c>
      <c r="BT28" s="59">
        <f>IFERROR(__xludf.DUMMYFUNCTION("IMPORTRANGE(""1YMf8VfbkH6lTtQQ7aEH-rvtJbFw__osbRSbSExrslWo"",""2026-27!AH4"")"),0.0)</f>
        <v>0</v>
      </c>
      <c r="BU28" s="59">
        <f>IFERROR(__xludf.DUMMYFUNCTION("IMPORTRANGE(""1YMf8VfbkH6lTtQQ7aEH-rvtJbFw__osbRSbSExrslWo"",""2026-27!AH3"")"),0.0)</f>
        <v>0</v>
      </c>
      <c r="BV28" s="59">
        <f>IFERROR(__xludf.DUMMYFUNCTION("IMPORTRANGE(""1YMf8VfbkH6lTtQQ7aEH-rvtJbFw__osbRSbSExrslWo"",""2026-27!AI4"")"),0.0)</f>
        <v>0</v>
      </c>
      <c r="BW28" s="59">
        <f>IFERROR(__xludf.DUMMYFUNCTION("IMPORTRANGE(""1YMf8VfbkH6lTtQQ7aEH-rvtJbFw__osbRSbSExrslWo"",""2026-27!AI3"")"),0.0)</f>
        <v>0</v>
      </c>
      <c r="BX28" s="63" t="str">
        <f t="shared" si="59"/>
        <v/>
      </c>
      <c r="BY28" s="59">
        <f>IFERROR(__xludf.DUMMYFUNCTION("IMPORTRANGE(""1YMf8VfbkH6lTtQQ7aEH-rvtJbFw__osbRSbSExrslWo"",""2026-27!AJ4"")"),0.0)</f>
        <v>0</v>
      </c>
      <c r="BZ28" s="59">
        <f>IFERROR(__xludf.DUMMYFUNCTION("IMPORTRANGE(""1YMf8VfbkH6lTtQQ7aEH-rvtJbFw__osbRSbSExrslWo"",""2026-27!AJ3"")"),0.0)</f>
        <v>0</v>
      </c>
      <c r="CA28" s="59">
        <f>IFERROR(__xludf.DUMMYFUNCTION("IMPORTRANGE(""1YMf8VfbkH6lTtQQ7aEH-rvtJbFw__osbRSbSExrslWo"",""2026-27!AK4"")"),0.0)</f>
        <v>0</v>
      </c>
      <c r="CB28" s="59">
        <f>IFERROR(__xludf.DUMMYFUNCTION("IMPORTRANGE(""1YMf8VfbkH6lTtQQ7aEH-rvtJbFw__osbRSbSExrslWo"",""2026-27!AK3"")"),0.0)</f>
        <v>0</v>
      </c>
      <c r="CC28" s="59">
        <f>IFERROR(__xludf.DUMMYFUNCTION("IMPORTRANGE(""1YMf8VfbkH6lTtQQ7aEH-rvtJbFw__osbRSbSExrslWo"",""2026-27!AL4"")"),0.0)</f>
        <v>0</v>
      </c>
      <c r="CD28" s="59">
        <f>IFERROR(__xludf.DUMMYFUNCTION("IMPORTRANGE(""1YMf8VfbkH6lTtQQ7aEH-rvtJbFw__osbRSbSExrslWo"",""2026-27!AL3"")"),0.0)</f>
        <v>0</v>
      </c>
      <c r="CE28" s="63" t="str">
        <f t="shared" si="60"/>
        <v/>
      </c>
      <c r="CF28" s="59">
        <f>IFERROR(__xludf.DUMMYFUNCTION("IMPORTRANGE(""1YMf8VfbkH6lTtQQ7aEH-rvtJbFw__osbRSbSExrslWo"",""2026-27!AM4"")"),0.0)</f>
        <v>0</v>
      </c>
      <c r="CG28" s="59">
        <f>IFERROR(__xludf.DUMMYFUNCTION("IMPORTRANGE(""1YMf8VfbkH6lTtQQ7aEH-rvtJbFw__osbRSbSExrslWo"",""2026-27!AM3"")"),0.0)</f>
        <v>0</v>
      </c>
      <c r="CH28" s="59">
        <f>IFERROR(__xludf.DUMMYFUNCTION("IMPORTRANGE(""1YMf8VfbkH6lTtQQ7aEH-rvtJbFw__osbRSbSExrslWo"",""2026-27!AN4"")"),0.0)</f>
        <v>0</v>
      </c>
      <c r="CI28" s="59">
        <f>IFERROR(__xludf.DUMMYFUNCTION("IMPORTRANGE(""1YMf8VfbkH6lTtQQ7aEH-rvtJbFw__osbRSbSExrslWo"",""2026-27!AN3"")"),0.0)</f>
        <v>0</v>
      </c>
      <c r="CJ28" s="59">
        <f>IFERROR(__xludf.DUMMYFUNCTION("IMPORTRANGE(""1YMf8VfbkH6lTtQQ7aEH-rvtJbFw__osbRSbSExrslWo"",""2026-27!AO4"")"),0.0)</f>
        <v>0</v>
      </c>
      <c r="CK28" s="59">
        <f>IFERROR(__xludf.DUMMYFUNCTION("IMPORTRANGE(""1YMf8VfbkH6lTtQQ7aEH-rvtJbFw__osbRSbSExrslWo"",""2026-27!AO3"")"),0.0)</f>
        <v>0</v>
      </c>
      <c r="CL28" s="63" t="str">
        <f t="shared" si="61"/>
        <v/>
      </c>
      <c r="CM28" s="59">
        <f>IFERROR(__xludf.DUMMYFUNCTION("IMPORTRANGE(""1YMf8VfbkH6lTtQQ7aEH-rvtJbFw__osbRSbSExrslWo"",""2026-27!AP4"")"),0.0)</f>
        <v>0</v>
      </c>
      <c r="CN28" s="59">
        <f>IFERROR(__xludf.DUMMYFUNCTION("IMPORTRANGE(""1YMf8VfbkH6lTtQQ7aEH-rvtJbFw__osbRSbSExrslWo"",""2026-27!AP3"")"),0.0)</f>
        <v>0</v>
      </c>
      <c r="CO28" s="59">
        <f>IFERROR(__xludf.DUMMYFUNCTION("IMPORTRANGE(""1YMf8VfbkH6lTtQQ7aEH-rvtJbFw__osbRSbSExrslWo"",""2026-27!AQ4"")"),0.0)</f>
        <v>0</v>
      </c>
      <c r="CP28" s="59">
        <f>IFERROR(__xludf.DUMMYFUNCTION("IMPORTRANGE(""1YMf8VfbkH6lTtQQ7aEH-rvtJbFw__osbRSbSExrslWo"",""2026-27!AQ3"")"),0.0)</f>
        <v>0</v>
      </c>
      <c r="CQ28" s="59">
        <f>IFERROR(__xludf.DUMMYFUNCTION("IMPORTRANGE(""1YMf8VfbkH6lTtQQ7aEH-rvtJbFw__osbRSbSExrslWo"",""2026-27!AR4"")"),0.0)</f>
        <v>0</v>
      </c>
      <c r="CR28" s="59">
        <f>IFERROR(__xludf.DUMMYFUNCTION("IMPORTRANGE(""1YMf8VfbkH6lTtQQ7aEH-rvtJbFw__osbRSbSExrslWo"",""2026-27!AR3"")"),0.0)</f>
        <v>0</v>
      </c>
      <c r="CS28" s="63" t="str">
        <f t="shared" si="62"/>
        <v/>
      </c>
      <c r="CT28" s="59">
        <f>IFERROR(__xludf.DUMMYFUNCTION("IMPORTRANGE(""1YMf8VfbkH6lTtQQ7aEH-rvtJbFw__osbRSbSExrslWo"",""2026-27!AS4"")"),0.0)</f>
        <v>0</v>
      </c>
      <c r="CU28" s="59">
        <f>IFERROR(__xludf.DUMMYFUNCTION("IMPORTRANGE(""1YMf8VfbkH6lTtQQ7aEH-rvtJbFw__osbRSbSExrslWo"",""2026-27!AS3"")"),0.0)</f>
        <v>0</v>
      </c>
      <c r="CV28" s="64"/>
    </row>
    <row r="29">
      <c r="A29" s="1" t="s">
        <v>62</v>
      </c>
      <c r="B29" s="41"/>
      <c r="C29" s="94" t="s">
        <v>69</v>
      </c>
      <c r="D29" s="95" t="s">
        <v>70</v>
      </c>
      <c r="E29" s="72">
        <v>7.006748023E9</v>
      </c>
      <c r="F29" s="70">
        <v>45964.0</v>
      </c>
      <c r="G29" s="92"/>
      <c r="H29" s="92"/>
      <c r="I29" s="74">
        <v>27260.0</v>
      </c>
      <c r="J29" s="58">
        <v>833333.0</v>
      </c>
      <c r="K29" s="59">
        <f>IFERROR(__xludf.DUMMYFUNCTION("IMPORTRANGE(""15vuWdE3tvOWMvAItA2lx50EAGi5e91LahWnrIBHKchE"",""2026-27!A3"")"),29.0)</f>
        <v>29</v>
      </c>
      <c r="L29" s="59">
        <f>IFERROR(__xludf.DUMMYFUNCTION("IMPORTRANGE(""15vuWdE3tvOWMvAItA2lx50EAGi5e91LahWnrIBHKchE"",""2026-27!G4"")"),6950000.0)</f>
        <v>6950000</v>
      </c>
      <c r="M29" s="59">
        <f t="shared" si="48"/>
        <v>731705.01</v>
      </c>
      <c r="N29" s="60">
        <f t="shared" si="49"/>
        <v>0.1133505036</v>
      </c>
      <c r="O29" s="61">
        <f t="shared" si="50"/>
        <v>787786</v>
      </c>
      <c r="P29" s="59">
        <f>IFERROR(__xludf.DUMMYFUNCTION("IMPORTRANGE(""15vuWdE3tvOWMvAItA2lx50EAGi5e91LahWnrIBHKchE"",""2026-27!J4"")"),632000.0)</f>
        <v>632000</v>
      </c>
      <c r="Q29" s="59">
        <f>IFERROR(__xludf.DUMMYFUNCTION("IMPORTRANGE(""15vuWdE3tvOWMvAItA2lx50EAGi5e91LahWnrIBHKchE"",""2026-27!J3"")"),25.0)</f>
        <v>25</v>
      </c>
      <c r="R29" s="59">
        <f>IFERROR(__xludf.DUMMYFUNCTION("IMPORTRANGE(""15vuWdE3tvOWMvAItA2lx50EAGi5e91LahWnrIBHKchE"",""2026-27!K4"")"),102152.6)</f>
        <v>102152.6</v>
      </c>
      <c r="S29" s="59">
        <f>IFERROR(__xludf.DUMMYFUNCTION("IMPORTRANGE(""15vuWdE3tvOWMvAItA2lx50EAGi5e91LahWnrIBHKchE"",""2026-27!K3"")"),4.0)</f>
        <v>4</v>
      </c>
      <c r="T29" s="62">
        <f t="shared" si="51"/>
        <v>0.191931962</v>
      </c>
      <c r="U29" s="59">
        <f>IFERROR(__xludf.DUMMYFUNCTION("IMPORTRANGE(""15vuWdE3tvOWMvAItA2lx50EAGi5e91LahWnrIBHKchE"",""2026-27!L4"")"),121301.0)</f>
        <v>121301</v>
      </c>
      <c r="V29" s="59">
        <f>IFERROR(__xludf.DUMMYFUNCTION("IMPORTRANGE(""15vuWdE3tvOWMvAItA2lx50EAGi5e91LahWnrIBHKchE"",""2026-27!L3"")"),5.0)</f>
        <v>5</v>
      </c>
      <c r="W29" s="59">
        <f>IFERROR(__xludf.DUMMYFUNCTION("IMPORTRANGE(""15vuWdE3tvOWMvAItA2lx50EAGi5e91LahWnrIBHKchE"",""2026-27!m4"")"),910000.0)</f>
        <v>910000</v>
      </c>
      <c r="X29" s="59">
        <f>IFERROR(__xludf.DUMMYFUNCTION("IMPORTRANGE(""15vuWdE3tvOWMvAItA2lx50EAGi5e91LahWnrIBHKchE"",""2026-27!m3"")"),25.0)</f>
        <v>25</v>
      </c>
      <c r="Y29" s="59">
        <f>IFERROR(__xludf.DUMMYFUNCTION("IMPORTRANGE(""15vuWdE3tvOWMvAItA2lx50EAGi5e91LahWnrIBHKchE"",""2026-27!N4"")"),151333.6)</f>
        <v>151333.6</v>
      </c>
      <c r="Z29" s="59">
        <f>IFERROR(__xludf.DUMMYFUNCTION("IMPORTRANGE(""15vuWdE3tvOWMvAItA2lx50EAGi5e91LahWnrIBHKchE"",""2026-27!N3"")"),7.0)</f>
        <v>7</v>
      </c>
      <c r="AA29" s="62">
        <f t="shared" si="52"/>
        <v>0.1769230769</v>
      </c>
      <c r="AB29" s="59">
        <f>IFERROR(__xludf.DUMMYFUNCTION("IMPORTRANGE(""15vuWdE3tvOWMvAItA2lx50EAGi5e91LahWnrIBHKchE"",""2026-27!O4"")"),161000.0)</f>
        <v>161000</v>
      </c>
      <c r="AC29" s="59">
        <f>IFERROR(__xludf.DUMMYFUNCTION("IMPORTRANGE(""15vuWdE3tvOWMvAItA2lx50EAGi5e91LahWnrIBHKchE"",""2026-27!O3"")"),7.0)</f>
        <v>7</v>
      </c>
      <c r="AD29" s="59">
        <f>IFERROR(__xludf.DUMMYFUNCTION("IMPORTRANGE(""15vuWdE3tvOWMvAItA2lx50EAGi5e91LahWnrIBHKchE"",""2026-27!P4"")"),1060000.0)</f>
        <v>1060000</v>
      </c>
      <c r="AE29" s="59">
        <f>IFERROR(__xludf.DUMMYFUNCTION("IMPORTRANGE(""15vuWdE3tvOWMvAItA2lx50EAGi5e91LahWnrIBHKchE"",""2026-27!P3"")"),25.0)</f>
        <v>25</v>
      </c>
      <c r="AF29" s="59">
        <f>IFERROR(__xludf.DUMMYFUNCTION("IMPORTRANGE(""15vuWdE3tvOWMvAItA2lx50EAGi5e91LahWnrIBHKchE"",""2026-27!Q4"")"),478218.809999999)</f>
        <v>478218.81</v>
      </c>
      <c r="AG29" s="59">
        <f>IFERROR(__xludf.DUMMYFUNCTION("IMPORTRANGE(""15vuWdE3tvOWMvAItA2lx50EAGi5e91LahWnrIBHKchE"",""2026-27!Q3"")"),3.0)</f>
        <v>3</v>
      </c>
      <c r="AH29" s="62">
        <f t="shared" si="53"/>
        <v>0.4768726415</v>
      </c>
      <c r="AI29" s="59">
        <f>IFERROR(__xludf.DUMMYFUNCTION("IMPORTRANGE(""15vuWdE3tvOWMvAItA2lx50EAGi5e91LahWnrIBHKchE"",""2026-27!R4"")"),505485.0)</f>
        <v>505485</v>
      </c>
      <c r="AJ29" s="59">
        <f>IFERROR(__xludf.DUMMYFUNCTION("IMPORTRANGE(""15vuWdE3tvOWMvAItA2lx50EAGi5e91LahWnrIBHKchE"",""2026-27!R3"")"),3.0)</f>
        <v>3</v>
      </c>
      <c r="AK29" s="59">
        <f>IFERROR(__xludf.DUMMYFUNCTION("IMPORTRANGE(""15vuWdE3tvOWMvAItA2lx50EAGi5e91LahWnrIBHKchE"",""2026-27!S4"")"),0.0)</f>
        <v>0</v>
      </c>
      <c r="AL29" s="59">
        <f>IFERROR(__xludf.DUMMYFUNCTION("IMPORTRANGE(""15vuWdE3tvOWMvAItA2lx50EAGi5e91LahWnrIBHKchE"",""2026-27!S3"")"),0.0)</f>
        <v>0</v>
      </c>
      <c r="AM29" s="59">
        <f>IFERROR(__xludf.DUMMYFUNCTION("IMPORTRANGE(""15vuWdE3tvOWMvAItA2lx50EAGi5e91LahWnrIBHKchE"",""2026-27!T4"")"),0.0)</f>
        <v>0</v>
      </c>
      <c r="AN29" s="59">
        <f>IFERROR(__xludf.DUMMYFUNCTION("IMPORTRANGE(""15vuWdE3tvOWMvAItA2lx50EAGi5e91LahWnrIBHKchE"",""2026-27!T3"")"),0.0)</f>
        <v>0</v>
      </c>
      <c r="AO29" s="62" t="str">
        <f t="shared" si="54"/>
        <v/>
      </c>
      <c r="AP29" s="59">
        <f>IFERROR(__xludf.DUMMYFUNCTION("IMPORTRANGE(""15vuWdE3tvOWMvAItA2lx50EAGi5e91LahWnrIBHKchE"",""2026-27!U4"")"),0.0)</f>
        <v>0</v>
      </c>
      <c r="AQ29" s="59">
        <f>IFERROR(__xludf.DUMMYFUNCTION("IMPORTRANGE(""15vuWdE3tvOWMvAItA2lx50EAGi5e91LahWnrIBHKchE"",""2026-27!U3"")"),0.0)</f>
        <v>0</v>
      </c>
      <c r="AR29" s="59">
        <f>IFERROR(__xludf.DUMMYFUNCTION("IMPORTRANGE(""15vuWdE3tvOWMvAItA2lx50EAGi5e91LahWnrIBHKchE"",""2026-27!V4"")"),0.0)</f>
        <v>0</v>
      </c>
      <c r="AS29" s="59">
        <f>IFERROR(__xludf.DUMMYFUNCTION("IMPORTRANGE(""15vuWdE3tvOWMvAItA2lx50EAGi5e91LahWnrIBHKchE"",""2026-27!V3"")"),0.0)</f>
        <v>0</v>
      </c>
      <c r="AT29" s="59">
        <f>IFERROR(__xludf.DUMMYFUNCTION("IMPORTRANGE(""15vuWdE3tvOWMvAItA2lx50EAGi5e91LahWnrIBHKchE"",""2026-27!W4"")"),0.0)</f>
        <v>0</v>
      </c>
      <c r="AU29" s="59">
        <f>IFERROR(__xludf.DUMMYFUNCTION("IMPORTRANGE(""15vuWdE3tvOWMvAItA2lx50EAGi5e91LahWnrIBHKchE"",""2026-27!W3"")"),0.0)</f>
        <v>0</v>
      </c>
      <c r="AV29" s="62" t="str">
        <f t="shared" si="55"/>
        <v/>
      </c>
      <c r="AW29" s="59">
        <f>IFERROR(__xludf.DUMMYFUNCTION("IMPORTRANGE(""15vuWdE3tvOWMvAItA2lx50EAGi5e91LahWnrIBHKchE"",""2026-27!X4"")"),0.0)</f>
        <v>0</v>
      </c>
      <c r="AX29" s="59">
        <f>IFERROR(__xludf.DUMMYFUNCTION("IMPORTRANGE(""15vuWdE3tvOWMvAItA2lx50EAGi5e91LahWnrIBHKchE"",""2026-27!X3"")"),0.0)</f>
        <v>0</v>
      </c>
      <c r="AY29" s="59">
        <f>IFERROR(__xludf.DUMMYFUNCTION("IMPORTRANGE(""15vuWdE3tvOWMvAItA2lx50EAGi5e91LahWnrIBHKchE"",""2026-27!Y4"")"),0.0)</f>
        <v>0</v>
      </c>
      <c r="AZ29" s="59">
        <f>IFERROR(__xludf.DUMMYFUNCTION("IMPORTRANGE(""15vuWdE3tvOWMvAItA2lx50EAGi5e91LahWnrIBHKchE"",""2026-27!Y3"")"),0.0)</f>
        <v>0</v>
      </c>
      <c r="BA29" s="59">
        <f>IFERROR(__xludf.DUMMYFUNCTION("IMPORTRANGE(""15vuWdE3tvOWMvAItA2lx50EAGi5e91LahWnrIBHKchE"",""2026-27!Z4"")"),0.0)</f>
        <v>0</v>
      </c>
      <c r="BB29" s="59">
        <f>IFERROR(__xludf.DUMMYFUNCTION("IMPORTRANGE(""15vuWdE3tvOWMvAItA2lx50EAGi5e91LahWnrIBHKchE"",""2026-27!Z3"")"),0.0)</f>
        <v>0</v>
      </c>
      <c r="BC29" s="63" t="str">
        <f t="shared" si="56"/>
        <v/>
      </c>
      <c r="BD29" s="59">
        <f>IFERROR(__xludf.DUMMYFUNCTION("IMPORTRANGE(""15vuWdE3tvOWMvAItA2lx50EAGi5e91LahWnrIBHKchE"",""2026-27!AA4"")"),0.0)</f>
        <v>0</v>
      </c>
      <c r="BE29" s="59">
        <f>IFERROR(__xludf.DUMMYFUNCTION("IMPORTRANGE(""15vuWdE3tvOWMvAItA2lx50EAGi5e91LahWnrIBHKchE"",""2026-27!AA3"")"),0.0)</f>
        <v>0</v>
      </c>
      <c r="BF29" s="59">
        <f>IFERROR(__xludf.DUMMYFUNCTION("IMPORTRANGE(""15vuWdE3tvOWMvAItA2lx50EAGi5e91LahWnrIBHKchE"",""2026-27!AB4"")"),0.0)</f>
        <v>0</v>
      </c>
      <c r="BG29" s="59">
        <f>IFERROR(__xludf.DUMMYFUNCTION("IMPORTRANGE(""15vuWdE3tvOWMvAItA2lx50EAGi5e91LahWnrIBHKchE"",""2026-27!AB3"")"),0.0)</f>
        <v>0</v>
      </c>
      <c r="BH29" s="59">
        <f>IFERROR(__xludf.DUMMYFUNCTION("IMPORTRANGE(""15vuWdE3tvOWMvAItA2lx50EAGi5e91LahWnrIBHKchE"",""2026-27!AC4"")"),0.0)</f>
        <v>0</v>
      </c>
      <c r="BI29" s="59">
        <f>IFERROR(__xludf.DUMMYFUNCTION("IMPORTRANGE(""15vuWdE3tvOWMvAItA2lx50EAGi5e91LahWnrIBHKchE"",""2026-27!AC3"")"),0.0)</f>
        <v>0</v>
      </c>
      <c r="BJ29" s="63" t="str">
        <f t="shared" si="57"/>
        <v/>
      </c>
      <c r="BK29" s="59">
        <f>IFERROR(__xludf.DUMMYFUNCTION("IMPORTRANGE(""15vuWdE3tvOWMvAItA2lx50EAGi5e91LahWnrIBHKchE"",""2026-27!AD4"")"),0.0)</f>
        <v>0</v>
      </c>
      <c r="BL29" s="59">
        <f>IFERROR(__xludf.DUMMYFUNCTION("IMPORTRANGE(""15vuWdE3tvOWMvAItA2lx50EAGi5e91LahWnrIBHKchE"",""2026-27!AD3"")"),0.0)</f>
        <v>0</v>
      </c>
      <c r="BM29" s="59">
        <f>IFERROR(__xludf.DUMMYFUNCTION("IMPORTRANGE(""15vuWdE3tvOWMvAItA2lx50EAGi5e91LahWnrIBHKchE"",""2026-27!AE4"")"),0.0)</f>
        <v>0</v>
      </c>
      <c r="BN29" s="59">
        <f>IFERROR(__xludf.DUMMYFUNCTION("IMPORTRANGE(""15vuWdE3tvOWMvAItA2lx50EAGi5e91LahWnrIBHKchE"",""2026-27!AE3"")"),0.0)</f>
        <v>0</v>
      </c>
      <c r="BO29" s="59">
        <f>IFERROR(__xludf.DUMMYFUNCTION("IMPORTRANGE(""15vuWdE3tvOWMvAItA2lx50EAGi5e91LahWnrIBHKchE"",""2026-27!AF4"")"),0.0)</f>
        <v>0</v>
      </c>
      <c r="BP29" s="59">
        <f>IFERROR(__xludf.DUMMYFUNCTION("IMPORTRANGE(""15vuWdE3tvOWMvAItA2lx50EAGi5e91LahWnrIBHKchE"",""2026-27!AF3"")"),0.0)</f>
        <v>0</v>
      </c>
      <c r="BQ29" s="63" t="str">
        <f t="shared" si="58"/>
        <v/>
      </c>
      <c r="BR29" s="59">
        <f>IFERROR(__xludf.DUMMYFUNCTION("IMPORTRANGE(""15vuWdE3tvOWMvAItA2lx50EAGi5e91LahWnrIBHKchE"",""2026-27!AG4"")"),0.0)</f>
        <v>0</v>
      </c>
      <c r="BS29" s="59">
        <f>IFERROR(__xludf.DUMMYFUNCTION("IMPORTRANGE(""15vuWdE3tvOWMvAItA2lx50EAGi5e91LahWnrIBHKchE"",""2026-27!AG3"")"),0.0)</f>
        <v>0</v>
      </c>
      <c r="BT29" s="59">
        <f>IFERROR(__xludf.DUMMYFUNCTION("IMPORTRANGE(""15vuWdE3tvOWMvAItA2lx50EAGi5e91LahWnrIBHKchE"",""2026-27!AH4"")"),0.0)</f>
        <v>0</v>
      </c>
      <c r="BU29" s="59">
        <f>IFERROR(__xludf.DUMMYFUNCTION("IMPORTRANGE(""15vuWdE3tvOWMvAItA2lx50EAGi5e91LahWnrIBHKchE"",""2026-27!AH3"")"),0.0)</f>
        <v>0</v>
      </c>
      <c r="BV29" s="59">
        <f>IFERROR(__xludf.DUMMYFUNCTION("IMPORTRANGE(""15vuWdE3tvOWMvAItA2lx50EAGi5e91LahWnrIBHKchE"",""2026-27!AI4"")"),0.0)</f>
        <v>0</v>
      </c>
      <c r="BW29" s="59">
        <f>IFERROR(__xludf.DUMMYFUNCTION("IMPORTRANGE(""15vuWdE3tvOWMvAItA2lx50EAGi5e91LahWnrIBHKchE"",""2026-27!AI3"")"),0.0)</f>
        <v>0</v>
      </c>
      <c r="BX29" s="63" t="str">
        <f t="shared" si="59"/>
        <v/>
      </c>
      <c r="BY29" s="59">
        <f>IFERROR(__xludf.DUMMYFUNCTION("IMPORTRANGE(""15vuWdE3tvOWMvAItA2lx50EAGi5e91LahWnrIBHKchE"",""2026-27!AJ4"")"),0.0)</f>
        <v>0</v>
      </c>
      <c r="BZ29" s="59">
        <f>IFERROR(__xludf.DUMMYFUNCTION("IMPORTRANGE(""15vuWdE3tvOWMvAItA2lx50EAGi5e91LahWnrIBHKchE"",""2026-27!AJ3"")"),0.0)</f>
        <v>0</v>
      </c>
      <c r="CA29" s="59">
        <f>IFERROR(__xludf.DUMMYFUNCTION("IMPORTRANGE(""15vuWdE3tvOWMvAItA2lx50EAGi5e91LahWnrIBHKchE"",""2026-27!AK4"")"),0.0)</f>
        <v>0</v>
      </c>
      <c r="CB29" s="59">
        <f>IFERROR(__xludf.DUMMYFUNCTION("IMPORTRANGE(""15vuWdE3tvOWMvAItA2lx50EAGi5e91LahWnrIBHKchE"",""2026-27!AK3"")"),0.0)</f>
        <v>0</v>
      </c>
      <c r="CC29" s="59">
        <f>IFERROR(__xludf.DUMMYFUNCTION("IMPORTRANGE(""15vuWdE3tvOWMvAItA2lx50EAGi5e91LahWnrIBHKchE"",""2026-27!AL4"")"),0.0)</f>
        <v>0</v>
      </c>
      <c r="CD29" s="59">
        <f>IFERROR(__xludf.DUMMYFUNCTION("IMPORTRANGE(""15vuWdE3tvOWMvAItA2lx50EAGi5e91LahWnrIBHKchE"",""2026-27!AL3"")"),0.0)</f>
        <v>0</v>
      </c>
      <c r="CE29" s="63" t="str">
        <f t="shared" si="60"/>
        <v/>
      </c>
      <c r="CF29" s="59">
        <f>IFERROR(__xludf.DUMMYFUNCTION("IMPORTRANGE(""15vuWdE3tvOWMvAItA2lx50EAGi5e91LahWnrIBHKchE"",""2026-27!AM4"")"),0.0)</f>
        <v>0</v>
      </c>
      <c r="CG29" s="59">
        <f>IFERROR(__xludf.DUMMYFUNCTION("IMPORTRANGE(""15vuWdE3tvOWMvAItA2lx50EAGi5e91LahWnrIBHKchE"",""2026-27!AM3"")"),0.0)</f>
        <v>0</v>
      </c>
      <c r="CH29" s="59">
        <f>IFERROR(__xludf.DUMMYFUNCTION("IMPORTRANGE(""15vuWdE3tvOWMvAItA2lx50EAGi5e91LahWnrIBHKchE"",""2026-27!AN4"")"),0.0)</f>
        <v>0</v>
      </c>
      <c r="CI29" s="59">
        <f>IFERROR(__xludf.DUMMYFUNCTION("IMPORTRANGE(""15vuWdE3tvOWMvAItA2lx50EAGi5e91LahWnrIBHKchE"",""2026-27!AN3"")"),0.0)</f>
        <v>0</v>
      </c>
      <c r="CJ29" s="59">
        <f>IFERROR(__xludf.DUMMYFUNCTION("IMPORTRANGE(""15vuWdE3tvOWMvAItA2lx50EAGi5e91LahWnrIBHKchE"",""2026-27!AO4"")"),0.0)</f>
        <v>0</v>
      </c>
      <c r="CK29" s="59">
        <f>IFERROR(__xludf.DUMMYFUNCTION("IMPORTRANGE(""15vuWdE3tvOWMvAItA2lx50EAGi5e91LahWnrIBHKchE"",""2026-27!AO3"")"),0.0)</f>
        <v>0</v>
      </c>
      <c r="CL29" s="63" t="str">
        <f t="shared" si="61"/>
        <v/>
      </c>
      <c r="CM29" s="59">
        <f>IFERROR(__xludf.DUMMYFUNCTION("IMPORTRANGE(""15vuWdE3tvOWMvAItA2lx50EAGi5e91LahWnrIBHKchE"",""2026-27!AP4"")"),0.0)</f>
        <v>0</v>
      </c>
      <c r="CN29" s="59">
        <f>IFERROR(__xludf.DUMMYFUNCTION("IMPORTRANGE(""15vuWdE3tvOWMvAItA2lx50EAGi5e91LahWnrIBHKchE"",""2026-27!AP3"")"),0.0)</f>
        <v>0</v>
      </c>
      <c r="CO29" s="59">
        <f>IFERROR(__xludf.DUMMYFUNCTION("IMPORTRANGE(""15vuWdE3tvOWMvAItA2lx50EAGi5e91LahWnrIBHKchE"",""2026-27!AQ4"")"),0.0)</f>
        <v>0</v>
      </c>
      <c r="CP29" s="59">
        <f>IFERROR(__xludf.DUMMYFUNCTION("IMPORTRANGE(""15vuWdE3tvOWMvAItA2lx50EAGi5e91LahWnrIBHKchE"",""2026-27!AQ3"")"),0.0)</f>
        <v>0</v>
      </c>
      <c r="CQ29" s="59">
        <f>IFERROR(__xludf.DUMMYFUNCTION("IMPORTRANGE(""15vuWdE3tvOWMvAItA2lx50EAGi5e91LahWnrIBHKchE"",""2026-27!AR4"")"),0.0)</f>
        <v>0</v>
      </c>
      <c r="CR29" s="59">
        <f>IFERROR(__xludf.DUMMYFUNCTION("IMPORTRANGE(""15vuWdE3tvOWMvAItA2lx50EAGi5e91LahWnrIBHKchE"",""2026-27!AR3"")"),0.0)</f>
        <v>0</v>
      </c>
      <c r="CS29" s="63" t="str">
        <f t="shared" si="62"/>
        <v/>
      </c>
      <c r="CT29" s="59">
        <f>IFERROR(__xludf.DUMMYFUNCTION("IMPORTRANGE(""15vuWdE3tvOWMvAItA2lx50EAGi5e91LahWnrIBHKchE"",""2026-27!AS4"")"),0.0)</f>
        <v>0</v>
      </c>
      <c r="CU29" s="59">
        <f>IFERROR(__xludf.DUMMYFUNCTION("IMPORTRANGE(""15vuWdE3tvOWMvAItA2lx50EAGi5e91LahWnrIBHKchE"",""2026-27!AS3"")"),0.0)</f>
        <v>0</v>
      </c>
      <c r="CV29" s="64"/>
    </row>
    <row r="30">
      <c r="A30" s="1" t="s">
        <v>62</v>
      </c>
      <c r="B30" s="47"/>
      <c r="C30" s="96" t="s">
        <v>71</v>
      </c>
      <c r="D30" s="95" t="s">
        <v>64</v>
      </c>
      <c r="E30" s="72">
        <v>8.825024366E9</v>
      </c>
      <c r="F30" s="70">
        <v>46086.0</v>
      </c>
      <c r="G30" s="92"/>
      <c r="H30" s="92"/>
      <c r="I30" s="74">
        <v>27260.0</v>
      </c>
      <c r="J30" s="58">
        <v>833333.0</v>
      </c>
      <c r="K30" s="59">
        <f>IFERROR(__xludf.DUMMYFUNCTION("IMPORTRANGE(""1bKzAjnffVfLhVGh4t5v_Vu2blA9yWMcWrMSSSkWyfww"",""2026-27!A3"")"),13.0)</f>
        <v>13</v>
      </c>
      <c r="L30" s="59">
        <f>IFERROR(__xludf.DUMMYFUNCTION("IMPORTRANGE(""1bKzAjnffVfLhVGh4t5v_Vu2blA9yWMcWrMSSSkWyfww"",""2026-27!G4"")"),2400000.0)</f>
        <v>2400000</v>
      </c>
      <c r="M30" s="59">
        <f t="shared" si="48"/>
        <v>401271.6</v>
      </c>
      <c r="N30" s="60">
        <f t="shared" si="49"/>
        <v>0.1754947667</v>
      </c>
      <c r="O30" s="61">
        <f t="shared" si="50"/>
        <v>421187.44</v>
      </c>
      <c r="P30" s="59">
        <f>IFERROR(__xludf.DUMMYFUNCTION("IMPORTRANGE(""1bKzAjnffVfLhVGh4t5v_Vu2blA9yWMcWrMSSSkWyfww"",""2026-27!J4"")"),230000.0)</f>
        <v>230000</v>
      </c>
      <c r="Q30" s="59">
        <f>IFERROR(__xludf.DUMMYFUNCTION("IMPORTRANGE(""1bKzAjnffVfLhVGh4t5v_Vu2blA9yWMcWrMSSSkWyfww"",""2026-27!J3"")"),10.0)</f>
        <v>10</v>
      </c>
      <c r="R30" s="59">
        <f>IFERROR(__xludf.DUMMYFUNCTION("IMPORTRANGE(""1bKzAjnffVfLhVGh4t5v_Vu2blA9yWMcWrMSSSkWyfww"",""2026-27!K4"")"),203111.6)</f>
        <v>203111.6</v>
      </c>
      <c r="S30" s="59">
        <f>IFERROR(__xludf.DUMMYFUNCTION("IMPORTRANGE(""1bKzAjnffVfLhVGh4t5v_Vu2blA9yWMcWrMSSSkWyfww"",""2026-27!K3"")"),2.0)</f>
        <v>2</v>
      </c>
      <c r="T30" s="62">
        <f t="shared" si="51"/>
        <v>0.9632566957</v>
      </c>
      <c r="U30" s="59">
        <f>IFERROR(__xludf.DUMMYFUNCTION("IMPORTRANGE(""1bKzAjnffVfLhVGh4t5v_Vu2blA9yWMcWrMSSSkWyfww"",""2026-27!L4"")"),221549.04)</f>
        <v>221549.04</v>
      </c>
      <c r="V30" s="59">
        <f>IFERROR(__xludf.DUMMYFUNCTION("IMPORTRANGE(""1bKzAjnffVfLhVGh4t5v_Vu2blA9yWMcWrMSSSkWyfww"",""2026-27!L3"")"),2.0)</f>
        <v>2</v>
      </c>
      <c r="W30" s="59">
        <f>IFERROR(__xludf.DUMMYFUNCTION("IMPORTRANGE(""1bKzAjnffVfLhVGh4t5v_Vu2blA9yWMcWrMSSSkWyfww"",""2026-27!m4"")"),230000.0)</f>
        <v>230000</v>
      </c>
      <c r="X30" s="59">
        <f>IFERROR(__xludf.DUMMYFUNCTION("IMPORTRANGE(""1bKzAjnffVfLhVGh4t5v_Vu2blA9yWMcWrMSSSkWyfww"",""2026-27!m3"")"),10.0)</f>
        <v>10</v>
      </c>
      <c r="Y30" s="59">
        <f>IFERROR(__xludf.DUMMYFUNCTION("IMPORTRANGE(""1bKzAjnffVfLhVGh4t5v_Vu2blA9yWMcWrMSSSkWyfww"",""2026-27!N4"")"),198160.0)</f>
        <v>198160</v>
      </c>
      <c r="Z30" s="59">
        <f>IFERROR(__xludf.DUMMYFUNCTION("IMPORTRANGE(""1bKzAjnffVfLhVGh4t5v_Vu2blA9yWMcWrMSSSkWyfww"",""2026-27!N3"")"),1.0)</f>
        <v>1</v>
      </c>
      <c r="AA30" s="62">
        <f t="shared" si="52"/>
        <v>0.8679930435</v>
      </c>
      <c r="AB30" s="59">
        <f>IFERROR(__xludf.DUMMYFUNCTION("IMPORTRANGE(""1bKzAjnffVfLhVGh4t5v_Vu2blA9yWMcWrMSSSkWyfww"",""2026-27!O4"")"),199638.4)</f>
        <v>199638.4</v>
      </c>
      <c r="AC30" s="59">
        <f>IFERROR(__xludf.DUMMYFUNCTION("IMPORTRANGE(""1bKzAjnffVfLhVGh4t5v_Vu2blA9yWMcWrMSSSkWyfww"",""2026-27!O3"")"),1.0)</f>
        <v>1</v>
      </c>
      <c r="AD30" s="59">
        <f>IFERROR(__xludf.DUMMYFUNCTION("IMPORTRANGE(""1bKzAjnffVfLhVGh4t5v_Vu2blA9yWMcWrMSSSkWyfww"",""2026-27!P4"")"),140000.0)</f>
        <v>140000</v>
      </c>
      <c r="AE30" s="59">
        <f>IFERROR(__xludf.DUMMYFUNCTION("IMPORTRANGE(""1bKzAjnffVfLhVGh4t5v_Vu2blA9yWMcWrMSSSkWyfww"",""2026-27!P3"")"),10.0)</f>
        <v>10</v>
      </c>
      <c r="AF30" s="59">
        <f>IFERROR(__xludf.DUMMYFUNCTION("IMPORTRANGE(""1bKzAjnffVfLhVGh4t5v_Vu2blA9yWMcWrMSSSkWyfww"",""2026-27!Q4"")"),0.0)</f>
        <v>0</v>
      </c>
      <c r="AG30" s="59">
        <f>IFERROR(__xludf.DUMMYFUNCTION("IMPORTRANGE(""1bKzAjnffVfLhVGh4t5v_Vu2blA9yWMcWrMSSSkWyfww"",""2026-27!Q3"")"),0.0)</f>
        <v>0</v>
      </c>
      <c r="AH30" s="62">
        <f t="shared" si="53"/>
        <v>0</v>
      </c>
      <c r="AI30" s="59">
        <f>IFERROR(__xludf.DUMMYFUNCTION("IMPORTRANGE(""1bKzAjnffVfLhVGh4t5v_Vu2blA9yWMcWrMSSSkWyfww"",""2026-27!R4"")"),0.0)</f>
        <v>0</v>
      </c>
      <c r="AJ30" s="59">
        <f>IFERROR(__xludf.DUMMYFUNCTION("IMPORTRANGE(""1bKzAjnffVfLhVGh4t5v_Vu2blA9yWMcWrMSSSkWyfww"",""2026-27!R3"")"),0.0)</f>
        <v>0</v>
      </c>
      <c r="AK30" s="59">
        <f>IFERROR(__xludf.DUMMYFUNCTION("IMPORTRANGE(""1bKzAjnffVfLhVGh4t5v_Vu2blA9yWMcWrMSSSkWyfww"",""2026-27!S4"")"),0.0)</f>
        <v>0</v>
      </c>
      <c r="AL30" s="59">
        <f>IFERROR(__xludf.DUMMYFUNCTION("IMPORTRANGE(""1bKzAjnffVfLhVGh4t5v_Vu2blA9yWMcWrMSSSkWyfww"",""2026-27!S3"")"),0.0)</f>
        <v>0</v>
      </c>
      <c r="AM30" s="59">
        <f>IFERROR(__xludf.DUMMYFUNCTION("IMPORTRANGE(""1bKzAjnffVfLhVGh4t5v_Vu2blA9yWMcWrMSSSkWyfww"",""2026-27!T4"")"),0.0)</f>
        <v>0</v>
      </c>
      <c r="AN30" s="59">
        <f>IFERROR(__xludf.DUMMYFUNCTION("IMPORTRANGE(""1bKzAjnffVfLhVGh4t5v_Vu2blA9yWMcWrMSSSkWyfww"",""2026-27!T3"")"),0.0)</f>
        <v>0</v>
      </c>
      <c r="AO30" s="62" t="str">
        <f t="shared" si="54"/>
        <v/>
      </c>
      <c r="AP30" s="59">
        <f>IFERROR(__xludf.DUMMYFUNCTION("IMPORTRANGE(""1bKzAjnffVfLhVGh4t5v_Vu2blA9yWMcWrMSSSkWyfww"",""2026-27!U4"")"),0.0)</f>
        <v>0</v>
      </c>
      <c r="AQ30" s="59">
        <f>IFERROR(__xludf.DUMMYFUNCTION("IMPORTRANGE(""1bKzAjnffVfLhVGh4t5v_Vu2blA9yWMcWrMSSSkWyfww"",""2026-27!U3"")"),0.0)</f>
        <v>0</v>
      </c>
      <c r="AR30" s="59">
        <f>IFERROR(__xludf.DUMMYFUNCTION("IMPORTRANGE(""1bKzAjnffVfLhVGh4t5v_Vu2blA9yWMcWrMSSSkWyfww"",""2026-27!V4"")"),0.0)</f>
        <v>0</v>
      </c>
      <c r="AS30" s="59">
        <f>IFERROR(__xludf.DUMMYFUNCTION("IMPORTRANGE(""1bKzAjnffVfLhVGh4t5v_Vu2blA9yWMcWrMSSSkWyfww"",""2026-27!V3"")"),0.0)</f>
        <v>0</v>
      </c>
      <c r="AT30" s="59">
        <f>IFERROR(__xludf.DUMMYFUNCTION("IMPORTRANGE(""1bKzAjnffVfLhVGh4t5v_Vu2blA9yWMcWrMSSSkWyfww"",""2026-27!W4"")"),0.0)</f>
        <v>0</v>
      </c>
      <c r="AU30" s="59">
        <f>IFERROR(__xludf.DUMMYFUNCTION("IMPORTRANGE(""1bKzAjnffVfLhVGh4t5v_Vu2blA9yWMcWrMSSSkWyfww"",""2026-27!W3"")"),0.0)</f>
        <v>0</v>
      </c>
      <c r="AV30" s="62" t="str">
        <f t="shared" si="55"/>
        <v/>
      </c>
      <c r="AW30" s="59">
        <f>IFERROR(__xludf.DUMMYFUNCTION("IMPORTRANGE(""1bKzAjnffVfLhVGh4t5v_Vu2blA9yWMcWrMSSSkWyfww"",""2026-27!X4"")"),0.0)</f>
        <v>0</v>
      </c>
      <c r="AX30" s="59">
        <f>IFERROR(__xludf.DUMMYFUNCTION("IMPORTRANGE(""1bKzAjnffVfLhVGh4t5v_Vu2blA9yWMcWrMSSSkWyfww"",""2026-27!X3"")"),0.0)</f>
        <v>0</v>
      </c>
      <c r="AY30" s="59">
        <f>IFERROR(__xludf.DUMMYFUNCTION("IMPORTRANGE(""1bKzAjnffVfLhVGh4t5v_Vu2blA9yWMcWrMSSSkWyfww"",""2026-27!Y4"")"),0.0)</f>
        <v>0</v>
      </c>
      <c r="AZ30" s="59">
        <f>IFERROR(__xludf.DUMMYFUNCTION("IMPORTRANGE(""1bKzAjnffVfLhVGh4t5v_Vu2blA9yWMcWrMSSSkWyfww"",""2026-27!Y3"")"),0.0)</f>
        <v>0</v>
      </c>
      <c r="BA30" s="59">
        <f>IFERROR(__xludf.DUMMYFUNCTION("IMPORTRANGE(""1bKzAjnffVfLhVGh4t5v_Vu2blA9yWMcWrMSSSkWyfww"",""2026-27!Z4"")"),0.0)</f>
        <v>0</v>
      </c>
      <c r="BB30" s="59">
        <f>IFERROR(__xludf.DUMMYFUNCTION("IMPORTRANGE(""1bKzAjnffVfLhVGh4t5v_Vu2blA9yWMcWrMSSSkWyfww"",""2026-27!Z3"")"),0.0)</f>
        <v>0</v>
      </c>
      <c r="BC30" s="63" t="str">
        <f t="shared" si="56"/>
        <v/>
      </c>
      <c r="BD30" s="59">
        <f>IFERROR(__xludf.DUMMYFUNCTION("IMPORTRANGE(""1bKzAjnffVfLhVGh4t5v_Vu2blA9yWMcWrMSSSkWyfww"",""2026-27!AA4"")"),0.0)</f>
        <v>0</v>
      </c>
      <c r="BE30" s="59">
        <f>IFERROR(__xludf.DUMMYFUNCTION("IMPORTRANGE(""1bKzAjnffVfLhVGh4t5v_Vu2blA9yWMcWrMSSSkWyfww"",""2026-27!AA3"")"),0.0)</f>
        <v>0</v>
      </c>
      <c r="BF30" s="59">
        <f>IFERROR(__xludf.DUMMYFUNCTION("IMPORTRANGE(""1bKzAjnffVfLhVGh4t5v_Vu2blA9yWMcWrMSSSkWyfww"",""2026-27!AB4"")"),0.0)</f>
        <v>0</v>
      </c>
      <c r="BG30" s="59">
        <f>IFERROR(__xludf.DUMMYFUNCTION("IMPORTRANGE(""1bKzAjnffVfLhVGh4t5v_Vu2blA9yWMcWrMSSSkWyfww"",""2026-27!AB3"")"),0.0)</f>
        <v>0</v>
      </c>
      <c r="BH30" s="59">
        <f>IFERROR(__xludf.DUMMYFUNCTION("IMPORTRANGE(""1bKzAjnffVfLhVGh4t5v_Vu2blA9yWMcWrMSSSkWyfww"",""2026-27!AC4"")"),0.0)</f>
        <v>0</v>
      </c>
      <c r="BI30" s="59">
        <f>IFERROR(__xludf.DUMMYFUNCTION("IMPORTRANGE(""1bKzAjnffVfLhVGh4t5v_Vu2blA9yWMcWrMSSSkWyfww"",""2026-27!AC3"")"),0.0)</f>
        <v>0</v>
      </c>
      <c r="BJ30" s="63" t="str">
        <f t="shared" si="57"/>
        <v/>
      </c>
      <c r="BK30" s="59">
        <f>IFERROR(__xludf.DUMMYFUNCTION("IMPORTRANGE(""1bKzAjnffVfLhVGh4t5v_Vu2blA9yWMcWrMSSSkWyfww"",""2026-27!AD4"")"),0.0)</f>
        <v>0</v>
      </c>
      <c r="BL30" s="59">
        <f>IFERROR(__xludf.DUMMYFUNCTION("IMPORTRANGE(""1bKzAjnffVfLhVGh4t5v_Vu2blA9yWMcWrMSSSkWyfww"",""2026-27!AD3"")"),0.0)</f>
        <v>0</v>
      </c>
      <c r="BM30" s="59">
        <f>IFERROR(__xludf.DUMMYFUNCTION("IMPORTRANGE(""1bKzAjnffVfLhVGh4t5v_Vu2blA9yWMcWrMSSSkWyfww"",""2026-27!AE4"")"),0.0)</f>
        <v>0</v>
      </c>
      <c r="BN30" s="59">
        <f>IFERROR(__xludf.DUMMYFUNCTION("IMPORTRANGE(""1bKzAjnffVfLhVGh4t5v_Vu2blA9yWMcWrMSSSkWyfww"",""2026-27!AE3"")"),0.0)</f>
        <v>0</v>
      </c>
      <c r="BO30" s="59">
        <f>IFERROR(__xludf.DUMMYFUNCTION("IMPORTRANGE(""1bKzAjnffVfLhVGh4t5v_Vu2blA9yWMcWrMSSSkWyfww"",""2026-27!AF4"")"),0.0)</f>
        <v>0</v>
      </c>
      <c r="BP30" s="59">
        <f>IFERROR(__xludf.DUMMYFUNCTION("IMPORTRANGE(""1bKzAjnffVfLhVGh4t5v_Vu2blA9yWMcWrMSSSkWyfww"",""2026-27!AF3"")"),0.0)</f>
        <v>0</v>
      </c>
      <c r="BQ30" s="63" t="str">
        <f t="shared" si="58"/>
        <v/>
      </c>
      <c r="BR30" s="59">
        <f>IFERROR(__xludf.DUMMYFUNCTION("IMPORTRANGE(""1bKzAjnffVfLhVGh4t5v_Vu2blA9yWMcWrMSSSkWyfww"",""2026-27!AG4"")"),0.0)</f>
        <v>0</v>
      </c>
      <c r="BS30" s="59">
        <f>IFERROR(__xludf.DUMMYFUNCTION("IMPORTRANGE(""1bKzAjnffVfLhVGh4t5v_Vu2blA9yWMcWrMSSSkWyfww"",""2026-27!AG3"")"),0.0)</f>
        <v>0</v>
      </c>
      <c r="BT30" s="59">
        <f>IFERROR(__xludf.DUMMYFUNCTION("IMPORTRANGE(""1bKzAjnffVfLhVGh4t5v_Vu2blA9yWMcWrMSSSkWyfww"",""2026-27!AH4"")"),0.0)</f>
        <v>0</v>
      </c>
      <c r="BU30" s="59">
        <f>IFERROR(__xludf.DUMMYFUNCTION("IMPORTRANGE(""1bKzAjnffVfLhVGh4t5v_Vu2blA9yWMcWrMSSSkWyfww"",""2026-27!AH3"")"),0.0)</f>
        <v>0</v>
      </c>
      <c r="BV30" s="59">
        <f>IFERROR(__xludf.DUMMYFUNCTION("IMPORTRANGE(""1bKzAjnffVfLhVGh4t5v_Vu2blA9yWMcWrMSSSkWyfww"",""2026-27!AI4"")"),0.0)</f>
        <v>0</v>
      </c>
      <c r="BW30" s="59">
        <f>IFERROR(__xludf.DUMMYFUNCTION("IMPORTRANGE(""1bKzAjnffVfLhVGh4t5v_Vu2blA9yWMcWrMSSSkWyfww"",""2026-27!AI3"")"),0.0)</f>
        <v>0</v>
      </c>
      <c r="BX30" s="63" t="str">
        <f t="shared" si="59"/>
        <v/>
      </c>
      <c r="BY30" s="59">
        <f>IFERROR(__xludf.DUMMYFUNCTION("IMPORTRANGE(""1bKzAjnffVfLhVGh4t5v_Vu2blA9yWMcWrMSSSkWyfww"",""2026-27!AJ4"")"),0.0)</f>
        <v>0</v>
      </c>
      <c r="BZ30" s="59">
        <f>IFERROR(__xludf.DUMMYFUNCTION("IMPORTRANGE(""1bKzAjnffVfLhVGh4t5v_Vu2blA9yWMcWrMSSSkWyfww"",""2026-27!AJ3"")"),0.0)</f>
        <v>0</v>
      </c>
      <c r="CA30" s="59">
        <f>IFERROR(__xludf.DUMMYFUNCTION("IMPORTRANGE(""1bKzAjnffVfLhVGh4t5v_Vu2blA9yWMcWrMSSSkWyfww"",""2026-27!AK4"")"),0.0)</f>
        <v>0</v>
      </c>
      <c r="CB30" s="59">
        <f>IFERROR(__xludf.DUMMYFUNCTION("IMPORTRANGE(""1bKzAjnffVfLhVGh4t5v_Vu2blA9yWMcWrMSSSkWyfww"",""2026-27!AK3"")"),0.0)</f>
        <v>0</v>
      </c>
      <c r="CC30" s="59">
        <f>IFERROR(__xludf.DUMMYFUNCTION("IMPORTRANGE(""1bKzAjnffVfLhVGh4t5v_Vu2blA9yWMcWrMSSSkWyfww"",""2026-27!AL4"")"),0.0)</f>
        <v>0</v>
      </c>
      <c r="CD30" s="59">
        <f>IFERROR(__xludf.DUMMYFUNCTION("IMPORTRANGE(""1bKzAjnffVfLhVGh4t5v_Vu2blA9yWMcWrMSSSkWyfww"",""2026-27!AL3"")"),0.0)</f>
        <v>0</v>
      </c>
      <c r="CE30" s="63" t="str">
        <f t="shared" si="60"/>
        <v/>
      </c>
      <c r="CF30" s="59">
        <f>IFERROR(__xludf.DUMMYFUNCTION("IMPORTRANGE(""1bKzAjnffVfLhVGh4t5v_Vu2blA9yWMcWrMSSSkWyfww"",""2026-27!AM4"")"),0.0)</f>
        <v>0</v>
      </c>
      <c r="CG30" s="59">
        <f>IFERROR(__xludf.DUMMYFUNCTION("IMPORTRANGE(""1bKzAjnffVfLhVGh4t5v_Vu2blA9yWMcWrMSSSkWyfww"",""2026-27!AM3"")"),0.0)</f>
        <v>0</v>
      </c>
      <c r="CH30" s="59">
        <f>IFERROR(__xludf.DUMMYFUNCTION("IMPORTRANGE(""1bKzAjnffVfLhVGh4t5v_Vu2blA9yWMcWrMSSSkWyfww"",""2026-27!AN4"")"),0.0)</f>
        <v>0</v>
      </c>
      <c r="CI30" s="59">
        <f>IFERROR(__xludf.DUMMYFUNCTION("IMPORTRANGE(""1bKzAjnffVfLhVGh4t5v_Vu2blA9yWMcWrMSSSkWyfww"",""2026-27!AN3"")"),0.0)</f>
        <v>0</v>
      </c>
      <c r="CJ30" s="59">
        <f>IFERROR(__xludf.DUMMYFUNCTION("IMPORTRANGE(""1bKzAjnffVfLhVGh4t5v_Vu2blA9yWMcWrMSSSkWyfww"",""2026-27!AO4"")"),0.0)</f>
        <v>0</v>
      </c>
      <c r="CK30" s="59">
        <f>IFERROR(__xludf.DUMMYFUNCTION("IMPORTRANGE(""1bKzAjnffVfLhVGh4t5v_Vu2blA9yWMcWrMSSSkWyfww"",""2026-27!AO3"")"),0.0)</f>
        <v>0</v>
      </c>
      <c r="CL30" s="63" t="str">
        <f t="shared" si="61"/>
        <v/>
      </c>
      <c r="CM30" s="59">
        <f>IFERROR(__xludf.DUMMYFUNCTION("IMPORTRANGE(""1bKzAjnffVfLhVGh4t5v_Vu2blA9yWMcWrMSSSkWyfww"",""2026-27!AP4"")"),0.0)</f>
        <v>0</v>
      </c>
      <c r="CN30" s="59">
        <f>IFERROR(__xludf.DUMMYFUNCTION("IMPORTRANGE(""1bKzAjnffVfLhVGh4t5v_Vu2blA9yWMcWrMSSSkWyfww"",""2026-27!AP3"")"),0.0)</f>
        <v>0</v>
      </c>
      <c r="CO30" s="59">
        <f>IFERROR(__xludf.DUMMYFUNCTION("IMPORTRANGE(""1bKzAjnffVfLhVGh4t5v_Vu2blA9yWMcWrMSSSkWyfww"",""2026-27!AQ4"")"),0.0)</f>
        <v>0</v>
      </c>
      <c r="CP30" s="59">
        <f>IFERROR(__xludf.DUMMYFUNCTION("IMPORTRANGE(""1bKzAjnffVfLhVGh4t5v_Vu2blA9yWMcWrMSSSkWyfww"",""2026-27!AQ3"")"),0.0)</f>
        <v>0</v>
      </c>
      <c r="CQ30" s="59">
        <f>IFERROR(__xludf.DUMMYFUNCTION("IMPORTRANGE(""1bKzAjnffVfLhVGh4t5v_Vu2blA9yWMcWrMSSSkWyfww"",""2026-27!AR4"")"),0.0)</f>
        <v>0</v>
      </c>
      <c r="CR30" s="59">
        <f>IFERROR(__xludf.DUMMYFUNCTION("IMPORTRANGE(""1bKzAjnffVfLhVGh4t5v_Vu2blA9yWMcWrMSSSkWyfww"",""2026-27!AR3"")"),0.0)</f>
        <v>0</v>
      </c>
      <c r="CS30" s="63" t="str">
        <f t="shared" si="62"/>
        <v/>
      </c>
      <c r="CT30" s="59">
        <f>IFERROR(__xludf.DUMMYFUNCTION("IMPORTRANGE(""1bKzAjnffVfLhVGh4t5v_Vu2blA9yWMcWrMSSSkWyfww"",""2026-27!AS4"")"),0.0)</f>
        <v>0</v>
      </c>
      <c r="CU30" s="59">
        <f>IFERROR(__xludf.DUMMYFUNCTION("IMPORTRANGE(""1bKzAjnffVfLhVGh4t5v_Vu2blA9yWMcWrMSSSkWyfww"",""2026-27!AS3"")"),0.0)</f>
        <v>0</v>
      </c>
      <c r="CV30" s="64"/>
    </row>
    <row r="31">
      <c r="A31" s="1" t="s">
        <v>72</v>
      </c>
      <c r="B31" s="83" t="s">
        <v>73</v>
      </c>
      <c r="C31" s="52" t="s">
        <v>74</v>
      </c>
      <c r="D31" s="53" t="s">
        <v>75</v>
      </c>
      <c r="E31" s="54">
        <v>8.07560687E9</v>
      </c>
      <c r="F31" s="55">
        <v>44693.0</v>
      </c>
      <c r="G31" s="66"/>
      <c r="H31" s="66"/>
      <c r="I31" s="57">
        <v>32890.0</v>
      </c>
      <c r="J31" s="58">
        <v>918500.0</v>
      </c>
      <c r="K31" s="59">
        <f>IFERROR(__xludf.DUMMYFUNCTION("IMPORTRANGE(""1BOdlvcbAzmhN6MUIGmMKbyx8OGarcJ2uhWJX8ES8y70"",""2026-27!A3"")"),62.0)</f>
        <v>62</v>
      </c>
      <c r="L31" s="59">
        <f>IFERROR(__xludf.DUMMYFUNCTION("IMPORTRANGE(""1BOdlvcbAzmhN6MUIGmMKbyx8OGarcJ2uhWJX8ES8y70"",""2026-27!G4"")"),1.675E7)</f>
        <v>16750000</v>
      </c>
      <c r="M31" s="59">
        <f t="shared" si="48"/>
        <v>3486751.2</v>
      </c>
      <c r="N31" s="60">
        <f t="shared" si="49"/>
        <v>0.1056630448</v>
      </c>
      <c r="O31" s="61">
        <f t="shared" si="50"/>
        <v>1769856</v>
      </c>
      <c r="P31" s="59">
        <f>IFERROR(__xludf.DUMMYFUNCTION("IMPORTRANGE(""1BOdlvcbAzmhN6MUIGmMKbyx8OGarcJ2uhWJX8ES8y70"",""2026-27!J4"")"),1400000.0)</f>
        <v>1400000</v>
      </c>
      <c r="Q31" s="59">
        <f>IFERROR(__xludf.DUMMYFUNCTION("IMPORTRANGE(""1BOdlvcbAzmhN6MUIGmMKbyx8OGarcJ2uhWJX8ES8y70"",""2026-27!J3"")"),30.0)</f>
        <v>30</v>
      </c>
      <c r="R31" s="59">
        <f>IFERROR(__xludf.DUMMYFUNCTION("IMPORTRANGE(""1BOdlvcbAzmhN6MUIGmMKbyx8OGarcJ2uhWJX8ES8y70"",""2026-27!K4"")"),606272.4)</f>
        <v>606272.4</v>
      </c>
      <c r="S31" s="59">
        <f>IFERROR(__xludf.DUMMYFUNCTION("IMPORTRANGE(""1BOdlvcbAzmhN6MUIGmMKbyx8OGarcJ2uhWJX8ES8y70"",""2026-27!K3"")"),10.0)</f>
        <v>10</v>
      </c>
      <c r="T31" s="62">
        <f t="shared" si="51"/>
        <v>0.35241</v>
      </c>
      <c r="U31" s="59">
        <f>IFERROR(__xludf.DUMMYFUNCTION("IMPORTRANGE(""1BOdlvcbAzmhN6MUIGmMKbyx8OGarcJ2uhWJX8ES8y70"",""2026-27!L4"")"),493374.0)</f>
        <v>493374</v>
      </c>
      <c r="V31" s="59">
        <f>IFERROR(__xludf.DUMMYFUNCTION("IMPORTRANGE(""1BOdlvcbAzmhN6MUIGmMKbyx8OGarcJ2uhWJX8ES8y70"",""2026-27!L3"")"),10.0)</f>
        <v>10</v>
      </c>
      <c r="W31" s="59">
        <f>IFERROR(__xludf.DUMMYFUNCTION("IMPORTRANGE(""1BOdlvcbAzmhN6MUIGmMKbyx8OGarcJ2uhWJX8ES8y70"",""2026-27!m4"")"),1400000.0)</f>
        <v>1400000</v>
      </c>
      <c r="X31" s="59">
        <f>IFERROR(__xludf.DUMMYFUNCTION("IMPORTRANGE(""1BOdlvcbAzmhN6MUIGmMKbyx8OGarcJ2uhWJX8ES8y70"",""2026-27!m3"")"),32.0)</f>
        <v>32</v>
      </c>
      <c r="Y31" s="59">
        <f>IFERROR(__xludf.DUMMYFUNCTION("IMPORTRANGE(""1BOdlvcbAzmhN6MUIGmMKbyx8OGarcJ2uhWJX8ES8y70"",""2026-27!N4"")"),1085830.8)</f>
        <v>1085830.8</v>
      </c>
      <c r="Z31" s="59">
        <f>IFERROR(__xludf.DUMMYFUNCTION("IMPORTRANGE(""1BOdlvcbAzmhN6MUIGmMKbyx8OGarcJ2uhWJX8ES8y70"",""2026-27!N3"")"),15.0)</f>
        <v>15</v>
      </c>
      <c r="AA31" s="62">
        <f t="shared" si="52"/>
        <v>0.9117728571</v>
      </c>
      <c r="AB31" s="59">
        <f>IFERROR(__xludf.DUMMYFUNCTION("IMPORTRANGE(""1BOdlvcbAzmhN6MUIGmMKbyx8OGarcJ2uhWJX8ES8y70"",""2026-27!O4"")"),1276482.0)</f>
        <v>1276482</v>
      </c>
      <c r="AC31" s="59">
        <f>IFERROR(__xludf.DUMMYFUNCTION("IMPORTRANGE(""1BOdlvcbAzmhN6MUIGmMKbyx8OGarcJ2uhWJX8ES8y70"",""2026-27!O3"")"),18.0)</f>
        <v>18</v>
      </c>
      <c r="AD31" s="59">
        <f>IFERROR(__xludf.DUMMYFUNCTION("IMPORTRANGE(""1BOdlvcbAzmhN6MUIGmMKbyx8OGarcJ2uhWJX8ES8y70"",""2026-27!P4"")"),1610000.0)</f>
        <v>1610000</v>
      </c>
      <c r="AE31" s="59">
        <f>IFERROR(__xludf.DUMMYFUNCTION("IMPORTRANGE(""1BOdlvcbAzmhN6MUIGmMKbyx8OGarcJ2uhWJX8ES8y70"",""2026-27!P3"")"),37.0)</f>
        <v>37</v>
      </c>
      <c r="AF31" s="59">
        <f>IFERROR(__xludf.DUMMYFUNCTION("IMPORTRANGE(""1BOdlvcbAzmhN6MUIGmMKbyx8OGarcJ2uhWJX8ES8y70"",""2026-27!Q4"")"),1794648.0)</f>
        <v>1794648</v>
      </c>
      <c r="AG31" s="59">
        <f>IFERROR(__xludf.DUMMYFUNCTION("IMPORTRANGE(""1BOdlvcbAzmhN6MUIGmMKbyx8OGarcJ2uhWJX8ES8y70"",""2026-27!Q3"")"),22.0)</f>
        <v>22</v>
      </c>
      <c r="AH31" s="62">
        <f t="shared" si="53"/>
        <v>0</v>
      </c>
      <c r="AI31" s="59">
        <f>IFERROR(__xludf.DUMMYFUNCTION("IMPORTRANGE(""1BOdlvcbAzmhN6MUIGmMKbyx8OGarcJ2uhWJX8ES8y70"",""2026-27!R4"")"),0.0)</f>
        <v>0</v>
      </c>
      <c r="AJ31" s="59">
        <f>IFERROR(__xludf.DUMMYFUNCTION("IMPORTRANGE(""1BOdlvcbAzmhN6MUIGmMKbyx8OGarcJ2uhWJX8ES8y70"",""2026-27!R3"")"),0.0)</f>
        <v>0</v>
      </c>
      <c r="AK31" s="59">
        <f>IFERROR(__xludf.DUMMYFUNCTION("IMPORTRANGE(""1BOdlvcbAzmhN6MUIGmMKbyx8OGarcJ2uhWJX8ES8y70"",""2026-27!S4"")"),0.0)</f>
        <v>0</v>
      </c>
      <c r="AL31" s="59">
        <f>IFERROR(__xludf.DUMMYFUNCTION("IMPORTRANGE(""1BOdlvcbAzmhN6MUIGmMKbyx8OGarcJ2uhWJX8ES8y70"",""2026-27!S3"")"),0.0)</f>
        <v>0</v>
      </c>
      <c r="AM31" s="59">
        <f>IFERROR(__xludf.DUMMYFUNCTION("IMPORTRANGE(""1BOdlvcbAzmhN6MUIGmMKbyx8OGarcJ2uhWJX8ES8y70"",""2026-27!T4"")"),0.0)</f>
        <v>0</v>
      </c>
      <c r="AN31" s="59">
        <f>IFERROR(__xludf.DUMMYFUNCTION("IMPORTRANGE(""1BOdlvcbAzmhN6MUIGmMKbyx8OGarcJ2uhWJX8ES8y70"",""2026-27!T3"")"),0.0)</f>
        <v>0</v>
      </c>
      <c r="AO31" s="62" t="str">
        <f t="shared" si="54"/>
        <v/>
      </c>
      <c r="AP31" s="59">
        <f>IFERROR(__xludf.DUMMYFUNCTION("IMPORTRANGE(""1BOdlvcbAzmhN6MUIGmMKbyx8OGarcJ2uhWJX8ES8y70"",""2026-27!U4"")"),0.0)</f>
        <v>0</v>
      </c>
      <c r="AQ31" s="59">
        <f>IFERROR(__xludf.DUMMYFUNCTION("IMPORTRANGE(""1BOdlvcbAzmhN6MUIGmMKbyx8OGarcJ2uhWJX8ES8y70"",""2026-27!U3"")"),0.0)</f>
        <v>0</v>
      </c>
      <c r="AR31" s="59">
        <f>IFERROR(__xludf.DUMMYFUNCTION("IMPORTRANGE(""1BOdlvcbAzmhN6MUIGmMKbyx8OGarcJ2uhWJX8ES8y70"",""2026-27!V4"")"),0.0)</f>
        <v>0</v>
      </c>
      <c r="AS31" s="59">
        <f>IFERROR(__xludf.DUMMYFUNCTION("IMPORTRANGE(""1BOdlvcbAzmhN6MUIGmMKbyx8OGarcJ2uhWJX8ES8y70"",""2026-27!V3"")"),0.0)</f>
        <v>0</v>
      </c>
      <c r="AT31" s="59">
        <f>IFERROR(__xludf.DUMMYFUNCTION("IMPORTRANGE(""1BOdlvcbAzmhN6MUIGmMKbyx8OGarcJ2uhWJX8ES8y70"",""2026-27!W4"")"),0.0)</f>
        <v>0</v>
      </c>
      <c r="AU31" s="59">
        <f>IFERROR(__xludf.DUMMYFUNCTION("IMPORTRANGE(""1BOdlvcbAzmhN6MUIGmMKbyx8OGarcJ2uhWJX8ES8y70"",""2026-27!W3"")"),0.0)</f>
        <v>0</v>
      </c>
      <c r="AV31" s="62" t="str">
        <f t="shared" si="55"/>
        <v/>
      </c>
      <c r="AW31" s="59">
        <f>IFERROR(__xludf.DUMMYFUNCTION("IMPORTRANGE(""1BOdlvcbAzmhN6MUIGmMKbyx8OGarcJ2uhWJX8ES8y70"",""2026-27!X4"")"),0.0)</f>
        <v>0</v>
      </c>
      <c r="AX31" s="59">
        <f>IFERROR(__xludf.DUMMYFUNCTION("IMPORTRANGE(""1BOdlvcbAzmhN6MUIGmMKbyx8OGarcJ2uhWJX8ES8y70"",""2026-27!X3"")"),0.0)</f>
        <v>0</v>
      </c>
      <c r="AY31" s="59">
        <f>IFERROR(__xludf.DUMMYFUNCTION("IMPORTRANGE(""1BOdlvcbAzmhN6MUIGmMKbyx8OGarcJ2uhWJX8ES8y70"",""2026-27!Y4"")"),0.0)</f>
        <v>0</v>
      </c>
      <c r="AZ31" s="59">
        <f>IFERROR(__xludf.DUMMYFUNCTION("IMPORTRANGE(""1BOdlvcbAzmhN6MUIGmMKbyx8OGarcJ2uhWJX8ES8y70"",""2026-27!Y3"")"),0.0)</f>
        <v>0</v>
      </c>
      <c r="BA31" s="59">
        <f>IFERROR(__xludf.DUMMYFUNCTION("IMPORTRANGE(""1BOdlvcbAzmhN6MUIGmMKbyx8OGarcJ2uhWJX8ES8y70"",""2026-27!Z4"")"),0.0)</f>
        <v>0</v>
      </c>
      <c r="BB31" s="59">
        <f>IFERROR(__xludf.DUMMYFUNCTION("IMPORTRANGE(""1BOdlvcbAzmhN6MUIGmMKbyx8OGarcJ2uhWJX8ES8y70"",""2026-27!Z3"")"),0.0)</f>
        <v>0</v>
      </c>
      <c r="BC31" s="63" t="str">
        <f t="shared" si="56"/>
        <v/>
      </c>
      <c r="BD31" s="59">
        <f>IFERROR(__xludf.DUMMYFUNCTION("IMPORTRANGE(""1BOdlvcbAzmhN6MUIGmMKbyx8OGarcJ2uhWJX8ES8y70"",""2026-27!AA4"")"),0.0)</f>
        <v>0</v>
      </c>
      <c r="BE31" s="59">
        <f>IFERROR(__xludf.DUMMYFUNCTION("IMPORTRANGE(""1BOdlvcbAzmhN6MUIGmMKbyx8OGarcJ2uhWJX8ES8y70"",""2026-27!AA3"")"),0.0)</f>
        <v>0</v>
      </c>
      <c r="BF31" s="59">
        <f>IFERROR(__xludf.DUMMYFUNCTION("IMPORTRANGE(""1BOdlvcbAzmhN6MUIGmMKbyx8OGarcJ2uhWJX8ES8y70"",""2026-27!AB4"")"),0.0)</f>
        <v>0</v>
      </c>
      <c r="BG31" s="59">
        <f>IFERROR(__xludf.DUMMYFUNCTION("IMPORTRANGE(""1BOdlvcbAzmhN6MUIGmMKbyx8OGarcJ2uhWJX8ES8y70"",""2026-27!AB3"")"),0.0)</f>
        <v>0</v>
      </c>
      <c r="BH31" s="59">
        <f>IFERROR(__xludf.DUMMYFUNCTION("IMPORTRANGE(""1BOdlvcbAzmhN6MUIGmMKbyx8OGarcJ2uhWJX8ES8y70"",""2026-27!AC4"")"),0.0)</f>
        <v>0</v>
      </c>
      <c r="BI31" s="59">
        <f>IFERROR(__xludf.DUMMYFUNCTION("IMPORTRANGE(""1BOdlvcbAzmhN6MUIGmMKbyx8OGarcJ2uhWJX8ES8y70"",""2026-27!AC3"")"),0.0)</f>
        <v>0</v>
      </c>
      <c r="BJ31" s="63" t="str">
        <f t="shared" si="57"/>
        <v/>
      </c>
      <c r="BK31" s="59">
        <f>IFERROR(__xludf.DUMMYFUNCTION("IMPORTRANGE(""1BOdlvcbAzmhN6MUIGmMKbyx8OGarcJ2uhWJX8ES8y70"",""2026-27!AD4"")"),0.0)</f>
        <v>0</v>
      </c>
      <c r="BL31" s="59">
        <f>IFERROR(__xludf.DUMMYFUNCTION("IMPORTRANGE(""1BOdlvcbAzmhN6MUIGmMKbyx8OGarcJ2uhWJX8ES8y70"",""2026-27!AD3"")"),0.0)</f>
        <v>0</v>
      </c>
      <c r="BM31" s="59">
        <f>IFERROR(__xludf.DUMMYFUNCTION("IMPORTRANGE(""1BOdlvcbAzmhN6MUIGmMKbyx8OGarcJ2uhWJX8ES8y70"",""2026-27!AE4"")"),0.0)</f>
        <v>0</v>
      </c>
      <c r="BN31" s="59">
        <f>IFERROR(__xludf.DUMMYFUNCTION("IMPORTRANGE(""1BOdlvcbAzmhN6MUIGmMKbyx8OGarcJ2uhWJX8ES8y70"",""2026-27!AE3"")"),0.0)</f>
        <v>0</v>
      </c>
      <c r="BO31" s="59">
        <f>IFERROR(__xludf.DUMMYFUNCTION("IMPORTRANGE(""1BOdlvcbAzmhN6MUIGmMKbyx8OGarcJ2uhWJX8ES8y70"",""2026-27!AF4"")"),0.0)</f>
        <v>0</v>
      </c>
      <c r="BP31" s="59">
        <f>IFERROR(__xludf.DUMMYFUNCTION("IMPORTRANGE(""1BOdlvcbAzmhN6MUIGmMKbyx8OGarcJ2uhWJX8ES8y70"",""2026-27!AF3"")"),0.0)</f>
        <v>0</v>
      </c>
      <c r="BQ31" s="63" t="str">
        <f t="shared" si="58"/>
        <v/>
      </c>
      <c r="BR31" s="59">
        <f>IFERROR(__xludf.DUMMYFUNCTION("IMPORTRANGE(""1BOdlvcbAzmhN6MUIGmMKbyx8OGarcJ2uhWJX8ES8y70"",""2026-27!AG4"")"),0.0)</f>
        <v>0</v>
      </c>
      <c r="BS31" s="59">
        <f>IFERROR(__xludf.DUMMYFUNCTION("IMPORTRANGE(""1BOdlvcbAzmhN6MUIGmMKbyx8OGarcJ2uhWJX8ES8y70"",""2026-27!AG3"")"),0.0)</f>
        <v>0</v>
      </c>
      <c r="BT31" s="59">
        <f>IFERROR(__xludf.DUMMYFUNCTION("IMPORTRANGE(""1BOdlvcbAzmhN6MUIGmMKbyx8OGarcJ2uhWJX8ES8y70"",""2026-27!AH4"")"),0.0)</f>
        <v>0</v>
      </c>
      <c r="BU31" s="59">
        <f>IFERROR(__xludf.DUMMYFUNCTION("IMPORTRANGE(""1BOdlvcbAzmhN6MUIGmMKbyx8OGarcJ2uhWJX8ES8y70"",""2026-27!AH3"")"),0.0)</f>
        <v>0</v>
      </c>
      <c r="BV31" s="59">
        <f>IFERROR(__xludf.DUMMYFUNCTION("IMPORTRANGE(""1BOdlvcbAzmhN6MUIGmMKbyx8OGarcJ2uhWJX8ES8y70"",""2026-27!AI4"")"),0.0)</f>
        <v>0</v>
      </c>
      <c r="BW31" s="59">
        <f>IFERROR(__xludf.DUMMYFUNCTION("IMPORTRANGE(""1BOdlvcbAzmhN6MUIGmMKbyx8OGarcJ2uhWJX8ES8y70"",""2026-27!AI3"")"),0.0)</f>
        <v>0</v>
      </c>
      <c r="BX31" s="63" t="str">
        <f t="shared" si="59"/>
        <v/>
      </c>
      <c r="BY31" s="59">
        <f>IFERROR(__xludf.DUMMYFUNCTION("IMPORTRANGE(""1BOdlvcbAzmhN6MUIGmMKbyx8OGarcJ2uhWJX8ES8y70"",""2026-27!AJ4"")"),0.0)</f>
        <v>0</v>
      </c>
      <c r="BZ31" s="59">
        <f>IFERROR(__xludf.DUMMYFUNCTION("IMPORTRANGE(""1BOdlvcbAzmhN6MUIGmMKbyx8OGarcJ2uhWJX8ES8y70"",""2026-27!AJ3"")"),0.0)</f>
        <v>0</v>
      </c>
      <c r="CA31" s="59">
        <f>IFERROR(__xludf.DUMMYFUNCTION("IMPORTRANGE(""1BOdlvcbAzmhN6MUIGmMKbyx8OGarcJ2uhWJX8ES8y70"",""2026-27!AK4"")"),0.0)</f>
        <v>0</v>
      </c>
      <c r="CB31" s="59">
        <f>IFERROR(__xludf.DUMMYFUNCTION("IMPORTRANGE(""1BOdlvcbAzmhN6MUIGmMKbyx8OGarcJ2uhWJX8ES8y70"",""2026-27!AK3"")"),0.0)</f>
        <v>0</v>
      </c>
      <c r="CC31" s="59">
        <f>IFERROR(__xludf.DUMMYFUNCTION("IMPORTRANGE(""1BOdlvcbAzmhN6MUIGmMKbyx8OGarcJ2uhWJX8ES8y70"",""2026-27!AL4"")"),0.0)</f>
        <v>0</v>
      </c>
      <c r="CD31" s="59">
        <f>IFERROR(__xludf.DUMMYFUNCTION("IMPORTRANGE(""1BOdlvcbAzmhN6MUIGmMKbyx8OGarcJ2uhWJX8ES8y70"",""2026-27!AL3"")"),0.0)</f>
        <v>0</v>
      </c>
      <c r="CE31" s="63" t="str">
        <f t="shared" si="60"/>
        <v/>
      </c>
      <c r="CF31" s="59">
        <f>IFERROR(__xludf.DUMMYFUNCTION("IMPORTRANGE(""1BOdlvcbAzmhN6MUIGmMKbyx8OGarcJ2uhWJX8ES8y70"",""2026-27!AM4"")"),0.0)</f>
        <v>0</v>
      </c>
      <c r="CG31" s="59">
        <f>IFERROR(__xludf.DUMMYFUNCTION("IMPORTRANGE(""1BOdlvcbAzmhN6MUIGmMKbyx8OGarcJ2uhWJX8ES8y70"",""2026-27!AM3"")"),0.0)</f>
        <v>0</v>
      </c>
      <c r="CH31" s="59">
        <f>IFERROR(__xludf.DUMMYFUNCTION("IMPORTRANGE(""1BOdlvcbAzmhN6MUIGmMKbyx8OGarcJ2uhWJX8ES8y70"",""2026-27!AN4"")"),0.0)</f>
        <v>0</v>
      </c>
      <c r="CI31" s="59">
        <f>IFERROR(__xludf.DUMMYFUNCTION("IMPORTRANGE(""1BOdlvcbAzmhN6MUIGmMKbyx8OGarcJ2uhWJX8ES8y70"",""2026-27!AN3"")"),0.0)</f>
        <v>0</v>
      </c>
      <c r="CJ31" s="59">
        <f>IFERROR(__xludf.DUMMYFUNCTION("IMPORTRANGE(""1BOdlvcbAzmhN6MUIGmMKbyx8OGarcJ2uhWJX8ES8y70"",""2026-27!AO4"")"),0.0)</f>
        <v>0</v>
      </c>
      <c r="CK31" s="59">
        <f>IFERROR(__xludf.DUMMYFUNCTION("IMPORTRANGE(""1BOdlvcbAzmhN6MUIGmMKbyx8OGarcJ2uhWJX8ES8y70"",""2026-27!AO3"")"),0.0)</f>
        <v>0</v>
      </c>
      <c r="CL31" s="63" t="str">
        <f t="shared" si="61"/>
        <v/>
      </c>
      <c r="CM31" s="59">
        <f>IFERROR(__xludf.DUMMYFUNCTION("IMPORTRANGE(""1BOdlvcbAzmhN6MUIGmMKbyx8OGarcJ2uhWJX8ES8y70"",""2026-27!AP4"")"),0.0)</f>
        <v>0</v>
      </c>
      <c r="CN31" s="59">
        <f>IFERROR(__xludf.DUMMYFUNCTION("IMPORTRANGE(""1BOdlvcbAzmhN6MUIGmMKbyx8OGarcJ2uhWJX8ES8y70"",""2026-27!AP3"")"),0.0)</f>
        <v>0</v>
      </c>
      <c r="CO31" s="59">
        <f>IFERROR(__xludf.DUMMYFUNCTION("IMPORTRANGE(""1BOdlvcbAzmhN6MUIGmMKbyx8OGarcJ2uhWJX8ES8y70"",""2026-27!AQ4"")"),0.0)</f>
        <v>0</v>
      </c>
      <c r="CP31" s="59">
        <f>IFERROR(__xludf.DUMMYFUNCTION("IMPORTRANGE(""1BOdlvcbAzmhN6MUIGmMKbyx8OGarcJ2uhWJX8ES8y70"",""2026-27!AQ3"")"),0.0)</f>
        <v>0</v>
      </c>
      <c r="CQ31" s="59">
        <f>IFERROR(__xludf.DUMMYFUNCTION("IMPORTRANGE(""1BOdlvcbAzmhN6MUIGmMKbyx8OGarcJ2uhWJX8ES8y70"",""2026-27!AR4"")"),0.0)</f>
        <v>0</v>
      </c>
      <c r="CR31" s="59">
        <f>IFERROR(__xludf.DUMMYFUNCTION("IMPORTRANGE(""1BOdlvcbAzmhN6MUIGmMKbyx8OGarcJ2uhWJX8ES8y70"",""2026-27!AR3"")"),0.0)</f>
        <v>0</v>
      </c>
      <c r="CS31" s="63" t="str">
        <f t="shared" si="62"/>
        <v/>
      </c>
      <c r="CT31" s="59">
        <f>IFERROR(__xludf.DUMMYFUNCTION("IMPORTRANGE(""1BOdlvcbAzmhN6MUIGmMKbyx8OGarcJ2uhWJX8ES8y70"",""2026-27!AS4"")"),0.0)</f>
        <v>0</v>
      </c>
      <c r="CU31" s="59">
        <f>IFERROR(__xludf.DUMMYFUNCTION("IMPORTRANGE(""1BOdlvcbAzmhN6MUIGmMKbyx8OGarcJ2uhWJX8ES8y70"",""2026-27!AS3"")"),0.0)</f>
        <v>0</v>
      </c>
      <c r="CV31" s="64"/>
    </row>
    <row r="32">
      <c r="A32" s="1" t="s">
        <v>72</v>
      </c>
      <c r="B32" s="41"/>
      <c r="C32" s="71" t="s">
        <v>76</v>
      </c>
      <c r="D32" s="69" t="s">
        <v>77</v>
      </c>
      <c r="E32" s="54">
        <v>7.736336966E9</v>
      </c>
      <c r="F32" s="70">
        <v>45488.0</v>
      </c>
      <c r="G32" s="66"/>
      <c r="H32" s="66"/>
      <c r="I32" s="57">
        <v>20000.0</v>
      </c>
      <c r="J32" s="58">
        <v>825000.0</v>
      </c>
      <c r="K32" s="59">
        <f>IFERROR(__xludf.DUMMYFUNCTION("IMPORTRANGE(""1u3amP6zdTUuwKNSkL2afwBWqTLQOc5-H5_uRmoN1Hog"",""2026-27!A3"")"),105.0)</f>
        <v>105</v>
      </c>
      <c r="L32" s="59">
        <f>IFERROR(__xludf.DUMMYFUNCTION("IMPORTRANGE(""1u3amP6zdTUuwKNSkL2afwBWqTLQOc5-H5_uRmoN1Hog"",""2026-27!G4"")"),1.5E7)</f>
        <v>15000000</v>
      </c>
      <c r="M32" s="59">
        <f t="shared" si="48"/>
        <v>1827897</v>
      </c>
      <c r="N32" s="60">
        <f t="shared" si="49"/>
        <v>0.151831</v>
      </c>
      <c r="O32" s="61">
        <f t="shared" si="50"/>
        <v>2277465</v>
      </c>
      <c r="P32" s="59">
        <f>IFERROR(__xludf.DUMMYFUNCTION("IMPORTRANGE(""1u3amP6zdTUuwKNSkL2afwBWqTLQOc5-H5_uRmoN1Hog"",""2026-27!J4"")"),720000.0)</f>
        <v>720000</v>
      </c>
      <c r="Q32" s="59">
        <f>IFERROR(__xludf.DUMMYFUNCTION("IMPORTRANGE(""1u3amP6zdTUuwKNSkL2afwBWqTLQOc5-H5_uRmoN1Hog"",""2026-27!J3"")"),45.0)</f>
        <v>45</v>
      </c>
      <c r="R32" s="59">
        <f>IFERROR(__xludf.DUMMYFUNCTION("IMPORTRANGE(""1u3amP6zdTUuwKNSkL2afwBWqTLQOc5-H5_uRmoN1Hog"",""2026-27!K4"")"),605422.8)</f>
        <v>605422.8</v>
      </c>
      <c r="S32" s="59">
        <f>IFERROR(__xludf.DUMMYFUNCTION("IMPORTRANGE(""1u3amP6zdTUuwKNSkL2afwBWqTLQOc5-H5_uRmoN1Hog"",""2026-27!K3"")"),24.0)</f>
        <v>24</v>
      </c>
      <c r="T32" s="62">
        <f t="shared" si="51"/>
        <v>1.527883333</v>
      </c>
      <c r="U32" s="59">
        <f>IFERROR(__xludf.DUMMYFUNCTION("IMPORTRANGE(""1u3amP6zdTUuwKNSkL2afwBWqTLQOc5-H5_uRmoN1Hog"",""2026-27!L4"")"),1100076.0)</f>
        <v>1100076</v>
      </c>
      <c r="V32" s="59">
        <f>IFERROR(__xludf.DUMMYFUNCTION("IMPORTRANGE(""1u3amP6zdTUuwKNSkL2afwBWqTLQOc5-H5_uRmoN1Hog"",""2026-27!L3"")"),52.0)</f>
        <v>52</v>
      </c>
      <c r="W32" s="59">
        <f>IFERROR(__xludf.DUMMYFUNCTION("IMPORTRANGE(""1u3amP6zdTUuwKNSkL2afwBWqTLQOc5-H5_uRmoN1Hog"",""2026-27!m4"")"),1440000.0)</f>
        <v>1440000</v>
      </c>
      <c r="X32" s="59">
        <f>IFERROR(__xludf.DUMMYFUNCTION("IMPORTRANGE(""1u3amP6zdTUuwKNSkL2afwBWqTLQOc5-H5_uRmoN1Hog"",""2026-27!m3"")"),71.0)</f>
        <v>71</v>
      </c>
      <c r="Y32" s="59">
        <f>IFERROR(__xludf.DUMMYFUNCTION("IMPORTRANGE(""1u3amP6zdTUuwKNSkL2afwBWqTLQOc5-H5_uRmoN1Hog"",""2026-27!N4"")"),670002.6000000001)</f>
        <v>670002.6</v>
      </c>
      <c r="Z32" s="59">
        <f>IFERROR(__xludf.DUMMYFUNCTION("IMPORTRANGE(""1u3amP6zdTUuwKNSkL2afwBWqTLQOc5-H5_uRmoN1Hog"",""2026-27!N3"")"),21.0)</f>
        <v>21</v>
      </c>
      <c r="AA32" s="62">
        <f t="shared" si="52"/>
        <v>0.81763125</v>
      </c>
      <c r="AB32" s="59">
        <f>IFERROR(__xludf.DUMMYFUNCTION("IMPORTRANGE(""1u3amP6zdTUuwKNSkL2afwBWqTLQOc5-H5_uRmoN1Hog"",""2026-27!O4"")"),1177389.0)</f>
        <v>1177389</v>
      </c>
      <c r="AC32" s="59">
        <f>IFERROR(__xludf.DUMMYFUNCTION("IMPORTRANGE(""1u3amP6zdTUuwKNSkL2afwBWqTLQOc5-H5_uRmoN1Hog"",""2026-27!O3"")"),42.0)</f>
        <v>42</v>
      </c>
      <c r="AD32" s="59">
        <f>IFERROR(__xludf.DUMMYFUNCTION("IMPORTRANGE(""1u3amP6zdTUuwKNSkL2afwBWqTLQOc5-H5_uRmoN1Hog"",""2026-27!P4"")"),1440000.0)</f>
        <v>1440000</v>
      </c>
      <c r="AE32" s="59">
        <f>IFERROR(__xludf.DUMMYFUNCTION("IMPORTRANGE(""1u3amP6zdTUuwKNSkL2afwBWqTLQOc5-H5_uRmoN1Hog"",""2026-27!P3"")"),82.0)</f>
        <v>82</v>
      </c>
      <c r="AF32" s="59">
        <f>IFERROR(__xludf.DUMMYFUNCTION("IMPORTRANGE(""1u3amP6zdTUuwKNSkL2afwBWqTLQOc5-H5_uRmoN1Hog"",""2026-27!Q4"")"),552471.6)</f>
        <v>552471.6</v>
      </c>
      <c r="AG32" s="59">
        <f>IFERROR(__xludf.DUMMYFUNCTION("IMPORTRANGE(""1u3amP6zdTUuwKNSkL2afwBWqTLQOc5-H5_uRmoN1Hog"",""2026-27!Q3"")"),37.0)</f>
        <v>37</v>
      </c>
      <c r="AH32" s="62">
        <f t="shared" si="53"/>
        <v>0</v>
      </c>
      <c r="AI32" s="59">
        <f>IFERROR(__xludf.DUMMYFUNCTION("IMPORTRANGE(""1u3amP6zdTUuwKNSkL2afwBWqTLQOc5-H5_uRmoN1Hog"",""2026-27!R4"")"),0.0)</f>
        <v>0</v>
      </c>
      <c r="AJ32" s="59">
        <f>IFERROR(__xludf.DUMMYFUNCTION("IMPORTRANGE(""1u3amP6zdTUuwKNSkL2afwBWqTLQOc5-H5_uRmoN1Hog"",""2026-27!R3"")"),0.0)</f>
        <v>0</v>
      </c>
      <c r="AK32" s="59">
        <f>IFERROR(__xludf.DUMMYFUNCTION("IMPORTRANGE(""1u3amP6zdTUuwKNSkL2afwBWqTLQOc5-H5_uRmoN1Hog"",""2026-27!S4"")"),0.0)</f>
        <v>0</v>
      </c>
      <c r="AL32" s="59">
        <f>IFERROR(__xludf.DUMMYFUNCTION("IMPORTRANGE(""1u3amP6zdTUuwKNSkL2afwBWqTLQOc5-H5_uRmoN1Hog"",""2026-27!S3"")"),0.0)</f>
        <v>0</v>
      </c>
      <c r="AM32" s="59">
        <f>IFERROR(__xludf.DUMMYFUNCTION("IMPORTRANGE(""1u3amP6zdTUuwKNSkL2afwBWqTLQOc5-H5_uRmoN1Hog"",""2026-27!T4"")"),0.0)</f>
        <v>0</v>
      </c>
      <c r="AN32" s="59">
        <f>IFERROR(__xludf.DUMMYFUNCTION("IMPORTRANGE(""1u3amP6zdTUuwKNSkL2afwBWqTLQOc5-H5_uRmoN1Hog"",""2026-27!T3"")"),0.0)</f>
        <v>0</v>
      </c>
      <c r="AO32" s="62" t="str">
        <f t="shared" si="54"/>
        <v/>
      </c>
      <c r="AP32" s="59">
        <f>IFERROR(__xludf.DUMMYFUNCTION("IMPORTRANGE(""1u3amP6zdTUuwKNSkL2afwBWqTLQOc5-H5_uRmoN1Hog"",""2026-27!U4"")"),0.0)</f>
        <v>0</v>
      </c>
      <c r="AQ32" s="59">
        <f>IFERROR(__xludf.DUMMYFUNCTION("IMPORTRANGE(""1u3amP6zdTUuwKNSkL2afwBWqTLQOc5-H5_uRmoN1Hog"",""2026-27!U3"")"),0.0)</f>
        <v>0</v>
      </c>
      <c r="AR32" s="59">
        <f>IFERROR(__xludf.DUMMYFUNCTION("IMPORTRANGE(""1u3amP6zdTUuwKNSkL2afwBWqTLQOc5-H5_uRmoN1Hog"",""2026-27!V4"")"),0.0)</f>
        <v>0</v>
      </c>
      <c r="AS32" s="59">
        <f>IFERROR(__xludf.DUMMYFUNCTION("IMPORTRANGE(""1u3amP6zdTUuwKNSkL2afwBWqTLQOc5-H5_uRmoN1Hog"",""2026-27!V3"")"),0.0)</f>
        <v>0</v>
      </c>
      <c r="AT32" s="59">
        <f>IFERROR(__xludf.DUMMYFUNCTION("IMPORTRANGE(""1u3amP6zdTUuwKNSkL2afwBWqTLQOc5-H5_uRmoN1Hog"",""2026-27!W4"")"),0.0)</f>
        <v>0</v>
      </c>
      <c r="AU32" s="59">
        <f>IFERROR(__xludf.DUMMYFUNCTION("IMPORTRANGE(""1u3amP6zdTUuwKNSkL2afwBWqTLQOc5-H5_uRmoN1Hog"",""2026-27!W3"")"),0.0)</f>
        <v>0</v>
      </c>
      <c r="AV32" s="62" t="str">
        <f t="shared" si="55"/>
        <v/>
      </c>
      <c r="AW32" s="59">
        <f>IFERROR(__xludf.DUMMYFUNCTION("IMPORTRANGE(""1u3amP6zdTUuwKNSkL2afwBWqTLQOc5-H5_uRmoN1Hog"",""2026-27!X4"")"),0.0)</f>
        <v>0</v>
      </c>
      <c r="AX32" s="59">
        <f>IFERROR(__xludf.DUMMYFUNCTION("IMPORTRANGE(""1u3amP6zdTUuwKNSkL2afwBWqTLQOc5-H5_uRmoN1Hog"",""2026-27!X3"")"),0.0)</f>
        <v>0</v>
      </c>
      <c r="AY32" s="59">
        <f>IFERROR(__xludf.DUMMYFUNCTION("IMPORTRANGE(""1u3amP6zdTUuwKNSkL2afwBWqTLQOc5-H5_uRmoN1Hog"",""2026-27!Y4"")"),0.0)</f>
        <v>0</v>
      </c>
      <c r="AZ32" s="59">
        <f>IFERROR(__xludf.DUMMYFUNCTION("IMPORTRANGE(""1u3amP6zdTUuwKNSkL2afwBWqTLQOc5-H5_uRmoN1Hog"",""2026-27!Y3"")"),0.0)</f>
        <v>0</v>
      </c>
      <c r="BA32" s="59">
        <f>IFERROR(__xludf.DUMMYFUNCTION("IMPORTRANGE(""1u3amP6zdTUuwKNSkL2afwBWqTLQOc5-H5_uRmoN1Hog"",""2026-27!Z4"")"),0.0)</f>
        <v>0</v>
      </c>
      <c r="BB32" s="59">
        <f>IFERROR(__xludf.DUMMYFUNCTION("IMPORTRANGE(""1u3amP6zdTUuwKNSkL2afwBWqTLQOc5-H5_uRmoN1Hog"",""2026-27!Z3"")"),0.0)</f>
        <v>0</v>
      </c>
      <c r="BC32" s="63" t="str">
        <f t="shared" si="56"/>
        <v/>
      </c>
      <c r="BD32" s="59">
        <f>IFERROR(__xludf.DUMMYFUNCTION("IMPORTRANGE(""1u3amP6zdTUuwKNSkL2afwBWqTLQOc5-H5_uRmoN1Hog"",""2026-27!AA4"")"),0.0)</f>
        <v>0</v>
      </c>
      <c r="BE32" s="59">
        <f>IFERROR(__xludf.DUMMYFUNCTION("IMPORTRANGE(""1u3amP6zdTUuwKNSkL2afwBWqTLQOc5-H5_uRmoN1Hog"",""2026-27!AA3"")"),0.0)</f>
        <v>0</v>
      </c>
      <c r="BF32" s="59">
        <f>IFERROR(__xludf.DUMMYFUNCTION("IMPORTRANGE(""1u3amP6zdTUuwKNSkL2afwBWqTLQOc5-H5_uRmoN1Hog"",""2026-27!AB4"")"),0.0)</f>
        <v>0</v>
      </c>
      <c r="BG32" s="59">
        <f>IFERROR(__xludf.DUMMYFUNCTION("IMPORTRANGE(""1u3amP6zdTUuwKNSkL2afwBWqTLQOc5-H5_uRmoN1Hog"",""2026-27!AB3"")"),0.0)</f>
        <v>0</v>
      </c>
      <c r="BH32" s="59">
        <f>IFERROR(__xludf.DUMMYFUNCTION("IMPORTRANGE(""1u3amP6zdTUuwKNSkL2afwBWqTLQOc5-H5_uRmoN1Hog"",""2026-27!AC4"")"),0.0)</f>
        <v>0</v>
      </c>
      <c r="BI32" s="59">
        <f>IFERROR(__xludf.DUMMYFUNCTION("IMPORTRANGE(""1u3amP6zdTUuwKNSkL2afwBWqTLQOc5-H5_uRmoN1Hog"",""2026-27!AC3"")"),0.0)</f>
        <v>0</v>
      </c>
      <c r="BJ32" s="63" t="str">
        <f t="shared" si="57"/>
        <v/>
      </c>
      <c r="BK32" s="59">
        <f>IFERROR(__xludf.DUMMYFUNCTION("IMPORTRANGE(""1u3amP6zdTUuwKNSkL2afwBWqTLQOc5-H5_uRmoN1Hog"",""2026-27!AD4"")"),0.0)</f>
        <v>0</v>
      </c>
      <c r="BL32" s="59">
        <f>IFERROR(__xludf.DUMMYFUNCTION("IMPORTRANGE(""1u3amP6zdTUuwKNSkL2afwBWqTLQOc5-H5_uRmoN1Hog"",""2026-27!AD3"")"),0.0)</f>
        <v>0</v>
      </c>
      <c r="BM32" s="59">
        <f>IFERROR(__xludf.DUMMYFUNCTION("IMPORTRANGE(""1u3amP6zdTUuwKNSkL2afwBWqTLQOc5-H5_uRmoN1Hog"",""2026-27!AE4"")"),0.0)</f>
        <v>0</v>
      </c>
      <c r="BN32" s="59">
        <f>IFERROR(__xludf.DUMMYFUNCTION("IMPORTRANGE(""1u3amP6zdTUuwKNSkL2afwBWqTLQOc5-H5_uRmoN1Hog"",""2026-27!AE3"")"),0.0)</f>
        <v>0</v>
      </c>
      <c r="BO32" s="59">
        <f>IFERROR(__xludf.DUMMYFUNCTION("IMPORTRANGE(""1u3amP6zdTUuwKNSkL2afwBWqTLQOc5-H5_uRmoN1Hog"",""2026-27!AF4"")"),0.0)</f>
        <v>0</v>
      </c>
      <c r="BP32" s="59">
        <f>IFERROR(__xludf.DUMMYFUNCTION("IMPORTRANGE(""1u3amP6zdTUuwKNSkL2afwBWqTLQOc5-H5_uRmoN1Hog"",""2026-27!AF3"")"),0.0)</f>
        <v>0</v>
      </c>
      <c r="BQ32" s="63" t="str">
        <f t="shared" si="58"/>
        <v/>
      </c>
      <c r="BR32" s="59">
        <f>IFERROR(__xludf.DUMMYFUNCTION("IMPORTRANGE(""1u3amP6zdTUuwKNSkL2afwBWqTLQOc5-H5_uRmoN1Hog"",""2026-27!AG4"")"),0.0)</f>
        <v>0</v>
      </c>
      <c r="BS32" s="59">
        <f>IFERROR(__xludf.DUMMYFUNCTION("IMPORTRANGE(""1u3amP6zdTUuwKNSkL2afwBWqTLQOc5-H5_uRmoN1Hog"",""2026-27!AG3"")"),0.0)</f>
        <v>0</v>
      </c>
      <c r="BT32" s="59">
        <f>IFERROR(__xludf.DUMMYFUNCTION("IMPORTRANGE(""1u3amP6zdTUuwKNSkL2afwBWqTLQOc5-H5_uRmoN1Hog"",""2026-27!AH4"")"),0.0)</f>
        <v>0</v>
      </c>
      <c r="BU32" s="59">
        <f>IFERROR(__xludf.DUMMYFUNCTION("IMPORTRANGE(""1u3amP6zdTUuwKNSkL2afwBWqTLQOc5-H5_uRmoN1Hog"",""2026-27!AH3"")"),0.0)</f>
        <v>0</v>
      </c>
      <c r="BV32" s="59">
        <f>IFERROR(__xludf.DUMMYFUNCTION("IMPORTRANGE(""1u3amP6zdTUuwKNSkL2afwBWqTLQOc5-H5_uRmoN1Hog"",""2026-27!AI4"")"),0.0)</f>
        <v>0</v>
      </c>
      <c r="BW32" s="59">
        <f>IFERROR(__xludf.DUMMYFUNCTION("IMPORTRANGE(""1u3amP6zdTUuwKNSkL2afwBWqTLQOc5-H5_uRmoN1Hog"",""2026-27!AI3"")"),0.0)</f>
        <v>0</v>
      </c>
      <c r="BX32" s="63" t="str">
        <f t="shared" si="59"/>
        <v/>
      </c>
      <c r="BY32" s="59">
        <f>IFERROR(__xludf.DUMMYFUNCTION("IMPORTRANGE(""1u3amP6zdTUuwKNSkL2afwBWqTLQOc5-H5_uRmoN1Hog"",""2026-27!AJ4"")"),0.0)</f>
        <v>0</v>
      </c>
      <c r="BZ32" s="59">
        <f>IFERROR(__xludf.DUMMYFUNCTION("IMPORTRANGE(""1u3amP6zdTUuwKNSkL2afwBWqTLQOc5-H5_uRmoN1Hog"",""2026-27!AJ3"")"),0.0)</f>
        <v>0</v>
      </c>
      <c r="CA32" s="59">
        <f>IFERROR(__xludf.DUMMYFUNCTION("IMPORTRANGE(""1u3amP6zdTUuwKNSkL2afwBWqTLQOc5-H5_uRmoN1Hog"",""2026-27!AK4"")"),0.0)</f>
        <v>0</v>
      </c>
      <c r="CB32" s="59">
        <f>IFERROR(__xludf.DUMMYFUNCTION("IMPORTRANGE(""1u3amP6zdTUuwKNSkL2afwBWqTLQOc5-H5_uRmoN1Hog"",""2026-27!AK3"")"),0.0)</f>
        <v>0</v>
      </c>
      <c r="CC32" s="59">
        <f>IFERROR(__xludf.DUMMYFUNCTION("IMPORTRANGE(""1u3amP6zdTUuwKNSkL2afwBWqTLQOc5-H5_uRmoN1Hog"",""2026-27!AL4"")"),0.0)</f>
        <v>0</v>
      </c>
      <c r="CD32" s="59">
        <f>IFERROR(__xludf.DUMMYFUNCTION("IMPORTRANGE(""1u3amP6zdTUuwKNSkL2afwBWqTLQOc5-H5_uRmoN1Hog"",""2026-27!AL3"")"),0.0)</f>
        <v>0</v>
      </c>
      <c r="CE32" s="63" t="str">
        <f t="shared" si="60"/>
        <v/>
      </c>
      <c r="CF32" s="59">
        <f>IFERROR(__xludf.DUMMYFUNCTION("IMPORTRANGE(""1u3amP6zdTUuwKNSkL2afwBWqTLQOc5-H5_uRmoN1Hog"",""2026-27!AM4"")"),0.0)</f>
        <v>0</v>
      </c>
      <c r="CG32" s="59">
        <f>IFERROR(__xludf.DUMMYFUNCTION("IMPORTRANGE(""1u3amP6zdTUuwKNSkL2afwBWqTLQOc5-H5_uRmoN1Hog"",""2026-27!AM3"")"),0.0)</f>
        <v>0</v>
      </c>
      <c r="CH32" s="59">
        <f>IFERROR(__xludf.DUMMYFUNCTION("IMPORTRANGE(""1u3amP6zdTUuwKNSkL2afwBWqTLQOc5-H5_uRmoN1Hog"",""2026-27!AN4"")"),0.0)</f>
        <v>0</v>
      </c>
      <c r="CI32" s="59">
        <f>IFERROR(__xludf.DUMMYFUNCTION("IMPORTRANGE(""1u3amP6zdTUuwKNSkL2afwBWqTLQOc5-H5_uRmoN1Hog"",""2026-27!AN3"")"),0.0)</f>
        <v>0</v>
      </c>
      <c r="CJ32" s="59">
        <f>IFERROR(__xludf.DUMMYFUNCTION("IMPORTRANGE(""1u3amP6zdTUuwKNSkL2afwBWqTLQOc5-H5_uRmoN1Hog"",""2026-27!AO4"")"),0.0)</f>
        <v>0</v>
      </c>
      <c r="CK32" s="59">
        <f>IFERROR(__xludf.DUMMYFUNCTION("IMPORTRANGE(""1u3amP6zdTUuwKNSkL2afwBWqTLQOc5-H5_uRmoN1Hog"",""2026-27!AO3"")"),0.0)</f>
        <v>0</v>
      </c>
      <c r="CL32" s="63" t="str">
        <f t="shared" si="61"/>
        <v/>
      </c>
      <c r="CM32" s="59">
        <f>IFERROR(__xludf.DUMMYFUNCTION("IMPORTRANGE(""1u3amP6zdTUuwKNSkL2afwBWqTLQOc5-H5_uRmoN1Hog"",""2026-27!AP4"")"),0.0)</f>
        <v>0</v>
      </c>
      <c r="CN32" s="59">
        <f>IFERROR(__xludf.DUMMYFUNCTION("IMPORTRANGE(""1u3amP6zdTUuwKNSkL2afwBWqTLQOc5-H5_uRmoN1Hog"",""2026-27!AP3"")"),0.0)</f>
        <v>0</v>
      </c>
      <c r="CO32" s="59">
        <f>IFERROR(__xludf.DUMMYFUNCTION("IMPORTRANGE(""1u3amP6zdTUuwKNSkL2afwBWqTLQOc5-H5_uRmoN1Hog"",""2026-27!AQ4"")"),0.0)</f>
        <v>0</v>
      </c>
      <c r="CP32" s="59">
        <f>IFERROR(__xludf.DUMMYFUNCTION("IMPORTRANGE(""1u3amP6zdTUuwKNSkL2afwBWqTLQOc5-H5_uRmoN1Hog"",""2026-27!AQ3"")"),0.0)</f>
        <v>0</v>
      </c>
      <c r="CQ32" s="59">
        <f>IFERROR(__xludf.DUMMYFUNCTION("IMPORTRANGE(""1u3amP6zdTUuwKNSkL2afwBWqTLQOc5-H5_uRmoN1Hog"",""2026-27!AR4"")"),0.0)</f>
        <v>0</v>
      </c>
      <c r="CR32" s="59">
        <f>IFERROR(__xludf.DUMMYFUNCTION("IMPORTRANGE(""1u3amP6zdTUuwKNSkL2afwBWqTLQOc5-H5_uRmoN1Hog"",""2026-27!AR3"")"),0.0)</f>
        <v>0</v>
      </c>
      <c r="CS32" s="63" t="str">
        <f t="shared" si="62"/>
        <v/>
      </c>
      <c r="CT32" s="59">
        <f>IFERROR(__xludf.DUMMYFUNCTION("IMPORTRANGE(""1u3amP6zdTUuwKNSkL2afwBWqTLQOc5-H5_uRmoN1Hog"",""2026-27!AS4"")"),0.0)</f>
        <v>0</v>
      </c>
      <c r="CU32" s="59">
        <f>IFERROR(__xludf.DUMMYFUNCTION("IMPORTRANGE(""1u3amP6zdTUuwKNSkL2afwBWqTLQOc5-H5_uRmoN1Hog"",""2026-27!AS3"")"),0.0)</f>
        <v>0</v>
      </c>
      <c r="CV32" s="64"/>
    </row>
    <row r="33">
      <c r="A33" s="1" t="s">
        <v>72</v>
      </c>
      <c r="B33" s="41"/>
      <c r="C33" s="71" t="s">
        <v>78</v>
      </c>
      <c r="D33" s="69" t="s">
        <v>79</v>
      </c>
      <c r="E33" s="72">
        <v>9.562231002E9</v>
      </c>
      <c r="F33" s="70">
        <v>45719.0</v>
      </c>
      <c r="G33" s="66"/>
      <c r="H33" s="66"/>
      <c r="I33" s="57">
        <v>23000.0</v>
      </c>
      <c r="J33" s="58">
        <v>965250.0</v>
      </c>
      <c r="K33" s="59">
        <f>IFERROR(__xludf.DUMMYFUNCTION("IMPORTRANGE(""1ClLrVOrOm2lRZkxwSRYk28lKgD3AqRr0eB6lbpUoAm8"",""2026-27!A3"")"),74.0)</f>
        <v>74</v>
      </c>
      <c r="L33" s="59">
        <f>IFERROR(__xludf.DUMMYFUNCTION("IMPORTRANGE(""1ClLrVOrOm2lRZkxwSRYk28lKgD3AqRr0eB6lbpUoAm8"",""2026-27!G4"")"),1.885E7)</f>
        <v>18850000</v>
      </c>
      <c r="M33" s="59">
        <f t="shared" si="48"/>
        <v>4774209.6</v>
      </c>
      <c r="N33" s="60">
        <f t="shared" si="49"/>
        <v>0.0789995756</v>
      </c>
      <c r="O33" s="61">
        <f t="shared" si="50"/>
        <v>1489142</v>
      </c>
      <c r="P33" s="59">
        <f>IFERROR(__xludf.DUMMYFUNCTION("IMPORTRANGE(""1ClLrVOrOm2lRZkxwSRYk28lKgD3AqRr0eB6lbpUoAm8"",""2026-27!J4"")"),1745000.0)</f>
        <v>1745000</v>
      </c>
      <c r="Q33" s="59">
        <f>IFERROR(__xludf.DUMMYFUNCTION("IMPORTRANGE(""1ClLrVOrOm2lRZkxwSRYk28lKgD3AqRr0eB6lbpUoAm8"",""2026-27!J3"")"),65.0)</f>
        <v>65</v>
      </c>
      <c r="R33" s="59">
        <f>IFERROR(__xludf.DUMMYFUNCTION("IMPORTRANGE(""1ClLrVOrOm2lRZkxwSRYk28lKgD3AqRr0eB6lbpUoAm8"",""2026-27!K4"")"),573387.6000000001)</f>
        <v>573387.6</v>
      </c>
      <c r="S33" s="59">
        <f>IFERROR(__xludf.DUMMYFUNCTION("IMPORTRANGE(""1ClLrVOrOm2lRZkxwSRYk28lKgD3AqRr0eB6lbpUoAm8"",""2026-27!K3"")"),13.0)</f>
        <v>13</v>
      </c>
      <c r="T33" s="62">
        <f t="shared" si="51"/>
        <v>0.2486492837</v>
      </c>
      <c r="U33" s="59">
        <f>IFERROR(__xludf.DUMMYFUNCTION("IMPORTRANGE(""1ClLrVOrOm2lRZkxwSRYk28lKgD3AqRr0eB6lbpUoAm8"",""2026-27!L4"")"),433893.0)</f>
        <v>433893</v>
      </c>
      <c r="V33" s="59">
        <f>IFERROR(__xludf.DUMMYFUNCTION("IMPORTRANGE(""1ClLrVOrOm2lRZkxwSRYk28lKgD3AqRr0eB6lbpUoAm8"",""2026-27!L3"")"),14.0)</f>
        <v>14</v>
      </c>
      <c r="W33" s="59">
        <f>IFERROR(__xludf.DUMMYFUNCTION("IMPORTRANGE(""1ClLrVOrOm2lRZkxwSRYk28lKgD3AqRr0eB6lbpUoAm8"",""2026-27!m4"")"),1745000.0)</f>
        <v>1745000</v>
      </c>
      <c r="X33" s="59">
        <f>IFERROR(__xludf.DUMMYFUNCTION("IMPORTRANGE(""1ClLrVOrOm2lRZkxwSRYk28lKgD3AqRr0eB6lbpUoAm8"",""2026-27!m3"")"),65.0)</f>
        <v>65</v>
      </c>
      <c r="Y33" s="59">
        <f>IFERROR(__xludf.DUMMYFUNCTION("IMPORTRANGE(""1ClLrVOrOm2lRZkxwSRYk28lKgD3AqRr0eB6lbpUoAm8"",""2026-27!N4"")"),847158.0)</f>
        <v>847158</v>
      </c>
      <c r="Z33" s="59">
        <f>IFERROR(__xludf.DUMMYFUNCTION("IMPORTRANGE(""1ClLrVOrOm2lRZkxwSRYk28lKgD3AqRr0eB6lbpUoAm8"",""2026-27!N3"")"),24.0)</f>
        <v>24</v>
      </c>
      <c r="AA33" s="62">
        <f t="shared" si="52"/>
        <v>0.6047272206</v>
      </c>
      <c r="AB33" s="59">
        <f>IFERROR(__xludf.DUMMYFUNCTION("IMPORTRANGE(""1ClLrVOrOm2lRZkxwSRYk28lKgD3AqRr0eB6lbpUoAm8"",""2026-27!O4"")"),1055249.0)</f>
        <v>1055249</v>
      </c>
      <c r="AC33" s="59">
        <f>IFERROR(__xludf.DUMMYFUNCTION("IMPORTRANGE(""1ClLrVOrOm2lRZkxwSRYk28lKgD3AqRr0eB6lbpUoAm8"",""2026-27!O3"")"),31.0)</f>
        <v>31</v>
      </c>
      <c r="AD33" s="59">
        <f>IFERROR(__xludf.DUMMYFUNCTION("IMPORTRANGE(""1ClLrVOrOm2lRZkxwSRYk28lKgD3AqRr0eB6lbpUoAm8"",""2026-27!P4"")"),1745000.0)</f>
        <v>1745000</v>
      </c>
      <c r="AE33" s="59">
        <f>IFERROR(__xludf.DUMMYFUNCTION("IMPORTRANGE(""1ClLrVOrOm2lRZkxwSRYk28lKgD3AqRr0eB6lbpUoAm8"",""2026-27!P3"")"),65.0)</f>
        <v>65</v>
      </c>
      <c r="AF33" s="59">
        <f>IFERROR(__xludf.DUMMYFUNCTION("IMPORTRANGE(""1ClLrVOrOm2lRZkxwSRYk28lKgD3AqRr0eB6lbpUoAm8"",""2026-27!Q4"")"),3353664.0)</f>
        <v>3353664</v>
      </c>
      <c r="AG33" s="59">
        <f>IFERROR(__xludf.DUMMYFUNCTION("IMPORTRANGE(""1ClLrVOrOm2lRZkxwSRYk28lKgD3AqRr0eB6lbpUoAm8"",""2026-27!Q3"")"),33.0)</f>
        <v>33</v>
      </c>
      <c r="AH33" s="62">
        <f t="shared" si="53"/>
        <v>0</v>
      </c>
      <c r="AI33" s="59">
        <f>IFERROR(__xludf.DUMMYFUNCTION("IMPORTRANGE(""1ClLrVOrOm2lRZkxwSRYk28lKgD3AqRr0eB6lbpUoAm8"",""2026-27!R4"")"),0.0)</f>
        <v>0</v>
      </c>
      <c r="AJ33" s="59">
        <f>IFERROR(__xludf.DUMMYFUNCTION("IMPORTRANGE(""1ClLrVOrOm2lRZkxwSRYk28lKgD3AqRr0eB6lbpUoAm8"",""2026-27!R3"")"),0.0)</f>
        <v>0</v>
      </c>
      <c r="AK33" s="59">
        <f>IFERROR(__xludf.DUMMYFUNCTION("IMPORTRANGE(""1ClLrVOrOm2lRZkxwSRYk28lKgD3AqRr0eB6lbpUoAm8"",""2026-27!S4"")"),0.0)</f>
        <v>0</v>
      </c>
      <c r="AL33" s="59">
        <f>IFERROR(__xludf.DUMMYFUNCTION("IMPORTRANGE(""1ClLrVOrOm2lRZkxwSRYk28lKgD3AqRr0eB6lbpUoAm8"",""2026-27!S3"")"),0.0)</f>
        <v>0</v>
      </c>
      <c r="AM33" s="59">
        <f>IFERROR(__xludf.DUMMYFUNCTION("IMPORTRANGE(""1ClLrVOrOm2lRZkxwSRYk28lKgD3AqRr0eB6lbpUoAm8"",""2026-27!T4"")"),0.0)</f>
        <v>0</v>
      </c>
      <c r="AN33" s="59">
        <f>IFERROR(__xludf.DUMMYFUNCTION("IMPORTRANGE(""1ClLrVOrOm2lRZkxwSRYk28lKgD3AqRr0eB6lbpUoAm8"",""2026-27!T3"")"),0.0)</f>
        <v>0</v>
      </c>
      <c r="AO33" s="62" t="str">
        <f t="shared" si="54"/>
        <v/>
      </c>
      <c r="AP33" s="59">
        <f>IFERROR(__xludf.DUMMYFUNCTION("IMPORTRANGE(""1ClLrVOrOm2lRZkxwSRYk28lKgD3AqRr0eB6lbpUoAm8"",""2026-27!U4"")"),0.0)</f>
        <v>0</v>
      </c>
      <c r="AQ33" s="59">
        <f>IFERROR(__xludf.DUMMYFUNCTION("IMPORTRANGE(""1ClLrVOrOm2lRZkxwSRYk28lKgD3AqRr0eB6lbpUoAm8"",""2026-27!U3"")"),0.0)</f>
        <v>0</v>
      </c>
      <c r="AR33" s="59">
        <f>IFERROR(__xludf.DUMMYFUNCTION("IMPORTRANGE(""1ClLrVOrOm2lRZkxwSRYk28lKgD3AqRr0eB6lbpUoAm8"",""2026-27!V4"")"),0.0)</f>
        <v>0</v>
      </c>
      <c r="AS33" s="59">
        <f>IFERROR(__xludf.DUMMYFUNCTION("IMPORTRANGE(""1ClLrVOrOm2lRZkxwSRYk28lKgD3AqRr0eB6lbpUoAm8"",""2026-27!V3"")"),0.0)</f>
        <v>0</v>
      </c>
      <c r="AT33" s="59">
        <f>IFERROR(__xludf.DUMMYFUNCTION("IMPORTRANGE(""1ClLrVOrOm2lRZkxwSRYk28lKgD3AqRr0eB6lbpUoAm8"",""2026-27!W4"")"),0.0)</f>
        <v>0</v>
      </c>
      <c r="AU33" s="59">
        <f>IFERROR(__xludf.DUMMYFUNCTION("IMPORTRANGE(""1ClLrVOrOm2lRZkxwSRYk28lKgD3AqRr0eB6lbpUoAm8"",""2026-27!W3"")"),0.0)</f>
        <v>0</v>
      </c>
      <c r="AV33" s="62" t="str">
        <f t="shared" si="55"/>
        <v/>
      </c>
      <c r="AW33" s="59">
        <f>IFERROR(__xludf.DUMMYFUNCTION("IMPORTRANGE(""1ClLrVOrOm2lRZkxwSRYk28lKgD3AqRr0eB6lbpUoAm8"",""2026-27!X4"")"),0.0)</f>
        <v>0</v>
      </c>
      <c r="AX33" s="59">
        <f>IFERROR(__xludf.DUMMYFUNCTION("IMPORTRANGE(""1ClLrVOrOm2lRZkxwSRYk28lKgD3AqRr0eB6lbpUoAm8"",""2026-27!X3"")"),0.0)</f>
        <v>0</v>
      </c>
      <c r="AY33" s="59">
        <f>IFERROR(__xludf.DUMMYFUNCTION("IMPORTRANGE(""1ClLrVOrOm2lRZkxwSRYk28lKgD3AqRr0eB6lbpUoAm8"",""2026-27!Y4"")"),0.0)</f>
        <v>0</v>
      </c>
      <c r="AZ33" s="59">
        <f>IFERROR(__xludf.DUMMYFUNCTION("IMPORTRANGE(""1ClLrVOrOm2lRZkxwSRYk28lKgD3AqRr0eB6lbpUoAm8"",""2026-27!Y3"")"),0.0)</f>
        <v>0</v>
      </c>
      <c r="BA33" s="59">
        <f>IFERROR(__xludf.DUMMYFUNCTION("IMPORTRANGE(""1ClLrVOrOm2lRZkxwSRYk28lKgD3AqRr0eB6lbpUoAm8"",""2026-27!Z4"")"),0.0)</f>
        <v>0</v>
      </c>
      <c r="BB33" s="59">
        <f>IFERROR(__xludf.DUMMYFUNCTION("IMPORTRANGE(""1ClLrVOrOm2lRZkxwSRYk28lKgD3AqRr0eB6lbpUoAm8"",""2026-27!Z3"")"),0.0)</f>
        <v>0</v>
      </c>
      <c r="BC33" s="63" t="str">
        <f t="shared" si="56"/>
        <v/>
      </c>
      <c r="BD33" s="59">
        <f>IFERROR(__xludf.DUMMYFUNCTION("IMPORTRANGE(""1ClLrVOrOm2lRZkxwSRYk28lKgD3AqRr0eB6lbpUoAm8"",""2026-27!AA4"")"),0.0)</f>
        <v>0</v>
      </c>
      <c r="BE33" s="59">
        <f>IFERROR(__xludf.DUMMYFUNCTION("IMPORTRANGE(""1ClLrVOrOm2lRZkxwSRYk28lKgD3AqRr0eB6lbpUoAm8"",""2026-27!AA3"")"),0.0)</f>
        <v>0</v>
      </c>
      <c r="BF33" s="59">
        <f>IFERROR(__xludf.DUMMYFUNCTION("IMPORTRANGE(""1ClLrVOrOm2lRZkxwSRYk28lKgD3AqRr0eB6lbpUoAm8"",""2026-27!AB4"")"),0.0)</f>
        <v>0</v>
      </c>
      <c r="BG33" s="59">
        <f>IFERROR(__xludf.DUMMYFUNCTION("IMPORTRANGE(""1ClLrVOrOm2lRZkxwSRYk28lKgD3AqRr0eB6lbpUoAm8"",""2026-27!AB3"")"),0.0)</f>
        <v>0</v>
      </c>
      <c r="BH33" s="59">
        <f>IFERROR(__xludf.DUMMYFUNCTION("IMPORTRANGE(""1ClLrVOrOm2lRZkxwSRYk28lKgD3AqRr0eB6lbpUoAm8"",""2026-27!AC4"")"),0.0)</f>
        <v>0</v>
      </c>
      <c r="BI33" s="59">
        <f>IFERROR(__xludf.DUMMYFUNCTION("IMPORTRANGE(""1ClLrVOrOm2lRZkxwSRYk28lKgD3AqRr0eB6lbpUoAm8"",""2026-27!AC3"")"),0.0)</f>
        <v>0</v>
      </c>
      <c r="BJ33" s="63" t="str">
        <f t="shared" si="57"/>
        <v/>
      </c>
      <c r="BK33" s="59">
        <f>IFERROR(__xludf.DUMMYFUNCTION("IMPORTRANGE(""1ClLrVOrOm2lRZkxwSRYk28lKgD3AqRr0eB6lbpUoAm8"",""2026-27!AD4"")"),0.0)</f>
        <v>0</v>
      </c>
      <c r="BL33" s="59">
        <f>IFERROR(__xludf.DUMMYFUNCTION("IMPORTRANGE(""1ClLrVOrOm2lRZkxwSRYk28lKgD3AqRr0eB6lbpUoAm8"",""2026-27!AD3"")"),0.0)</f>
        <v>0</v>
      </c>
      <c r="BM33" s="59">
        <f>IFERROR(__xludf.DUMMYFUNCTION("IMPORTRANGE(""1ClLrVOrOm2lRZkxwSRYk28lKgD3AqRr0eB6lbpUoAm8"",""2026-27!AE4"")"),0.0)</f>
        <v>0</v>
      </c>
      <c r="BN33" s="59">
        <f>IFERROR(__xludf.DUMMYFUNCTION("IMPORTRANGE(""1ClLrVOrOm2lRZkxwSRYk28lKgD3AqRr0eB6lbpUoAm8"",""2026-27!AE3"")"),0.0)</f>
        <v>0</v>
      </c>
      <c r="BO33" s="59">
        <f>IFERROR(__xludf.DUMMYFUNCTION("IMPORTRANGE(""1ClLrVOrOm2lRZkxwSRYk28lKgD3AqRr0eB6lbpUoAm8"",""2026-27!AF4"")"),0.0)</f>
        <v>0</v>
      </c>
      <c r="BP33" s="59">
        <f>IFERROR(__xludf.DUMMYFUNCTION("IMPORTRANGE(""1ClLrVOrOm2lRZkxwSRYk28lKgD3AqRr0eB6lbpUoAm8"",""2026-27!AF3"")"),0.0)</f>
        <v>0</v>
      </c>
      <c r="BQ33" s="63" t="str">
        <f t="shared" si="58"/>
        <v/>
      </c>
      <c r="BR33" s="59">
        <f>IFERROR(__xludf.DUMMYFUNCTION("IMPORTRANGE(""1ClLrVOrOm2lRZkxwSRYk28lKgD3AqRr0eB6lbpUoAm8"",""2026-27!AG4"")"),0.0)</f>
        <v>0</v>
      </c>
      <c r="BS33" s="59">
        <f>IFERROR(__xludf.DUMMYFUNCTION("IMPORTRANGE(""1ClLrVOrOm2lRZkxwSRYk28lKgD3AqRr0eB6lbpUoAm8"",""2026-27!AG3"")"),0.0)</f>
        <v>0</v>
      </c>
      <c r="BT33" s="59">
        <f>IFERROR(__xludf.DUMMYFUNCTION("IMPORTRANGE(""1ClLrVOrOm2lRZkxwSRYk28lKgD3AqRr0eB6lbpUoAm8"",""2026-27!AH4"")"),0.0)</f>
        <v>0</v>
      </c>
      <c r="BU33" s="59">
        <f>IFERROR(__xludf.DUMMYFUNCTION("IMPORTRANGE(""1ClLrVOrOm2lRZkxwSRYk28lKgD3AqRr0eB6lbpUoAm8"",""2026-27!AH3"")"),0.0)</f>
        <v>0</v>
      </c>
      <c r="BV33" s="59">
        <f>IFERROR(__xludf.DUMMYFUNCTION("IMPORTRANGE(""1ClLrVOrOm2lRZkxwSRYk28lKgD3AqRr0eB6lbpUoAm8"",""2026-27!AI4"")"),0.0)</f>
        <v>0</v>
      </c>
      <c r="BW33" s="59">
        <f>IFERROR(__xludf.DUMMYFUNCTION("IMPORTRANGE(""1ClLrVOrOm2lRZkxwSRYk28lKgD3AqRr0eB6lbpUoAm8"",""2026-27!AI3"")"),0.0)</f>
        <v>0</v>
      </c>
      <c r="BX33" s="63" t="str">
        <f t="shared" si="59"/>
        <v/>
      </c>
      <c r="BY33" s="59">
        <f>IFERROR(__xludf.DUMMYFUNCTION("IMPORTRANGE(""1ClLrVOrOm2lRZkxwSRYk28lKgD3AqRr0eB6lbpUoAm8"",""2026-27!AJ4"")"),0.0)</f>
        <v>0</v>
      </c>
      <c r="BZ33" s="59">
        <f>IFERROR(__xludf.DUMMYFUNCTION("IMPORTRANGE(""1ClLrVOrOm2lRZkxwSRYk28lKgD3AqRr0eB6lbpUoAm8"",""2026-27!AJ3"")"),0.0)</f>
        <v>0</v>
      </c>
      <c r="CA33" s="59">
        <f>IFERROR(__xludf.DUMMYFUNCTION("IMPORTRANGE(""1ClLrVOrOm2lRZkxwSRYk28lKgD3AqRr0eB6lbpUoAm8"",""2026-27!AK4"")"),0.0)</f>
        <v>0</v>
      </c>
      <c r="CB33" s="59">
        <f>IFERROR(__xludf.DUMMYFUNCTION("IMPORTRANGE(""1ClLrVOrOm2lRZkxwSRYk28lKgD3AqRr0eB6lbpUoAm8"",""2026-27!AK3"")"),0.0)</f>
        <v>0</v>
      </c>
      <c r="CC33" s="59">
        <f>IFERROR(__xludf.DUMMYFUNCTION("IMPORTRANGE(""1ClLrVOrOm2lRZkxwSRYk28lKgD3AqRr0eB6lbpUoAm8"",""2026-27!AL4"")"),0.0)</f>
        <v>0</v>
      </c>
      <c r="CD33" s="59">
        <f>IFERROR(__xludf.DUMMYFUNCTION("IMPORTRANGE(""1ClLrVOrOm2lRZkxwSRYk28lKgD3AqRr0eB6lbpUoAm8"",""2026-27!AL3"")"),0.0)</f>
        <v>0</v>
      </c>
      <c r="CE33" s="63" t="str">
        <f t="shared" si="60"/>
        <v/>
      </c>
      <c r="CF33" s="59">
        <f>IFERROR(__xludf.DUMMYFUNCTION("IMPORTRANGE(""1ClLrVOrOm2lRZkxwSRYk28lKgD3AqRr0eB6lbpUoAm8"",""2026-27!AM4"")"),0.0)</f>
        <v>0</v>
      </c>
      <c r="CG33" s="59">
        <f>IFERROR(__xludf.DUMMYFUNCTION("IMPORTRANGE(""1ClLrVOrOm2lRZkxwSRYk28lKgD3AqRr0eB6lbpUoAm8"",""2026-27!AM3"")"),0.0)</f>
        <v>0</v>
      </c>
      <c r="CH33" s="59">
        <f>IFERROR(__xludf.DUMMYFUNCTION("IMPORTRANGE(""1ClLrVOrOm2lRZkxwSRYk28lKgD3AqRr0eB6lbpUoAm8"",""2026-27!AN4"")"),0.0)</f>
        <v>0</v>
      </c>
      <c r="CI33" s="59">
        <f>IFERROR(__xludf.DUMMYFUNCTION("IMPORTRANGE(""1ClLrVOrOm2lRZkxwSRYk28lKgD3AqRr0eB6lbpUoAm8"",""2026-27!AN3"")"),0.0)</f>
        <v>0</v>
      </c>
      <c r="CJ33" s="59">
        <f>IFERROR(__xludf.DUMMYFUNCTION("IMPORTRANGE(""1ClLrVOrOm2lRZkxwSRYk28lKgD3AqRr0eB6lbpUoAm8"",""2026-27!AO4"")"),0.0)</f>
        <v>0</v>
      </c>
      <c r="CK33" s="59">
        <f>IFERROR(__xludf.DUMMYFUNCTION("IMPORTRANGE(""1ClLrVOrOm2lRZkxwSRYk28lKgD3AqRr0eB6lbpUoAm8"",""2026-27!AO3"")"),0.0)</f>
        <v>0</v>
      </c>
      <c r="CL33" s="63" t="str">
        <f t="shared" si="61"/>
        <v/>
      </c>
      <c r="CM33" s="59">
        <f>IFERROR(__xludf.DUMMYFUNCTION("IMPORTRANGE(""1ClLrVOrOm2lRZkxwSRYk28lKgD3AqRr0eB6lbpUoAm8"",""2026-27!AP4"")"),0.0)</f>
        <v>0</v>
      </c>
      <c r="CN33" s="59">
        <f>IFERROR(__xludf.DUMMYFUNCTION("IMPORTRANGE(""1ClLrVOrOm2lRZkxwSRYk28lKgD3AqRr0eB6lbpUoAm8"",""2026-27!AP3"")"),0.0)</f>
        <v>0</v>
      </c>
      <c r="CO33" s="59">
        <f>IFERROR(__xludf.DUMMYFUNCTION("IMPORTRANGE(""1ClLrVOrOm2lRZkxwSRYk28lKgD3AqRr0eB6lbpUoAm8"",""2026-27!AQ4"")"),0.0)</f>
        <v>0</v>
      </c>
      <c r="CP33" s="59">
        <f>IFERROR(__xludf.DUMMYFUNCTION("IMPORTRANGE(""1ClLrVOrOm2lRZkxwSRYk28lKgD3AqRr0eB6lbpUoAm8"",""2026-27!AQ3"")"),0.0)</f>
        <v>0</v>
      </c>
      <c r="CQ33" s="59">
        <f>IFERROR(__xludf.DUMMYFUNCTION("IMPORTRANGE(""1ClLrVOrOm2lRZkxwSRYk28lKgD3AqRr0eB6lbpUoAm8"",""2026-27!AR4"")"),0.0)</f>
        <v>0</v>
      </c>
      <c r="CR33" s="59">
        <f>IFERROR(__xludf.DUMMYFUNCTION("IMPORTRANGE(""1ClLrVOrOm2lRZkxwSRYk28lKgD3AqRr0eB6lbpUoAm8"",""2026-27!AR3"")"),0.0)</f>
        <v>0</v>
      </c>
      <c r="CS33" s="63" t="str">
        <f t="shared" si="62"/>
        <v/>
      </c>
      <c r="CT33" s="59">
        <f>IFERROR(__xludf.DUMMYFUNCTION("IMPORTRANGE(""1ClLrVOrOm2lRZkxwSRYk28lKgD3AqRr0eB6lbpUoAm8"",""2026-27!AS4"")"),0.0)</f>
        <v>0</v>
      </c>
      <c r="CU33" s="59">
        <f>IFERROR(__xludf.DUMMYFUNCTION("IMPORTRANGE(""1ClLrVOrOm2lRZkxwSRYk28lKgD3AqRr0eB6lbpUoAm8"",""2026-27!AS3"")"),0.0)</f>
        <v>0</v>
      </c>
      <c r="CV33" s="64"/>
    </row>
    <row r="34">
      <c r="A34" s="1" t="s">
        <v>72</v>
      </c>
      <c r="B34" s="41"/>
      <c r="C34" s="65" t="s">
        <v>80</v>
      </c>
      <c r="D34" s="69" t="s">
        <v>81</v>
      </c>
      <c r="E34" s="72">
        <v>9.96172926E9</v>
      </c>
      <c r="F34" s="70">
        <v>45793.0</v>
      </c>
      <c r="G34" s="66"/>
      <c r="H34" s="66"/>
      <c r="I34" s="57">
        <v>27000.0</v>
      </c>
      <c r="J34" s="58">
        <v>962500.0</v>
      </c>
      <c r="K34" s="59">
        <f>IFERROR(__xludf.DUMMYFUNCTION("IMPORTRANGE(""1FDquPHJI6WZGHFmkKa-RqP1eEgjXcIOR6r4SpB9QkSA"",""2026-27!A3"")"),76.0)</f>
        <v>76</v>
      </c>
      <c r="L34" s="59">
        <f>IFERROR(__xludf.DUMMYFUNCTION("IMPORTRANGE(""1FDquPHJI6WZGHFmkKa-RqP1eEgjXcIOR6r4SpB9QkSA"",""2026-27!G4"")"),1.85E7)</f>
        <v>18500000</v>
      </c>
      <c r="M34" s="59">
        <f t="shared" si="48"/>
        <v>4890676.81</v>
      </c>
      <c r="N34" s="60">
        <f t="shared" si="49"/>
        <v>0.08123715081</v>
      </c>
      <c r="O34" s="61">
        <f t="shared" si="50"/>
        <v>1502887.29</v>
      </c>
      <c r="P34" s="59">
        <f>IFERROR(__xludf.DUMMYFUNCTION("IMPORTRANGE(""1FDquPHJI6WZGHFmkKa-RqP1eEgjXcIOR6r4SpB9QkSA"",""2026-27!J4"")"),930000.0)</f>
        <v>930000</v>
      </c>
      <c r="Q34" s="59">
        <f>IFERROR(__xludf.DUMMYFUNCTION("IMPORTRANGE(""1FDquPHJI6WZGHFmkKa-RqP1eEgjXcIOR6r4SpB9QkSA"",""2026-27!J3"")"),31.0)</f>
        <v>31</v>
      </c>
      <c r="R34" s="59">
        <f>IFERROR(__xludf.DUMMYFUNCTION("IMPORTRANGE(""1FDquPHJI6WZGHFmkKa-RqP1eEgjXcIOR6r4SpB9QkSA"",""2026-27!K4"")"),464151.60000000003)</f>
        <v>464151.6</v>
      </c>
      <c r="S34" s="59">
        <f>IFERROR(__xludf.DUMMYFUNCTION("IMPORTRANGE(""1FDquPHJI6WZGHFmkKa-RqP1eEgjXcIOR6r4SpB9QkSA"",""2026-27!K3"")"),17.0)</f>
        <v>17</v>
      </c>
      <c r="T34" s="62">
        <f t="shared" si="51"/>
        <v>0.3310721398</v>
      </c>
      <c r="U34" s="59">
        <f>IFERROR(__xludf.DUMMYFUNCTION("IMPORTRANGE(""1FDquPHJI6WZGHFmkKa-RqP1eEgjXcIOR6r4SpB9QkSA"",""2026-27!L4"")"),307897.09)</f>
        <v>307897.09</v>
      </c>
      <c r="V34" s="59">
        <f>IFERROR(__xludf.DUMMYFUNCTION("IMPORTRANGE(""1FDquPHJI6WZGHFmkKa-RqP1eEgjXcIOR6r4SpB9QkSA"",""2026-27!L3"")"),14.0)</f>
        <v>14</v>
      </c>
      <c r="W34" s="59">
        <f>IFERROR(__xludf.DUMMYFUNCTION("IMPORTRANGE(""1FDquPHJI6WZGHFmkKa-RqP1eEgjXcIOR6r4SpB9QkSA"",""2026-27!m4"")"),1535000.0)</f>
        <v>1535000</v>
      </c>
      <c r="X34" s="59">
        <f>IFERROR(__xludf.DUMMYFUNCTION("IMPORTRANGE(""1FDquPHJI6WZGHFmkKa-RqP1eEgjXcIOR6r4SpB9QkSA"",""2026-27!m3"")"),50.0)</f>
        <v>50</v>
      </c>
      <c r="Y34" s="59">
        <f>IFERROR(__xludf.DUMMYFUNCTION("IMPORTRANGE(""1FDquPHJI6WZGHFmkKa-RqP1eEgjXcIOR6r4SpB9QkSA"",""2026-27!N4"")"),1323770.4100000001)</f>
        <v>1323770.41</v>
      </c>
      <c r="Z34" s="59">
        <f>IFERROR(__xludf.DUMMYFUNCTION("IMPORTRANGE(""1FDquPHJI6WZGHFmkKa-RqP1eEgjXcIOR6r4SpB9QkSA"",""2026-27!N3"")"),26.0)</f>
        <v>26</v>
      </c>
      <c r="AA34" s="62">
        <f t="shared" si="52"/>
        <v>0.7784952443</v>
      </c>
      <c r="AB34" s="59">
        <f>IFERROR(__xludf.DUMMYFUNCTION("IMPORTRANGE(""1FDquPHJI6WZGHFmkKa-RqP1eEgjXcIOR6r4SpB9QkSA"",""2026-27!O4"")"),1194990.2)</f>
        <v>1194990.2</v>
      </c>
      <c r="AC34" s="59">
        <f>IFERROR(__xludf.DUMMYFUNCTION("IMPORTRANGE(""1FDquPHJI6WZGHFmkKa-RqP1eEgjXcIOR6r4SpB9QkSA"",""2026-27!O3"")"),26.0)</f>
        <v>26</v>
      </c>
      <c r="AD34" s="59">
        <f>IFERROR(__xludf.DUMMYFUNCTION("IMPORTRANGE(""1FDquPHJI6WZGHFmkKa-RqP1eEgjXcIOR6r4SpB9QkSA"",""2026-27!P4"")"),1855000.0)</f>
        <v>1855000</v>
      </c>
      <c r="AE34" s="59">
        <f>IFERROR(__xludf.DUMMYFUNCTION("IMPORTRANGE(""1FDquPHJI6WZGHFmkKa-RqP1eEgjXcIOR6r4SpB9QkSA"",""2026-27!P3"")"),23.0)</f>
        <v>23</v>
      </c>
      <c r="AF34" s="59">
        <f>IFERROR(__xludf.DUMMYFUNCTION("IMPORTRANGE(""1FDquPHJI6WZGHFmkKa-RqP1eEgjXcIOR6r4SpB9QkSA"",""2026-27!Q4"")"),3102754.8)</f>
        <v>3102754.8</v>
      </c>
      <c r="AG34" s="59">
        <f>IFERROR(__xludf.DUMMYFUNCTION("IMPORTRANGE(""1FDquPHJI6WZGHFmkKa-RqP1eEgjXcIOR6r4SpB9QkSA"",""2026-27!Q3"")"),34.0)</f>
        <v>34</v>
      </c>
      <c r="AH34" s="62">
        <f t="shared" si="53"/>
        <v>0</v>
      </c>
      <c r="AI34" s="59">
        <f>IFERROR(__xludf.DUMMYFUNCTION("IMPORTRANGE(""1FDquPHJI6WZGHFmkKa-RqP1eEgjXcIOR6r4SpB9QkSA"",""2026-27!R4"")"),0.0)</f>
        <v>0</v>
      </c>
      <c r="AJ34" s="59">
        <f>IFERROR(__xludf.DUMMYFUNCTION("IMPORTRANGE(""1FDquPHJI6WZGHFmkKa-RqP1eEgjXcIOR6r4SpB9QkSA"",""2026-27!R3"")"),0.0)</f>
        <v>0</v>
      </c>
      <c r="AK34" s="59">
        <f>IFERROR(__xludf.DUMMYFUNCTION("IMPORTRANGE(""1FDquPHJI6WZGHFmkKa-RqP1eEgjXcIOR6r4SpB9QkSA"",""2026-27!S4"")"),0.0)</f>
        <v>0</v>
      </c>
      <c r="AL34" s="59">
        <f>IFERROR(__xludf.DUMMYFUNCTION("IMPORTRANGE(""1FDquPHJI6WZGHFmkKa-RqP1eEgjXcIOR6r4SpB9QkSA"",""2026-27!S3"")"),0.0)</f>
        <v>0</v>
      </c>
      <c r="AM34" s="59">
        <f>IFERROR(__xludf.DUMMYFUNCTION("IMPORTRANGE(""1FDquPHJI6WZGHFmkKa-RqP1eEgjXcIOR6r4SpB9QkSA"",""2026-27!T4"")"),0.0)</f>
        <v>0</v>
      </c>
      <c r="AN34" s="59">
        <f>IFERROR(__xludf.DUMMYFUNCTION("IMPORTRANGE(""1FDquPHJI6WZGHFmkKa-RqP1eEgjXcIOR6r4SpB9QkSA"",""2026-27!T3"")"),0.0)</f>
        <v>0</v>
      </c>
      <c r="AO34" s="62" t="str">
        <f t="shared" si="54"/>
        <v/>
      </c>
      <c r="AP34" s="59">
        <f>IFERROR(__xludf.DUMMYFUNCTION("IMPORTRANGE(""1FDquPHJI6WZGHFmkKa-RqP1eEgjXcIOR6r4SpB9QkSA"",""2026-27!U4"")"),0.0)</f>
        <v>0</v>
      </c>
      <c r="AQ34" s="59">
        <f>IFERROR(__xludf.DUMMYFUNCTION("IMPORTRANGE(""1FDquPHJI6WZGHFmkKa-RqP1eEgjXcIOR6r4SpB9QkSA"",""2026-27!U3"")"),0.0)</f>
        <v>0</v>
      </c>
      <c r="AR34" s="59">
        <f>IFERROR(__xludf.DUMMYFUNCTION("IMPORTRANGE(""1FDquPHJI6WZGHFmkKa-RqP1eEgjXcIOR6r4SpB9QkSA"",""2026-27!V4"")"),0.0)</f>
        <v>0</v>
      </c>
      <c r="AS34" s="59">
        <f>IFERROR(__xludf.DUMMYFUNCTION("IMPORTRANGE(""1FDquPHJI6WZGHFmkKa-RqP1eEgjXcIOR6r4SpB9QkSA"",""2026-27!V3"")"),0.0)</f>
        <v>0</v>
      </c>
      <c r="AT34" s="59">
        <f>IFERROR(__xludf.DUMMYFUNCTION("IMPORTRANGE(""1FDquPHJI6WZGHFmkKa-RqP1eEgjXcIOR6r4SpB9QkSA"",""2026-27!W4"")"),0.0)</f>
        <v>0</v>
      </c>
      <c r="AU34" s="59">
        <f>IFERROR(__xludf.DUMMYFUNCTION("IMPORTRANGE(""1FDquPHJI6WZGHFmkKa-RqP1eEgjXcIOR6r4SpB9QkSA"",""2026-27!W3"")"),0.0)</f>
        <v>0</v>
      </c>
      <c r="AV34" s="62" t="str">
        <f t="shared" si="55"/>
        <v/>
      </c>
      <c r="AW34" s="59">
        <f>IFERROR(__xludf.DUMMYFUNCTION("IMPORTRANGE(""1FDquPHJI6WZGHFmkKa-RqP1eEgjXcIOR6r4SpB9QkSA"",""2026-27!X4"")"),0.0)</f>
        <v>0</v>
      </c>
      <c r="AX34" s="59">
        <f>IFERROR(__xludf.DUMMYFUNCTION("IMPORTRANGE(""1FDquPHJI6WZGHFmkKa-RqP1eEgjXcIOR6r4SpB9QkSA"",""2026-27!X3"")"),0.0)</f>
        <v>0</v>
      </c>
      <c r="AY34" s="59">
        <f>IFERROR(__xludf.DUMMYFUNCTION("IMPORTRANGE(""1FDquPHJI6WZGHFmkKa-RqP1eEgjXcIOR6r4SpB9QkSA"",""2026-27!Y4"")"),0.0)</f>
        <v>0</v>
      </c>
      <c r="AZ34" s="59">
        <f>IFERROR(__xludf.DUMMYFUNCTION("IMPORTRANGE(""1FDquPHJI6WZGHFmkKa-RqP1eEgjXcIOR6r4SpB9QkSA"",""2026-27!Y3"")"),0.0)</f>
        <v>0</v>
      </c>
      <c r="BA34" s="59">
        <f>IFERROR(__xludf.DUMMYFUNCTION("IMPORTRANGE(""1FDquPHJI6WZGHFmkKa-RqP1eEgjXcIOR6r4SpB9QkSA"",""2026-27!Z4"")"),0.0)</f>
        <v>0</v>
      </c>
      <c r="BB34" s="59">
        <f>IFERROR(__xludf.DUMMYFUNCTION("IMPORTRANGE(""1FDquPHJI6WZGHFmkKa-RqP1eEgjXcIOR6r4SpB9QkSA"",""2026-27!Z3"")"),0.0)</f>
        <v>0</v>
      </c>
      <c r="BC34" s="63" t="str">
        <f t="shared" si="56"/>
        <v/>
      </c>
      <c r="BD34" s="59">
        <f>IFERROR(__xludf.DUMMYFUNCTION("IMPORTRANGE(""1FDquPHJI6WZGHFmkKa-RqP1eEgjXcIOR6r4SpB9QkSA"",""2026-27!AA4"")"),0.0)</f>
        <v>0</v>
      </c>
      <c r="BE34" s="59">
        <f>IFERROR(__xludf.DUMMYFUNCTION("IMPORTRANGE(""1FDquPHJI6WZGHFmkKa-RqP1eEgjXcIOR6r4SpB9QkSA"",""2026-27!AA3"")"),0.0)</f>
        <v>0</v>
      </c>
      <c r="BF34" s="59">
        <f>IFERROR(__xludf.DUMMYFUNCTION("IMPORTRANGE(""1FDquPHJI6WZGHFmkKa-RqP1eEgjXcIOR6r4SpB9QkSA"",""2026-27!AB4"")"),0.0)</f>
        <v>0</v>
      </c>
      <c r="BG34" s="59">
        <f>IFERROR(__xludf.DUMMYFUNCTION("IMPORTRANGE(""1FDquPHJI6WZGHFmkKa-RqP1eEgjXcIOR6r4SpB9QkSA"",""2026-27!AB3"")"),0.0)</f>
        <v>0</v>
      </c>
      <c r="BH34" s="59">
        <f>IFERROR(__xludf.DUMMYFUNCTION("IMPORTRANGE(""1FDquPHJI6WZGHFmkKa-RqP1eEgjXcIOR6r4SpB9QkSA"",""2026-27!AC4"")"),0.0)</f>
        <v>0</v>
      </c>
      <c r="BI34" s="59">
        <f>IFERROR(__xludf.DUMMYFUNCTION("IMPORTRANGE(""1FDquPHJI6WZGHFmkKa-RqP1eEgjXcIOR6r4SpB9QkSA"",""2026-27!AC3"")"),0.0)</f>
        <v>0</v>
      </c>
      <c r="BJ34" s="63" t="str">
        <f t="shared" si="57"/>
        <v/>
      </c>
      <c r="BK34" s="59">
        <f>IFERROR(__xludf.DUMMYFUNCTION("IMPORTRANGE(""1FDquPHJI6WZGHFmkKa-RqP1eEgjXcIOR6r4SpB9QkSA"",""2026-27!AD4"")"),0.0)</f>
        <v>0</v>
      </c>
      <c r="BL34" s="59">
        <f>IFERROR(__xludf.DUMMYFUNCTION("IMPORTRANGE(""1FDquPHJI6WZGHFmkKa-RqP1eEgjXcIOR6r4SpB9QkSA"",""2026-27!AD3"")"),0.0)</f>
        <v>0</v>
      </c>
      <c r="BM34" s="59">
        <f>IFERROR(__xludf.DUMMYFUNCTION("IMPORTRANGE(""1FDquPHJI6WZGHFmkKa-RqP1eEgjXcIOR6r4SpB9QkSA"",""2026-27!AE4"")"),0.0)</f>
        <v>0</v>
      </c>
      <c r="BN34" s="59">
        <f>IFERROR(__xludf.DUMMYFUNCTION("IMPORTRANGE(""1FDquPHJI6WZGHFmkKa-RqP1eEgjXcIOR6r4SpB9QkSA"",""2026-27!AE3"")"),0.0)</f>
        <v>0</v>
      </c>
      <c r="BO34" s="59">
        <f>IFERROR(__xludf.DUMMYFUNCTION("IMPORTRANGE(""1FDquPHJI6WZGHFmkKa-RqP1eEgjXcIOR6r4SpB9QkSA"",""2026-27!AF4"")"),0.0)</f>
        <v>0</v>
      </c>
      <c r="BP34" s="59">
        <f>IFERROR(__xludf.DUMMYFUNCTION("IMPORTRANGE(""1FDquPHJI6WZGHFmkKa-RqP1eEgjXcIOR6r4SpB9QkSA"",""2026-27!AF3"")"),0.0)</f>
        <v>0</v>
      </c>
      <c r="BQ34" s="63" t="str">
        <f t="shared" si="58"/>
        <v/>
      </c>
      <c r="BR34" s="59">
        <f>IFERROR(__xludf.DUMMYFUNCTION("IMPORTRANGE(""1FDquPHJI6WZGHFmkKa-RqP1eEgjXcIOR6r4SpB9QkSA"",""2026-27!AG4"")"),0.0)</f>
        <v>0</v>
      </c>
      <c r="BS34" s="59">
        <f>IFERROR(__xludf.DUMMYFUNCTION("IMPORTRANGE(""1FDquPHJI6WZGHFmkKa-RqP1eEgjXcIOR6r4SpB9QkSA"",""2026-27!AG3"")"),0.0)</f>
        <v>0</v>
      </c>
      <c r="BT34" s="59">
        <f>IFERROR(__xludf.DUMMYFUNCTION("IMPORTRANGE(""1FDquPHJI6WZGHFmkKa-RqP1eEgjXcIOR6r4SpB9QkSA"",""2026-27!AH4"")"),0.0)</f>
        <v>0</v>
      </c>
      <c r="BU34" s="59">
        <f>IFERROR(__xludf.DUMMYFUNCTION("IMPORTRANGE(""1FDquPHJI6WZGHFmkKa-RqP1eEgjXcIOR6r4SpB9QkSA"",""2026-27!AH3"")"),0.0)</f>
        <v>0</v>
      </c>
      <c r="BV34" s="59">
        <f>IFERROR(__xludf.DUMMYFUNCTION("IMPORTRANGE(""1FDquPHJI6WZGHFmkKa-RqP1eEgjXcIOR6r4SpB9QkSA"",""2026-27!AI4"")"),0.0)</f>
        <v>0</v>
      </c>
      <c r="BW34" s="59">
        <f>IFERROR(__xludf.DUMMYFUNCTION("IMPORTRANGE(""1FDquPHJI6WZGHFmkKa-RqP1eEgjXcIOR6r4SpB9QkSA"",""2026-27!AI3"")"),0.0)</f>
        <v>0</v>
      </c>
      <c r="BX34" s="63" t="str">
        <f t="shared" si="59"/>
        <v/>
      </c>
      <c r="BY34" s="59">
        <f>IFERROR(__xludf.DUMMYFUNCTION("IMPORTRANGE(""1FDquPHJI6WZGHFmkKa-RqP1eEgjXcIOR6r4SpB9QkSA"",""2026-27!AJ4"")"),0.0)</f>
        <v>0</v>
      </c>
      <c r="BZ34" s="59">
        <f>IFERROR(__xludf.DUMMYFUNCTION("IMPORTRANGE(""1FDquPHJI6WZGHFmkKa-RqP1eEgjXcIOR6r4SpB9QkSA"",""2026-27!AJ3"")"),0.0)</f>
        <v>0</v>
      </c>
      <c r="CA34" s="59">
        <f>IFERROR(__xludf.DUMMYFUNCTION("IMPORTRANGE(""1FDquPHJI6WZGHFmkKa-RqP1eEgjXcIOR6r4SpB9QkSA"",""2026-27!AK4"")"),0.0)</f>
        <v>0</v>
      </c>
      <c r="CB34" s="59">
        <f>IFERROR(__xludf.DUMMYFUNCTION("IMPORTRANGE(""1FDquPHJI6WZGHFmkKa-RqP1eEgjXcIOR6r4SpB9QkSA"",""2026-27!AK3"")"),0.0)</f>
        <v>0</v>
      </c>
      <c r="CC34" s="59">
        <f>IFERROR(__xludf.DUMMYFUNCTION("IMPORTRANGE(""1FDquPHJI6WZGHFmkKa-RqP1eEgjXcIOR6r4SpB9QkSA"",""2026-27!AL4"")"),0.0)</f>
        <v>0</v>
      </c>
      <c r="CD34" s="59">
        <f>IFERROR(__xludf.DUMMYFUNCTION("IMPORTRANGE(""1FDquPHJI6WZGHFmkKa-RqP1eEgjXcIOR6r4SpB9QkSA"",""2026-27!AL3"")"),0.0)</f>
        <v>0</v>
      </c>
      <c r="CE34" s="63" t="str">
        <f t="shared" si="60"/>
        <v/>
      </c>
      <c r="CF34" s="59">
        <f>IFERROR(__xludf.DUMMYFUNCTION("IMPORTRANGE(""1FDquPHJI6WZGHFmkKa-RqP1eEgjXcIOR6r4SpB9QkSA"",""2026-27!AM4"")"),0.0)</f>
        <v>0</v>
      </c>
      <c r="CG34" s="59">
        <f>IFERROR(__xludf.DUMMYFUNCTION("IMPORTRANGE(""1FDquPHJI6WZGHFmkKa-RqP1eEgjXcIOR6r4SpB9QkSA"",""2026-27!AM3"")"),0.0)</f>
        <v>0</v>
      </c>
      <c r="CH34" s="59">
        <f>IFERROR(__xludf.DUMMYFUNCTION("IMPORTRANGE(""1FDquPHJI6WZGHFmkKa-RqP1eEgjXcIOR6r4SpB9QkSA"",""2026-27!AN4"")"),0.0)</f>
        <v>0</v>
      </c>
      <c r="CI34" s="59">
        <f>IFERROR(__xludf.DUMMYFUNCTION("IMPORTRANGE(""1FDquPHJI6WZGHFmkKa-RqP1eEgjXcIOR6r4SpB9QkSA"",""2026-27!AN3"")"),0.0)</f>
        <v>0</v>
      </c>
      <c r="CJ34" s="59">
        <f>IFERROR(__xludf.DUMMYFUNCTION("IMPORTRANGE(""1FDquPHJI6WZGHFmkKa-RqP1eEgjXcIOR6r4SpB9QkSA"",""2026-27!AO4"")"),0.0)</f>
        <v>0</v>
      </c>
      <c r="CK34" s="59">
        <f>IFERROR(__xludf.DUMMYFUNCTION("IMPORTRANGE(""1FDquPHJI6WZGHFmkKa-RqP1eEgjXcIOR6r4SpB9QkSA"",""2026-27!AO3"")"),0.0)</f>
        <v>0</v>
      </c>
      <c r="CL34" s="63" t="str">
        <f t="shared" si="61"/>
        <v/>
      </c>
      <c r="CM34" s="59">
        <f>IFERROR(__xludf.DUMMYFUNCTION("IMPORTRANGE(""1FDquPHJI6WZGHFmkKa-RqP1eEgjXcIOR6r4SpB9QkSA"",""2026-27!AP4"")"),0.0)</f>
        <v>0</v>
      </c>
      <c r="CN34" s="59">
        <f>IFERROR(__xludf.DUMMYFUNCTION("IMPORTRANGE(""1FDquPHJI6WZGHFmkKa-RqP1eEgjXcIOR6r4SpB9QkSA"",""2026-27!AP3"")"),0.0)</f>
        <v>0</v>
      </c>
      <c r="CO34" s="59">
        <f>IFERROR(__xludf.DUMMYFUNCTION("IMPORTRANGE(""1FDquPHJI6WZGHFmkKa-RqP1eEgjXcIOR6r4SpB9QkSA"",""2026-27!AQ4"")"),0.0)</f>
        <v>0</v>
      </c>
      <c r="CP34" s="59">
        <f>IFERROR(__xludf.DUMMYFUNCTION("IMPORTRANGE(""1FDquPHJI6WZGHFmkKa-RqP1eEgjXcIOR6r4SpB9QkSA"",""2026-27!AQ3"")"),0.0)</f>
        <v>0</v>
      </c>
      <c r="CQ34" s="59">
        <f>IFERROR(__xludf.DUMMYFUNCTION("IMPORTRANGE(""1FDquPHJI6WZGHFmkKa-RqP1eEgjXcIOR6r4SpB9QkSA"",""2026-27!AR4"")"),0.0)</f>
        <v>0</v>
      </c>
      <c r="CR34" s="59">
        <f>IFERROR(__xludf.DUMMYFUNCTION("IMPORTRANGE(""1FDquPHJI6WZGHFmkKa-RqP1eEgjXcIOR6r4SpB9QkSA"",""2026-27!AR3"")"),0.0)</f>
        <v>0</v>
      </c>
      <c r="CS34" s="63" t="str">
        <f t="shared" si="62"/>
        <v/>
      </c>
      <c r="CT34" s="59">
        <f>IFERROR(__xludf.DUMMYFUNCTION("IMPORTRANGE(""1FDquPHJI6WZGHFmkKa-RqP1eEgjXcIOR6r4SpB9QkSA"",""2026-27!AS4"")"),0.0)</f>
        <v>0</v>
      </c>
      <c r="CU34" s="59">
        <f>IFERROR(__xludf.DUMMYFUNCTION("IMPORTRANGE(""1FDquPHJI6WZGHFmkKa-RqP1eEgjXcIOR6r4SpB9QkSA"",""2026-27!AS3"")"),0.0)</f>
        <v>0</v>
      </c>
      <c r="CV34" s="64"/>
    </row>
    <row r="35">
      <c r="A35" s="1" t="s">
        <v>72</v>
      </c>
      <c r="B35" s="41"/>
      <c r="C35" s="97" t="s">
        <v>82</v>
      </c>
      <c r="D35" s="69" t="s">
        <v>79</v>
      </c>
      <c r="E35" s="72">
        <v>8.180858481E9</v>
      </c>
      <c r="F35" s="70">
        <v>45842.0</v>
      </c>
      <c r="G35" s="66"/>
      <c r="H35" s="66"/>
      <c r="I35" s="57">
        <v>48765.0</v>
      </c>
      <c r="J35" s="58">
        <v>825000.0</v>
      </c>
      <c r="K35" s="59">
        <f>IFERROR(__xludf.DUMMYFUNCTION("IMPORTRANGE(""1o73DJbLFLgOXztUGvACDAPJQLjK9m6M0LmAIH6HjOBg"",""2026-27!A3"")"),128.0)</f>
        <v>128</v>
      </c>
      <c r="L35" s="59">
        <f>IFERROR(__xludf.DUMMYFUNCTION("IMPORTRANGE(""1o73DJbLFLgOXztUGvACDAPJQLjK9m6M0LmAIH6HjOBg"",""2026-27!G4"")"),3.804E7)</f>
        <v>38040000</v>
      </c>
      <c r="M35" s="59">
        <f t="shared" si="48"/>
        <v>3535138.18</v>
      </c>
      <c r="N35" s="60">
        <f t="shared" si="49"/>
        <v>0.06569008938</v>
      </c>
      <c r="O35" s="61">
        <f t="shared" si="50"/>
        <v>2498851</v>
      </c>
      <c r="P35" s="59">
        <f>IFERROR(__xludf.DUMMYFUNCTION("IMPORTRANGE(""1o73DJbLFLgOXztUGvACDAPJQLjK9m6M0LmAIH6HjOBg"",""2026-27!J4"")"),3170000.0)</f>
        <v>3170000</v>
      </c>
      <c r="Q35" s="59">
        <f>IFERROR(__xludf.DUMMYFUNCTION("IMPORTRANGE(""1o73DJbLFLgOXztUGvACDAPJQLjK9m6M0LmAIH6HjOBg"",""2026-27!J3"")"),100.0)</f>
        <v>100</v>
      </c>
      <c r="R35" s="59">
        <f>IFERROR(__xludf.DUMMYFUNCTION("IMPORTRANGE(""1o73DJbLFLgOXztUGvACDAPJQLjK9m6M0LmAIH6HjOBg"",""2026-27!K4"")"),1058958.0)</f>
        <v>1058958</v>
      </c>
      <c r="S35" s="59">
        <f>IFERROR(__xludf.DUMMYFUNCTION("IMPORTRANGE(""1o73DJbLFLgOXztUGvACDAPJQLjK9m6M0LmAIH6HjOBg"",""2026-27!K3"")"),8.0)</f>
        <v>8</v>
      </c>
      <c r="T35" s="62">
        <f t="shared" si="51"/>
        <v>0.1718962145</v>
      </c>
      <c r="U35" s="59">
        <f>IFERROR(__xludf.DUMMYFUNCTION("IMPORTRANGE(""1o73DJbLFLgOXztUGvACDAPJQLjK9m6M0LmAIH6HjOBg"",""2026-27!L4"")"),544911.0)</f>
        <v>544911</v>
      </c>
      <c r="V35" s="59">
        <f>IFERROR(__xludf.DUMMYFUNCTION("IMPORTRANGE(""1o73DJbLFLgOXztUGvACDAPJQLjK9m6M0LmAIH6HjOBg"",""2026-27!L3"")"),10.0)</f>
        <v>10</v>
      </c>
      <c r="W35" s="59">
        <f>IFERROR(__xludf.DUMMYFUNCTION("IMPORTRANGE(""1o73DJbLFLgOXztUGvACDAPJQLjK9m6M0LmAIH6HjOBg"",""2026-27!m4"")"),3200000.0)</f>
        <v>3200000</v>
      </c>
      <c r="X35" s="59">
        <f>IFERROR(__xludf.DUMMYFUNCTION("IMPORTRANGE(""1o73DJbLFLgOXztUGvACDAPJQLjK9m6M0LmAIH6HjOBg"",""2026-27!m3"")"),100.0)</f>
        <v>100</v>
      </c>
      <c r="Y35" s="59">
        <f>IFERROR(__xludf.DUMMYFUNCTION("IMPORTRANGE(""1o73DJbLFLgOXztUGvACDAPJQLjK9m6M0LmAIH6HjOBg"",""2026-27!N4"")"),1487008.18)</f>
        <v>1487008.18</v>
      </c>
      <c r="Z35" s="59">
        <f>IFERROR(__xludf.DUMMYFUNCTION("IMPORTRANGE(""1o73DJbLFLgOXztUGvACDAPJQLjK9m6M0LmAIH6HjOBg"",""2026-27!N3"")"),11.0)</f>
        <v>11</v>
      </c>
      <c r="AA35" s="62">
        <f t="shared" si="52"/>
        <v>0.358830625</v>
      </c>
      <c r="AB35" s="59">
        <f>IFERROR(__xludf.DUMMYFUNCTION("IMPORTRANGE(""1o73DJbLFLgOXztUGvACDAPJQLjK9m6M0LmAIH6HjOBg"",""2026-27!O4"")"),1148258.0)</f>
        <v>1148258</v>
      </c>
      <c r="AC35" s="59">
        <f>IFERROR(__xludf.DUMMYFUNCTION("IMPORTRANGE(""1o73DJbLFLgOXztUGvACDAPJQLjK9m6M0LmAIH6HjOBg"",""2026-27!O3"")"),9.0)</f>
        <v>9</v>
      </c>
      <c r="AD35" s="59">
        <f>IFERROR(__xludf.DUMMYFUNCTION("IMPORTRANGE(""1o73DJbLFLgOXztUGvACDAPJQLjK9m6M0LmAIH6HjOBg"",""2026-27!P4"")"),2341000.0)</f>
        <v>2341000</v>
      </c>
      <c r="AE35" s="59">
        <f>IFERROR(__xludf.DUMMYFUNCTION("IMPORTRANGE(""1o73DJbLFLgOXztUGvACDAPJQLjK9m6M0LmAIH6HjOBg"",""2026-27!P3"")"),104.0)</f>
        <v>104</v>
      </c>
      <c r="AF35" s="59">
        <f>IFERROR(__xludf.DUMMYFUNCTION("IMPORTRANGE(""1o73DJbLFLgOXztUGvACDAPJQLjK9m6M0LmAIH6HjOBg"",""2026-27!Q4"")"),989172.0)</f>
        <v>989172</v>
      </c>
      <c r="AG35" s="59">
        <f>IFERROR(__xludf.DUMMYFUNCTION("IMPORTRANGE(""1o73DJbLFLgOXztUGvACDAPJQLjK9m6M0LmAIH6HjOBg"",""2026-27!Q3"")"),15.0)</f>
        <v>15</v>
      </c>
      <c r="AH35" s="62">
        <f t="shared" si="53"/>
        <v>0.3441614695</v>
      </c>
      <c r="AI35" s="59">
        <f>IFERROR(__xludf.DUMMYFUNCTION("IMPORTRANGE(""1o73DJbLFLgOXztUGvACDAPJQLjK9m6M0LmAIH6HjOBg"",""2026-27!R4"")"),805682.0)</f>
        <v>805682</v>
      </c>
      <c r="AJ35" s="59">
        <f>IFERROR(__xludf.DUMMYFUNCTION("IMPORTRANGE(""1o73DJbLFLgOXztUGvACDAPJQLjK9m6M0LmAIH6HjOBg"",""2026-27!R3"")"),18.0)</f>
        <v>18</v>
      </c>
      <c r="AK35" s="59">
        <f>IFERROR(__xludf.DUMMYFUNCTION("IMPORTRANGE(""1o73DJbLFLgOXztUGvACDAPJQLjK9m6M0LmAIH6HjOBg"",""2026-27!S4"")"),3264000.0)</f>
        <v>3264000</v>
      </c>
      <c r="AL35" s="59">
        <f>IFERROR(__xludf.DUMMYFUNCTION("IMPORTRANGE(""1o73DJbLFLgOXztUGvACDAPJQLjK9m6M0LmAIH6HjOBg"",""2026-27!S3"")"),128.0)</f>
        <v>128</v>
      </c>
      <c r="AM35" s="59">
        <f>IFERROR(__xludf.DUMMYFUNCTION("IMPORTRANGE(""1o73DJbLFLgOXztUGvACDAPJQLjK9m6M0LmAIH6HjOBg"",""2026-27!T4"")"),0.0)</f>
        <v>0</v>
      </c>
      <c r="AN35" s="59">
        <f>IFERROR(__xludf.DUMMYFUNCTION("IMPORTRANGE(""1o73DJbLFLgOXztUGvACDAPJQLjK9m6M0LmAIH6HjOBg"",""2026-27!T3"")"),0.0)</f>
        <v>0</v>
      </c>
      <c r="AO35" s="62">
        <f t="shared" si="54"/>
        <v>0</v>
      </c>
      <c r="AP35" s="59">
        <f>IFERROR(__xludf.DUMMYFUNCTION("IMPORTRANGE(""1o73DJbLFLgOXztUGvACDAPJQLjK9m6M0LmAIH6HjOBg"",""2026-27!U4"")"),0.0)</f>
        <v>0</v>
      </c>
      <c r="AQ35" s="59">
        <f>IFERROR(__xludf.DUMMYFUNCTION("IMPORTRANGE(""1o73DJbLFLgOXztUGvACDAPJQLjK9m6M0LmAIH6HjOBg"",""2026-27!U3"")"),0.0)</f>
        <v>0</v>
      </c>
      <c r="AR35" s="59">
        <f>IFERROR(__xludf.DUMMYFUNCTION("IMPORTRANGE(""1o73DJbLFLgOXztUGvACDAPJQLjK9m6M0LmAIH6HjOBg"",""2026-27!V4"")"),0.0)</f>
        <v>0</v>
      </c>
      <c r="AS35" s="59">
        <f>IFERROR(__xludf.DUMMYFUNCTION("IMPORTRANGE(""1o73DJbLFLgOXztUGvACDAPJQLjK9m6M0LmAIH6HjOBg"",""2026-27!V3"")"),0.0)</f>
        <v>0</v>
      </c>
      <c r="AT35" s="59">
        <f>IFERROR(__xludf.DUMMYFUNCTION("IMPORTRANGE(""1o73DJbLFLgOXztUGvACDAPJQLjK9m6M0LmAIH6HjOBg"",""2026-27!W4"")"),0.0)</f>
        <v>0</v>
      </c>
      <c r="AU35" s="59">
        <f>IFERROR(__xludf.DUMMYFUNCTION("IMPORTRANGE(""1o73DJbLFLgOXztUGvACDAPJQLjK9m6M0LmAIH6HjOBg"",""2026-27!W3"")"),0.0)</f>
        <v>0</v>
      </c>
      <c r="AV35" s="62" t="str">
        <f t="shared" si="55"/>
        <v/>
      </c>
      <c r="AW35" s="59">
        <f>IFERROR(__xludf.DUMMYFUNCTION("IMPORTRANGE(""1o73DJbLFLgOXztUGvACDAPJQLjK9m6M0LmAIH6HjOBg"",""2026-27!X4"")"),0.0)</f>
        <v>0</v>
      </c>
      <c r="AX35" s="59">
        <f>IFERROR(__xludf.DUMMYFUNCTION("IMPORTRANGE(""1o73DJbLFLgOXztUGvACDAPJQLjK9m6M0LmAIH6HjOBg"",""2026-27!X3"")"),0.0)</f>
        <v>0</v>
      </c>
      <c r="AY35" s="59">
        <f>IFERROR(__xludf.DUMMYFUNCTION("IMPORTRANGE(""1o73DJbLFLgOXztUGvACDAPJQLjK9m6M0LmAIH6HjOBg"",""2026-27!Y4"")"),0.0)</f>
        <v>0</v>
      </c>
      <c r="AZ35" s="59">
        <f>IFERROR(__xludf.DUMMYFUNCTION("IMPORTRANGE(""1o73DJbLFLgOXztUGvACDAPJQLjK9m6M0LmAIH6HjOBg"",""2026-27!Y3"")"),0.0)</f>
        <v>0</v>
      </c>
      <c r="BA35" s="59">
        <f>IFERROR(__xludf.DUMMYFUNCTION("IMPORTRANGE(""1o73DJbLFLgOXztUGvACDAPJQLjK9m6M0LmAIH6HjOBg"",""2026-27!Z4"")"),0.0)</f>
        <v>0</v>
      </c>
      <c r="BB35" s="59">
        <f>IFERROR(__xludf.DUMMYFUNCTION("IMPORTRANGE(""1o73DJbLFLgOXztUGvACDAPJQLjK9m6M0LmAIH6HjOBg"",""2026-27!Z3"")"),0.0)</f>
        <v>0</v>
      </c>
      <c r="BC35" s="63" t="str">
        <f t="shared" si="56"/>
        <v/>
      </c>
      <c r="BD35" s="59">
        <f>IFERROR(__xludf.DUMMYFUNCTION("IMPORTRANGE(""1o73DJbLFLgOXztUGvACDAPJQLjK9m6M0LmAIH6HjOBg"",""2026-27!AA4"")"),0.0)</f>
        <v>0</v>
      </c>
      <c r="BE35" s="59">
        <f>IFERROR(__xludf.DUMMYFUNCTION("IMPORTRANGE(""1o73DJbLFLgOXztUGvACDAPJQLjK9m6M0LmAIH6HjOBg"",""2026-27!AA3"")"),0.0)</f>
        <v>0</v>
      </c>
      <c r="BF35" s="59">
        <f>IFERROR(__xludf.DUMMYFUNCTION("IMPORTRANGE(""1o73DJbLFLgOXztUGvACDAPJQLjK9m6M0LmAIH6HjOBg"",""2026-27!AB4"")"),0.0)</f>
        <v>0</v>
      </c>
      <c r="BG35" s="59">
        <f>IFERROR(__xludf.DUMMYFUNCTION("IMPORTRANGE(""1o73DJbLFLgOXztUGvACDAPJQLjK9m6M0LmAIH6HjOBg"",""2026-27!AB3"")"),0.0)</f>
        <v>0</v>
      </c>
      <c r="BH35" s="59">
        <f>IFERROR(__xludf.DUMMYFUNCTION("IMPORTRANGE(""1o73DJbLFLgOXztUGvACDAPJQLjK9m6M0LmAIH6HjOBg"",""2026-27!AC4"")"),0.0)</f>
        <v>0</v>
      </c>
      <c r="BI35" s="59">
        <f>IFERROR(__xludf.DUMMYFUNCTION("IMPORTRANGE(""1o73DJbLFLgOXztUGvACDAPJQLjK9m6M0LmAIH6HjOBg"",""2026-27!AC3"")"),0.0)</f>
        <v>0</v>
      </c>
      <c r="BJ35" s="63" t="str">
        <f t="shared" si="57"/>
        <v/>
      </c>
      <c r="BK35" s="59">
        <f>IFERROR(__xludf.DUMMYFUNCTION("IMPORTRANGE(""1o73DJbLFLgOXztUGvACDAPJQLjK9m6M0LmAIH6HjOBg"",""2026-27!AD4"")"),0.0)</f>
        <v>0</v>
      </c>
      <c r="BL35" s="59">
        <f>IFERROR(__xludf.DUMMYFUNCTION("IMPORTRANGE(""1o73DJbLFLgOXztUGvACDAPJQLjK9m6M0LmAIH6HjOBg"",""2026-27!AD3"")"),0.0)</f>
        <v>0</v>
      </c>
      <c r="BM35" s="59">
        <f>IFERROR(__xludf.DUMMYFUNCTION("IMPORTRANGE(""1o73DJbLFLgOXztUGvACDAPJQLjK9m6M0LmAIH6HjOBg"",""2026-27!AE4"")"),0.0)</f>
        <v>0</v>
      </c>
      <c r="BN35" s="59">
        <f>IFERROR(__xludf.DUMMYFUNCTION("IMPORTRANGE(""1o73DJbLFLgOXztUGvACDAPJQLjK9m6M0LmAIH6HjOBg"",""2026-27!AE3"")"),0.0)</f>
        <v>0</v>
      </c>
      <c r="BO35" s="59">
        <f>IFERROR(__xludf.DUMMYFUNCTION("IMPORTRANGE(""1o73DJbLFLgOXztUGvACDAPJQLjK9m6M0LmAIH6HjOBg"",""2026-27!AF4"")"),0.0)</f>
        <v>0</v>
      </c>
      <c r="BP35" s="59">
        <f>IFERROR(__xludf.DUMMYFUNCTION("IMPORTRANGE(""1o73DJbLFLgOXztUGvACDAPJQLjK9m6M0LmAIH6HjOBg"",""2026-27!AF3"")"),0.0)</f>
        <v>0</v>
      </c>
      <c r="BQ35" s="63" t="str">
        <f t="shared" si="58"/>
        <v/>
      </c>
      <c r="BR35" s="59">
        <f>IFERROR(__xludf.DUMMYFUNCTION("IMPORTRANGE(""1o73DJbLFLgOXztUGvACDAPJQLjK9m6M0LmAIH6HjOBg"",""2026-27!AG4"")"),0.0)</f>
        <v>0</v>
      </c>
      <c r="BS35" s="59">
        <f>IFERROR(__xludf.DUMMYFUNCTION("IMPORTRANGE(""1o73DJbLFLgOXztUGvACDAPJQLjK9m6M0LmAIH6HjOBg"",""2026-27!AG3"")"),0.0)</f>
        <v>0</v>
      </c>
      <c r="BT35" s="59">
        <f>IFERROR(__xludf.DUMMYFUNCTION("IMPORTRANGE(""1o73DJbLFLgOXztUGvACDAPJQLjK9m6M0LmAIH6HjOBg"",""2026-27!AH4"")"),0.0)</f>
        <v>0</v>
      </c>
      <c r="BU35" s="59">
        <f>IFERROR(__xludf.DUMMYFUNCTION("IMPORTRANGE(""1o73DJbLFLgOXztUGvACDAPJQLjK9m6M0LmAIH6HjOBg"",""2026-27!AH3"")"),0.0)</f>
        <v>0</v>
      </c>
      <c r="BV35" s="59">
        <f>IFERROR(__xludf.DUMMYFUNCTION("IMPORTRANGE(""1o73DJbLFLgOXztUGvACDAPJQLjK9m6M0LmAIH6HjOBg"",""2026-27!AI4"")"),0.0)</f>
        <v>0</v>
      </c>
      <c r="BW35" s="59">
        <f>IFERROR(__xludf.DUMMYFUNCTION("IMPORTRANGE(""1o73DJbLFLgOXztUGvACDAPJQLjK9m6M0LmAIH6HjOBg"",""2026-27!AI3"")"),0.0)</f>
        <v>0</v>
      </c>
      <c r="BX35" s="63" t="str">
        <f t="shared" si="59"/>
        <v/>
      </c>
      <c r="BY35" s="59">
        <f>IFERROR(__xludf.DUMMYFUNCTION("IMPORTRANGE(""1o73DJbLFLgOXztUGvACDAPJQLjK9m6M0LmAIH6HjOBg"",""2026-27!AJ4"")"),0.0)</f>
        <v>0</v>
      </c>
      <c r="BZ35" s="59">
        <f>IFERROR(__xludf.DUMMYFUNCTION("IMPORTRANGE(""1o73DJbLFLgOXztUGvACDAPJQLjK9m6M0LmAIH6HjOBg"",""2026-27!AJ3"")"),0.0)</f>
        <v>0</v>
      </c>
      <c r="CA35" s="59">
        <f>IFERROR(__xludf.DUMMYFUNCTION("IMPORTRANGE(""1o73DJbLFLgOXztUGvACDAPJQLjK9m6M0LmAIH6HjOBg"",""2026-27!AK4"")"),0.0)</f>
        <v>0</v>
      </c>
      <c r="CB35" s="59">
        <f>IFERROR(__xludf.DUMMYFUNCTION("IMPORTRANGE(""1o73DJbLFLgOXztUGvACDAPJQLjK9m6M0LmAIH6HjOBg"",""2026-27!AK3"")"),0.0)</f>
        <v>0</v>
      </c>
      <c r="CC35" s="59">
        <f>IFERROR(__xludf.DUMMYFUNCTION("IMPORTRANGE(""1o73DJbLFLgOXztUGvACDAPJQLjK9m6M0LmAIH6HjOBg"",""2026-27!AL4"")"),0.0)</f>
        <v>0</v>
      </c>
      <c r="CD35" s="59">
        <f>IFERROR(__xludf.DUMMYFUNCTION("IMPORTRANGE(""1o73DJbLFLgOXztUGvACDAPJQLjK9m6M0LmAIH6HjOBg"",""2026-27!AL3"")"),0.0)</f>
        <v>0</v>
      </c>
      <c r="CE35" s="63" t="str">
        <f t="shared" si="60"/>
        <v/>
      </c>
      <c r="CF35" s="59">
        <f>IFERROR(__xludf.DUMMYFUNCTION("IMPORTRANGE(""1o73DJbLFLgOXztUGvACDAPJQLjK9m6M0LmAIH6HjOBg"",""2026-27!AM4"")"),0.0)</f>
        <v>0</v>
      </c>
      <c r="CG35" s="59">
        <f>IFERROR(__xludf.DUMMYFUNCTION("IMPORTRANGE(""1o73DJbLFLgOXztUGvACDAPJQLjK9m6M0LmAIH6HjOBg"",""2026-27!AM3"")"),0.0)</f>
        <v>0</v>
      </c>
      <c r="CH35" s="59">
        <f>IFERROR(__xludf.DUMMYFUNCTION("IMPORTRANGE(""1o73DJbLFLgOXztUGvACDAPJQLjK9m6M0LmAIH6HjOBg"",""2026-27!AN4"")"),0.0)</f>
        <v>0</v>
      </c>
      <c r="CI35" s="59">
        <f>IFERROR(__xludf.DUMMYFUNCTION("IMPORTRANGE(""1o73DJbLFLgOXztUGvACDAPJQLjK9m6M0LmAIH6HjOBg"",""2026-27!AN3"")"),0.0)</f>
        <v>0</v>
      </c>
      <c r="CJ35" s="59">
        <f>IFERROR(__xludf.DUMMYFUNCTION("IMPORTRANGE(""1o73DJbLFLgOXztUGvACDAPJQLjK9m6M0LmAIH6HjOBg"",""2026-27!AO4"")"),0.0)</f>
        <v>0</v>
      </c>
      <c r="CK35" s="59">
        <f>IFERROR(__xludf.DUMMYFUNCTION("IMPORTRANGE(""1o73DJbLFLgOXztUGvACDAPJQLjK9m6M0LmAIH6HjOBg"",""2026-27!AO3"")"),0.0)</f>
        <v>0</v>
      </c>
      <c r="CL35" s="63" t="str">
        <f t="shared" si="61"/>
        <v/>
      </c>
      <c r="CM35" s="59">
        <f>IFERROR(__xludf.DUMMYFUNCTION("IMPORTRANGE(""1o73DJbLFLgOXztUGvACDAPJQLjK9m6M0LmAIH6HjOBg"",""2026-27!AP4"")"),0.0)</f>
        <v>0</v>
      </c>
      <c r="CN35" s="59">
        <f>IFERROR(__xludf.DUMMYFUNCTION("IMPORTRANGE(""1o73DJbLFLgOXztUGvACDAPJQLjK9m6M0LmAIH6HjOBg"",""2026-27!AP3"")"),0.0)</f>
        <v>0</v>
      </c>
      <c r="CO35" s="59">
        <f>IFERROR(__xludf.DUMMYFUNCTION("IMPORTRANGE(""1o73DJbLFLgOXztUGvACDAPJQLjK9m6M0LmAIH6HjOBg"",""2026-27!AQ4"")"),0.0)</f>
        <v>0</v>
      </c>
      <c r="CP35" s="59">
        <f>IFERROR(__xludf.DUMMYFUNCTION("IMPORTRANGE(""1o73DJbLFLgOXztUGvACDAPJQLjK9m6M0LmAIH6HjOBg"",""2026-27!AQ3"")"),0.0)</f>
        <v>0</v>
      </c>
      <c r="CQ35" s="59">
        <f>IFERROR(__xludf.DUMMYFUNCTION("IMPORTRANGE(""1o73DJbLFLgOXztUGvACDAPJQLjK9m6M0LmAIH6HjOBg"",""2026-27!AR4"")"),0.0)</f>
        <v>0</v>
      </c>
      <c r="CR35" s="59">
        <f>IFERROR(__xludf.DUMMYFUNCTION("IMPORTRANGE(""1o73DJbLFLgOXztUGvACDAPJQLjK9m6M0LmAIH6HjOBg"",""2026-27!AR3"")"),0.0)</f>
        <v>0</v>
      </c>
      <c r="CS35" s="63" t="str">
        <f t="shared" si="62"/>
        <v/>
      </c>
      <c r="CT35" s="59">
        <f>IFERROR(__xludf.DUMMYFUNCTION("IMPORTRANGE(""1o73DJbLFLgOXztUGvACDAPJQLjK9m6M0LmAIH6HjOBg"",""2026-27!AS4"")"),0.0)</f>
        <v>0</v>
      </c>
      <c r="CU35" s="59">
        <f>IFERROR(__xludf.DUMMYFUNCTION("IMPORTRANGE(""1o73DJbLFLgOXztUGvACDAPJQLjK9m6M0LmAIH6HjOBg"",""2026-27!AS3"")"),0.0)</f>
        <v>0</v>
      </c>
      <c r="CV35" s="64"/>
    </row>
    <row r="36">
      <c r="A36" s="1"/>
      <c r="B36" s="41"/>
      <c r="C36" s="68" t="s">
        <v>83</v>
      </c>
      <c r="D36" s="54" t="s">
        <v>84</v>
      </c>
      <c r="E36" s="54">
        <v>8.1118644E9</v>
      </c>
      <c r="F36" s="55">
        <v>45859.0</v>
      </c>
      <c r="G36" s="98"/>
      <c r="H36" s="98"/>
      <c r="I36" s="99">
        <v>51910.0</v>
      </c>
      <c r="J36" s="58">
        <v>825000.0</v>
      </c>
      <c r="K36" s="59"/>
      <c r="L36" s="59"/>
      <c r="M36" s="59"/>
      <c r="N36" s="60"/>
      <c r="O36" s="61"/>
      <c r="P36" s="59"/>
      <c r="Q36" s="59"/>
      <c r="R36" s="59"/>
      <c r="S36" s="59"/>
      <c r="T36" s="62"/>
      <c r="U36" s="59"/>
      <c r="V36" s="59"/>
      <c r="W36" s="59"/>
      <c r="X36" s="59"/>
      <c r="Y36" s="59"/>
      <c r="Z36" s="59"/>
      <c r="AA36" s="62"/>
      <c r="AB36" s="59"/>
      <c r="AC36" s="59"/>
      <c r="AD36" s="59"/>
      <c r="AE36" s="59"/>
      <c r="AF36" s="59"/>
      <c r="AG36" s="59"/>
      <c r="AH36" s="62"/>
      <c r="AI36" s="59"/>
      <c r="AJ36" s="59"/>
      <c r="AK36" s="59"/>
      <c r="AL36" s="59"/>
      <c r="AM36" s="59"/>
      <c r="AN36" s="59"/>
      <c r="AO36" s="62"/>
      <c r="AP36" s="59"/>
      <c r="AQ36" s="59"/>
      <c r="AR36" s="59"/>
      <c r="AS36" s="59"/>
      <c r="AT36" s="59"/>
      <c r="AU36" s="59"/>
      <c r="AV36" s="62"/>
      <c r="AW36" s="59"/>
      <c r="AX36" s="59"/>
      <c r="AY36" s="59"/>
      <c r="AZ36" s="59"/>
      <c r="BA36" s="59"/>
      <c r="BB36" s="59"/>
      <c r="BC36" s="63"/>
      <c r="BD36" s="59"/>
      <c r="BE36" s="59"/>
      <c r="BF36" s="59"/>
      <c r="BG36" s="59"/>
      <c r="BH36" s="59"/>
      <c r="BI36" s="59"/>
      <c r="BJ36" s="63"/>
      <c r="BK36" s="59"/>
      <c r="BL36" s="59"/>
      <c r="BM36" s="59"/>
      <c r="BN36" s="59"/>
      <c r="BO36" s="59"/>
      <c r="BP36" s="59"/>
      <c r="BQ36" s="63"/>
      <c r="BR36" s="59"/>
      <c r="BS36" s="59"/>
      <c r="BT36" s="59"/>
      <c r="BU36" s="59"/>
      <c r="BV36" s="59"/>
      <c r="BW36" s="59"/>
      <c r="BX36" s="63"/>
      <c r="BY36" s="59"/>
      <c r="BZ36" s="59"/>
      <c r="CA36" s="59"/>
      <c r="CB36" s="59"/>
      <c r="CC36" s="59"/>
      <c r="CD36" s="59"/>
      <c r="CE36" s="63"/>
      <c r="CF36" s="59"/>
      <c r="CG36" s="59"/>
      <c r="CH36" s="59"/>
      <c r="CI36" s="59"/>
      <c r="CJ36" s="59"/>
      <c r="CK36" s="59"/>
      <c r="CL36" s="63"/>
      <c r="CM36" s="59"/>
      <c r="CN36" s="59"/>
      <c r="CO36" s="59"/>
      <c r="CP36" s="59"/>
      <c r="CQ36" s="59"/>
      <c r="CR36" s="59"/>
      <c r="CS36" s="63"/>
      <c r="CT36" s="59"/>
      <c r="CU36" s="59"/>
      <c r="CV36" s="64"/>
    </row>
    <row r="37">
      <c r="A37" s="1" t="s">
        <v>72</v>
      </c>
      <c r="B37" s="41"/>
      <c r="C37" s="65" t="s">
        <v>85</v>
      </c>
      <c r="D37" s="69" t="s">
        <v>86</v>
      </c>
      <c r="E37" s="72">
        <v>8.15690004E9</v>
      </c>
      <c r="F37" s="70">
        <v>45933.0</v>
      </c>
      <c r="G37" s="66"/>
      <c r="H37" s="66"/>
      <c r="I37" s="74">
        <v>27000.0</v>
      </c>
      <c r="J37" s="58">
        <v>893750.0</v>
      </c>
      <c r="K37" s="59">
        <f>IFERROR(__xludf.DUMMYFUNCTION("IMPORTRANGE(""1ubsraNghFvZJ3YRRWKWb8P3SYuDS_RoIg08_j56vs68"",""2026-27!A3"")"),72.0)</f>
        <v>72</v>
      </c>
      <c r="L37" s="59">
        <f>IFERROR(__xludf.DUMMYFUNCTION("IMPORTRANGE(""1ubsraNghFvZJ3YRRWKWb8P3SYuDS_RoIg08_j56vs68"",""2026-27!G4"")"),1.625E7)</f>
        <v>16250000</v>
      </c>
      <c r="M37" s="59">
        <f t="shared" ref="M37:M44" si="63">R37+Y37+AF37+AM37+AT37+BA37+BH37+BO37+BV37+CC37+CJ37+CQ37</f>
        <v>2063123.04</v>
      </c>
      <c r="N37" s="60">
        <f t="shared" ref="N37:N44" si="64">iferror(O37/L37,"")</f>
        <v>0.03982508062</v>
      </c>
      <c r="O37" s="61">
        <f t="shared" ref="O37:O44" si="65">U37+AB37+AI37+AP37+AW37+BD37+BK37+BR37+BY37+CF37+CM37+CT37</f>
        <v>647157.56</v>
      </c>
      <c r="P37" s="59">
        <f>IFERROR(__xludf.DUMMYFUNCTION("IMPORTRANGE(""1ubsraNghFvZJ3YRRWKWb8P3SYuDS_RoIg08_j56vs68"",""2026-27!J4"")"),1693375.0)</f>
        <v>1693375</v>
      </c>
      <c r="Q37" s="59">
        <f>IFERROR(__xludf.DUMMYFUNCTION("IMPORTRANGE(""1ubsraNghFvZJ3YRRWKWb8P3SYuDS_RoIg08_j56vs68"",""2026-27!J3"")"),67.0)</f>
        <v>67</v>
      </c>
      <c r="R37" s="59">
        <f>IFERROR(__xludf.DUMMYFUNCTION("IMPORTRANGE(""1ubsraNghFvZJ3YRRWKWb8P3SYuDS_RoIg08_j56vs68"",""2026-27!K4"")"),469120.8)</f>
        <v>469120.8</v>
      </c>
      <c r="S37" s="59">
        <f>IFERROR(__xludf.DUMMYFUNCTION("IMPORTRANGE(""1ubsraNghFvZJ3YRRWKWb8P3SYuDS_RoIg08_j56vs68"",""2026-27!K3"")"),11.0)</f>
        <v>11</v>
      </c>
      <c r="T37" s="62">
        <f t="shared" ref="T37:T44" si="66">IFERROR((U37/P37),"")</f>
        <v>0.09191880121</v>
      </c>
      <c r="U37" s="59">
        <f>IFERROR(__xludf.DUMMYFUNCTION("IMPORTRANGE(""1ubsraNghFvZJ3YRRWKWb8P3SYuDS_RoIg08_j56vs68"",""2026-27!L4"")"),155653.0)</f>
        <v>155653</v>
      </c>
      <c r="V37" s="59">
        <f>IFERROR(__xludf.DUMMYFUNCTION("IMPORTRANGE(""1ubsraNghFvZJ3YRRWKWb8P3SYuDS_RoIg08_j56vs68"",""2026-27!L3"")"),12.0)</f>
        <v>12</v>
      </c>
      <c r="W37" s="59">
        <f>IFERROR(__xludf.DUMMYFUNCTION("IMPORTRANGE(""1ubsraNghFvZJ3YRRWKWb8P3SYuDS_RoIg08_j56vs68"",""2026-27!m4"")"),1560000.0)</f>
        <v>1560000</v>
      </c>
      <c r="X37" s="59">
        <f>IFERROR(__xludf.DUMMYFUNCTION("IMPORTRANGE(""1ubsraNghFvZJ3YRRWKWb8P3SYuDS_RoIg08_j56vs68"",""2026-27!m3"")"),65.0)</f>
        <v>65</v>
      </c>
      <c r="Y37" s="59">
        <f>IFERROR(__xludf.DUMMYFUNCTION("IMPORTRANGE(""1ubsraNghFvZJ3YRRWKWb8P3SYuDS_RoIg08_j56vs68"",""2026-27!N4"")"),436435.43999999994)</f>
        <v>436435.44</v>
      </c>
      <c r="Z37" s="59">
        <f>IFERROR(__xludf.DUMMYFUNCTION("IMPORTRANGE(""1ubsraNghFvZJ3YRRWKWb8P3SYuDS_RoIg08_j56vs68"",""2026-27!N3"")"),19.0)</f>
        <v>19</v>
      </c>
      <c r="AA37" s="62">
        <f t="shared" ref="AA37:AA44" si="67">IFERROR((AB37/W37),"")</f>
        <v>0.3150670256</v>
      </c>
      <c r="AB37" s="59">
        <f>IFERROR(__xludf.DUMMYFUNCTION("IMPORTRANGE(""1ubsraNghFvZJ3YRRWKWb8P3SYuDS_RoIg08_j56vs68"",""2026-27!O4"")"),491504.56)</f>
        <v>491504.56</v>
      </c>
      <c r="AC37" s="59">
        <f>IFERROR(__xludf.DUMMYFUNCTION("IMPORTRANGE(""1ubsraNghFvZJ3YRRWKWb8P3SYuDS_RoIg08_j56vs68"",""2026-27!O3"")"),25.0)</f>
        <v>25</v>
      </c>
      <c r="AD37" s="59">
        <f>IFERROR(__xludf.DUMMYFUNCTION("IMPORTRANGE(""1ubsraNghFvZJ3YRRWKWb8P3SYuDS_RoIg08_j56vs68"",""2026-27!P4"")"),1560000.0)</f>
        <v>1560000</v>
      </c>
      <c r="AE37" s="59">
        <f>IFERROR(__xludf.DUMMYFUNCTION("IMPORTRANGE(""1ubsraNghFvZJ3YRRWKWb8P3SYuDS_RoIg08_j56vs68"",""2026-27!P3"")"),69.0)</f>
        <v>69</v>
      </c>
      <c r="AF37" s="59">
        <f>IFERROR(__xludf.DUMMYFUNCTION("IMPORTRANGE(""1ubsraNghFvZJ3YRRWKWb8P3SYuDS_RoIg08_j56vs68"",""2026-27!Q4"")"),1157566.8)</f>
        <v>1157566.8</v>
      </c>
      <c r="AG37" s="59">
        <f>IFERROR(__xludf.DUMMYFUNCTION("IMPORTRANGE(""1ubsraNghFvZJ3YRRWKWb8P3SYuDS_RoIg08_j56vs68"",""2026-27!Q3"")"),32.0)</f>
        <v>32</v>
      </c>
      <c r="AH37" s="62">
        <f t="shared" ref="AH37:AH44" si="68">IFERROR((AI37/AD37),"")</f>
        <v>0</v>
      </c>
      <c r="AI37" s="59">
        <f>IFERROR(__xludf.DUMMYFUNCTION("IMPORTRANGE(""1ubsraNghFvZJ3YRRWKWb8P3SYuDS_RoIg08_j56vs68"",""2026-27!R4"")"),0.0)</f>
        <v>0</v>
      </c>
      <c r="AJ37" s="59">
        <f>IFERROR(__xludf.DUMMYFUNCTION("IMPORTRANGE(""1ubsraNghFvZJ3YRRWKWb8P3SYuDS_RoIg08_j56vs68"",""2026-27!R3"")"),0.0)</f>
        <v>0</v>
      </c>
      <c r="AK37" s="59">
        <f>IFERROR(__xludf.DUMMYFUNCTION("IMPORTRANGE(""1ubsraNghFvZJ3YRRWKWb8P3SYuDS_RoIg08_j56vs68"",""2026-27!S4"")"),0.0)</f>
        <v>0</v>
      </c>
      <c r="AL37" s="59">
        <f>IFERROR(__xludf.DUMMYFUNCTION("IMPORTRANGE(""1ubsraNghFvZJ3YRRWKWb8P3SYuDS_RoIg08_j56vs68"",""2026-27!S3"")"),0.0)</f>
        <v>0</v>
      </c>
      <c r="AM37" s="59">
        <f>IFERROR(__xludf.DUMMYFUNCTION("IMPORTRANGE(""1ubsraNghFvZJ3YRRWKWb8P3SYuDS_RoIg08_j56vs68"",""2026-27!T4"")"),0.0)</f>
        <v>0</v>
      </c>
      <c r="AN37" s="59">
        <f>IFERROR(__xludf.DUMMYFUNCTION("IMPORTRANGE(""1ubsraNghFvZJ3YRRWKWb8P3SYuDS_RoIg08_j56vs68"",""2026-27!T3"")"),0.0)</f>
        <v>0</v>
      </c>
      <c r="AO37" s="62" t="str">
        <f t="shared" ref="AO37:AO44" si="69">IFERROR((AP37/AK37),"")</f>
        <v/>
      </c>
      <c r="AP37" s="59">
        <f>IFERROR(__xludf.DUMMYFUNCTION("IMPORTRANGE(""1ubsraNghFvZJ3YRRWKWb8P3SYuDS_RoIg08_j56vs68"",""2026-27!U4"")"),0.0)</f>
        <v>0</v>
      </c>
      <c r="AQ37" s="59">
        <f>IFERROR(__xludf.DUMMYFUNCTION("IMPORTRANGE(""1ubsraNghFvZJ3YRRWKWb8P3SYuDS_RoIg08_j56vs68"",""2026-27!U3"")"),0.0)</f>
        <v>0</v>
      </c>
      <c r="AR37" s="59">
        <f>IFERROR(__xludf.DUMMYFUNCTION("IMPORTRANGE(""1ubsraNghFvZJ3YRRWKWb8P3SYuDS_RoIg08_j56vs68"",""2026-27!V4"")"),0.0)</f>
        <v>0</v>
      </c>
      <c r="AS37" s="59">
        <f>IFERROR(__xludf.DUMMYFUNCTION("IMPORTRANGE(""1ubsraNghFvZJ3YRRWKWb8P3SYuDS_RoIg08_j56vs68"",""2026-27!V3"")"),0.0)</f>
        <v>0</v>
      </c>
      <c r="AT37" s="59">
        <f>IFERROR(__xludf.DUMMYFUNCTION("IMPORTRANGE(""1ubsraNghFvZJ3YRRWKWb8P3SYuDS_RoIg08_j56vs68"",""2026-27!W4"")"),0.0)</f>
        <v>0</v>
      </c>
      <c r="AU37" s="59">
        <f>IFERROR(__xludf.DUMMYFUNCTION("IMPORTRANGE(""1ubsraNghFvZJ3YRRWKWb8P3SYuDS_RoIg08_j56vs68"",""2026-27!W3"")"),0.0)</f>
        <v>0</v>
      </c>
      <c r="AV37" s="62" t="str">
        <f t="shared" ref="AV37:AV44" si="70">IFERROR((AW37/AR37),"")</f>
        <v/>
      </c>
      <c r="AW37" s="59">
        <f>IFERROR(__xludf.DUMMYFUNCTION("IMPORTRANGE(""1ubsraNghFvZJ3YRRWKWb8P3SYuDS_RoIg08_j56vs68"",""2026-27!X4"")"),0.0)</f>
        <v>0</v>
      </c>
      <c r="AX37" s="59">
        <f>IFERROR(__xludf.DUMMYFUNCTION("IMPORTRANGE(""1ubsraNghFvZJ3YRRWKWb8P3SYuDS_RoIg08_j56vs68"",""2026-27!X3"")"),0.0)</f>
        <v>0</v>
      </c>
      <c r="AY37" s="59">
        <f>IFERROR(__xludf.DUMMYFUNCTION("IMPORTRANGE(""1ubsraNghFvZJ3YRRWKWb8P3SYuDS_RoIg08_j56vs68"",""2026-27!Y4"")"),0.0)</f>
        <v>0</v>
      </c>
      <c r="AZ37" s="59">
        <f>IFERROR(__xludf.DUMMYFUNCTION("IMPORTRANGE(""1ubsraNghFvZJ3YRRWKWb8P3SYuDS_RoIg08_j56vs68"",""2026-27!Y3"")"),0.0)</f>
        <v>0</v>
      </c>
      <c r="BA37" s="59">
        <f>IFERROR(__xludf.DUMMYFUNCTION("IMPORTRANGE(""1ubsraNghFvZJ3YRRWKWb8P3SYuDS_RoIg08_j56vs68"",""2026-27!Z4"")"),0.0)</f>
        <v>0</v>
      </c>
      <c r="BB37" s="59">
        <f>IFERROR(__xludf.DUMMYFUNCTION("IMPORTRANGE(""1ubsraNghFvZJ3YRRWKWb8P3SYuDS_RoIg08_j56vs68"",""2026-27!Z3"")"),0.0)</f>
        <v>0</v>
      </c>
      <c r="BC37" s="63" t="str">
        <f t="shared" ref="BC37:BC44" si="71">IFERROR((BD37/AY37),"")</f>
        <v/>
      </c>
      <c r="BD37" s="59">
        <f>IFERROR(__xludf.DUMMYFUNCTION("IMPORTRANGE(""1ubsraNghFvZJ3YRRWKWb8P3SYuDS_RoIg08_j56vs68"",""2026-27!AA4"")"),0.0)</f>
        <v>0</v>
      </c>
      <c r="BE37" s="59">
        <f>IFERROR(__xludf.DUMMYFUNCTION("IMPORTRANGE(""1ubsraNghFvZJ3YRRWKWb8P3SYuDS_RoIg08_j56vs68"",""2026-27!AA3"")"),0.0)</f>
        <v>0</v>
      </c>
      <c r="BF37" s="59">
        <f>IFERROR(__xludf.DUMMYFUNCTION("IMPORTRANGE(""1ubsraNghFvZJ3YRRWKWb8P3SYuDS_RoIg08_j56vs68"",""2026-27!AB4"")"),0.0)</f>
        <v>0</v>
      </c>
      <c r="BG37" s="59">
        <f>IFERROR(__xludf.DUMMYFUNCTION("IMPORTRANGE(""1ubsraNghFvZJ3YRRWKWb8P3SYuDS_RoIg08_j56vs68"",""2026-27!AB3"")"),0.0)</f>
        <v>0</v>
      </c>
      <c r="BH37" s="59">
        <f>IFERROR(__xludf.DUMMYFUNCTION("IMPORTRANGE(""1ubsraNghFvZJ3YRRWKWb8P3SYuDS_RoIg08_j56vs68"",""2026-27!AC4"")"),0.0)</f>
        <v>0</v>
      </c>
      <c r="BI37" s="59">
        <f>IFERROR(__xludf.DUMMYFUNCTION("IMPORTRANGE(""1ubsraNghFvZJ3YRRWKWb8P3SYuDS_RoIg08_j56vs68"",""2026-27!AC3"")"),0.0)</f>
        <v>0</v>
      </c>
      <c r="BJ37" s="63" t="str">
        <f t="shared" ref="BJ37:BJ44" si="72">IFERROR((BK37/BF37),"")</f>
        <v/>
      </c>
      <c r="BK37" s="59">
        <f>IFERROR(__xludf.DUMMYFUNCTION("IMPORTRANGE(""1ubsraNghFvZJ3YRRWKWb8P3SYuDS_RoIg08_j56vs68"",""2026-27!AD4"")"),0.0)</f>
        <v>0</v>
      </c>
      <c r="BL37" s="59">
        <f>IFERROR(__xludf.DUMMYFUNCTION("IMPORTRANGE(""1ubsraNghFvZJ3YRRWKWb8P3SYuDS_RoIg08_j56vs68"",""2026-27!AD3"")"),0.0)</f>
        <v>0</v>
      </c>
      <c r="BM37" s="59">
        <f>IFERROR(__xludf.DUMMYFUNCTION("IMPORTRANGE(""1ubsraNghFvZJ3YRRWKWb8P3SYuDS_RoIg08_j56vs68"",""2026-27!AE4"")"),0.0)</f>
        <v>0</v>
      </c>
      <c r="BN37" s="59">
        <f>IFERROR(__xludf.DUMMYFUNCTION("IMPORTRANGE(""1ubsraNghFvZJ3YRRWKWb8P3SYuDS_RoIg08_j56vs68"",""2026-27!AE3"")"),0.0)</f>
        <v>0</v>
      </c>
      <c r="BO37" s="59">
        <f>IFERROR(__xludf.DUMMYFUNCTION("IMPORTRANGE(""1ubsraNghFvZJ3YRRWKWb8P3SYuDS_RoIg08_j56vs68"",""2026-27!AF4"")"),0.0)</f>
        <v>0</v>
      </c>
      <c r="BP37" s="59">
        <f>IFERROR(__xludf.DUMMYFUNCTION("IMPORTRANGE(""1ubsraNghFvZJ3YRRWKWb8P3SYuDS_RoIg08_j56vs68"",""2026-27!AF3"")"),0.0)</f>
        <v>0</v>
      </c>
      <c r="BQ37" s="63" t="str">
        <f t="shared" ref="BQ37:BQ44" si="73">IFERROR((BR37/BM37),"")</f>
        <v/>
      </c>
      <c r="BR37" s="59">
        <f>IFERROR(__xludf.DUMMYFUNCTION("IMPORTRANGE(""1ubsraNghFvZJ3YRRWKWb8P3SYuDS_RoIg08_j56vs68"",""2026-27!AG4"")"),0.0)</f>
        <v>0</v>
      </c>
      <c r="BS37" s="59">
        <f>IFERROR(__xludf.DUMMYFUNCTION("IMPORTRANGE(""1ubsraNghFvZJ3YRRWKWb8P3SYuDS_RoIg08_j56vs68"",""2026-27!AG3"")"),0.0)</f>
        <v>0</v>
      </c>
      <c r="BT37" s="59">
        <f>IFERROR(__xludf.DUMMYFUNCTION("IMPORTRANGE(""1ubsraNghFvZJ3YRRWKWb8P3SYuDS_RoIg08_j56vs68"",""2026-27!AH4"")"),0.0)</f>
        <v>0</v>
      </c>
      <c r="BU37" s="59">
        <f>IFERROR(__xludf.DUMMYFUNCTION("IMPORTRANGE(""1ubsraNghFvZJ3YRRWKWb8P3SYuDS_RoIg08_j56vs68"",""2026-27!AH3"")"),0.0)</f>
        <v>0</v>
      </c>
      <c r="BV37" s="59">
        <f>IFERROR(__xludf.DUMMYFUNCTION("IMPORTRANGE(""1ubsraNghFvZJ3YRRWKWb8P3SYuDS_RoIg08_j56vs68"",""2026-27!AI4"")"),0.0)</f>
        <v>0</v>
      </c>
      <c r="BW37" s="59">
        <f>IFERROR(__xludf.DUMMYFUNCTION("IMPORTRANGE(""1ubsraNghFvZJ3YRRWKWb8P3SYuDS_RoIg08_j56vs68"",""2026-27!AI3"")"),0.0)</f>
        <v>0</v>
      </c>
      <c r="BX37" s="63" t="str">
        <f t="shared" ref="BX37:BX44" si="74">IFERROR((BY37/BT37),"")</f>
        <v/>
      </c>
      <c r="BY37" s="59">
        <f>IFERROR(__xludf.DUMMYFUNCTION("IMPORTRANGE(""1ubsraNghFvZJ3YRRWKWb8P3SYuDS_RoIg08_j56vs68"",""2026-27!AJ4"")"),0.0)</f>
        <v>0</v>
      </c>
      <c r="BZ37" s="59">
        <f>IFERROR(__xludf.DUMMYFUNCTION("IMPORTRANGE(""1ubsraNghFvZJ3YRRWKWb8P3SYuDS_RoIg08_j56vs68"",""2026-27!AJ3"")"),0.0)</f>
        <v>0</v>
      </c>
      <c r="CA37" s="59">
        <f>IFERROR(__xludf.DUMMYFUNCTION("IMPORTRANGE(""1ubsraNghFvZJ3YRRWKWb8P3SYuDS_RoIg08_j56vs68"",""2026-27!AK4"")"),0.0)</f>
        <v>0</v>
      </c>
      <c r="CB37" s="59">
        <f>IFERROR(__xludf.DUMMYFUNCTION("IMPORTRANGE(""1ubsraNghFvZJ3YRRWKWb8P3SYuDS_RoIg08_j56vs68"",""2026-27!AK3"")"),0.0)</f>
        <v>0</v>
      </c>
      <c r="CC37" s="59">
        <f>IFERROR(__xludf.DUMMYFUNCTION("IMPORTRANGE(""1ubsraNghFvZJ3YRRWKWb8P3SYuDS_RoIg08_j56vs68"",""2026-27!AL4"")"),0.0)</f>
        <v>0</v>
      </c>
      <c r="CD37" s="59">
        <f>IFERROR(__xludf.DUMMYFUNCTION("IMPORTRANGE(""1ubsraNghFvZJ3YRRWKWb8P3SYuDS_RoIg08_j56vs68"",""2026-27!AL3"")"),0.0)</f>
        <v>0</v>
      </c>
      <c r="CE37" s="63" t="str">
        <f t="shared" ref="CE37:CE44" si="75">IFERROR((CF37/CA37),"")</f>
        <v/>
      </c>
      <c r="CF37" s="59">
        <f>IFERROR(__xludf.DUMMYFUNCTION("IMPORTRANGE(""1ubsraNghFvZJ3YRRWKWb8P3SYuDS_RoIg08_j56vs68"",""2026-27!AM4"")"),0.0)</f>
        <v>0</v>
      </c>
      <c r="CG37" s="59">
        <f>IFERROR(__xludf.DUMMYFUNCTION("IMPORTRANGE(""1ubsraNghFvZJ3YRRWKWb8P3SYuDS_RoIg08_j56vs68"",""2026-27!AM3"")"),0.0)</f>
        <v>0</v>
      </c>
      <c r="CH37" s="59">
        <f>IFERROR(__xludf.DUMMYFUNCTION("IMPORTRANGE(""1ubsraNghFvZJ3YRRWKWb8P3SYuDS_RoIg08_j56vs68"",""2026-27!AN4"")"),0.0)</f>
        <v>0</v>
      </c>
      <c r="CI37" s="59">
        <f>IFERROR(__xludf.DUMMYFUNCTION("IMPORTRANGE(""1ubsraNghFvZJ3YRRWKWb8P3SYuDS_RoIg08_j56vs68"",""2026-27!AN3"")"),0.0)</f>
        <v>0</v>
      </c>
      <c r="CJ37" s="59">
        <f>IFERROR(__xludf.DUMMYFUNCTION("IMPORTRANGE(""1ubsraNghFvZJ3YRRWKWb8P3SYuDS_RoIg08_j56vs68"",""2026-27!AO4"")"),0.0)</f>
        <v>0</v>
      </c>
      <c r="CK37" s="59">
        <f>IFERROR(__xludf.DUMMYFUNCTION("IMPORTRANGE(""1ubsraNghFvZJ3YRRWKWb8P3SYuDS_RoIg08_j56vs68"",""2026-27!AO3"")"),0.0)</f>
        <v>0</v>
      </c>
      <c r="CL37" s="63" t="str">
        <f t="shared" ref="CL37:CL44" si="76">IFERROR((CM37/CH37),"")</f>
        <v/>
      </c>
      <c r="CM37" s="59">
        <f>IFERROR(__xludf.DUMMYFUNCTION("IMPORTRANGE(""1ubsraNghFvZJ3YRRWKWb8P3SYuDS_RoIg08_j56vs68"",""2026-27!AP4"")"),0.0)</f>
        <v>0</v>
      </c>
      <c r="CN37" s="59">
        <f>IFERROR(__xludf.DUMMYFUNCTION("IMPORTRANGE(""1ubsraNghFvZJ3YRRWKWb8P3SYuDS_RoIg08_j56vs68"",""2026-27!AP3"")"),0.0)</f>
        <v>0</v>
      </c>
      <c r="CO37" s="59">
        <f>IFERROR(__xludf.DUMMYFUNCTION("IMPORTRANGE(""1ubsraNghFvZJ3YRRWKWb8P3SYuDS_RoIg08_j56vs68"",""2026-27!AQ4"")"),0.0)</f>
        <v>0</v>
      </c>
      <c r="CP37" s="59">
        <f>IFERROR(__xludf.DUMMYFUNCTION("IMPORTRANGE(""1ubsraNghFvZJ3YRRWKWb8P3SYuDS_RoIg08_j56vs68"",""2026-27!AQ3"")"),0.0)</f>
        <v>0</v>
      </c>
      <c r="CQ37" s="59">
        <f>IFERROR(__xludf.DUMMYFUNCTION("IMPORTRANGE(""1ubsraNghFvZJ3YRRWKWb8P3SYuDS_RoIg08_j56vs68"",""2026-27!AR4"")"),0.0)</f>
        <v>0</v>
      </c>
      <c r="CR37" s="59">
        <f>IFERROR(__xludf.DUMMYFUNCTION("IMPORTRANGE(""1ubsraNghFvZJ3YRRWKWb8P3SYuDS_RoIg08_j56vs68"",""2026-27!AR3"")"),0.0)</f>
        <v>0</v>
      </c>
      <c r="CS37" s="63" t="str">
        <f t="shared" ref="CS37:CS44" si="77">IFERROR((CT37/CO37),"")</f>
        <v/>
      </c>
      <c r="CT37" s="59">
        <f>IFERROR(__xludf.DUMMYFUNCTION("IMPORTRANGE(""1ubsraNghFvZJ3YRRWKWb8P3SYuDS_RoIg08_j56vs68"",""2026-27!AS4"")"),0.0)</f>
        <v>0</v>
      </c>
      <c r="CU37" s="59">
        <f>IFERROR(__xludf.DUMMYFUNCTION("IMPORTRANGE(""1ubsraNghFvZJ3YRRWKWb8P3SYuDS_RoIg08_j56vs68"",""2026-27!AS3"")"),0.0)</f>
        <v>0</v>
      </c>
      <c r="CV37" s="64"/>
    </row>
    <row r="38">
      <c r="A38" s="1" t="s">
        <v>72</v>
      </c>
      <c r="B38" s="41"/>
      <c r="C38" s="100" t="s">
        <v>87</v>
      </c>
      <c r="D38" s="53" t="s">
        <v>88</v>
      </c>
      <c r="E38" s="54">
        <v>9.551555303E9</v>
      </c>
      <c r="F38" s="55">
        <v>44046.0</v>
      </c>
      <c r="G38" s="66"/>
      <c r="H38" s="66"/>
      <c r="I38" s="57">
        <v>40380.0</v>
      </c>
      <c r="J38" s="58">
        <v>1875000.0</v>
      </c>
      <c r="K38" s="59">
        <f>IFERROR(__xludf.DUMMYFUNCTION("IMPORTRANGE(""1zTUZyCgpe5SHmuI9FrQBt0ogwnCca-y-tNqbAVBNwKA"",""2026-27!A3"")"),107.0)</f>
        <v>107</v>
      </c>
      <c r="L38" s="59">
        <f>IFERROR(__xludf.DUMMYFUNCTION("IMPORTRANGE(""1zTUZyCgpe5SHmuI9FrQBt0ogwnCca-y-tNqbAVBNwKA"",""2026-27!G4"")"),2.334E7)</f>
        <v>23340000</v>
      </c>
      <c r="M38" s="59">
        <f t="shared" si="63"/>
        <v>4493312.44</v>
      </c>
      <c r="N38" s="60">
        <f t="shared" si="64"/>
        <v>0.1959578282</v>
      </c>
      <c r="O38" s="61">
        <f t="shared" si="65"/>
        <v>4573655.71</v>
      </c>
      <c r="P38" s="59">
        <f>IFERROR(__xludf.DUMMYFUNCTION("IMPORTRANGE(""1zTUZyCgpe5SHmuI9FrQBt0ogwnCca-y-tNqbAVBNwKA"",""2026-27!J4"")"),1945000.0)</f>
        <v>1945000</v>
      </c>
      <c r="Q38" s="59">
        <f>IFERROR(__xludf.DUMMYFUNCTION("IMPORTRANGE(""1zTUZyCgpe5SHmuI9FrQBt0ogwnCca-y-tNqbAVBNwKA"",""2026-27!J3"")"),96.0)</f>
        <v>96</v>
      </c>
      <c r="R38" s="59">
        <f>IFERROR(__xludf.DUMMYFUNCTION("IMPORTRANGE(""1zTUZyCgpe5SHmuI9FrQBt0ogwnCca-y-tNqbAVBNwKA"",""2026-27!K4"")"),1458529.6)</f>
        <v>1458529.6</v>
      </c>
      <c r="S38" s="59">
        <f>IFERROR(__xludf.DUMMYFUNCTION("IMPORTRANGE(""1zTUZyCgpe5SHmuI9FrQBt0ogwnCca-y-tNqbAVBNwKA"",""2026-27!K3"")"),41.0)</f>
        <v>41</v>
      </c>
      <c r="T38" s="62">
        <f t="shared" si="66"/>
        <v>0.7844449357</v>
      </c>
      <c r="U38" s="59">
        <f>IFERROR(__xludf.DUMMYFUNCTION("IMPORTRANGE(""1zTUZyCgpe5SHmuI9FrQBt0ogwnCca-y-tNqbAVBNwKA"",""2026-27!L4"")"),1525745.4000000004)</f>
        <v>1525745.4</v>
      </c>
      <c r="V38" s="59">
        <f>IFERROR(__xludf.DUMMYFUNCTION("IMPORTRANGE(""1zTUZyCgpe5SHmuI9FrQBt0ogwnCca-y-tNqbAVBNwKA"",""2026-27!L3"")"),46.0)</f>
        <v>46</v>
      </c>
      <c r="W38" s="59">
        <f>IFERROR(__xludf.DUMMYFUNCTION("IMPORTRANGE(""1zTUZyCgpe5SHmuI9FrQBt0ogwnCca-y-tNqbAVBNwKA"",""2026-27!m4"")"),1945000.0)</f>
        <v>1945000</v>
      </c>
      <c r="X38" s="59">
        <f>IFERROR(__xludf.DUMMYFUNCTION("IMPORTRANGE(""1zTUZyCgpe5SHmuI9FrQBt0ogwnCca-y-tNqbAVBNwKA"",""2026-27!m3"")"),96.0)</f>
        <v>96</v>
      </c>
      <c r="Y38" s="59">
        <f>IFERROR(__xludf.DUMMYFUNCTION("IMPORTRANGE(""1zTUZyCgpe5SHmuI9FrQBt0ogwnCca-y-tNqbAVBNwKA"",""2026-27!N4"")"),1580451.9499999997)</f>
        <v>1580451.95</v>
      </c>
      <c r="Z38" s="59">
        <f>IFERROR(__xludf.DUMMYFUNCTION("IMPORTRANGE(""1zTUZyCgpe5SHmuI9FrQBt0ogwnCca-y-tNqbAVBNwKA"",""2026-27!N3"")"),37.0)</f>
        <v>37</v>
      </c>
      <c r="AA38" s="62">
        <f t="shared" si="67"/>
        <v>0.8141057429</v>
      </c>
      <c r="AB38" s="59">
        <f>IFERROR(__xludf.DUMMYFUNCTION("IMPORTRANGE(""1zTUZyCgpe5SHmuI9FrQBt0ogwnCca-y-tNqbAVBNwKA"",""2026-27!O4"")"),1583435.6700000004)</f>
        <v>1583435.67</v>
      </c>
      <c r="AC38" s="59">
        <f>IFERROR(__xludf.DUMMYFUNCTION("IMPORTRANGE(""1zTUZyCgpe5SHmuI9FrQBt0ogwnCca-y-tNqbAVBNwKA"",""2026-27!O3"")"),39.0)</f>
        <v>39</v>
      </c>
      <c r="AD38" s="59">
        <f>IFERROR(__xludf.DUMMYFUNCTION("IMPORTRANGE(""1zTUZyCgpe5SHmuI9FrQBt0ogwnCca-y-tNqbAVBNwKA"",""2026-27!P4"")"),1945000.0)</f>
        <v>1945000</v>
      </c>
      <c r="AE38" s="59">
        <f>IFERROR(__xludf.DUMMYFUNCTION("IMPORTRANGE(""1zTUZyCgpe5SHmuI9FrQBt0ogwnCca-y-tNqbAVBNwKA"",""2026-27!P3"")"),97.0)</f>
        <v>97</v>
      </c>
      <c r="AF38" s="59">
        <f>IFERROR(__xludf.DUMMYFUNCTION("IMPORTRANGE(""1zTUZyCgpe5SHmuI9FrQBt0ogwnCca-y-tNqbAVBNwKA"",""2026-27!Q4"")"),1454330.89)</f>
        <v>1454330.89</v>
      </c>
      <c r="AG38" s="59">
        <f>IFERROR(__xludf.DUMMYFUNCTION("IMPORTRANGE(""1zTUZyCgpe5SHmuI9FrQBt0ogwnCca-y-tNqbAVBNwKA"",""2026-27!Q3"")"),39.0)</f>
        <v>39</v>
      </c>
      <c r="AH38" s="62">
        <f t="shared" si="68"/>
        <v>0.7529432596</v>
      </c>
      <c r="AI38" s="59">
        <f>IFERROR(__xludf.DUMMYFUNCTION("IMPORTRANGE(""1zTUZyCgpe5SHmuI9FrQBt0ogwnCca-y-tNqbAVBNwKA"",""2026-27!R4"")"),1464474.64)</f>
        <v>1464474.64</v>
      </c>
      <c r="AJ38" s="59">
        <f>IFERROR(__xludf.DUMMYFUNCTION("IMPORTRANGE(""1zTUZyCgpe5SHmuI9FrQBt0ogwnCca-y-tNqbAVBNwKA"",""2026-27!R3"")"),39.0)</f>
        <v>39</v>
      </c>
      <c r="AK38" s="59">
        <f>IFERROR(__xludf.DUMMYFUNCTION("IMPORTRANGE(""1zTUZyCgpe5SHmuI9FrQBt0ogwnCca-y-tNqbAVBNwKA"",""2026-27!S4"")"),0.0)</f>
        <v>0</v>
      </c>
      <c r="AL38" s="59">
        <f>IFERROR(__xludf.DUMMYFUNCTION("IMPORTRANGE(""1zTUZyCgpe5SHmuI9FrQBt0ogwnCca-y-tNqbAVBNwKA"",""2026-27!S3"")"),0.0)</f>
        <v>0</v>
      </c>
      <c r="AM38" s="59">
        <f>IFERROR(__xludf.DUMMYFUNCTION("IMPORTRANGE(""1zTUZyCgpe5SHmuI9FrQBt0ogwnCca-y-tNqbAVBNwKA"",""2026-27!T4"")"),0.0)</f>
        <v>0</v>
      </c>
      <c r="AN38" s="59">
        <f>IFERROR(__xludf.DUMMYFUNCTION("IMPORTRANGE(""1zTUZyCgpe5SHmuI9FrQBt0ogwnCca-y-tNqbAVBNwKA"",""2026-27!T3"")"),0.0)</f>
        <v>0</v>
      </c>
      <c r="AO38" s="62" t="str">
        <f t="shared" si="69"/>
        <v/>
      </c>
      <c r="AP38" s="59">
        <f>IFERROR(__xludf.DUMMYFUNCTION("IMPORTRANGE(""1zTUZyCgpe5SHmuI9FrQBt0ogwnCca-y-tNqbAVBNwKA"",""2026-27!U4"")"),0.0)</f>
        <v>0</v>
      </c>
      <c r="AQ38" s="59">
        <f>IFERROR(__xludf.DUMMYFUNCTION("IMPORTRANGE(""1zTUZyCgpe5SHmuI9FrQBt0ogwnCca-y-tNqbAVBNwKA"",""2026-27!U3"")"),0.0)</f>
        <v>0</v>
      </c>
      <c r="AR38" s="59">
        <f>IFERROR(__xludf.DUMMYFUNCTION("IMPORTRANGE(""1zTUZyCgpe5SHmuI9FrQBt0ogwnCca-y-tNqbAVBNwKA"",""2026-27!V4"")"),0.0)</f>
        <v>0</v>
      </c>
      <c r="AS38" s="59">
        <f>IFERROR(__xludf.DUMMYFUNCTION("IMPORTRANGE(""1zTUZyCgpe5SHmuI9FrQBt0ogwnCca-y-tNqbAVBNwKA"",""2026-27!V3"")"),0.0)</f>
        <v>0</v>
      </c>
      <c r="AT38" s="59">
        <f>IFERROR(__xludf.DUMMYFUNCTION("IMPORTRANGE(""1zTUZyCgpe5SHmuI9FrQBt0ogwnCca-y-tNqbAVBNwKA"",""2026-27!W4"")"),0.0)</f>
        <v>0</v>
      </c>
      <c r="AU38" s="59">
        <f>IFERROR(__xludf.DUMMYFUNCTION("IMPORTRANGE(""1zTUZyCgpe5SHmuI9FrQBt0ogwnCca-y-tNqbAVBNwKA"",""2026-27!W3"")"),0.0)</f>
        <v>0</v>
      </c>
      <c r="AV38" s="62" t="str">
        <f t="shared" si="70"/>
        <v/>
      </c>
      <c r="AW38" s="59">
        <f>IFERROR(__xludf.DUMMYFUNCTION("IMPORTRANGE(""1zTUZyCgpe5SHmuI9FrQBt0ogwnCca-y-tNqbAVBNwKA"",""2026-27!X4"")"),0.0)</f>
        <v>0</v>
      </c>
      <c r="AX38" s="59">
        <f>IFERROR(__xludf.DUMMYFUNCTION("IMPORTRANGE(""1zTUZyCgpe5SHmuI9FrQBt0ogwnCca-y-tNqbAVBNwKA"",""2026-27!X3"")"),0.0)</f>
        <v>0</v>
      </c>
      <c r="AY38" s="59">
        <f>IFERROR(__xludf.DUMMYFUNCTION("IMPORTRANGE(""1zTUZyCgpe5SHmuI9FrQBt0ogwnCca-y-tNqbAVBNwKA"",""2026-27!Y4"")"),0.0)</f>
        <v>0</v>
      </c>
      <c r="AZ38" s="59">
        <f>IFERROR(__xludf.DUMMYFUNCTION("IMPORTRANGE(""1zTUZyCgpe5SHmuI9FrQBt0ogwnCca-y-tNqbAVBNwKA"",""2026-27!Y3"")"),0.0)</f>
        <v>0</v>
      </c>
      <c r="BA38" s="59">
        <f>IFERROR(__xludf.DUMMYFUNCTION("IMPORTRANGE(""1zTUZyCgpe5SHmuI9FrQBt0ogwnCca-y-tNqbAVBNwKA"",""2026-27!Z4"")"),0.0)</f>
        <v>0</v>
      </c>
      <c r="BB38" s="59">
        <f>IFERROR(__xludf.DUMMYFUNCTION("IMPORTRANGE(""1zTUZyCgpe5SHmuI9FrQBt0ogwnCca-y-tNqbAVBNwKA"",""2026-27!Z3"")"),0.0)</f>
        <v>0</v>
      </c>
      <c r="BC38" s="63" t="str">
        <f t="shared" si="71"/>
        <v/>
      </c>
      <c r="BD38" s="59">
        <f>IFERROR(__xludf.DUMMYFUNCTION("IMPORTRANGE(""1zTUZyCgpe5SHmuI9FrQBt0ogwnCca-y-tNqbAVBNwKA"",""2026-27!AA4"")"),0.0)</f>
        <v>0</v>
      </c>
      <c r="BE38" s="59">
        <f>IFERROR(__xludf.DUMMYFUNCTION("IMPORTRANGE(""1zTUZyCgpe5SHmuI9FrQBt0ogwnCca-y-tNqbAVBNwKA"",""2026-27!AA3"")"),0.0)</f>
        <v>0</v>
      </c>
      <c r="BF38" s="59">
        <f>IFERROR(__xludf.DUMMYFUNCTION("IMPORTRANGE(""1zTUZyCgpe5SHmuI9FrQBt0ogwnCca-y-tNqbAVBNwKA"",""2026-27!AB4"")"),0.0)</f>
        <v>0</v>
      </c>
      <c r="BG38" s="59">
        <f>IFERROR(__xludf.DUMMYFUNCTION("IMPORTRANGE(""1zTUZyCgpe5SHmuI9FrQBt0ogwnCca-y-tNqbAVBNwKA"",""2026-27!AB3"")"),0.0)</f>
        <v>0</v>
      </c>
      <c r="BH38" s="59">
        <f>IFERROR(__xludf.DUMMYFUNCTION("IMPORTRANGE(""1zTUZyCgpe5SHmuI9FrQBt0ogwnCca-y-tNqbAVBNwKA"",""2026-27!AC4"")"),0.0)</f>
        <v>0</v>
      </c>
      <c r="BI38" s="59">
        <f>IFERROR(__xludf.DUMMYFUNCTION("IMPORTRANGE(""1zTUZyCgpe5SHmuI9FrQBt0ogwnCca-y-tNqbAVBNwKA"",""2026-27!AC3"")"),0.0)</f>
        <v>0</v>
      </c>
      <c r="BJ38" s="63" t="str">
        <f t="shared" si="72"/>
        <v/>
      </c>
      <c r="BK38" s="59">
        <f>IFERROR(__xludf.DUMMYFUNCTION("IMPORTRANGE(""1zTUZyCgpe5SHmuI9FrQBt0ogwnCca-y-tNqbAVBNwKA"",""2026-27!AD4"")"),0.0)</f>
        <v>0</v>
      </c>
      <c r="BL38" s="59">
        <f>IFERROR(__xludf.DUMMYFUNCTION("IMPORTRANGE(""1zTUZyCgpe5SHmuI9FrQBt0ogwnCca-y-tNqbAVBNwKA"",""2026-27!AD3"")"),0.0)</f>
        <v>0</v>
      </c>
      <c r="BM38" s="59">
        <f>IFERROR(__xludf.DUMMYFUNCTION("IMPORTRANGE(""1zTUZyCgpe5SHmuI9FrQBt0ogwnCca-y-tNqbAVBNwKA"",""2026-27!AE4"")"),0.0)</f>
        <v>0</v>
      </c>
      <c r="BN38" s="59">
        <f>IFERROR(__xludf.DUMMYFUNCTION("IMPORTRANGE(""1zTUZyCgpe5SHmuI9FrQBt0ogwnCca-y-tNqbAVBNwKA"",""2026-27!AE3"")"),0.0)</f>
        <v>0</v>
      </c>
      <c r="BO38" s="59">
        <f>IFERROR(__xludf.DUMMYFUNCTION("IMPORTRANGE(""1zTUZyCgpe5SHmuI9FrQBt0ogwnCca-y-tNqbAVBNwKA"",""2026-27!AF4"")"),0.0)</f>
        <v>0</v>
      </c>
      <c r="BP38" s="59">
        <f>IFERROR(__xludf.DUMMYFUNCTION("IMPORTRANGE(""1zTUZyCgpe5SHmuI9FrQBt0ogwnCca-y-tNqbAVBNwKA"",""2026-27!AF3"")"),0.0)</f>
        <v>0</v>
      </c>
      <c r="BQ38" s="63" t="str">
        <f t="shared" si="73"/>
        <v/>
      </c>
      <c r="BR38" s="59">
        <f>IFERROR(__xludf.DUMMYFUNCTION("IMPORTRANGE(""1zTUZyCgpe5SHmuI9FrQBt0ogwnCca-y-tNqbAVBNwKA"",""2026-27!AG4"")"),0.0)</f>
        <v>0</v>
      </c>
      <c r="BS38" s="59">
        <f>IFERROR(__xludf.DUMMYFUNCTION("IMPORTRANGE(""1zTUZyCgpe5SHmuI9FrQBt0ogwnCca-y-tNqbAVBNwKA"",""2026-27!AG3"")"),0.0)</f>
        <v>0</v>
      </c>
      <c r="BT38" s="59">
        <f>IFERROR(__xludf.DUMMYFUNCTION("IMPORTRANGE(""1zTUZyCgpe5SHmuI9FrQBt0ogwnCca-y-tNqbAVBNwKA"",""2026-27!AH4"")"),0.0)</f>
        <v>0</v>
      </c>
      <c r="BU38" s="59">
        <f>IFERROR(__xludf.DUMMYFUNCTION("IMPORTRANGE(""1zTUZyCgpe5SHmuI9FrQBt0ogwnCca-y-tNqbAVBNwKA"",""2026-27!AH3"")"),0.0)</f>
        <v>0</v>
      </c>
      <c r="BV38" s="59">
        <f>IFERROR(__xludf.DUMMYFUNCTION("IMPORTRANGE(""1zTUZyCgpe5SHmuI9FrQBt0ogwnCca-y-tNqbAVBNwKA"",""2026-27!AI4"")"),0.0)</f>
        <v>0</v>
      </c>
      <c r="BW38" s="59">
        <f>IFERROR(__xludf.DUMMYFUNCTION("IMPORTRANGE(""1zTUZyCgpe5SHmuI9FrQBt0ogwnCca-y-tNqbAVBNwKA"",""2026-27!AI3"")"),0.0)</f>
        <v>0</v>
      </c>
      <c r="BX38" s="63" t="str">
        <f t="shared" si="74"/>
        <v/>
      </c>
      <c r="BY38" s="59">
        <f>IFERROR(__xludf.DUMMYFUNCTION("IMPORTRANGE(""1zTUZyCgpe5SHmuI9FrQBt0ogwnCca-y-tNqbAVBNwKA"",""2026-27!AJ4"")"),0.0)</f>
        <v>0</v>
      </c>
      <c r="BZ38" s="59">
        <f>IFERROR(__xludf.DUMMYFUNCTION("IMPORTRANGE(""1zTUZyCgpe5SHmuI9FrQBt0ogwnCca-y-tNqbAVBNwKA"",""2026-27!AJ3"")"),0.0)</f>
        <v>0</v>
      </c>
      <c r="CA38" s="59">
        <f>IFERROR(__xludf.DUMMYFUNCTION("IMPORTRANGE(""1zTUZyCgpe5SHmuI9FrQBt0ogwnCca-y-tNqbAVBNwKA"",""2026-27!AK4"")"),0.0)</f>
        <v>0</v>
      </c>
      <c r="CB38" s="59">
        <f>IFERROR(__xludf.DUMMYFUNCTION("IMPORTRANGE(""1zTUZyCgpe5SHmuI9FrQBt0ogwnCca-y-tNqbAVBNwKA"",""2026-27!AK3"")"),0.0)</f>
        <v>0</v>
      </c>
      <c r="CC38" s="59">
        <f>IFERROR(__xludf.DUMMYFUNCTION("IMPORTRANGE(""1zTUZyCgpe5SHmuI9FrQBt0ogwnCca-y-tNqbAVBNwKA"",""2026-27!AL4"")"),0.0)</f>
        <v>0</v>
      </c>
      <c r="CD38" s="59">
        <f>IFERROR(__xludf.DUMMYFUNCTION("IMPORTRANGE(""1zTUZyCgpe5SHmuI9FrQBt0ogwnCca-y-tNqbAVBNwKA"",""2026-27!AL3"")"),0.0)</f>
        <v>0</v>
      </c>
      <c r="CE38" s="63" t="str">
        <f t="shared" si="75"/>
        <v/>
      </c>
      <c r="CF38" s="59">
        <f>IFERROR(__xludf.DUMMYFUNCTION("IMPORTRANGE(""1zTUZyCgpe5SHmuI9FrQBt0ogwnCca-y-tNqbAVBNwKA"",""2026-27!AM4"")"),0.0)</f>
        <v>0</v>
      </c>
      <c r="CG38" s="59">
        <f>IFERROR(__xludf.DUMMYFUNCTION("IMPORTRANGE(""1zTUZyCgpe5SHmuI9FrQBt0ogwnCca-y-tNqbAVBNwKA"",""2026-27!AM3"")"),0.0)</f>
        <v>0</v>
      </c>
      <c r="CH38" s="59">
        <f>IFERROR(__xludf.DUMMYFUNCTION("IMPORTRANGE(""1zTUZyCgpe5SHmuI9FrQBt0ogwnCca-y-tNqbAVBNwKA"",""2026-27!AN4"")"),0.0)</f>
        <v>0</v>
      </c>
      <c r="CI38" s="59">
        <f>IFERROR(__xludf.DUMMYFUNCTION("IMPORTRANGE(""1zTUZyCgpe5SHmuI9FrQBt0ogwnCca-y-tNqbAVBNwKA"",""2026-27!AN3"")"),0.0)</f>
        <v>0</v>
      </c>
      <c r="CJ38" s="59">
        <f>IFERROR(__xludf.DUMMYFUNCTION("IMPORTRANGE(""1zTUZyCgpe5SHmuI9FrQBt0ogwnCca-y-tNqbAVBNwKA"",""2026-27!AO4"")"),0.0)</f>
        <v>0</v>
      </c>
      <c r="CK38" s="59">
        <f>IFERROR(__xludf.DUMMYFUNCTION("IMPORTRANGE(""1zTUZyCgpe5SHmuI9FrQBt0ogwnCca-y-tNqbAVBNwKA"",""2026-27!AO3"")"),0.0)</f>
        <v>0</v>
      </c>
      <c r="CL38" s="63" t="str">
        <f t="shared" si="76"/>
        <v/>
      </c>
      <c r="CM38" s="59">
        <f>IFERROR(__xludf.DUMMYFUNCTION("IMPORTRANGE(""1zTUZyCgpe5SHmuI9FrQBt0ogwnCca-y-tNqbAVBNwKA"",""2026-27!AP4"")"),0.0)</f>
        <v>0</v>
      </c>
      <c r="CN38" s="59">
        <f>IFERROR(__xludf.DUMMYFUNCTION("IMPORTRANGE(""1zTUZyCgpe5SHmuI9FrQBt0ogwnCca-y-tNqbAVBNwKA"",""2026-27!AP3"")"),0.0)</f>
        <v>0</v>
      </c>
      <c r="CO38" s="59">
        <f>IFERROR(__xludf.DUMMYFUNCTION("IMPORTRANGE(""1zTUZyCgpe5SHmuI9FrQBt0ogwnCca-y-tNqbAVBNwKA"",""2026-27!AQ4"")"),0.0)</f>
        <v>0</v>
      </c>
      <c r="CP38" s="59">
        <f>IFERROR(__xludf.DUMMYFUNCTION("IMPORTRANGE(""1zTUZyCgpe5SHmuI9FrQBt0ogwnCca-y-tNqbAVBNwKA"",""2026-27!AQ3"")"),0.0)</f>
        <v>0</v>
      </c>
      <c r="CQ38" s="59">
        <f>IFERROR(__xludf.DUMMYFUNCTION("IMPORTRANGE(""1zTUZyCgpe5SHmuI9FrQBt0ogwnCca-y-tNqbAVBNwKA"",""2026-27!AR4"")"),0.0)</f>
        <v>0</v>
      </c>
      <c r="CR38" s="59">
        <f>IFERROR(__xludf.DUMMYFUNCTION("IMPORTRANGE(""1zTUZyCgpe5SHmuI9FrQBt0ogwnCca-y-tNqbAVBNwKA"",""2026-27!AR3"")"),0.0)</f>
        <v>0</v>
      </c>
      <c r="CS38" s="63" t="str">
        <f t="shared" si="77"/>
        <v/>
      </c>
      <c r="CT38" s="59">
        <f>IFERROR(__xludf.DUMMYFUNCTION("IMPORTRANGE(""1zTUZyCgpe5SHmuI9FrQBt0ogwnCca-y-tNqbAVBNwKA"",""2026-27!AS4"")"),0.0)</f>
        <v>0</v>
      </c>
      <c r="CU38" s="59">
        <f>IFERROR(__xludf.DUMMYFUNCTION("IMPORTRANGE(""1zTUZyCgpe5SHmuI9FrQBt0ogwnCca-y-tNqbAVBNwKA"",""2026-27!AS3"")"),0.0)</f>
        <v>0</v>
      </c>
      <c r="CV38" s="64"/>
    </row>
    <row r="39">
      <c r="A39" s="1" t="s">
        <v>72</v>
      </c>
      <c r="B39" s="41"/>
      <c r="C39" s="65" t="s">
        <v>89</v>
      </c>
      <c r="D39" s="69" t="s">
        <v>90</v>
      </c>
      <c r="E39" s="72">
        <v>9.585780682E9</v>
      </c>
      <c r="F39" s="70">
        <v>45635.0</v>
      </c>
      <c r="G39" s="66"/>
      <c r="H39" s="66"/>
      <c r="I39" s="57">
        <v>36188.0</v>
      </c>
      <c r="J39" s="58">
        <v>1250000.0</v>
      </c>
      <c r="K39" s="59">
        <f>IFERROR(__xludf.DUMMYFUNCTION("IMPORTRANGE(""1qD_dDXHvafaUuFnZ7gAkyxCmJQoO3BtBbnVLwHgMtpU"",""2026-27!A3"")"),124.0)</f>
        <v>124</v>
      </c>
      <c r="L39" s="59">
        <f>IFERROR(__xludf.DUMMYFUNCTION("IMPORTRANGE(""1qD_dDXHvafaUuFnZ7gAkyxCmJQoO3BtBbnVLwHgMtpU"",""2026-27!G4"")"),4.28E7)</f>
        <v>42800000</v>
      </c>
      <c r="M39" s="59">
        <f t="shared" si="63"/>
        <v>2951596</v>
      </c>
      <c r="N39" s="60">
        <f t="shared" si="64"/>
        <v>0.06528761682</v>
      </c>
      <c r="O39" s="61">
        <f t="shared" si="65"/>
        <v>2794310</v>
      </c>
      <c r="P39" s="59">
        <f>IFERROR(__xludf.DUMMYFUNCTION("IMPORTRANGE(""1qD_dDXHvafaUuFnZ7gAkyxCmJQoO3BtBbnVLwHgMtpU"",""2026-27!J4"")"),3452800.0)</f>
        <v>3452800</v>
      </c>
      <c r="Q39" s="59">
        <f>IFERROR(__xludf.DUMMYFUNCTION("IMPORTRANGE(""1qD_dDXHvafaUuFnZ7gAkyxCmJQoO3BtBbnVLwHgMtpU"",""2026-27!J3"")"),105.0)</f>
        <v>105</v>
      </c>
      <c r="R39" s="59">
        <f>IFERROR(__xludf.DUMMYFUNCTION("IMPORTRANGE(""1qD_dDXHvafaUuFnZ7gAkyxCmJQoO3BtBbnVLwHgMtpU"",""2026-27!K4"")"),686523.55)</f>
        <v>686523.55</v>
      </c>
      <c r="S39" s="59">
        <f>IFERROR(__xludf.DUMMYFUNCTION("IMPORTRANGE(""1qD_dDXHvafaUuFnZ7gAkyxCmJQoO3BtBbnVLwHgMtpU"",""2026-27!K3"")"),40.0)</f>
        <v>40</v>
      </c>
      <c r="T39" s="62">
        <f t="shared" si="66"/>
        <v>0.1588420992</v>
      </c>
      <c r="U39" s="59">
        <f>IFERROR(__xludf.DUMMYFUNCTION("IMPORTRANGE(""1qD_dDXHvafaUuFnZ7gAkyxCmJQoO3BtBbnVLwHgMtpU"",""2026-27!L4"")"),548450.0)</f>
        <v>548450</v>
      </c>
      <c r="V39" s="59">
        <f>IFERROR(__xludf.DUMMYFUNCTION("IMPORTRANGE(""1qD_dDXHvafaUuFnZ7gAkyxCmJQoO3BtBbnVLwHgMtpU"",""2026-27!L3"")"),35.0)</f>
        <v>35</v>
      </c>
      <c r="W39" s="59">
        <f>IFERROR(__xludf.DUMMYFUNCTION("IMPORTRANGE(""1qD_dDXHvafaUuFnZ7gAkyxCmJQoO3BtBbnVLwHgMtpU"",""2026-27!m4"")"),3452800.0)</f>
        <v>3452800</v>
      </c>
      <c r="X39" s="59">
        <f>IFERROR(__xludf.DUMMYFUNCTION("IMPORTRANGE(""1qD_dDXHvafaUuFnZ7gAkyxCmJQoO3BtBbnVLwHgMtpU"",""2026-27!m3"")"),105.0)</f>
        <v>105</v>
      </c>
      <c r="Y39" s="59">
        <f>IFERROR(__xludf.DUMMYFUNCTION("IMPORTRANGE(""1qD_dDXHvafaUuFnZ7gAkyxCmJQoO3BtBbnVLwHgMtpU"",""2026-27!N4"")"),1059261.55)</f>
        <v>1059261.55</v>
      </c>
      <c r="Z39" s="59">
        <f>IFERROR(__xludf.DUMMYFUNCTION("IMPORTRANGE(""1qD_dDXHvafaUuFnZ7gAkyxCmJQoO3BtBbnVLwHgMtpU"",""2026-27!N3"")"),40.0)</f>
        <v>40</v>
      </c>
      <c r="AA39" s="62">
        <f t="shared" si="67"/>
        <v>0.3065871177</v>
      </c>
      <c r="AB39" s="59">
        <f>IFERROR(__xludf.DUMMYFUNCTION("IMPORTRANGE(""1qD_dDXHvafaUuFnZ7gAkyxCmJQoO3BtBbnVLwHgMtpU"",""2026-27!O4"")"),1058584.0)</f>
        <v>1058584</v>
      </c>
      <c r="AC39" s="59">
        <f>IFERROR(__xludf.DUMMYFUNCTION("IMPORTRANGE(""1qD_dDXHvafaUuFnZ7gAkyxCmJQoO3BtBbnVLwHgMtpU"",""2026-27!O3"")"),39.0)</f>
        <v>39</v>
      </c>
      <c r="AD39" s="59">
        <f>IFERROR(__xludf.DUMMYFUNCTION("IMPORTRANGE(""1qD_dDXHvafaUuFnZ7gAkyxCmJQoO3BtBbnVLwHgMtpU"",""2026-27!P4"")"),3452800.0)</f>
        <v>3452800</v>
      </c>
      <c r="AE39" s="59">
        <f>IFERROR(__xludf.DUMMYFUNCTION("IMPORTRANGE(""1qD_dDXHvafaUuFnZ7gAkyxCmJQoO3BtBbnVLwHgMtpU"",""2026-27!P3"")"),105.0)</f>
        <v>105</v>
      </c>
      <c r="AF39" s="59">
        <f>IFERROR(__xludf.DUMMYFUNCTION("IMPORTRANGE(""1qD_dDXHvafaUuFnZ7gAkyxCmJQoO3BtBbnVLwHgMtpU"",""2026-27!Q4"")"),1205810.8999999997)</f>
        <v>1205810.9</v>
      </c>
      <c r="AG39" s="59">
        <f>IFERROR(__xludf.DUMMYFUNCTION("IMPORTRANGE(""1qD_dDXHvafaUuFnZ7gAkyxCmJQoO3BtBbnVLwHgMtpU"",""2026-27!Q3"")"),50.0)</f>
        <v>50</v>
      </c>
      <c r="AH39" s="62">
        <f t="shared" si="68"/>
        <v>0.3397457136</v>
      </c>
      <c r="AI39" s="59">
        <f>IFERROR(__xludf.DUMMYFUNCTION("IMPORTRANGE(""1qD_dDXHvafaUuFnZ7gAkyxCmJQoO3BtBbnVLwHgMtpU"",""2026-27!R4"")"),1173074.0)</f>
        <v>1173074</v>
      </c>
      <c r="AJ39" s="59">
        <f>IFERROR(__xludf.DUMMYFUNCTION("IMPORTRANGE(""1qD_dDXHvafaUuFnZ7gAkyxCmJQoO3BtBbnVLwHgMtpU"",""2026-27!R3"")"),45.0)</f>
        <v>45</v>
      </c>
      <c r="AK39" s="59">
        <f>IFERROR(__xludf.DUMMYFUNCTION("IMPORTRANGE(""1qD_dDXHvafaUuFnZ7gAkyxCmJQoO3BtBbnVLwHgMtpU"",""2026-27!S4"")"),1095600.0)</f>
        <v>1095600</v>
      </c>
      <c r="AL39" s="59">
        <f>IFERROR(__xludf.DUMMYFUNCTION("IMPORTRANGE(""1qD_dDXHvafaUuFnZ7gAkyxCmJQoO3BtBbnVLwHgMtpU"",""2026-27!S3"")"),33.0)</f>
        <v>33</v>
      </c>
      <c r="AM39" s="59">
        <f>IFERROR(__xludf.DUMMYFUNCTION("IMPORTRANGE(""1qD_dDXHvafaUuFnZ7gAkyxCmJQoO3BtBbnVLwHgMtpU"",""2026-27!T4"")"),0.0)</f>
        <v>0</v>
      </c>
      <c r="AN39" s="59">
        <f>IFERROR(__xludf.DUMMYFUNCTION("IMPORTRANGE(""1qD_dDXHvafaUuFnZ7gAkyxCmJQoO3BtBbnVLwHgMtpU"",""2026-27!T3"")"),0.0)</f>
        <v>0</v>
      </c>
      <c r="AO39" s="62">
        <f t="shared" si="69"/>
        <v>0.01296276013</v>
      </c>
      <c r="AP39" s="59">
        <f>IFERROR(__xludf.DUMMYFUNCTION("IMPORTRANGE(""1qD_dDXHvafaUuFnZ7gAkyxCmJQoO3BtBbnVLwHgMtpU"",""2026-27!U4"")"),14202.0)</f>
        <v>14202</v>
      </c>
      <c r="AQ39" s="59">
        <f>IFERROR(__xludf.DUMMYFUNCTION("IMPORTRANGE(""1qD_dDXHvafaUuFnZ7gAkyxCmJQoO3BtBbnVLwHgMtpU"",""2026-27!U3"")"),1.0)</f>
        <v>1</v>
      </c>
      <c r="AR39" s="59">
        <f>IFERROR(__xludf.DUMMYFUNCTION("IMPORTRANGE(""1qD_dDXHvafaUuFnZ7gAkyxCmJQoO3BtBbnVLwHgMtpU"",""2026-27!V4"")"),1095600.0)</f>
        <v>1095600</v>
      </c>
      <c r="AS39" s="59">
        <f>IFERROR(__xludf.DUMMYFUNCTION("IMPORTRANGE(""1qD_dDXHvafaUuFnZ7gAkyxCmJQoO3BtBbnVLwHgMtpU"",""2026-27!V3"")"),33.0)</f>
        <v>33</v>
      </c>
      <c r="AT39" s="59">
        <f>IFERROR(__xludf.DUMMYFUNCTION("IMPORTRANGE(""1qD_dDXHvafaUuFnZ7gAkyxCmJQoO3BtBbnVLwHgMtpU"",""2026-27!W4"")"),0.0)</f>
        <v>0</v>
      </c>
      <c r="AU39" s="59">
        <f>IFERROR(__xludf.DUMMYFUNCTION("IMPORTRANGE(""1qD_dDXHvafaUuFnZ7gAkyxCmJQoO3BtBbnVLwHgMtpU"",""2026-27!W3"")"),0.0)</f>
        <v>0</v>
      </c>
      <c r="AV39" s="62">
        <f t="shared" si="70"/>
        <v>0</v>
      </c>
      <c r="AW39" s="59">
        <f>IFERROR(__xludf.DUMMYFUNCTION("IMPORTRANGE(""1qD_dDXHvafaUuFnZ7gAkyxCmJQoO3BtBbnVLwHgMtpU"",""2026-27!X4"")"),0.0)</f>
        <v>0</v>
      </c>
      <c r="AX39" s="59">
        <f>IFERROR(__xludf.DUMMYFUNCTION("IMPORTRANGE(""1qD_dDXHvafaUuFnZ7gAkyxCmJQoO3BtBbnVLwHgMtpU"",""2026-27!X3"")"),0.0)</f>
        <v>0</v>
      </c>
      <c r="AY39" s="59">
        <f>IFERROR(__xludf.DUMMYFUNCTION("IMPORTRANGE(""1qD_dDXHvafaUuFnZ7gAkyxCmJQoO3BtBbnVLwHgMtpU"",""2026-27!Y4"")"),1095600.0)</f>
        <v>1095600</v>
      </c>
      <c r="AZ39" s="59">
        <f>IFERROR(__xludf.DUMMYFUNCTION("IMPORTRANGE(""1qD_dDXHvafaUuFnZ7gAkyxCmJQoO3BtBbnVLwHgMtpU"",""2026-27!Y3"")"),33.0)</f>
        <v>33</v>
      </c>
      <c r="BA39" s="59">
        <f>IFERROR(__xludf.DUMMYFUNCTION("IMPORTRANGE(""1qD_dDXHvafaUuFnZ7gAkyxCmJQoO3BtBbnVLwHgMtpU"",""2026-27!Z4"")"),0.0)</f>
        <v>0</v>
      </c>
      <c r="BB39" s="59">
        <f>IFERROR(__xludf.DUMMYFUNCTION("IMPORTRANGE(""1qD_dDXHvafaUuFnZ7gAkyxCmJQoO3BtBbnVLwHgMtpU"",""2026-27!Z3"")"),0.0)</f>
        <v>0</v>
      </c>
      <c r="BC39" s="63">
        <f t="shared" si="71"/>
        <v>0</v>
      </c>
      <c r="BD39" s="59">
        <f>IFERROR(__xludf.DUMMYFUNCTION("IMPORTRANGE(""1qD_dDXHvafaUuFnZ7gAkyxCmJQoO3BtBbnVLwHgMtpU"",""2026-27!AA4"")"),0.0)</f>
        <v>0</v>
      </c>
      <c r="BE39" s="59">
        <f>IFERROR(__xludf.DUMMYFUNCTION("IMPORTRANGE(""1qD_dDXHvafaUuFnZ7gAkyxCmJQoO3BtBbnVLwHgMtpU"",""2026-27!AA3"")"),0.0)</f>
        <v>0</v>
      </c>
      <c r="BF39" s="59">
        <f>IFERROR(__xludf.DUMMYFUNCTION("IMPORTRANGE(""1qD_dDXHvafaUuFnZ7gAkyxCmJQoO3BtBbnVLwHgMtpU"",""2026-27!AB4"")"),1095600.0)</f>
        <v>1095600</v>
      </c>
      <c r="BG39" s="59">
        <f>IFERROR(__xludf.DUMMYFUNCTION("IMPORTRANGE(""1qD_dDXHvafaUuFnZ7gAkyxCmJQoO3BtBbnVLwHgMtpU"",""2026-27!AB3"")"),33.0)</f>
        <v>33</v>
      </c>
      <c r="BH39" s="59">
        <f>IFERROR(__xludf.DUMMYFUNCTION("IMPORTRANGE(""1qD_dDXHvafaUuFnZ7gAkyxCmJQoO3BtBbnVLwHgMtpU"",""2026-27!AC4"")"),0.0)</f>
        <v>0</v>
      </c>
      <c r="BI39" s="59">
        <f>IFERROR(__xludf.DUMMYFUNCTION("IMPORTRANGE(""1qD_dDXHvafaUuFnZ7gAkyxCmJQoO3BtBbnVLwHgMtpU"",""2026-27!AC3"")"),0.0)</f>
        <v>0</v>
      </c>
      <c r="BJ39" s="63">
        <f t="shared" si="72"/>
        <v>0</v>
      </c>
      <c r="BK39" s="59">
        <f>IFERROR(__xludf.DUMMYFUNCTION("IMPORTRANGE(""1qD_dDXHvafaUuFnZ7gAkyxCmJQoO3BtBbnVLwHgMtpU"",""2026-27!AD4"")"),0.0)</f>
        <v>0</v>
      </c>
      <c r="BL39" s="59">
        <f>IFERROR(__xludf.DUMMYFUNCTION("IMPORTRANGE(""1qD_dDXHvafaUuFnZ7gAkyxCmJQoO3BtBbnVLwHgMtpU"",""2026-27!AD3"")"),0.0)</f>
        <v>0</v>
      </c>
      <c r="BM39" s="59">
        <f>IFERROR(__xludf.DUMMYFUNCTION("IMPORTRANGE(""1qD_dDXHvafaUuFnZ7gAkyxCmJQoO3BtBbnVLwHgMtpU"",""2026-27!AE4"")"),1095600.0)</f>
        <v>1095600</v>
      </c>
      <c r="BN39" s="59">
        <f>IFERROR(__xludf.DUMMYFUNCTION("IMPORTRANGE(""1qD_dDXHvafaUuFnZ7gAkyxCmJQoO3BtBbnVLwHgMtpU"",""2026-27!AE3"")"),33.0)</f>
        <v>33</v>
      </c>
      <c r="BO39" s="59">
        <f>IFERROR(__xludf.DUMMYFUNCTION("IMPORTRANGE(""1qD_dDXHvafaUuFnZ7gAkyxCmJQoO3BtBbnVLwHgMtpU"",""2026-27!AF4"")"),0.0)</f>
        <v>0</v>
      </c>
      <c r="BP39" s="59">
        <f>IFERROR(__xludf.DUMMYFUNCTION("IMPORTRANGE(""1qD_dDXHvafaUuFnZ7gAkyxCmJQoO3BtBbnVLwHgMtpU"",""2026-27!AF3"")"),0.0)</f>
        <v>0</v>
      </c>
      <c r="BQ39" s="63">
        <f t="shared" si="73"/>
        <v>0</v>
      </c>
      <c r="BR39" s="59">
        <f>IFERROR(__xludf.DUMMYFUNCTION("IMPORTRANGE(""1qD_dDXHvafaUuFnZ7gAkyxCmJQoO3BtBbnVLwHgMtpU"",""2026-27!AG4"")"),0.0)</f>
        <v>0</v>
      </c>
      <c r="BS39" s="59">
        <f>IFERROR(__xludf.DUMMYFUNCTION("IMPORTRANGE(""1qD_dDXHvafaUuFnZ7gAkyxCmJQoO3BtBbnVLwHgMtpU"",""2026-27!AG3"")"),0.0)</f>
        <v>0</v>
      </c>
      <c r="BT39" s="59">
        <f>IFERROR(__xludf.DUMMYFUNCTION("IMPORTRANGE(""1qD_dDXHvafaUuFnZ7gAkyxCmJQoO3BtBbnVLwHgMtpU"",""2026-27!AH4"")"),1095600.0)</f>
        <v>1095600</v>
      </c>
      <c r="BU39" s="59">
        <f>IFERROR(__xludf.DUMMYFUNCTION("IMPORTRANGE(""1qD_dDXHvafaUuFnZ7gAkyxCmJQoO3BtBbnVLwHgMtpU"",""2026-27!AH3"")"),33.0)</f>
        <v>33</v>
      </c>
      <c r="BV39" s="59">
        <f>IFERROR(__xludf.DUMMYFUNCTION("IMPORTRANGE(""1qD_dDXHvafaUuFnZ7gAkyxCmJQoO3BtBbnVLwHgMtpU"",""2026-27!AI4"")"),0.0)</f>
        <v>0</v>
      </c>
      <c r="BW39" s="59">
        <f>IFERROR(__xludf.DUMMYFUNCTION("IMPORTRANGE(""1qD_dDXHvafaUuFnZ7gAkyxCmJQoO3BtBbnVLwHgMtpU"",""2026-27!AI3"")"),0.0)</f>
        <v>0</v>
      </c>
      <c r="BX39" s="63">
        <f t="shared" si="74"/>
        <v>0</v>
      </c>
      <c r="BY39" s="59">
        <f>IFERROR(__xludf.DUMMYFUNCTION("IMPORTRANGE(""1qD_dDXHvafaUuFnZ7gAkyxCmJQoO3BtBbnVLwHgMtpU"",""2026-27!AJ4"")"),0.0)</f>
        <v>0</v>
      </c>
      <c r="BZ39" s="59">
        <f>IFERROR(__xludf.DUMMYFUNCTION("IMPORTRANGE(""1qD_dDXHvafaUuFnZ7gAkyxCmJQoO3BtBbnVLwHgMtpU"",""2026-27!AJ3"")"),0.0)</f>
        <v>0</v>
      </c>
      <c r="CA39" s="59">
        <f>IFERROR(__xludf.DUMMYFUNCTION("IMPORTRANGE(""1qD_dDXHvafaUuFnZ7gAkyxCmJQoO3BtBbnVLwHgMtpU"",""2026-27!AK4"")"),1095600.0)</f>
        <v>1095600</v>
      </c>
      <c r="CB39" s="59">
        <f>IFERROR(__xludf.DUMMYFUNCTION("IMPORTRANGE(""1qD_dDXHvafaUuFnZ7gAkyxCmJQoO3BtBbnVLwHgMtpU"",""2026-27!AK3"")"),33.0)</f>
        <v>33</v>
      </c>
      <c r="CC39" s="59">
        <f>IFERROR(__xludf.DUMMYFUNCTION("IMPORTRANGE(""1qD_dDXHvafaUuFnZ7gAkyxCmJQoO3BtBbnVLwHgMtpU"",""2026-27!AL4"")"),0.0)</f>
        <v>0</v>
      </c>
      <c r="CD39" s="59">
        <f>IFERROR(__xludf.DUMMYFUNCTION("IMPORTRANGE(""1qD_dDXHvafaUuFnZ7gAkyxCmJQoO3BtBbnVLwHgMtpU"",""2026-27!AL3"")"),0.0)</f>
        <v>0</v>
      </c>
      <c r="CE39" s="63">
        <f t="shared" si="75"/>
        <v>0</v>
      </c>
      <c r="CF39" s="59">
        <f>IFERROR(__xludf.DUMMYFUNCTION("IMPORTRANGE(""1qD_dDXHvafaUuFnZ7gAkyxCmJQoO3BtBbnVLwHgMtpU"",""2026-27!AM4"")"),0.0)</f>
        <v>0</v>
      </c>
      <c r="CG39" s="59">
        <f>IFERROR(__xludf.DUMMYFUNCTION("IMPORTRANGE(""1qD_dDXHvafaUuFnZ7gAkyxCmJQoO3BtBbnVLwHgMtpU"",""2026-27!AM3"")"),0.0)</f>
        <v>0</v>
      </c>
      <c r="CH39" s="59">
        <f>IFERROR(__xludf.DUMMYFUNCTION("IMPORTRANGE(""1qD_dDXHvafaUuFnZ7gAkyxCmJQoO3BtBbnVLwHgMtpU"",""2026-27!AN4"")"),1095600.0)</f>
        <v>1095600</v>
      </c>
      <c r="CI39" s="59">
        <f>IFERROR(__xludf.DUMMYFUNCTION("IMPORTRANGE(""1qD_dDXHvafaUuFnZ7gAkyxCmJQoO3BtBbnVLwHgMtpU"",""2026-27!AN3"")"),33.0)</f>
        <v>33</v>
      </c>
      <c r="CJ39" s="59">
        <f>IFERROR(__xludf.DUMMYFUNCTION("IMPORTRANGE(""1qD_dDXHvafaUuFnZ7gAkyxCmJQoO3BtBbnVLwHgMtpU"",""2026-27!AO4"")"),0.0)</f>
        <v>0</v>
      </c>
      <c r="CK39" s="59">
        <f>IFERROR(__xludf.DUMMYFUNCTION("IMPORTRANGE(""1qD_dDXHvafaUuFnZ7gAkyxCmJQoO3BtBbnVLwHgMtpU"",""2026-27!AO3"")"),0.0)</f>
        <v>0</v>
      </c>
      <c r="CL39" s="63">
        <f t="shared" si="76"/>
        <v>0</v>
      </c>
      <c r="CM39" s="59">
        <f>IFERROR(__xludf.DUMMYFUNCTION("IMPORTRANGE(""1qD_dDXHvafaUuFnZ7gAkyxCmJQoO3BtBbnVLwHgMtpU"",""2026-27!AP4"")"),0.0)</f>
        <v>0</v>
      </c>
      <c r="CN39" s="59">
        <f>IFERROR(__xludf.DUMMYFUNCTION("IMPORTRANGE(""1qD_dDXHvafaUuFnZ7gAkyxCmJQoO3BtBbnVLwHgMtpU"",""2026-27!AP3"")"),0.0)</f>
        <v>0</v>
      </c>
      <c r="CO39" s="59">
        <f>IFERROR(__xludf.DUMMYFUNCTION("IMPORTRANGE(""1qD_dDXHvafaUuFnZ7gAkyxCmJQoO3BtBbnVLwHgMtpU"",""2026-27!AQ4"")"),1095600.0)</f>
        <v>1095600</v>
      </c>
      <c r="CP39" s="59">
        <f>IFERROR(__xludf.DUMMYFUNCTION("IMPORTRANGE(""1qD_dDXHvafaUuFnZ7gAkyxCmJQoO3BtBbnVLwHgMtpU"",""2026-27!AQ3"")"),33.0)</f>
        <v>33</v>
      </c>
      <c r="CQ39" s="59">
        <f>IFERROR(__xludf.DUMMYFUNCTION("IMPORTRANGE(""1qD_dDXHvafaUuFnZ7gAkyxCmJQoO3BtBbnVLwHgMtpU"",""2026-27!AR4"")"),0.0)</f>
        <v>0</v>
      </c>
      <c r="CR39" s="59">
        <f>IFERROR(__xludf.DUMMYFUNCTION("IMPORTRANGE(""1qD_dDXHvafaUuFnZ7gAkyxCmJQoO3BtBbnVLwHgMtpU"",""2026-27!AR3"")"),0.0)</f>
        <v>0</v>
      </c>
      <c r="CS39" s="63">
        <f t="shared" si="77"/>
        <v>0</v>
      </c>
      <c r="CT39" s="59">
        <f>IFERROR(__xludf.DUMMYFUNCTION("IMPORTRANGE(""1qD_dDXHvafaUuFnZ7gAkyxCmJQoO3BtBbnVLwHgMtpU"",""2026-27!AS4"")"),0.0)</f>
        <v>0</v>
      </c>
      <c r="CU39" s="59">
        <f>IFERROR(__xludf.DUMMYFUNCTION("IMPORTRANGE(""1qD_dDXHvafaUuFnZ7gAkyxCmJQoO3BtBbnVLwHgMtpU"",""2026-27!AS3"")"),0.0)</f>
        <v>0</v>
      </c>
      <c r="CV39" s="64"/>
    </row>
    <row r="40">
      <c r="A40" s="1" t="s">
        <v>72</v>
      </c>
      <c r="B40" s="41"/>
      <c r="C40" s="75" t="s">
        <v>91</v>
      </c>
      <c r="D40" s="69" t="s">
        <v>92</v>
      </c>
      <c r="E40" s="72">
        <v>8.681045473E9</v>
      </c>
      <c r="F40" s="70">
        <v>46084.0</v>
      </c>
      <c r="G40" s="66"/>
      <c r="H40" s="66"/>
      <c r="I40" s="74">
        <v>34620.0</v>
      </c>
      <c r="J40" s="58">
        <v>1250000.0</v>
      </c>
      <c r="K40" s="59">
        <f>IFERROR(__xludf.DUMMYFUNCTION("IMPORTRANGE(""1sNnFcv3iHIauafka073bWpFaliYW5BNstKqG3FURhGo"",""2026-27!A3"")"),74.0)</f>
        <v>74</v>
      </c>
      <c r="L40" s="59">
        <f>IFERROR(__xludf.DUMMYFUNCTION("IMPORTRANGE(""1sNnFcv3iHIauafka073bWpFaliYW5BNstKqG3FURhGo"",""2026-27!G4"")"),4350000.0)</f>
        <v>4350000</v>
      </c>
      <c r="M40" s="59">
        <f t="shared" si="63"/>
        <v>1327369</v>
      </c>
      <c r="N40" s="60">
        <f t="shared" si="64"/>
        <v>0.3097069425</v>
      </c>
      <c r="O40" s="61">
        <f t="shared" si="65"/>
        <v>1347225.2</v>
      </c>
      <c r="P40" s="59">
        <f>IFERROR(__xludf.DUMMYFUNCTION("IMPORTRANGE(""1sNnFcv3iHIauafka073bWpFaliYW5BNstKqG3FURhGo"",""2026-27!J4"")"),0.0)</f>
        <v>0</v>
      </c>
      <c r="Q40" s="59">
        <f>IFERROR(__xludf.DUMMYFUNCTION("IMPORTRANGE(""1sNnFcv3iHIauafka073bWpFaliYW5BNstKqG3FURhGo"",""2026-27!J3"")"),0.0)</f>
        <v>0</v>
      </c>
      <c r="R40" s="59">
        <f>IFERROR(__xludf.DUMMYFUNCTION("IMPORTRANGE(""1sNnFcv3iHIauafka073bWpFaliYW5BNstKqG3FURhGo"",""2026-27!K4"")"),284665.1)</f>
        <v>284665.1</v>
      </c>
      <c r="S40" s="59">
        <f>IFERROR(__xludf.DUMMYFUNCTION("IMPORTRANGE(""1sNnFcv3iHIauafka073bWpFaliYW5BNstKqG3FURhGo"",""2026-27!K3"")"),15.0)</f>
        <v>15</v>
      </c>
      <c r="T40" s="62" t="str">
        <f t="shared" si="66"/>
        <v/>
      </c>
      <c r="U40" s="59">
        <f>IFERROR(__xludf.DUMMYFUNCTION("IMPORTRANGE(""1sNnFcv3iHIauafka073bWpFaliYW5BNstKqG3FURhGo"",""2026-27!L4"")"),284569.0)</f>
        <v>284569</v>
      </c>
      <c r="V40" s="59">
        <f>IFERROR(__xludf.DUMMYFUNCTION("IMPORTRANGE(""1sNnFcv3iHIauafka073bWpFaliYW5BNstKqG3FURhGo"",""2026-27!L3"")"),15.0)</f>
        <v>15</v>
      </c>
      <c r="W40" s="59">
        <f>IFERROR(__xludf.DUMMYFUNCTION("IMPORTRANGE(""1sNnFcv3iHIauafka073bWpFaliYW5BNstKqG3FURhGo"",""2026-27!m4"")"),435000.0)</f>
        <v>435000</v>
      </c>
      <c r="X40" s="59">
        <f>IFERROR(__xludf.DUMMYFUNCTION("IMPORTRANGE(""1sNnFcv3iHIauafka073bWpFaliYW5BNstKqG3FURhGo"",""2026-27!m3"")"),28.0)</f>
        <v>28</v>
      </c>
      <c r="Y40" s="59">
        <f>IFERROR(__xludf.DUMMYFUNCTION("IMPORTRANGE(""1sNnFcv3iHIauafka073bWpFaliYW5BNstKqG3FURhGo"",""2026-27!N4"")"),544223.2000000001)</f>
        <v>544223.2</v>
      </c>
      <c r="Z40" s="59">
        <f>IFERROR(__xludf.DUMMYFUNCTION("IMPORTRANGE(""1sNnFcv3iHIauafka073bWpFaliYW5BNstKqG3FURhGo"",""2026-27!N3"")"),26.0)</f>
        <v>26</v>
      </c>
      <c r="AA40" s="62">
        <f t="shared" si="67"/>
        <v>1.29754069</v>
      </c>
      <c r="AB40" s="59">
        <f>IFERROR(__xludf.DUMMYFUNCTION("IMPORTRANGE(""1sNnFcv3iHIauafka073bWpFaliYW5BNstKqG3FURhGo"",""2026-27!O4"")"),564430.2000000001)</f>
        <v>564430.2</v>
      </c>
      <c r="AC40" s="59">
        <f>IFERROR(__xludf.DUMMYFUNCTION("IMPORTRANGE(""1sNnFcv3iHIauafka073bWpFaliYW5BNstKqG3FURhGo"",""2026-27!O3"")"),26.0)</f>
        <v>26</v>
      </c>
      <c r="AD40" s="59">
        <f>IFERROR(__xludf.DUMMYFUNCTION("IMPORTRANGE(""1sNnFcv3iHIauafka073bWpFaliYW5BNstKqG3FURhGo"",""2026-27!P4"")"),435000.0)</f>
        <v>435000</v>
      </c>
      <c r="AE40" s="59">
        <f>IFERROR(__xludf.DUMMYFUNCTION("IMPORTRANGE(""1sNnFcv3iHIauafka073bWpFaliYW5BNstKqG3FURhGo"",""2026-27!P3"")"),28.0)</f>
        <v>28</v>
      </c>
      <c r="AF40" s="59">
        <f>IFERROR(__xludf.DUMMYFUNCTION("IMPORTRANGE(""1sNnFcv3iHIauafka073bWpFaliYW5BNstKqG3FURhGo"",""2026-27!Q4"")"),498480.69999999995)</f>
        <v>498480.7</v>
      </c>
      <c r="AG40" s="59">
        <f>IFERROR(__xludf.DUMMYFUNCTION("IMPORTRANGE(""1sNnFcv3iHIauafka073bWpFaliYW5BNstKqG3FURhGo"",""2026-27!Q3"")"),26.0)</f>
        <v>26</v>
      </c>
      <c r="AH40" s="62">
        <f t="shared" si="68"/>
        <v>1.145347126</v>
      </c>
      <c r="AI40" s="59">
        <f>IFERROR(__xludf.DUMMYFUNCTION("IMPORTRANGE(""1sNnFcv3iHIauafka073bWpFaliYW5BNstKqG3FURhGo"",""2026-27!R4"")"),498226.0)</f>
        <v>498226</v>
      </c>
      <c r="AJ40" s="59">
        <f>IFERROR(__xludf.DUMMYFUNCTION("IMPORTRANGE(""1sNnFcv3iHIauafka073bWpFaliYW5BNstKqG3FURhGo"",""2026-27!R3"")"),26.0)</f>
        <v>26</v>
      </c>
      <c r="AK40" s="59">
        <f>IFERROR(__xludf.DUMMYFUNCTION("IMPORTRANGE(""1sNnFcv3iHIauafka073bWpFaliYW5BNstKqG3FURhGo"",""2026-27!S4"")"),540000.0)</f>
        <v>540000</v>
      </c>
      <c r="AL40" s="59">
        <f>IFERROR(__xludf.DUMMYFUNCTION("IMPORTRANGE(""1sNnFcv3iHIauafka073bWpFaliYW5BNstKqG3FURhGo"",""2026-27!S3"")"),44.0)</f>
        <v>44</v>
      </c>
      <c r="AM40" s="59">
        <f>IFERROR(__xludf.DUMMYFUNCTION("IMPORTRANGE(""1sNnFcv3iHIauafka073bWpFaliYW5BNstKqG3FURhGo"",""2026-27!T4"")"),0.0)</f>
        <v>0</v>
      </c>
      <c r="AN40" s="59">
        <f>IFERROR(__xludf.DUMMYFUNCTION("IMPORTRANGE(""1sNnFcv3iHIauafka073bWpFaliYW5BNstKqG3FURhGo"",""2026-27!T3"")"),0.0)</f>
        <v>0</v>
      </c>
      <c r="AO40" s="62">
        <f t="shared" si="69"/>
        <v>0</v>
      </c>
      <c r="AP40" s="59">
        <f>IFERROR(__xludf.DUMMYFUNCTION("IMPORTRANGE(""1sNnFcv3iHIauafka073bWpFaliYW5BNstKqG3FURhGo"",""2026-27!U4"")"),0.0)</f>
        <v>0</v>
      </c>
      <c r="AQ40" s="59">
        <f>IFERROR(__xludf.DUMMYFUNCTION("IMPORTRANGE(""1sNnFcv3iHIauafka073bWpFaliYW5BNstKqG3FURhGo"",""2026-27!U3"")"),0.0)</f>
        <v>0</v>
      </c>
      <c r="AR40" s="59">
        <f>IFERROR(__xludf.DUMMYFUNCTION("IMPORTRANGE(""1sNnFcv3iHIauafka073bWpFaliYW5BNstKqG3FURhGo"",""2026-27!V4"")"),0.0)</f>
        <v>0</v>
      </c>
      <c r="AS40" s="59">
        <f>IFERROR(__xludf.DUMMYFUNCTION("IMPORTRANGE(""1sNnFcv3iHIauafka073bWpFaliYW5BNstKqG3FURhGo"",""2026-27!V3"")"),0.0)</f>
        <v>0</v>
      </c>
      <c r="AT40" s="59">
        <f>IFERROR(__xludf.DUMMYFUNCTION("IMPORTRANGE(""1sNnFcv3iHIauafka073bWpFaliYW5BNstKqG3FURhGo"",""2026-27!W4"")"),0.0)</f>
        <v>0</v>
      </c>
      <c r="AU40" s="59">
        <f>IFERROR(__xludf.DUMMYFUNCTION("IMPORTRANGE(""1sNnFcv3iHIauafka073bWpFaliYW5BNstKqG3FURhGo"",""2026-27!W3"")"),0.0)</f>
        <v>0</v>
      </c>
      <c r="AV40" s="62" t="str">
        <f t="shared" si="70"/>
        <v/>
      </c>
      <c r="AW40" s="59">
        <f>IFERROR(__xludf.DUMMYFUNCTION("IMPORTRANGE(""1sNnFcv3iHIauafka073bWpFaliYW5BNstKqG3FURhGo"",""2026-27!X4"")"),0.0)</f>
        <v>0</v>
      </c>
      <c r="AX40" s="59">
        <f>IFERROR(__xludf.DUMMYFUNCTION("IMPORTRANGE(""1sNnFcv3iHIauafka073bWpFaliYW5BNstKqG3FURhGo"",""2026-27!X3"")"),0.0)</f>
        <v>0</v>
      </c>
      <c r="AY40" s="59">
        <f>IFERROR(__xludf.DUMMYFUNCTION("IMPORTRANGE(""1sNnFcv3iHIauafka073bWpFaliYW5BNstKqG3FURhGo"",""2026-27!Y4"")"),0.0)</f>
        <v>0</v>
      </c>
      <c r="AZ40" s="59">
        <f>IFERROR(__xludf.DUMMYFUNCTION("IMPORTRANGE(""1sNnFcv3iHIauafka073bWpFaliYW5BNstKqG3FURhGo"",""2026-27!Y3"")"),0.0)</f>
        <v>0</v>
      </c>
      <c r="BA40" s="59">
        <f>IFERROR(__xludf.DUMMYFUNCTION("IMPORTRANGE(""1sNnFcv3iHIauafka073bWpFaliYW5BNstKqG3FURhGo"",""2026-27!Z4"")"),0.0)</f>
        <v>0</v>
      </c>
      <c r="BB40" s="59">
        <f>IFERROR(__xludf.DUMMYFUNCTION("IMPORTRANGE(""1sNnFcv3iHIauafka073bWpFaliYW5BNstKqG3FURhGo"",""2026-27!Z3"")"),0.0)</f>
        <v>0</v>
      </c>
      <c r="BC40" s="63" t="str">
        <f t="shared" si="71"/>
        <v/>
      </c>
      <c r="BD40" s="59">
        <f>IFERROR(__xludf.DUMMYFUNCTION("IMPORTRANGE(""1sNnFcv3iHIauafka073bWpFaliYW5BNstKqG3FURhGo"",""2026-27!AA4"")"),0.0)</f>
        <v>0</v>
      </c>
      <c r="BE40" s="59">
        <f>IFERROR(__xludf.DUMMYFUNCTION("IMPORTRANGE(""1sNnFcv3iHIauafka073bWpFaliYW5BNstKqG3FURhGo"",""2026-27!AA3"")"),0.0)</f>
        <v>0</v>
      </c>
      <c r="BF40" s="59">
        <f>IFERROR(__xludf.DUMMYFUNCTION("IMPORTRANGE(""1sNnFcv3iHIauafka073bWpFaliYW5BNstKqG3FURhGo"",""2026-27!AB4"")"),0.0)</f>
        <v>0</v>
      </c>
      <c r="BG40" s="59">
        <f>IFERROR(__xludf.DUMMYFUNCTION("IMPORTRANGE(""1sNnFcv3iHIauafka073bWpFaliYW5BNstKqG3FURhGo"",""2026-27!AB3"")"),0.0)</f>
        <v>0</v>
      </c>
      <c r="BH40" s="59">
        <f>IFERROR(__xludf.DUMMYFUNCTION("IMPORTRANGE(""1sNnFcv3iHIauafka073bWpFaliYW5BNstKqG3FURhGo"",""2026-27!AC4"")"),0.0)</f>
        <v>0</v>
      </c>
      <c r="BI40" s="59">
        <f>IFERROR(__xludf.DUMMYFUNCTION("IMPORTRANGE(""1sNnFcv3iHIauafka073bWpFaliYW5BNstKqG3FURhGo"",""2026-27!AC3"")"),0.0)</f>
        <v>0</v>
      </c>
      <c r="BJ40" s="63" t="str">
        <f t="shared" si="72"/>
        <v/>
      </c>
      <c r="BK40" s="59">
        <f>IFERROR(__xludf.DUMMYFUNCTION("IMPORTRANGE(""1sNnFcv3iHIauafka073bWpFaliYW5BNstKqG3FURhGo"",""2026-27!AD4"")"),0.0)</f>
        <v>0</v>
      </c>
      <c r="BL40" s="59">
        <f>IFERROR(__xludf.DUMMYFUNCTION("IMPORTRANGE(""1sNnFcv3iHIauafka073bWpFaliYW5BNstKqG3FURhGo"",""2026-27!AD3"")"),0.0)</f>
        <v>0</v>
      </c>
      <c r="BM40" s="59">
        <f>IFERROR(__xludf.DUMMYFUNCTION("IMPORTRANGE(""1sNnFcv3iHIauafka073bWpFaliYW5BNstKqG3FURhGo"",""2026-27!AE4"")"),0.0)</f>
        <v>0</v>
      </c>
      <c r="BN40" s="59">
        <f>IFERROR(__xludf.DUMMYFUNCTION("IMPORTRANGE(""1sNnFcv3iHIauafka073bWpFaliYW5BNstKqG3FURhGo"",""2026-27!AE3"")"),0.0)</f>
        <v>0</v>
      </c>
      <c r="BO40" s="59">
        <f>IFERROR(__xludf.DUMMYFUNCTION("IMPORTRANGE(""1sNnFcv3iHIauafka073bWpFaliYW5BNstKqG3FURhGo"",""2026-27!AF4"")"),0.0)</f>
        <v>0</v>
      </c>
      <c r="BP40" s="59">
        <f>IFERROR(__xludf.DUMMYFUNCTION("IMPORTRANGE(""1sNnFcv3iHIauafka073bWpFaliYW5BNstKqG3FURhGo"",""2026-27!AF3"")"),0.0)</f>
        <v>0</v>
      </c>
      <c r="BQ40" s="63" t="str">
        <f t="shared" si="73"/>
        <v/>
      </c>
      <c r="BR40" s="59">
        <f>IFERROR(__xludf.DUMMYFUNCTION("IMPORTRANGE(""1sNnFcv3iHIauafka073bWpFaliYW5BNstKqG3FURhGo"",""2026-27!AG4"")"),0.0)</f>
        <v>0</v>
      </c>
      <c r="BS40" s="59">
        <f>IFERROR(__xludf.DUMMYFUNCTION("IMPORTRANGE(""1sNnFcv3iHIauafka073bWpFaliYW5BNstKqG3FURhGo"",""2026-27!AG3"")"),0.0)</f>
        <v>0</v>
      </c>
      <c r="BT40" s="59">
        <f>IFERROR(__xludf.DUMMYFUNCTION("IMPORTRANGE(""1sNnFcv3iHIauafka073bWpFaliYW5BNstKqG3FURhGo"",""2026-27!AH4"")"),0.0)</f>
        <v>0</v>
      </c>
      <c r="BU40" s="59">
        <f>IFERROR(__xludf.DUMMYFUNCTION("IMPORTRANGE(""1sNnFcv3iHIauafka073bWpFaliYW5BNstKqG3FURhGo"",""2026-27!AH3"")"),0.0)</f>
        <v>0</v>
      </c>
      <c r="BV40" s="59">
        <f>IFERROR(__xludf.DUMMYFUNCTION("IMPORTRANGE(""1sNnFcv3iHIauafka073bWpFaliYW5BNstKqG3FURhGo"",""2026-27!AI4"")"),0.0)</f>
        <v>0</v>
      </c>
      <c r="BW40" s="59">
        <f>IFERROR(__xludf.DUMMYFUNCTION("IMPORTRANGE(""1sNnFcv3iHIauafka073bWpFaliYW5BNstKqG3FURhGo"",""2026-27!AI3"")"),0.0)</f>
        <v>0</v>
      </c>
      <c r="BX40" s="63" t="str">
        <f t="shared" si="74"/>
        <v/>
      </c>
      <c r="BY40" s="59">
        <f>IFERROR(__xludf.DUMMYFUNCTION("IMPORTRANGE(""1sNnFcv3iHIauafka073bWpFaliYW5BNstKqG3FURhGo"",""2026-27!AJ4"")"),0.0)</f>
        <v>0</v>
      </c>
      <c r="BZ40" s="59">
        <f>IFERROR(__xludf.DUMMYFUNCTION("IMPORTRANGE(""1sNnFcv3iHIauafka073bWpFaliYW5BNstKqG3FURhGo"",""2026-27!AJ3"")"),0.0)</f>
        <v>0</v>
      </c>
      <c r="CA40" s="59">
        <f>IFERROR(__xludf.DUMMYFUNCTION("IMPORTRANGE(""1sNnFcv3iHIauafka073bWpFaliYW5BNstKqG3FURhGo"",""2026-27!AK4"")"),0.0)</f>
        <v>0</v>
      </c>
      <c r="CB40" s="59">
        <f>IFERROR(__xludf.DUMMYFUNCTION("IMPORTRANGE(""1sNnFcv3iHIauafka073bWpFaliYW5BNstKqG3FURhGo"",""2026-27!AK3"")"),0.0)</f>
        <v>0</v>
      </c>
      <c r="CC40" s="59">
        <f>IFERROR(__xludf.DUMMYFUNCTION("IMPORTRANGE(""1sNnFcv3iHIauafka073bWpFaliYW5BNstKqG3FURhGo"",""2026-27!AL4"")"),0.0)</f>
        <v>0</v>
      </c>
      <c r="CD40" s="59">
        <f>IFERROR(__xludf.DUMMYFUNCTION("IMPORTRANGE(""1sNnFcv3iHIauafka073bWpFaliYW5BNstKqG3FURhGo"",""2026-27!AL3"")"),0.0)</f>
        <v>0</v>
      </c>
      <c r="CE40" s="63" t="str">
        <f t="shared" si="75"/>
        <v/>
      </c>
      <c r="CF40" s="59">
        <f>IFERROR(__xludf.DUMMYFUNCTION("IMPORTRANGE(""1sNnFcv3iHIauafka073bWpFaliYW5BNstKqG3FURhGo"",""2026-27!AM4"")"),0.0)</f>
        <v>0</v>
      </c>
      <c r="CG40" s="59">
        <f>IFERROR(__xludf.DUMMYFUNCTION("IMPORTRANGE(""1sNnFcv3iHIauafka073bWpFaliYW5BNstKqG3FURhGo"",""2026-27!AM3"")"),0.0)</f>
        <v>0</v>
      </c>
      <c r="CH40" s="59">
        <f>IFERROR(__xludf.DUMMYFUNCTION("IMPORTRANGE(""1sNnFcv3iHIauafka073bWpFaliYW5BNstKqG3FURhGo"",""2026-27!AN4"")"),0.0)</f>
        <v>0</v>
      </c>
      <c r="CI40" s="59">
        <f>IFERROR(__xludf.DUMMYFUNCTION("IMPORTRANGE(""1sNnFcv3iHIauafka073bWpFaliYW5BNstKqG3FURhGo"",""2026-27!AN3"")"),0.0)</f>
        <v>0</v>
      </c>
      <c r="CJ40" s="59">
        <f>IFERROR(__xludf.DUMMYFUNCTION("IMPORTRANGE(""1sNnFcv3iHIauafka073bWpFaliYW5BNstKqG3FURhGo"",""2026-27!AO4"")"),0.0)</f>
        <v>0</v>
      </c>
      <c r="CK40" s="59">
        <f>IFERROR(__xludf.DUMMYFUNCTION("IMPORTRANGE(""1sNnFcv3iHIauafka073bWpFaliYW5BNstKqG3FURhGo"",""2026-27!AO3"")"),0.0)</f>
        <v>0</v>
      </c>
      <c r="CL40" s="63" t="str">
        <f t="shared" si="76"/>
        <v/>
      </c>
      <c r="CM40" s="59">
        <f>IFERROR(__xludf.DUMMYFUNCTION("IMPORTRANGE(""1sNnFcv3iHIauafka073bWpFaliYW5BNstKqG3FURhGo"",""2026-27!AP4"")"),0.0)</f>
        <v>0</v>
      </c>
      <c r="CN40" s="59">
        <f>IFERROR(__xludf.DUMMYFUNCTION("IMPORTRANGE(""1sNnFcv3iHIauafka073bWpFaliYW5BNstKqG3FURhGo"",""2026-27!AP3"")"),0.0)</f>
        <v>0</v>
      </c>
      <c r="CO40" s="59">
        <f>IFERROR(__xludf.DUMMYFUNCTION("IMPORTRANGE(""1sNnFcv3iHIauafka073bWpFaliYW5BNstKqG3FURhGo"",""2026-27!AQ4"")"),0.0)</f>
        <v>0</v>
      </c>
      <c r="CP40" s="59">
        <f>IFERROR(__xludf.DUMMYFUNCTION("IMPORTRANGE(""1sNnFcv3iHIauafka073bWpFaliYW5BNstKqG3FURhGo"",""2026-27!AQ3"")"),0.0)</f>
        <v>0</v>
      </c>
      <c r="CQ40" s="59">
        <f>IFERROR(__xludf.DUMMYFUNCTION("IMPORTRANGE(""1sNnFcv3iHIauafka073bWpFaliYW5BNstKqG3FURhGo"",""2026-27!AR4"")"),0.0)</f>
        <v>0</v>
      </c>
      <c r="CR40" s="59">
        <f>IFERROR(__xludf.DUMMYFUNCTION("IMPORTRANGE(""1sNnFcv3iHIauafka073bWpFaliYW5BNstKqG3FURhGo"",""2026-27!AR3"")"),0.0)</f>
        <v>0</v>
      </c>
      <c r="CS40" s="63" t="str">
        <f t="shared" si="77"/>
        <v/>
      </c>
      <c r="CT40" s="59">
        <f>IFERROR(__xludf.DUMMYFUNCTION("IMPORTRANGE(""1sNnFcv3iHIauafka073bWpFaliYW5BNstKqG3FURhGo"",""2026-27!AS4"")"),0.0)</f>
        <v>0</v>
      </c>
      <c r="CU40" s="59">
        <f>IFERROR(__xludf.DUMMYFUNCTION("IMPORTRANGE(""1sNnFcv3iHIauafka073bWpFaliYW5BNstKqG3FURhGo"",""2026-27!AS3"")"),0.0)</f>
        <v>0</v>
      </c>
      <c r="CV40" s="64"/>
    </row>
    <row r="41">
      <c r="A41" s="1"/>
      <c r="B41" s="41"/>
      <c r="C41" s="101" t="s">
        <v>93</v>
      </c>
      <c r="D41" s="69" t="s">
        <v>94</v>
      </c>
      <c r="E41" s="72">
        <v>9.626426321E9</v>
      </c>
      <c r="F41" s="70">
        <v>46132.0</v>
      </c>
      <c r="G41" s="66"/>
      <c r="H41" s="66"/>
      <c r="I41" s="74">
        <v>43840.0</v>
      </c>
      <c r="J41" s="58">
        <v>1041667.0</v>
      </c>
      <c r="K41" s="59">
        <f>IFERROR(__xludf.DUMMYFUNCTION("IMPORTRANGE(""10qjixCWmRgLD1HnXMVXTEeu_DX0TaBbthcov2v2jZyQ"",""2026-27!A3"")"),123.0)</f>
        <v>123</v>
      </c>
      <c r="L41" s="59">
        <f>IFERROR(__xludf.DUMMYFUNCTION("IMPORTRANGE(""10qjixCWmRgLD1HnXMVXTEeu_DX0TaBbthcov2v2jZyQ"",""2026-27!G4"")"),1.33E7)</f>
        <v>13300000</v>
      </c>
      <c r="M41" s="59">
        <f t="shared" si="63"/>
        <v>1550236.1</v>
      </c>
      <c r="N41" s="60">
        <f t="shared" si="64"/>
        <v>0.09471218045</v>
      </c>
      <c r="O41" s="61">
        <f t="shared" si="65"/>
        <v>1259672</v>
      </c>
      <c r="P41" s="59">
        <f>IFERROR(__xludf.DUMMYFUNCTION("IMPORTRANGE(""10qjixCWmRgLD1HnXMVXTEeu_DX0TaBbthcov2v2jZyQ"",""2026-27!J4"")"),0.0)</f>
        <v>0</v>
      </c>
      <c r="Q41" s="59">
        <f>IFERROR(__xludf.DUMMYFUNCTION("IMPORTRANGE(""10qjixCWmRgLD1HnXMVXTEeu_DX0TaBbthcov2v2jZyQ"",""2026-27!J3"")"),0.0)</f>
        <v>0</v>
      </c>
      <c r="R41" s="59">
        <f>IFERROR(__xludf.DUMMYFUNCTION("IMPORTRANGE(""10qjixCWmRgLD1HnXMVXTEeu_DX0TaBbthcov2v2jZyQ"",""2026-27!K4"")"),0.0)</f>
        <v>0</v>
      </c>
      <c r="S41" s="59">
        <f>IFERROR(__xludf.DUMMYFUNCTION("IMPORTRANGE(""10qjixCWmRgLD1HnXMVXTEeu_DX0TaBbthcov2v2jZyQ"",""2026-27!K3"")"),0.0)</f>
        <v>0</v>
      </c>
      <c r="T41" s="62" t="str">
        <f t="shared" si="66"/>
        <v/>
      </c>
      <c r="U41" s="59">
        <f>IFERROR(__xludf.DUMMYFUNCTION("IMPORTRANGE(""10qjixCWmRgLD1HnXMVXTEeu_DX0TaBbthcov2v2jZyQ"",""2026-27!L4"")"),110886.0)</f>
        <v>110886</v>
      </c>
      <c r="V41" s="59">
        <f>IFERROR(__xludf.DUMMYFUNCTION("IMPORTRANGE(""10qjixCWmRgLD1HnXMVXTEeu_DX0TaBbthcov2v2jZyQ"",""2026-27!L3"")"),6.0)</f>
        <v>6</v>
      </c>
      <c r="W41" s="59">
        <f>IFERROR(__xludf.DUMMYFUNCTION("IMPORTRANGE(""10qjixCWmRgLD1HnXMVXTEeu_DX0TaBbthcov2v2jZyQ"",""2026-27!m4"")"),1000000.0)</f>
        <v>1000000</v>
      </c>
      <c r="X41" s="59">
        <f>IFERROR(__xludf.DUMMYFUNCTION("IMPORTRANGE(""10qjixCWmRgLD1HnXMVXTEeu_DX0TaBbthcov2v2jZyQ"",""2026-27!m3"")"),51.0)</f>
        <v>51</v>
      </c>
      <c r="Y41" s="59">
        <f>IFERROR(__xludf.DUMMYFUNCTION("IMPORTRANGE(""10qjixCWmRgLD1HnXMVXTEeu_DX0TaBbthcov2v2jZyQ"",""2026-27!N4"")"),902487.9000000001)</f>
        <v>902487.9</v>
      </c>
      <c r="Z41" s="59">
        <f>IFERROR(__xludf.DUMMYFUNCTION("IMPORTRANGE(""10qjixCWmRgLD1HnXMVXTEeu_DX0TaBbthcov2v2jZyQ"",""2026-27!N3"")"),34.0)</f>
        <v>34</v>
      </c>
      <c r="AA41" s="62">
        <f t="shared" si="67"/>
        <v>0.644576</v>
      </c>
      <c r="AB41" s="59">
        <f>IFERROR(__xludf.DUMMYFUNCTION("IMPORTRANGE(""10qjixCWmRgLD1HnXMVXTEeu_DX0TaBbthcov2v2jZyQ"",""2026-27!O4"")"),644576.0)</f>
        <v>644576</v>
      </c>
      <c r="AC41" s="59">
        <f>IFERROR(__xludf.DUMMYFUNCTION("IMPORTRANGE(""10qjixCWmRgLD1HnXMVXTEeu_DX0TaBbthcov2v2jZyQ"",""2026-27!O3"")"),27.0)</f>
        <v>27</v>
      </c>
      <c r="AD41" s="59">
        <f>IFERROR(__xludf.DUMMYFUNCTION("IMPORTRANGE(""10qjixCWmRgLD1HnXMVXTEeu_DX0TaBbthcov2v2jZyQ"",""2026-27!P4"")"),1200000.0)</f>
        <v>1200000</v>
      </c>
      <c r="AE41" s="59">
        <f>IFERROR(__xludf.DUMMYFUNCTION("IMPORTRANGE(""10qjixCWmRgLD1HnXMVXTEeu_DX0TaBbthcov2v2jZyQ"",""2026-27!P3"")"),59.0)</f>
        <v>59</v>
      </c>
      <c r="AF41" s="59">
        <f>IFERROR(__xludf.DUMMYFUNCTION("IMPORTRANGE(""10qjixCWmRgLD1HnXMVXTEeu_DX0TaBbthcov2v2jZyQ"",""2026-27!Q4"")"),647748.2)</f>
        <v>647748.2</v>
      </c>
      <c r="AG41" s="59">
        <f>IFERROR(__xludf.DUMMYFUNCTION("IMPORTRANGE(""10qjixCWmRgLD1HnXMVXTEeu_DX0TaBbthcov2v2jZyQ"",""2026-27!Q3"")"),28.0)</f>
        <v>28</v>
      </c>
      <c r="AH41" s="62">
        <f t="shared" si="68"/>
        <v>0.420175</v>
      </c>
      <c r="AI41" s="59">
        <f>IFERROR(__xludf.DUMMYFUNCTION("IMPORTRANGE(""10qjixCWmRgLD1HnXMVXTEeu_DX0TaBbthcov2v2jZyQ"",""2026-27!R4"")"),504210.0)</f>
        <v>504210</v>
      </c>
      <c r="AJ41" s="59">
        <f>IFERROR(__xludf.DUMMYFUNCTION("IMPORTRANGE(""10qjixCWmRgLD1HnXMVXTEeu_DX0TaBbthcov2v2jZyQ"",""2026-27!R3"")"),26.0)</f>
        <v>26</v>
      </c>
      <c r="AK41" s="59">
        <f>IFERROR(__xludf.DUMMYFUNCTION("IMPORTRANGE(""10qjixCWmRgLD1HnXMVXTEeu_DX0TaBbthcov2v2jZyQ"",""2026-27!S4"")"),1150000.0)</f>
        <v>1150000</v>
      </c>
      <c r="AL41" s="59">
        <f>IFERROR(__xludf.DUMMYFUNCTION("IMPORTRANGE(""10qjixCWmRgLD1HnXMVXTEeu_DX0TaBbthcov2v2jZyQ"",""2026-27!S3"")"),51.0)</f>
        <v>51</v>
      </c>
      <c r="AM41" s="59">
        <f>IFERROR(__xludf.DUMMYFUNCTION("IMPORTRANGE(""10qjixCWmRgLD1HnXMVXTEeu_DX0TaBbthcov2v2jZyQ"",""2026-27!T4"")"),0.0)</f>
        <v>0</v>
      </c>
      <c r="AN41" s="59">
        <f>IFERROR(__xludf.DUMMYFUNCTION("IMPORTRANGE(""10qjixCWmRgLD1HnXMVXTEeu_DX0TaBbthcov2v2jZyQ"",""2026-27!T3"")"),0.0)</f>
        <v>0</v>
      </c>
      <c r="AO41" s="62">
        <f t="shared" si="69"/>
        <v>0</v>
      </c>
      <c r="AP41" s="59">
        <f>IFERROR(__xludf.DUMMYFUNCTION("IMPORTRANGE(""10qjixCWmRgLD1HnXMVXTEeu_DX0TaBbthcov2v2jZyQ"",""2026-27!U4"")"),0.0)</f>
        <v>0</v>
      </c>
      <c r="AQ41" s="59">
        <f>IFERROR(__xludf.DUMMYFUNCTION("IMPORTRANGE(""10qjixCWmRgLD1HnXMVXTEeu_DX0TaBbthcov2v2jZyQ"",""2026-27!U3"")"),0.0)</f>
        <v>0</v>
      </c>
      <c r="AR41" s="59">
        <f>IFERROR(__xludf.DUMMYFUNCTION("IMPORTRANGE(""10qjixCWmRgLD1HnXMVXTEeu_DX0TaBbthcov2v2jZyQ"",""2026-27!V4"")"),0.0)</f>
        <v>0</v>
      </c>
      <c r="AS41" s="59">
        <f>IFERROR(__xludf.DUMMYFUNCTION("IMPORTRANGE(""10qjixCWmRgLD1HnXMVXTEeu_DX0TaBbthcov2v2jZyQ"",""2026-27!V3"")"),0.0)</f>
        <v>0</v>
      </c>
      <c r="AT41" s="59">
        <f>IFERROR(__xludf.DUMMYFUNCTION("IMPORTRANGE(""10qjixCWmRgLD1HnXMVXTEeu_DX0TaBbthcov2v2jZyQ"",""2026-27!W4"")"),0.0)</f>
        <v>0</v>
      </c>
      <c r="AU41" s="59">
        <f>IFERROR(__xludf.DUMMYFUNCTION("IMPORTRANGE(""10qjixCWmRgLD1HnXMVXTEeu_DX0TaBbthcov2v2jZyQ"",""2026-27!W3"")"),0.0)</f>
        <v>0</v>
      </c>
      <c r="AV41" s="62" t="str">
        <f t="shared" si="70"/>
        <v/>
      </c>
      <c r="AW41" s="59">
        <f>IFERROR(__xludf.DUMMYFUNCTION("IMPORTRANGE(""10qjixCWmRgLD1HnXMVXTEeu_DX0TaBbthcov2v2jZyQ"",""2026-27!X4"")"),0.0)</f>
        <v>0</v>
      </c>
      <c r="AX41" s="59">
        <f>IFERROR(__xludf.DUMMYFUNCTION("IMPORTRANGE(""10qjixCWmRgLD1HnXMVXTEeu_DX0TaBbthcov2v2jZyQ"",""2026-27!X3"")"),0.0)</f>
        <v>0</v>
      </c>
      <c r="AY41" s="59">
        <f>IFERROR(__xludf.DUMMYFUNCTION("IMPORTRANGE(""10qjixCWmRgLD1HnXMVXTEeu_DX0TaBbthcov2v2jZyQ"",""2026-27!Y4"")"),0.0)</f>
        <v>0</v>
      </c>
      <c r="AZ41" s="59">
        <f>IFERROR(__xludf.DUMMYFUNCTION("IMPORTRANGE(""10qjixCWmRgLD1HnXMVXTEeu_DX0TaBbthcov2v2jZyQ"",""2026-27!Y3"")"),0.0)</f>
        <v>0</v>
      </c>
      <c r="BA41" s="59">
        <f>IFERROR(__xludf.DUMMYFUNCTION("IMPORTRANGE(""10qjixCWmRgLD1HnXMVXTEeu_DX0TaBbthcov2v2jZyQ"",""2026-27!Z4"")"),0.0)</f>
        <v>0</v>
      </c>
      <c r="BB41" s="59">
        <f>IFERROR(__xludf.DUMMYFUNCTION("IMPORTRANGE(""10qjixCWmRgLD1HnXMVXTEeu_DX0TaBbthcov2v2jZyQ"",""2026-27!Z3"")"),0.0)</f>
        <v>0</v>
      </c>
      <c r="BC41" s="63" t="str">
        <f t="shared" si="71"/>
        <v/>
      </c>
      <c r="BD41" s="59">
        <f>IFERROR(__xludf.DUMMYFUNCTION("IMPORTRANGE(""10qjixCWmRgLD1HnXMVXTEeu_DX0TaBbthcov2v2jZyQ"",""2026-27!AA4"")"),0.0)</f>
        <v>0</v>
      </c>
      <c r="BE41" s="59">
        <f>IFERROR(__xludf.DUMMYFUNCTION("IMPORTRANGE(""10qjixCWmRgLD1HnXMVXTEeu_DX0TaBbthcov2v2jZyQ"",""2026-27!AA3"")"),0.0)</f>
        <v>0</v>
      </c>
      <c r="BF41" s="59">
        <f>IFERROR(__xludf.DUMMYFUNCTION("IMPORTRANGE(""10qjixCWmRgLD1HnXMVXTEeu_DX0TaBbthcov2v2jZyQ"",""2026-27!AB4"")"),0.0)</f>
        <v>0</v>
      </c>
      <c r="BG41" s="59">
        <f>IFERROR(__xludf.DUMMYFUNCTION("IMPORTRANGE(""10qjixCWmRgLD1HnXMVXTEeu_DX0TaBbthcov2v2jZyQ"",""2026-27!AB3"")"),0.0)</f>
        <v>0</v>
      </c>
      <c r="BH41" s="59">
        <f>IFERROR(__xludf.DUMMYFUNCTION("IMPORTRANGE(""10qjixCWmRgLD1HnXMVXTEeu_DX0TaBbthcov2v2jZyQ"",""2026-27!AC4"")"),0.0)</f>
        <v>0</v>
      </c>
      <c r="BI41" s="59">
        <f>IFERROR(__xludf.DUMMYFUNCTION("IMPORTRANGE(""10qjixCWmRgLD1HnXMVXTEeu_DX0TaBbthcov2v2jZyQ"",""2026-27!AC3"")"),0.0)</f>
        <v>0</v>
      </c>
      <c r="BJ41" s="63" t="str">
        <f t="shared" si="72"/>
        <v/>
      </c>
      <c r="BK41" s="59">
        <f>IFERROR(__xludf.DUMMYFUNCTION("IMPORTRANGE(""10qjixCWmRgLD1HnXMVXTEeu_DX0TaBbthcov2v2jZyQ"",""2026-27!AD4"")"),0.0)</f>
        <v>0</v>
      </c>
      <c r="BL41" s="59">
        <f>IFERROR(__xludf.DUMMYFUNCTION("IMPORTRANGE(""10qjixCWmRgLD1HnXMVXTEeu_DX0TaBbthcov2v2jZyQ"",""2026-27!AD3"")"),0.0)</f>
        <v>0</v>
      </c>
      <c r="BM41" s="59">
        <f>IFERROR(__xludf.DUMMYFUNCTION("IMPORTRANGE(""10qjixCWmRgLD1HnXMVXTEeu_DX0TaBbthcov2v2jZyQ"",""2026-27!AE4"")"),0.0)</f>
        <v>0</v>
      </c>
      <c r="BN41" s="59">
        <f>IFERROR(__xludf.DUMMYFUNCTION("IMPORTRANGE(""10qjixCWmRgLD1HnXMVXTEeu_DX0TaBbthcov2v2jZyQ"",""2026-27!AE3"")"),0.0)</f>
        <v>0</v>
      </c>
      <c r="BO41" s="59">
        <f>IFERROR(__xludf.DUMMYFUNCTION("IMPORTRANGE(""10qjixCWmRgLD1HnXMVXTEeu_DX0TaBbthcov2v2jZyQ"",""2026-27!AF4"")"),0.0)</f>
        <v>0</v>
      </c>
      <c r="BP41" s="59">
        <f>IFERROR(__xludf.DUMMYFUNCTION("IMPORTRANGE(""10qjixCWmRgLD1HnXMVXTEeu_DX0TaBbthcov2v2jZyQ"",""2026-27!AF3"")"),0.0)</f>
        <v>0</v>
      </c>
      <c r="BQ41" s="63" t="str">
        <f t="shared" si="73"/>
        <v/>
      </c>
      <c r="BR41" s="59">
        <f>IFERROR(__xludf.DUMMYFUNCTION("IMPORTRANGE(""10qjixCWmRgLD1HnXMVXTEeu_DX0TaBbthcov2v2jZyQ"",""2026-27!AG4"")"),0.0)</f>
        <v>0</v>
      </c>
      <c r="BS41" s="59">
        <f>IFERROR(__xludf.DUMMYFUNCTION("IMPORTRANGE(""10qjixCWmRgLD1HnXMVXTEeu_DX0TaBbthcov2v2jZyQ"",""2026-27!AG3"")"),0.0)</f>
        <v>0</v>
      </c>
      <c r="BT41" s="59">
        <f>IFERROR(__xludf.DUMMYFUNCTION("IMPORTRANGE(""10qjixCWmRgLD1HnXMVXTEeu_DX0TaBbthcov2v2jZyQ"",""2026-27!AH4"")"),0.0)</f>
        <v>0</v>
      </c>
      <c r="BU41" s="59">
        <f>IFERROR(__xludf.DUMMYFUNCTION("IMPORTRANGE(""10qjixCWmRgLD1HnXMVXTEeu_DX0TaBbthcov2v2jZyQ"",""2026-27!AH3"")"),0.0)</f>
        <v>0</v>
      </c>
      <c r="BV41" s="59">
        <f>IFERROR(__xludf.DUMMYFUNCTION("IMPORTRANGE(""10qjixCWmRgLD1HnXMVXTEeu_DX0TaBbthcov2v2jZyQ"",""2026-27!AI4"")"),0.0)</f>
        <v>0</v>
      </c>
      <c r="BW41" s="59">
        <f>IFERROR(__xludf.DUMMYFUNCTION("IMPORTRANGE(""10qjixCWmRgLD1HnXMVXTEeu_DX0TaBbthcov2v2jZyQ"",""2026-27!AI3"")"),0.0)</f>
        <v>0</v>
      </c>
      <c r="BX41" s="63" t="str">
        <f t="shared" si="74"/>
        <v/>
      </c>
      <c r="BY41" s="59">
        <f>IFERROR(__xludf.DUMMYFUNCTION("IMPORTRANGE(""10qjixCWmRgLD1HnXMVXTEeu_DX0TaBbthcov2v2jZyQ"",""2026-27!AJ4"")"),0.0)</f>
        <v>0</v>
      </c>
      <c r="BZ41" s="59">
        <f>IFERROR(__xludf.DUMMYFUNCTION("IMPORTRANGE(""10qjixCWmRgLD1HnXMVXTEeu_DX0TaBbthcov2v2jZyQ"",""2026-27!AJ3"")"),0.0)</f>
        <v>0</v>
      </c>
      <c r="CA41" s="59">
        <f>IFERROR(__xludf.DUMMYFUNCTION("IMPORTRANGE(""10qjixCWmRgLD1HnXMVXTEeu_DX0TaBbthcov2v2jZyQ"",""2026-27!AK4"")"),0.0)</f>
        <v>0</v>
      </c>
      <c r="CB41" s="59">
        <f>IFERROR(__xludf.DUMMYFUNCTION("IMPORTRANGE(""10qjixCWmRgLD1HnXMVXTEeu_DX0TaBbthcov2v2jZyQ"",""2026-27!AK3"")"),0.0)</f>
        <v>0</v>
      </c>
      <c r="CC41" s="59">
        <f>IFERROR(__xludf.DUMMYFUNCTION("IMPORTRANGE(""10qjixCWmRgLD1HnXMVXTEeu_DX0TaBbthcov2v2jZyQ"",""2026-27!AL4"")"),0.0)</f>
        <v>0</v>
      </c>
      <c r="CD41" s="59">
        <f>IFERROR(__xludf.DUMMYFUNCTION("IMPORTRANGE(""10qjixCWmRgLD1HnXMVXTEeu_DX0TaBbthcov2v2jZyQ"",""2026-27!AL3"")"),0.0)</f>
        <v>0</v>
      </c>
      <c r="CE41" s="63" t="str">
        <f t="shared" si="75"/>
        <v/>
      </c>
      <c r="CF41" s="59">
        <f>IFERROR(__xludf.DUMMYFUNCTION("IMPORTRANGE(""10qjixCWmRgLD1HnXMVXTEeu_DX0TaBbthcov2v2jZyQ"",""2026-27!AM4"")"),0.0)</f>
        <v>0</v>
      </c>
      <c r="CG41" s="59">
        <f>IFERROR(__xludf.DUMMYFUNCTION("IMPORTRANGE(""10qjixCWmRgLD1HnXMVXTEeu_DX0TaBbthcov2v2jZyQ"",""2026-27!AM3"")"),0.0)</f>
        <v>0</v>
      </c>
      <c r="CH41" s="59">
        <f>IFERROR(__xludf.DUMMYFUNCTION("IMPORTRANGE(""10qjixCWmRgLD1HnXMVXTEeu_DX0TaBbthcov2v2jZyQ"",""2026-27!AN4"")"),0.0)</f>
        <v>0</v>
      </c>
      <c r="CI41" s="59">
        <f>IFERROR(__xludf.DUMMYFUNCTION("IMPORTRANGE(""10qjixCWmRgLD1HnXMVXTEeu_DX0TaBbthcov2v2jZyQ"",""2026-27!AN3"")"),0.0)</f>
        <v>0</v>
      </c>
      <c r="CJ41" s="59">
        <f>IFERROR(__xludf.DUMMYFUNCTION("IMPORTRANGE(""10qjixCWmRgLD1HnXMVXTEeu_DX0TaBbthcov2v2jZyQ"",""2026-27!AO4"")"),0.0)</f>
        <v>0</v>
      </c>
      <c r="CK41" s="59">
        <f>IFERROR(__xludf.DUMMYFUNCTION("IMPORTRANGE(""10qjixCWmRgLD1HnXMVXTEeu_DX0TaBbthcov2v2jZyQ"",""2026-27!AO3"")"),0.0)</f>
        <v>0</v>
      </c>
      <c r="CL41" s="63" t="str">
        <f t="shared" si="76"/>
        <v/>
      </c>
      <c r="CM41" s="59">
        <f>IFERROR(__xludf.DUMMYFUNCTION("IMPORTRANGE(""10qjixCWmRgLD1HnXMVXTEeu_DX0TaBbthcov2v2jZyQ"",""2026-27!AP4"")"),0.0)</f>
        <v>0</v>
      </c>
      <c r="CN41" s="59">
        <f>IFERROR(__xludf.DUMMYFUNCTION("IMPORTRANGE(""10qjixCWmRgLD1HnXMVXTEeu_DX0TaBbthcov2v2jZyQ"",""2026-27!AP3"")"),0.0)</f>
        <v>0</v>
      </c>
      <c r="CO41" s="59">
        <f>IFERROR(__xludf.DUMMYFUNCTION("IMPORTRANGE(""10qjixCWmRgLD1HnXMVXTEeu_DX0TaBbthcov2v2jZyQ"",""2026-27!AQ4"")"),0.0)</f>
        <v>0</v>
      </c>
      <c r="CP41" s="59">
        <f>IFERROR(__xludf.DUMMYFUNCTION("IMPORTRANGE(""10qjixCWmRgLD1HnXMVXTEeu_DX0TaBbthcov2v2jZyQ"",""2026-27!AQ3"")"),0.0)</f>
        <v>0</v>
      </c>
      <c r="CQ41" s="59">
        <f>IFERROR(__xludf.DUMMYFUNCTION("IMPORTRANGE(""10qjixCWmRgLD1HnXMVXTEeu_DX0TaBbthcov2v2jZyQ"",""2026-27!AR4"")"),0.0)</f>
        <v>0</v>
      </c>
      <c r="CR41" s="59">
        <f>IFERROR(__xludf.DUMMYFUNCTION("IMPORTRANGE(""10qjixCWmRgLD1HnXMVXTEeu_DX0TaBbthcov2v2jZyQ"",""2026-27!AR3"")"),0.0)</f>
        <v>0</v>
      </c>
      <c r="CS41" s="63" t="str">
        <f t="shared" si="77"/>
        <v/>
      </c>
      <c r="CT41" s="59">
        <f>IFERROR(__xludf.DUMMYFUNCTION("IMPORTRANGE(""10qjixCWmRgLD1HnXMVXTEeu_DX0TaBbthcov2v2jZyQ"",""2026-27!AS4"")"),0.0)</f>
        <v>0</v>
      </c>
      <c r="CU41" s="59">
        <f>IFERROR(__xludf.DUMMYFUNCTION("IMPORTRANGE(""10qjixCWmRgLD1HnXMVXTEeu_DX0TaBbthcov2v2jZyQ"",""2026-27!AS3"")"),0.0)</f>
        <v>0</v>
      </c>
      <c r="CV41" s="64"/>
    </row>
    <row r="42">
      <c r="A42" s="1" t="s">
        <v>72</v>
      </c>
      <c r="B42" s="41"/>
      <c r="C42" s="75" t="s">
        <v>95</v>
      </c>
      <c r="D42" s="69" t="s">
        <v>96</v>
      </c>
      <c r="E42" s="72">
        <v>8.826600493E9</v>
      </c>
      <c r="F42" s="70">
        <v>46041.0</v>
      </c>
      <c r="G42" s="66"/>
      <c r="H42" s="66"/>
      <c r="I42" s="74">
        <v>68112.0</v>
      </c>
      <c r="J42" s="58">
        <v>1200000.0</v>
      </c>
      <c r="K42" s="59">
        <f>IFERROR(__xludf.DUMMYFUNCTION("IMPORTRANGE(""1wsszhlq6_ah5OYzZkVme-nY4menV6_rwzD2vaJvOGhU"",""2026-27!A3"")"),64.0)</f>
        <v>64</v>
      </c>
      <c r="L42" s="59">
        <f>IFERROR(__xludf.DUMMYFUNCTION("IMPORTRANGE(""1wsszhlq6_ah5OYzZkVme-nY4menV6_rwzD2vaJvOGhU"",""2026-27!G4"")"),1.1496428571428569E7)</f>
        <v>11496428.57</v>
      </c>
      <c r="M42" s="59">
        <f t="shared" si="63"/>
        <v>538487.82</v>
      </c>
      <c r="N42" s="60">
        <f t="shared" si="64"/>
        <v>0.02833871389</v>
      </c>
      <c r="O42" s="61">
        <f t="shared" si="65"/>
        <v>325794</v>
      </c>
      <c r="P42" s="59">
        <f>IFERROR(__xludf.DUMMYFUNCTION("IMPORTRANGE(""1wsszhlq6_ah5OYzZkVme-nY4menV6_rwzD2vaJvOGhU"",""2026-27!J4"")"),630000.0)</f>
        <v>630000</v>
      </c>
      <c r="Q42" s="59">
        <f>IFERROR(__xludf.DUMMYFUNCTION("IMPORTRANGE(""1wsszhlq6_ah5OYzZkVme-nY4menV6_rwzD2vaJvOGhU"",""2026-27!J3"")"),21.0)</f>
        <v>21</v>
      </c>
      <c r="R42" s="59">
        <f>IFERROR(__xludf.DUMMYFUNCTION("IMPORTRANGE(""1wsszhlq6_ah5OYzZkVme-nY4menV6_rwzD2vaJvOGhU"",""2026-27!K4"")"),60651.15)</f>
        <v>60651.15</v>
      </c>
      <c r="S42" s="59">
        <f>IFERROR(__xludf.DUMMYFUNCTION("IMPORTRANGE(""1wsszhlq6_ah5OYzZkVme-nY4menV6_rwzD2vaJvOGhU"",""2026-27!K3"")"),11.0)</f>
        <v>11</v>
      </c>
      <c r="T42" s="62">
        <f t="shared" si="66"/>
        <v>0.09626190476</v>
      </c>
      <c r="U42" s="59">
        <f>IFERROR(__xludf.DUMMYFUNCTION("IMPORTRANGE(""1wsszhlq6_ah5OYzZkVme-nY4menV6_rwzD2vaJvOGhU"",""2026-27!L4"")"),60645.0)</f>
        <v>60645</v>
      </c>
      <c r="V42" s="59">
        <f>IFERROR(__xludf.DUMMYFUNCTION("IMPORTRANGE(""1wsszhlq6_ah5OYzZkVme-nY4menV6_rwzD2vaJvOGhU"",""2026-27!L3"")"),11.0)</f>
        <v>11</v>
      </c>
      <c r="W42" s="59">
        <f>IFERROR(__xludf.DUMMYFUNCTION("IMPORTRANGE(""1wsszhlq6_ah5OYzZkVme-nY4menV6_rwzD2vaJvOGhU"",""2026-27!m4"")"),840000.0)</f>
        <v>840000</v>
      </c>
      <c r="X42" s="59">
        <f>IFERROR(__xludf.DUMMYFUNCTION("IMPORTRANGE(""1wsszhlq6_ah5OYzZkVme-nY4menV6_rwzD2vaJvOGhU"",""2026-27!m3"")"),21.0)</f>
        <v>21</v>
      </c>
      <c r="Y42" s="59">
        <f>IFERROR(__xludf.DUMMYFUNCTION("IMPORTRANGE(""1wsszhlq6_ah5OYzZkVme-nY4menV6_rwzD2vaJvOGhU"",""2026-27!N4"")"),272241.12)</f>
        <v>272241.12</v>
      </c>
      <c r="Z42" s="59">
        <f>IFERROR(__xludf.DUMMYFUNCTION("IMPORTRANGE(""1wsszhlq6_ah5OYzZkVme-nY4menV6_rwzD2vaJvOGhU"",""2026-27!N3"")"),29.0)</f>
        <v>29</v>
      </c>
      <c r="AA42" s="62">
        <f t="shared" si="67"/>
        <v>0.3156535714</v>
      </c>
      <c r="AB42" s="59">
        <f>IFERROR(__xludf.DUMMYFUNCTION("IMPORTRANGE(""1wsszhlq6_ah5OYzZkVme-nY4menV6_rwzD2vaJvOGhU"",""2026-27!O4"")"),265149.0)</f>
        <v>265149</v>
      </c>
      <c r="AC42" s="59">
        <f>IFERROR(__xludf.DUMMYFUNCTION("IMPORTRANGE(""1wsszhlq6_ah5OYzZkVme-nY4menV6_rwzD2vaJvOGhU"",""2026-27!O3"")"),27.0)</f>
        <v>27</v>
      </c>
      <c r="AD42" s="59">
        <f>IFERROR(__xludf.DUMMYFUNCTION("IMPORTRANGE(""1wsszhlq6_ah5OYzZkVme-nY4menV6_rwzD2vaJvOGhU"",""2026-27!P4"")"),735000.0)</f>
        <v>735000</v>
      </c>
      <c r="AE42" s="59">
        <f>IFERROR(__xludf.DUMMYFUNCTION("IMPORTRANGE(""1wsszhlq6_ah5OYzZkVme-nY4menV6_rwzD2vaJvOGhU"",""2026-27!P3"")"),21.0)</f>
        <v>21</v>
      </c>
      <c r="AF42" s="59">
        <f>IFERROR(__xludf.DUMMYFUNCTION("IMPORTRANGE(""1wsszhlq6_ah5OYzZkVme-nY4menV6_rwzD2vaJvOGhU"",""2026-27!Q4"")"),205595.54999999996)</f>
        <v>205595.55</v>
      </c>
      <c r="AG42" s="59">
        <f>IFERROR(__xludf.DUMMYFUNCTION("IMPORTRANGE(""1wsszhlq6_ah5OYzZkVme-nY4menV6_rwzD2vaJvOGhU"",""2026-27!Q3"")"),25.0)</f>
        <v>25</v>
      </c>
      <c r="AH42" s="62">
        <f t="shared" si="68"/>
        <v>0</v>
      </c>
      <c r="AI42" s="59">
        <f>IFERROR(__xludf.DUMMYFUNCTION("IMPORTRANGE(""1wsszhlq6_ah5OYzZkVme-nY4menV6_rwzD2vaJvOGhU"",""2026-27!R4"")"),0.0)</f>
        <v>0</v>
      </c>
      <c r="AJ42" s="59">
        <f>IFERROR(__xludf.DUMMYFUNCTION("IMPORTRANGE(""1wsszhlq6_ah5OYzZkVme-nY4menV6_rwzD2vaJvOGhU"",""2026-27!R3"")"),0.0)</f>
        <v>0</v>
      </c>
      <c r="AK42" s="59">
        <f>IFERROR(__xludf.DUMMYFUNCTION("IMPORTRANGE(""1wsszhlq6_ah5OYzZkVme-nY4menV6_rwzD2vaJvOGhU"",""2026-27!S4"")"),0.0)</f>
        <v>0</v>
      </c>
      <c r="AL42" s="59">
        <f>IFERROR(__xludf.DUMMYFUNCTION("IMPORTRANGE(""1wsszhlq6_ah5OYzZkVme-nY4menV6_rwzD2vaJvOGhU"",""2026-27!S3"")"),0.0)</f>
        <v>0</v>
      </c>
      <c r="AM42" s="59">
        <f>IFERROR(__xludf.DUMMYFUNCTION("IMPORTRANGE(""1wsszhlq6_ah5OYzZkVme-nY4menV6_rwzD2vaJvOGhU"",""2026-27!T4"")"),0.0)</f>
        <v>0</v>
      </c>
      <c r="AN42" s="59">
        <f>IFERROR(__xludf.DUMMYFUNCTION("IMPORTRANGE(""1wsszhlq6_ah5OYzZkVme-nY4menV6_rwzD2vaJvOGhU"",""2026-27!T3"")"),0.0)</f>
        <v>0</v>
      </c>
      <c r="AO42" s="62" t="str">
        <f t="shared" si="69"/>
        <v/>
      </c>
      <c r="AP42" s="59">
        <f>IFERROR(__xludf.DUMMYFUNCTION("IMPORTRANGE(""1wsszhlq6_ah5OYzZkVme-nY4menV6_rwzD2vaJvOGhU"",""2026-27!U4"")"),0.0)</f>
        <v>0</v>
      </c>
      <c r="AQ42" s="59">
        <f>IFERROR(__xludf.DUMMYFUNCTION("IMPORTRANGE(""1wsszhlq6_ah5OYzZkVme-nY4menV6_rwzD2vaJvOGhU"",""2026-27!U3"")"),0.0)</f>
        <v>0</v>
      </c>
      <c r="AR42" s="59">
        <f>IFERROR(__xludf.DUMMYFUNCTION("IMPORTRANGE(""1wsszhlq6_ah5OYzZkVme-nY4menV6_rwzD2vaJvOGhU"",""2026-27!V4"")"),0.0)</f>
        <v>0</v>
      </c>
      <c r="AS42" s="59">
        <f>IFERROR(__xludf.DUMMYFUNCTION("IMPORTRANGE(""1wsszhlq6_ah5OYzZkVme-nY4menV6_rwzD2vaJvOGhU"",""2026-27!V3"")"),0.0)</f>
        <v>0</v>
      </c>
      <c r="AT42" s="59">
        <f>IFERROR(__xludf.DUMMYFUNCTION("IMPORTRANGE(""1wsszhlq6_ah5OYzZkVme-nY4menV6_rwzD2vaJvOGhU"",""2026-27!W4"")"),0.0)</f>
        <v>0</v>
      </c>
      <c r="AU42" s="59">
        <f>IFERROR(__xludf.DUMMYFUNCTION("IMPORTRANGE(""1wsszhlq6_ah5OYzZkVme-nY4menV6_rwzD2vaJvOGhU"",""2026-27!W3"")"),0.0)</f>
        <v>0</v>
      </c>
      <c r="AV42" s="62" t="str">
        <f t="shared" si="70"/>
        <v/>
      </c>
      <c r="AW42" s="59">
        <f>IFERROR(__xludf.DUMMYFUNCTION("IMPORTRANGE(""1wsszhlq6_ah5OYzZkVme-nY4menV6_rwzD2vaJvOGhU"",""2026-27!X4"")"),0.0)</f>
        <v>0</v>
      </c>
      <c r="AX42" s="59">
        <f>IFERROR(__xludf.DUMMYFUNCTION("IMPORTRANGE(""1wsszhlq6_ah5OYzZkVme-nY4menV6_rwzD2vaJvOGhU"",""2026-27!X3"")"),0.0)</f>
        <v>0</v>
      </c>
      <c r="AY42" s="59">
        <f>IFERROR(__xludf.DUMMYFUNCTION("IMPORTRANGE(""1wsszhlq6_ah5OYzZkVme-nY4menV6_rwzD2vaJvOGhU"",""2026-27!Y4"")"),0.0)</f>
        <v>0</v>
      </c>
      <c r="AZ42" s="59">
        <f>IFERROR(__xludf.DUMMYFUNCTION("IMPORTRANGE(""1wsszhlq6_ah5OYzZkVme-nY4menV6_rwzD2vaJvOGhU"",""2026-27!Y3"")"),0.0)</f>
        <v>0</v>
      </c>
      <c r="BA42" s="59">
        <f>IFERROR(__xludf.DUMMYFUNCTION("IMPORTRANGE(""1wsszhlq6_ah5OYzZkVme-nY4menV6_rwzD2vaJvOGhU"",""2026-27!Z4"")"),0.0)</f>
        <v>0</v>
      </c>
      <c r="BB42" s="59">
        <f>IFERROR(__xludf.DUMMYFUNCTION("IMPORTRANGE(""1wsszhlq6_ah5OYzZkVme-nY4menV6_rwzD2vaJvOGhU"",""2026-27!Z3"")"),0.0)</f>
        <v>0</v>
      </c>
      <c r="BC42" s="63" t="str">
        <f t="shared" si="71"/>
        <v/>
      </c>
      <c r="BD42" s="59">
        <f>IFERROR(__xludf.DUMMYFUNCTION("IMPORTRANGE(""1wsszhlq6_ah5OYzZkVme-nY4menV6_rwzD2vaJvOGhU"",""2026-27!AA4"")"),0.0)</f>
        <v>0</v>
      </c>
      <c r="BE42" s="59">
        <f>IFERROR(__xludf.DUMMYFUNCTION("IMPORTRANGE(""1wsszhlq6_ah5OYzZkVme-nY4menV6_rwzD2vaJvOGhU"",""2026-27!AA3"")"),0.0)</f>
        <v>0</v>
      </c>
      <c r="BF42" s="59">
        <f>IFERROR(__xludf.DUMMYFUNCTION("IMPORTRANGE(""1wsszhlq6_ah5OYzZkVme-nY4menV6_rwzD2vaJvOGhU"",""2026-27!AB4"")"),0.0)</f>
        <v>0</v>
      </c>
      <c r="BG42" s="59">
        <f>IFERROR(__xludf.DUMMYFUNCTION("IMPORTRANGE(""1wsszhlq6_ah5OYzZkVme-nY4menV6_rwzD2vaJvOGhU"",""2026-27!AB3"")"),0.0)</f>
        <v>0</v>
      </c>
      <c r="BH42" s="59">
        <f>IFERROR(__xludf.DUMMYFUNCTION("IMPORTRANGE(""1wsszhlq6_ah5OYzZkVme-nY4menV6_rwzD2vaJvOGhU"",""2026-27!AC4"")"),0.0)</f>
        <v>0</v>
      </c>
      <c r="BI42" s="59">
        <f>IFERROR(__xludf.DUMMYFUNCTION("IMPORTRANGE(""1wsszhlq6_ah5OYzZkVme-nY4menV6_rwzD2vaJvOGhU"",""2026-27!AC3"")"),0.0)</f>
        <v>0</v>
      </c>
      <c r="BJ42" s="63" t="str">
        <f t="shared" si="72"/>
        <v/>
      </c>
      <c r="BK42" s="59">
        <f>IFERROR(__xludf.DUMMYFUNCTION("IMPORTRANGE(""1wsszhlq6_ah5OYzZkVme-nY4menV6_rwzD2vaJvOGhU"",""2026-27!AD4"")"),0.0)</f>
        <v>0</v>
      </c>
      <c r="BL42" s="59">
        <f>IFERROR(__xludf.DUMMYFUNCTION("IMPORTRANGE(""1wsszhlq6_ah5OYzZkVme-nY4menV6_rwzD2vaJvOGhU"",""2026-27!AD3"")"),0.0)</f>
        <v>0</v>
      </c>
      <c r="BM42" s="59">
        <f>IFERROR(__xludf.DUMMYFUNCTION("IMPORTRANGE(""1wsszhlq6_ah5OYzZkVme-nY4menV6_rwzD2vaJvOGhU"",""2026-27!AE4"")"),0.0)</f>
        <v>0</v>
      </c>
      <c r="BN42" s="59">
        <f>IFERROR(__xludf.DUMMYFUNCTION("IMPORTRANGE(""1wsszhlq6_ah5OYzZkVme-nY4menV6_rwzD2vaJvOGhU"",""2026-27!AE3"")"),0.0)</f>
        <v>0</v>
      </c>
      <c r="BO42" s="59">
        <f>IFERROR(__xludf.DUMMYFUNCTION("IMPORTRANGE(""1wsszhlq6_ah5OYzZkVme-nY4menV6_rwzD2vaJvOGhU"",""2026-27!AF4"")"),0.0)</f>
        <v>0</v>
      </c>
      <c r="BP42" s="59">
        <f>IFERROR(__xludf.DUMMYFUNCTION("IMPORTRANGE(""1wsszhlq6_ah5OYzZkVme-nY4menV6_rwzD2vaJvOGhU"",""2026-27!AF3"")"),0.0)</f>
        <v>0</v>
      </c>
      <c r="BQ42" s="63" t="str">
        <f t="shared" si="73"/>
        <v/>
      </c>
      <c r="BR42" s="59">
        <f>IFERROR(__xludf.DUMMYFUNCTION("IMPORTRANGE(""1wsszhlq6_ah5OYzZkVme-nY4menV6_rwzD2vaJvOGhU"",""2026-27!AG4"")"),0.0)</f>
        <v>0</v>
      </c>
      <c r="BS42" s="59">
        <f>IFERROR(__xludf.DUMMYFUNCTION("IMPORTRANGE(""1wsszhlq6_ah5OYzZkVme-nY4menV6_rwzD2vaJvOGhU"",""2026-27!AG3"")"),0.0)</f>
        <v>0</v>
      </c>
      <c r="BT42" s="59">
        <f>IFERROR(__xludf.DUMMYFUNCTION("IMPORTRANGE(""1wsszhlq6_ah5OYzZkVme-nY4menV6_rwzD2vaJvOGhU"",""2026-27!AH4"")"),0.0)</f>
        <v>0</v>
      </c>
      <c r="BU42" s="59">
        <f>IFERROR(__xludf.DUMMYFUNCTION("IMPORTRANGE(""1wsszhlq6_ah5OYzZkVme-nY4menV6_rwzD2vaJvOGhU"",""2026-27!AH3"")"),0.0)</f>
        <v>0</v>
      </c>
      <c r="BV42" s="59">
        <f>IFERROR(__xludf.DUMMYFUNCTION("IMPORTRANGE(""1wsszhlq6_ah5OYzZkVme-nY4menV6_rwzD2vaJvOGhU"",""2026-27!AI4"")"),0.0)</f>
        <v>0</v>
      </c>
      <c r="BW42" s="59">
        <f>IFERROR(__xludf.DUMMYFUNCTION("IMPORTRANGE(""1wsszhlq6_ah5OYzZkVme-nY4menV6_rwzD2vaJvOGhU"",""2026-27!AI3"")"),0.0)</f>
        <v>0</v>
      </c>
      <c r="BX42" s="63" t="str">
        <f t="shared" si="74"/>
        <v/>
      </c>
      <c r="BY42" s="59">
        <f>IFERROR(__xludf.DUMMYFUNCTION("IMPORTRANGE(""1wsszhlq6_ah5OYzZkVme-nY4menV6_rwzD2vaJvOGhU"",""2026-27!AJ4"")"),0.0)</f>
        <v>0</v>
      </c>
      <c r="BZ42" s="59">
        <f>IFERROR(__xludf.DUMMYFUNCTION("IMPORTRANGE(""1wsszhlq6_ah5OYzZkVme-nY4menV6_rwzD2vaJvOGhU"",""2026-27!AJ3"")"),0.0)</f>
        <v>0</v>
      </c>
      <c r="CA42" s="59">
        <f>IFERROR(__xludf.DUMMYFUNCTION("IMPORTRANGE(""1wsszhlq6_ah5OYzZkVme-nY4menV6_rwzD2vaJvOGhU"",""2026-27!AK4"")"),0.0)</f>
        <v>0</v>
      </c>
      <c r="CB42" s="59">
        <f>IFERROR(__xludf.DUMMYFUNCTION("IMPORTRANGE(""1wsszhlq6_ah5OYzZkVme-nY4menV6_rwzD2vaJvOGhU"",""2026-27!AK3"")"),0.0)</f>
        <v>0</v>
      </c>
      <c r="CC42" s="59">
        <f>IFERROR(__xludf.DUMMYFUNCTION("IMPORTRANGE(""1wsszhlq6_ah5OYzZkVme-nY4menV6_rwzD2vaJvOGhU"",""2026-27!AL4"")"),0.0)</f>
        <v>0</v>
      </c>
      <c r="CD42" s="59">
        <f>IFERROR(__xludf.DUMMYFUNCTION("IMPORTRANGE(""1wsszhlq6_ah5OYzZkVme-nY4menV6_rwzD2vaJvOGhU"",""2026-27!AL3"")"),0.0)</f>
        <v>0</v>
      </c>
      <c r="CE42" s="63" t="str">
        <f t="shared" si="75"/>
        <v/>
      </c>
      <c r="CF42" s="59">
        <f>IFERROR(__xludf.DUMMYFUNCTION("IMPORTRANGE(""1wsszhlq6_ah5OYzZkVme-nY4menV6_rwzD2vaJvOGhU"",""2026-27!AM4"")"),0.0)</f>
        <v>0</v>
      </c>
      <c r="CG42" s="59">
        <f>IFERROR(__xludf.DUMMYFUNCTION("IMPORTRANGE(""1wsszhlq6_ah5OYzZkVme-nY4menV6_rwzD2vaJvOGhU"",""2026-27!AM3"")"),0.0)</f>
        <v>0</v>
      </c>
      <c r="CH42" s="59">
        <f>IFERROR(__xludf.DUMMYFUNCTION("IMPORTRANGE(""1wsszhlq6_ah5OYzZkVme-nY4menV6_rwzD2vaJvOGhU"",""2026-27!AN4"")"),0.0)</f>
        <v>0</v>
      </c>
      <c r="CI42" s="59">
        <f>IFERROR(__xludf.DUMMYFUNCTION("IMPORTRANGE(""1wsszhlq6_ah5OYzZkVme-nY4menV6_rwzD2vaJvOGhU"",""2026-27!AN3"")"),0.0)</f>
        <v>0</v>
      </c>
      <c r="CJ42" s="59">
        <f>IFERROR(__xludf.DUMMYFUNCTION("IMPORTRANGE(""1wsszhlq6_ah5OYzZkVme-nY4menV6_rwzD2vaJvOGhU"",""2026-27!AO4"")"),0.0)</f>
        <v>0</v>
      </c>
      <c r="CK42" s="59">
        <f>IFERROR(__xludf.DUMMYFUNCTION("IMPORTRANGE(""1wsszhlq6_ah5OYzZkVme-nY4menV6_rwzD2vaJvOGhU"",""2026-27!AO3"")"),0.0)</f>
        <v>0</v>
      </c>
      <c r="CL42" s="63" t="str">
        <f t="shared" si="76"/>
        <v/>
      </c>
      <c r="CM42" s="59">
        <f>IFERROR(__xludf.DUMMYFUNCTION("IMPORTRANGE(""1wsszhlq6_ah5OYzZkVme-nY4menV6_rwzD2vaJvOGhU"",""2026-27!AP4"")"),0.0)</f>
        <v>0</v>
      </c>
      <c r="CN42" s="59">
        <f>IFERROR(__xludf.DUMMYFUNCTION("IMPORTRANGE(""1wsszhlq6_ah5OYzZkVme-nY4menV6_rwzD2vaJvOGhU"",""2026-27!AP3"")"),0.0)</f>
        <v>0</v>
      </c>
      <c r="CO42" s="59">
        <f>IFERROR(__xludf.DUMMYFUNCTION("IMPORTRANGE(""1wsszhlq6_ah5OYzZkVme-nY4menV6_rwzD2vaJvOGhU"",""2026-27!AQ4"")"),0.0)</f>
        <v>0</v>
      </c>
      <c r="CP42" s="59">
        <f>IFERROR(__xludf.DUMMYFUNCTION("IMPORTRANGE(""1wsszhlq6_ah5OYzZkVme-nY4menV6_rwzD2vaJvOGhU"",""2026-27!AQ3"")"),0.0)</f>
        <v>0</v>
      </c>
      <c r="CQ42" s="59">
        <f>IFERROR(__xludf.DUMMYFUNCTION("IMPORTRANGE(""1wsszhlq6_ah5OYzZkVme-nY4menV6_rwzD2vaJvOGhU"",""2026-27!AR4"")"),0.0)</f>
        <v>0</v>
      </c>
      <c r="CR42" s="59">
        <f>IFERROR(__xludf.DUMMYFUNCTION("IMPORTRANGE(""1wsszhlq6_ah5OYzZkVme-nY4menV6_rwzD2vaJvOGhU"",""2026-27!AR3"")"),0.0)</f>
        <v>0</v>
      </c>
      <c r="CS42" s="63" t="str">
        <f t="shared" si="77"/>
        <v/>
      </c>
      <c r="CT42" s="59">
        <f>IFERROR(__xludf.DUMMYFUNCTION("IMPORTRANGE(""1wsszhlq6_ah5OYzZkVme-nY4menV6_rwzD2vaJvOGhU"",""2026-27!AS4"")"),0.0)</f>
        <v>0</v>
      </c>
      <c r="CU42" s="59">
        <f>IFERROR(__xludf.DUMMYFUNCTION("IMPORTRANGE(""1wsszhlq6_ah5OYzZkVme-nY4menV6_rwzD2vaJvOGhU"",""2026-27!AS3"")"),0.0)</f>
        <v>0</v>
      </c>
      <c r="CV42" s="64"/>
    </row>
    <row r="43">
      <c r="A43" s="1" t="s">
        <v>72</v>
      </c>
      <c r="B43" s="41"/>
      <c r="C43" s="102" t="s">
        <v>97</v>
      </c>
      <c r="D43" s="69" t="s">
        <v>98</v>
      </c>
      <c r="E43" s="72">
        <v>9.113915522E9</v>
      </c>
      <c r="F43" s="84">
        <v>46090.0</v>
      </c>
      <c r="G43" s="66"/>
      <c r="H43" s="66"/>
      <c r="I43" s="74">
        <v>38810.0</v>
      </c>
      <c r="J43" s="58"/>
      <c r="K43" s="59">
        <f>IFERROR(__xludf.DUMMYFUNCTION("IMPORTRANGE(""1LF2Q3hf8PmqbCtIh_IYQwMCJfUjNd2x1JaohFk2YsSk"",""2026-27!A3"")"),11.0)</f>
        <v>11</v>
      </c>
      <c r="L43" s="59">
        <f>IFERROR(__xludf.DUMMYFUNCTION("IMPORTRANGE(""1LF2Q3hf8PmqbCtIh_IYQwMCJfUjNd2x1JaohFk2YsSk"",""2026-27!G4"")"),1272000.0)</f>
        <v>1272000</v>
      </c>
      <c r="M43" s="59">
        <f t="shared" si="63"/>
        <v>183589.59</v>
      </c>
      <c r="N43" s="60">
        <f t="shared" si="64"/>
        <v>0</v>
      </c>
      <c r="O43" s="61">
        <f t="shared" si="65"/>
        <v>0</v>
      </c>
      <c r="P43" s="59">
        <f>IFERROR(__xludf.DUMMYFUNCTION("IMPORTRANGE(""1LF2Q3hf8PmqbCtIh_IYQwMCJfUjNd2x1JaohFk2YsSk"",""2026-27!J4"")"),0.0)</f>
        <v>0</v>
      </c>
      <c r="Q43" s="59">
        <f>IFERROR(__xludf.DUMMYFUNCTION("IMPORTRANGE(""1LF2Q3hf8PmqbCtIh_IYQwMCJfUjNd2x1JaohFk2YsSk"",""2026-27!J3"")"),0.0)</f>
        <v>0</v>
      </c>
      <c r="R43" s="59">
        <f>IFERROR(__xludf.DUMMYFUNCTION("IMPORTRANGE(""1LF2Q3hf8PmqbCtIh_IYQwMCJfUjNd2x1JaohFk2YsSk"",""2026-27!K4"")"),22808.87)</f>
        <v>22808.87</v>
      </c>
      <c r="S43" s="59">
        <f>IFERROR(__xludf.DUMMYFUNCTION("IMPORTRANGE(""1LF2Q3hf8PmqbCtIh_IYQwMCJfUjNd2x1JaohFk2YsSk"",""2026-27!K3"")"),1.0)</f>
        <v>1</v>
      </c>
      <c r="T43" s="62" t="str">
        <f t="shared" si="66"/>
        <v/>
      </c>
      <c r="U43" s="59">
        <f>IFERROR(__xludf.DUMMYFUNCTION("IMPORTRANGE(""1LF2Q3hf8PmqbCtIh_IYQwMCJfUjNd2x1JaohFk2YsSk"",""2026-27!L4"")"),0.0)</f>
        <v>0</v>
      </c>
      <c r="V43" s="59">
        <f>IFERROR(__xludf.DUMMYFUNCTION("IMPORTRANGE(""1LF2Q3hf8PmqbCtIh_IYQwMCJfUjNd2x1JaohFk2YsSk"",""2026-27!L3"")"),0.0)</f>
        <v>0</v>
      </c>
      <c r="W43" s="59">
        <f>IFERROR(__xludf.DUMMYFUNCTION("IMPORTRANGE(""1LF2Q3hf8PmqbCtIh_IYQwMCJfUjNd2x1JaohFk2YsSk"",""2026-27!m4"")"),66800.0)</f>
        <v>66800</v>
      </c>
      <c r="X43" s="59">
        <f>IFERROR(__xludf.DUMMYFUNCTION("IMPORTRANGE(""1LF2Q3hf8PmqbCtIh_IYQwMCJfUjNd2x1JaohFk2YsSk"",""2026-27!m3"")"),5.0)</f>
        <v>5</v>
      </c>
      <c r="Y43" s="59">
        <f>IFERROR(__xludf.DUMMYFUNCTION("IMPORTRANGE(""1LF2Q3hf8PmqbCtIh_IYQwMCJfUjNd2x1JaohFk2YsSk"",""2026-27!N4"")"),160780.72)</f>
        <v>160780.72</v>
      </c>
      <c r="Z43" s="59">
        <f>IFERROR(__xludf.DUMMYFUNCTION("IMPORTRANGE(""1LF2Q3hf8PmqbCtIh_IYQwMCJfUjNd2x1JaohFk2YsSk"",""2026-27!N3"")"),10.0)</f>
        <v>10</v>
      </c>
      <c r="AA43" s="62">
        <f t="shared" si="67"/>
        <v>0</v>
      </c>
      <c r="AB43" s="59">
        <f>IFERROR(__xludf.DUMMYFUNCTION("IMPORTRANGE(""1LF2Q3hf8PmqbCtIh_IYQwMCJfUjNd2x1JaohFk2YsSk"",""2026-27!O4"")"),0.0)</f>
        <v>0</v>
      </c>
      <c r="AC43" s="59">
        <f>IFERROR(__xludf.DUMMYFUNCTION("IMPORTRANGE(""1LF2Q3hf8PmqbCtIh_IYQwMCJfUjNd2x1JaohFk2YsSk"",""2026-27!O3"")"),0.0)</f>
        <v>0</v>
      </c>
      <c r="AD43" s="59">
        <f>IFERROR(__xludf.DUMMYFUNCTION("IMPORTRANGE(""1LF2Q3hf8PmqbCtIh_IYQwMCJfUjNd2x1JaohFk2YsSk"",""2026-27!P4"")"),50000.0)</f>
        <v>50000</v>
      </c>
      <c r="AE43" s="59">
        <f>IFERROR(__xludf.DUMMYFUNCTION("IMPORTRANGE(""1LF2Q3hf8PmqbCtIh_IYQwMCJfUjNd2x1JaohFk2YsSk"",""2026-27!P3"")"),5.0)</f>
        <v>5</v>
      </c>
      <c r="AF43" s="59">
        <f>IFERROR(__xludf.DUMMYFUNCTION("IMPORTRANGE(""1LF2Q3hf8PmqbCtIh_IYQwMCJfUjNd2x1JaohFk2YsSk"",""2026-27!Q4"")"),0.0)</f>
        <v>0</v>
      </c>
      <c r="AG43" s="59">
        <f>IFERROR(__xludf.DUMMYFUNCTION("IMPORTRANGE(""1LF2Q3hf8PmqbCtIh_IYQwMCJfUjNd2x1JaohFk2YsSk"",""2026-27!Q3"")"),0.0)</f>
        <v>0</v>
      </c>
      <c r="AH43" s="62">
        <f t="shared" si="68"/>
        <v>0</v>
      </c>
      <c r="AI43" s="59">
        <f>IFERROR(__xludf.DUMMYFUNCTION("IMPORTRANGE(""1LF2Q3hf8PmqbCtIh_IYQwMCJfUjNd2x1JaohFk2YsSk"",""2026-27!R4"")"),0.0)</f>
        <v>0</v>
      </c>
      <c r="AJ43" s="59">
        <f>IFERROR(__xludf.DUMMYFUNCTION("IMPORTRANGE(""1LF2Q3hf8PmqbCtIh_IYQwMCJfUjNd2x1JaohFk2YsSk"",""2026-27!R3"")"),0.0)</f>
        <v>0</v>
      </c>
      <c r="AK43" s="59">
        <f>IFERROR(__xludf.DUMMYFUNCTION("IMPORTRANGE(""1LF2Q3hf8PmqbCtIh_IYQwMCJfUjNd2x1JaohFk2YsSk"",""2026-27!S4"")"),38000.0)</f>
        <v>38000</v>
      </c>
      <c r="AL43" s="59">
        <f>IFERROR(__xludf.DUMMYFUNCTION("IMPORTRANGE(""1LF2Q3hf8PmqbCtIh_IYQwMCJfUjNd2x1JaohFk2YsSk"",""2026-27!S3"")"),5.0)</f>
        <v>5</v>
      </c>
      <c r="AM43" s="59">
        <f>IFERROR(__xludf.DUMMYFUNCTION("IMPORTRANGE(""1LF2Q3hf8PmqbCtIh_IYQwMCJfUjNd2x1JaohFk2YsSk"",""2026-27!T4"")"),0.0)</f>
        <v>0</v>
      </c>
      <c r="AN43" s="59">
        <f>IFERROR(__xludf.DUMMYFUNCTION("IMPORTRANGE(""1LF2Q3hf8PmqbCtIh_IYQwMCJfUjNd2x1JaohFk2YsSk"",""2026-27!T3"")"),0.0)</f>
        <v>0</v>
      </c>
      <c r="AO43" s="62">
        <f t="shared" si="69"/>
        <v>0</v>
      </c>
      <c r="AP43" s="59">
        <f>IFERROR(__xludf.DUMMYFUNCTION("IMPORTRANGE(""1LF2Q3hf8PmqbCtIh_IYQwMCJfUjNd2x1JaohFk2YsSk"",""2026-27!U4"")"),0.0)</f>
        <v>0</v>
      </c>
      <c r="AQ43" s="59">
        <f>IFERROR(__xludf.DUMMYFUNCTION("IMPORTRANGE(""1LF2Q3hf8PmqbCtIh_IYQwMCJfUjNd2x1JaohFk2YsSk"",""2026-27!U3"")"),0.0)</f>
        <v>0</v>
      </c>
      <c r="AR43" s="59">
        <f>IFERROR(__xludf.DUMMYFUNCTION("IMPORTRANGE(""1LF2Q3hf8PmqbCtIh_IYQwMCJfUjNd2x1JaohFk2YsSk"",""2026-27!V4"")"),0.0)</f>
        <v>0</v>
      </c>
      <c r="AS43" s="59">
        <f>IFERROR(__xludf.DUMMYFUNCTION("IMPORTRANGE(""1LF2Q3hf8PmqbCtIh_IYQwMCJfUjNd2x1JaohFk2YsSk"",""2026-27!V3"")"),0.0)</f>
        <v>0</v>
      </c>
      <c r="AT43" s="59">
        <f>IFERROR(__xludf.DUMMYFUNCTION("IMPORTRANGE(""1LF2Q3hf8PmqbCtIh_IYQwMCJfUjNd2x1JaohFk2YsSk"",""2026-27!W4"")"),0.0)</f>
        <v>0</v>
      </c>
      <c r="AU43" s="59">
        <f>IFERROR(__xludf.DUMMYFUNCTION("IMPORTRANGE(""1LF2Q3hf8PmqbCtIh_IYQwMCJfUjNd2x1JaohFk2YsSk"",""2026-27!W3"")"),0.0)</f>
        <v>0</v>
      </c>
      <c r="AV43" s="62" t="str">
        <f t="shared" si="70"/>
        <v/>
      </c>
      <c r="AW43" s="59">
        <f>IFERROR(__xludf.DUMMYFUNCTION("IMPORTRANGE(""1LF2Q3hf8PmqbCtIh_IYQwMCJfUjNd2x1JaohFk2YsSk"",""2026-27!X4"")"),0.0)</f>
        <v>0</v>
      </c>
      <c r="AX43" s="59">
        <f>IFERROR(__xludf.DUMMYFUNCTION("IMPORTRANGE(""1LF2Q3hf8PmqbCtIh_IYQwMCJfUjNd2x1JaohFk2YsSk"",""2026-27!X3"")"),0.0)</f>
        <v>0</v>
      </c>
      <c r="AY43" s="59">
        <f>IFERROR(__xludf.DUMMYFUNCTION("IMPORTRANGE(""1LF2Q3hf8PmqbCtIh_IYQwMCJfUjNd2x1JaohFk2YsSk"",""2026-27!Y4"")"),0.0)</f>
        <v>0</v>
      </c>
      <c r="AZ43" s="59">
        <f>IFERROR(__xludf.DUMMYFUNCTION("IMPORTRANGE(""1LF2Q3hf8PmqbCtIh_IYQwMCJfUjNd2x1JaohFk2YsSk"",""2026-27!Y3"")"),0.0)</f>
        <v>0</v>
      </c>
      <c r="BA43" s="59">
        <f>IFERROR(__xludf.DUMMYFUNCTION("IMPORTRANGE(""1LF2Q3hf8PmqbCtIh_IYQwMCJfUjNd2x1JaohFk2YsSk"",""2026-27!Z4"")"),0.0)</f>
        <v>0</v>
      </c>
      <c r="BB43" s="59">
        <f>IFERROR(__xludf.DUMMYFUNCTION("IMPORTRANGE(""1LF2Q3hf8PmqbCtIh_IYQwMCJfUjNd2x1JaohFk2YsSk"",""2026-27!Z3"")"),0.0)</f>
        <v>0</v>
      </c>
      <c r="BC43" s="63" t="str">
        <f t="shared" si="71"/>
        <v/>
      </c>
      <c r="BD43" s="59">
        <f>IFERROR(__xludf.DUMMYFUNCTION("IMPORTRANGE(""1LF2Q3hf8PmqbCtIh_IYQwMCJfUjNd2x1JaohFk2YsSk"",""2026-27!AA4"")"),0.0)</f>
        <v>0</v>
      </c>
      <c r="BE43" s="59">
        <f>IFERROR(__xludf.DUMMYFUNCTION("IMPORTRANGE(""1LF2Q3hf8PmqbCtIh_IYQwMCJfUjNd2x1JaohFk2YsSk"",""2026-27!AA3"")"),0.0)</f>
        <v>0</v>
      </c>
      <c r="BF43" s="59">
        <f>IFERROR(__xludf.DUMMYFUNCTION("IMPORTRANGE(""1LF2Q3hf8PmqbCtIh_IYQwMCJfUjNd2x1JaohFk2YsSk"",""2026-27!AB4"")"),0.0)</f>
        <v>0</v>
      </c>
      <c r="BG43" s="59">
        <f>IFERROR(__xludf.DUMMYFUNCTION("IMPORTRANGE(""1LF2Q3hf8PmqbCtIh_IYQwMCJfUjNd2x1JaohFk2YsSk"",""2026-27!AB3"")"),0.0)</f>
        <v>0</v>
      </c>
      <c r="BH43" s="59">
        <f>IFERROR(__xludf.DUMMYFUNCTION("IMPORTRANGE(""1LF2Q3hf8PmqbCtIh_IYQwMCJfUjNd2x1JaohFk2YsSk"",""2026-27!AC4"")"),0.0)</f>
        <v>0</v>
      </c>
      <c r="BI43" s="59">
        <f>IFERROR(__xludf.DUMMYFUNCTION("IMPORTRANGE(""1LF2Q3hf8PmqbCtIh_IYQwMCJfUjNd2x1JaohFk2YsSk"",""2026-27!AC3"")"),0.0)</f>
        <v>0</v>
      </c>
      <c r="BJ43" s="63" t="str">
        <f t="shared" si="72"/>
        <v/>
      </c>
      <c r="BK43" s="59">
        <f>IFERROR(__xludf.DUMMYFUNCTION("IMPORTRANGE(""1LF2Q3hf8PmqbCtIh_IYQwMCJfUjNd2x1JaohFk2YsSk"",""2026-27!AD4"")"),0.0)</f>
        <v>0</v>
      </c>
      <c r="BL43" s="59">
        <f>IFERROR(__xludf.DUMMYFUNCTION("IMPORTRANGE(""1LF2Q3hf8PmqbCtIh_IYQwMCJfUjNd2x1JaohFk2YsSk"",""2026-27!AD3"")"),0.0)</f>
        <v>0</v>
      </c>
      <c r="BM43" s="59">
        <f>IFERROR(__xludf.DUMMYFUNCTION("IMPORTRANGE(""1LF2Q3hf8PmqbCtIh_IYQwMCJfUjNd2x1JaohFk2YsSk"",""2026-27!AE4"")"),0.0)</f>
        <v>0</v>
      </c>
      <c r="BN43" s="59">
        <f>IFERROR(__xludf.DUMMYFUNCTION("IMPORTRANGE(""1LF2Q3hf8PmqbCtIh_IYQwMCJfUjNd2x1JaohFk2YsSk"",""2026-27!AE3"")"),0.0)</f>
        <v>0</v>
      </c>
      <c r="BO43" s="59">
        <f>IFERROR(__xludf.DUMMYFUNCTION("IMPORTRANGE(""1LF2Q3hf8PmqbCtIh_IYQwMCJfUjNd2x1JaohFk2YsSk"",""2026-27!AF4"")"),0.0)</f>
        <v>0</v>
      </c>
      <c r="BP43" s="59">
        <f>IFERROR(__xludf.DUMMYFUNCTION("IMPORTRANGE(""1LF2Q3hf8PmqbCtIh_IYQwMCJfUjNd2x1JaohFk2YsSk"",""2026-27!AF3"")"),0.0)</f>
        <v>0</v>
      </c>
      <c r="BQ43" s="63" t="str">
        <f t="shared" si="73"/>
        <v/>
      </c>
      <c r="BR43" s="59">
        <f>IFERROR(__xludf.DUMMYFUNCTION("IMPORTRANGE(""1LF2Q3hf8PmqbCtIh_IYQwMCJfUjNd2x1JaohFk2YsSk"",""2026-27!AG4"")"),0.0)</f>
        <v>0</v>
      </c>
      <c r="BS43" s="59">
        <f>IFERROR(__xludf.DUMMYFUNCTION("IMPORTRANGE(""1LF2Q3hf8PmqbCtIh_IYQwMCJfUjNd2x1JaohFk2YsSk"",""2026-27!AG3"")"),0.0)</f>
        <v>0</v>
      </c>
      <c r="BT43" s="59">
        <f>IFERROR(__xludf.DUMMYFUNCTION("IMPORTRANGE(""1LF2Q3hf8PmqbCtIh_IYQwMCJfUjNd2x1JaohFk2YsSk"",""2026-27!AH4"")"),0.0)</f>
        <v>0</v>
      </c>
      <c r="BU43" s="59">
        <f>IFERROR(__xludf.DUMMYFUNCTION("IMPORTRANGE(""1LF2Q3hf8PmqbCtIh_IYQwMCJfUjNd2x1JaohFk2YsSk"",""2026-27!AH3"")"),0.0)</f>
        <v>0</v>
      </c>
      <c r="BV43" s="59">
        <f>IFERROR(__xludf.DUMMYFUNCTION("IMPORTRANGE(""1LF2Q3hf8PmqbCtIh_IYQwMCJfUjNd2x1JaohFk2YsSk"",""2026-27!AI4"")"),0.0)</f>
        <v>0</v>
      </c>
      <c r="BW43" s="59">
        <f>IFERROR(__xludf.DUMMYFUNCTION("IMPORTRANGE(""1LF2Q3hf8PmqbCtIh_IYQwMCJfUjNd2x1JaohFk2YsSk"",""2026-27!AI3"")"),0.0)</f>
        <v>0</v>
      </c>
      <c r="BX43" s="63" t="str">
        <f t="shared" si="74"/>
        <v/>
      </c>
      <c r="BY43" s="59">
        <f>IFERROR(__xludf.DUMMYFUNCTION("IMPORTRANGE(""1LF2Q3hf8PmqbCtIh_IYQwMCJfUjNd2x1JaohFk2YsSk"",""2026-27!AJ4"")"),0.0)</f>
        <v>0</v>
      </c>
      <c r="BZ43" s="59">
        <f>IFERROR(__xludf.DUMMYFUNCTION("IMPORTRANGE(""1LF2Q3hf8PmqbCtIh_IYQwMCJfUjNd2x1JaohFk2YsSk"",""2026-27!AJ3"")"),0.0)</f>
        <v>0</v>
      </c>
      <c r="CA43" s="59">
        <f>IFERROR(__xludf.DUMMYFUNCTION("IMPORTRANGE(""1LF2Q3hf8PmqbCtIh_IYQwMCJfUjNd2x1JaohFk2YsSk"",""2026-27!AK4"")"),0.0)</f>
        <v>0</v>
      </c>
      <c r="CB43" s="59">
        <f>IFERROR(__xludf.DUMMYFUNCTION("IMPORTRANGE(""1LF2Q3hf8PmqbCtIh_IYQwMCJfUjNd2x1JaohFk2YsSk"",""2026-27!AK3"")"),0.0)</f>
        <v>0</v>
      </c>
      <c r="CC43" s="59">
        <f>IFERROR(__xludf.DUMMYFUNCTION("IMPORTRANGE(""1LF2Q3hf8PmqbCtIh_IYQwMCJfUjNd2x1JaohFk2YsSk"",""2026-27!AL4"")"),0.0)</f>
        <v>0</v>
      </c>
      <c r="CD43" s="59">
        <f>IFERROR(__xludf.DUMMYFUNCTION("IMPORTRANGE(""1LF2Q3hf8PmqbCtIh_IYQwMCJfUjNd2x1JaohFk2YsSk"",""2026-27!AL3"")"),0.0)</f>
        <v>0</v>
      </c>
      <c r="CE43" s="63" t="str">
        <f t="shared" si="75"/>
        <v/>
      </c>
      <c r="CF43" s="59">
        <f>IFERROR(__xludf.DUMMYFUNCTION("IMPORTRANGE(""1LF2Q3hf8PmqbCtIh_IYQwMCJfUjNd2x1JaohFk2YsSk"",""2026-27!AM4"")"),0.0)</f>
        <v>0</v>
      </c>
      <c r="CG43" s="59">
        <f>IFERROR(__xludf.DUMMYFUNCTION("IMPORTRANGE(""1LF2Q3hf8PmqbCtIh_IYQwMCJfUjNd2x1JaohFk2YsSk"",""2026-27!AM3"")"),0.0)</f>
        <v>0</v>
      </c>
      <c r="CH43" s="59">
        <f>IFERROR(__xludf.DUMMYFUNCTION("IMPORTRANGE(""1LF2Q3hf8PmqbCtIh_IYQwMCJfUjNd2x1JaohFk2YsSk"",""2026-27!AN4"")"),0.0)</f>
        <v>0</v>
      </c>
      <c r="CI43" s="59">
        <f>IFERROR(__xludf.DUMMYFUNCTION("IMPORTRANGE(""1LF2Q3hf8PmqbCtIh_IYQwMCJfUjNd2x1JaohFk2YsSk"",""2026-27!AN3"")"),0.0)</f>
        <v>0</v>
      </c>
      <c r="CJ43" s="59">
        <f>IFERROR(__xludf.DUMMYFUNCTION("IMPORTRANGE(""1LF2Q3hf8PmqbCtIh_IYQwMCJfUjNd2x1JaohFk2YsSk"",""2026-27!AO4"")"),0.0)</f>
        <v>0</v>
      </c>
      <c r="CK43" s="59">
        <f>IFERROR(__xludf.DUMMYFUNCTION("IMPORTRANGE(""1LF2Q3hf8PmqbCtIh_IYQwMCJfUjNd2x1JaohFk2YsSk"",""2026-27!AO3"")"),0.0)</f>
        <v>0</v>
      </c>
      <c r="CL43" s="63" t="str">
        <f t="shared" si="76"/>
        <v/>
      </c>
      <c r="CM43" s="59">
        <f>IFERROR(__xludf.DUMMYFUNCTION("IMPORTRANGE(""1LF2Q3hf8PmqbCtIh_IYQwMCJfUjNd2x1JaohFk2YsSk"",""2026-27!AP4"")"),0.0)</f>
        <v>0</v>
      </c>
      <c r="CN43" s="59">
        <f>IFERROR(__xludf.DUMMYFUNCTION("IMPORTRANGE(""1LF2Q3hf8PmqbCtIh_IYQwMCJfUjNd2x1JaohFk2YsSk"",""2026-27!AP3"")"),0.0)</f>
        <v>0</v>
      </c>
      <c r="CO43" s="59">
        <f>IFERROR(__xludf.DUMMYFUNCTION("IMPORTRANGE(""1LF2Q3hf8PmqbCtIh_IYQwMCJfUjNd2x1JaohFk2YsSk"",""2026-27!AQ4"")"),0.0)</f>
        <v>0</v>
      </c>
      <c r="CP43" s="59">
        <f>IFERROR(__xludf.DUMMYFUNCTION("IMPORTRANGE(""1LF2Q3hf8PmqbCtIh_IYQwMCJfUjNd2x1JaohFk2YsSk"",""2026-27!AQ3"")"),0.0)</f>
        <v>0</v>
      </c>
      <c r="CQ43" s="59">
        <f>IFERROR(__xludf.DUMMYFUNCTION("IMPORTRANGE(""1LF2Q3hf8PmqbCtIh_IYQwMCJfUjNd2x1JaohFk2YsSk"",""2026-27!AR4"")"),0.0)</f>
        <v>0</v>
      </c>
      <c r="CR43" s="59">
        <f>IFERROR(__xludf.DUMMYFUNCTION("IMPORTRANGE(""1LF2Q3hf8PmqbCtIh_IYQwMCJfUjNd2x1JaohFk2YsSk"",""2026-27!AR3"")"),0.0)</f>
        <v>0</v>
      </c>
      <c r="CS43" s="63" t="str">
        <f t="shared" si="77"/>
        <v/>
      </c>
      <c r="CT43" s="59">
        <f>IFERROR(__xludf.DUMMYFUNCTION("IMPORTRANGE(""1LF2Q3hf8PmqbCtIh_IYQwMCJfUjNd2x1JaohFk2YsSk"",""2026-27!AS4"")"),0.0)</f>
        <v>0</v>
      </c>
      <c r="CU43" s="59">
        <f>IFERROR(__xludf.DUMMYFUNCTION("IMPORTRANGE(""1LF2Q3hf8PmqbCtIh_IYQwMCJfUjNd2x1JaohFk2YsSk"",""2026-27!AS3"")"),0.0)</f>
        <v>0</v>
      </c>
      <c r="CV43" s="64"/>
    </row>
    <row r="44">
      <c r="A44" s="1" t="s">
        <v>72</v>
      </c>
      <c r="B44" s="41"/>
      <c r="C44" s="102" t="s">
        <v>99</v>
      </c>
      <c r="D44" s="69" t="s">
        <v>100</v>
      </c>
      <c r="E44" s="72">
        <v>9.632582853E9</v>
      </c>
      <c r="F44" s="84">
        <v>46113.0</v>
      </c>
      <c r="G44" s="66"/>
      <c r="H44" s="66"/>
      <c r="I44" s="74">
        <v>38810.0</v>
      </c>
      <c r="J44" s="58">
        <v>900000.0</v>
      </c>
      <c r="K44" s="59">
        <f>IFERROR(__xludf.DUMMYFUNCTION("IMPORTRANGE(""1YBT8hCgFe9nUhNdo9pGS2oMLXgn4s_p1opviQrazJPE"",""2026-27!A3"")"),37.0)</f>
        <v>37</v>
      </c>
      <c r="L44" s="59">
        <f>IFERROR(__xludf.DUMMYFUNCTION("IMPORTRANGE(""1YBT8hCgFe9nUhNdo9pGS2oMLXgn4s_p1opviQrazJPE"",""2026-27!G4"")"),8400000.0)</f>
        <v>8400000</v>
      </c>
      <c r="M44" s="59">
        <f t="shared" si="63"/>
        <v>574990.32</v>
      </c>
      <c r="N44" s="60">
        <f t="shared" si="64"/>
        <v>0.02850785714</v>
      </c>
      <c r="O44" s="61">
        <f t="shared" si="65"/>
        <v>239466</v>
      </c>
      <c r="P44" s="59">
        <f>IFERROR(__xludf.DUMMYFUNCTION("IMPORTRANGE(""1YBT8hCgFe9nUhNdo9pGS2oMLXgn4s_p1opviQrazJPE"",""2026-27!J4"")"),0.0)</f>
        <v>0</v>
      </c>
      <c r="Q44" s="59">
        <f>IFERROR(__xludf.DUMMYFUNCTION("IMPORTRANGE(""1YBT8hCgFe9nUhNdo9pGS2oMLXgn4s_p1opviQrazJPE"",""2026-27!J3"")"),0.0)</f>
        <v>0</v>
      </c>
      <c r="R44" s="59">
        <f>IFERROR(__xludf.DUMMYFUNCTION("IMPORTRANGE(""1YBT8hCgFe9nUhNdo9pGS2oMLXgn4s_p1opviQrazJPE"",""2026-27!K4"")"),131854.62)</f>
        <v>131854.62</v>
      </c>
      <c r="S44" s="59">
        <f>IFERROR(__xludf.DUMMYFUNCTION("IMPORTRANGE(""1YBT8hCgFe9nUhNdo9pGS2oMLXgn4s_p1opviQrazJPE"",""2026-27!K3"")"),8.0)</f>
        <v>8</v>
      </c>
      <c r="T44" s="62" t="str">
        <f t="shared" si="66"/>
        <v/>
      </c>
      <c r="U44" s="59">
        <f>IFERROR(__xludf.DUMMYFUNCTION("IMPORTRANGE(""1YBT8hCgFe9nUhNdo9pGS2oMLXgn4s_p1opviQrazJPE"",""2026-27!L4"")"),125773.0)</f>
        <v>125773</v>
      </c>
      <c r="V44" s="59">
        <f>IFERROR(__xludf.DUMMYFUNCTION("IMPORTRANGE(""1YBT8hCgFe9nUhNdo9pGS2oMLXgn4s_p1opviQrazJPE"",""2026-27!L3"")"),8.0)</f>
        <v>8</v>
      </c>
      <c r="W44" s="59">
        <f>IFERROR(__xludf.DUMMYFUNCTION("IMPORTRANGE(""1YBT8hCgFe9nUhNdo9pGS2oMLXgn4s_p1opviQrazJPE"",""2026-27!m4"")"),440000.0)</f>
        <v>440000</v>
      </c>
      <c r="X44" s="59">
        <f>IFERROR(__xludf.DUMMYFUNCTION("IMPORTRANGE(""1YBT8hCgFe9nUhNdo9pGS2oMLXgn4s_p1opviQrazJPE"",""2026-27!m3"")"),22.0)</f>
        <v>22</v>
      </c>
      <c r="Y44" s="59">
        <f>IFERROR(__xludf.DUMMYFUNCTION("IMPORTRANGE(""1YBT8hCgFe9nUhNdo9pGS2oMLXgn4s_p1opviQrazJPE"",""2026-27!N4"")"),177142.52)</f>
        <v>177142.52</v>
      </c>
      <c r="Z44" s="59">
        <f>IFERROR(__xludf.DUMMYFUNCTION("IMPORTRANGE(""1YBT8hCgFe9nUhNdo9pGS2oMLXgn4s_p1opviQrazJPE"",""2026-27!N3"")"),13.0)</f>
        <v>13</v>
      </c>
      <c r="AA44" s="62">
        <f t="shared" si="67"/>
        <v>0.2583931818</v>
      </c>
      <c r="AB44" s="59">
        <f>IFERROR(__xludf.DUMMYFUNCTION("IMPORTRANGE(""1YBT8hCgFe9nUhNdo9pGS2oMLXgn4s_p1opviQrazJPE"",""2026-27!O4"")"),113693.0)</f>
        <v>113693</v>
      </c>
      <c r="AC44" s="59">
        <f>IFERROR(__xludf.DUMMYFUNCTION("IMPORTRANGE(""1YBT8hCgFe9nUhNdo9pGS2oMLXgn4s_p1opviQrazJPE"",""2026-27!O3"")"),11.0)</f>
        <v>11</v>
      </c>
      <c r="AD44" s="59">
        <f>IFERROR(__xludf.DUMMYFUNCTION("IMPORTRANGE(""1YBT8hCgFe9nUhNdo9pGS2oMLXgn4s_p1opviQrazJPE"",""2026-27!P4"")"),440000.0)</f>
        <v>440000</v>
      </c>
      <c r="AE44" s="59">
        <f>IFERROR(__xludf.DUMMYFUNCTION("IMPORTRANGE(""1YBT8hCgFe9nUhNdo9pGS2oMLXgn4s_p1opviQrazJPE"",""2026-27!P3"")"),22.0)</f>
        <v>22</v>
      </c>
      <c r="AF44" s="59">
        <f>IFERROR(__xludf.DUMMYFUNCTION("IMPORTRANGE(""1YBT8hCgFe9nUhNdo9pGS2oMLXgn4s_p1opviQrazJPE"",""2026-27!Q4"")"),265993.17999999993)</f>
        <v>265993.18</v>
      </c>
      <c r="AG44" s="59">
        <f>IFERROR(__xludf.DUMMYFUNCTION("IMPORTRANGE(""1YBT8hCgFe9nUhNdo9pGS2oMLXgn4s_p1opviQrazJPE"",""2026-27!Q3"")"),20.0)</f>
        <v>20</v>
      </c>
      <c r="AH44" s="62">
        <f t="shared" si="68"/>
        <v>0</v>
      </c>
      <c r="AI44" s="59">
        <f>IFERROR(__xludf.DUMMYFUNCTION("IMPORTRANGE(""1YBT8hCgFe9nUhNdo9pGS2oMLXgn4s_p1opviQrazJPE"",""2026-27!R4"")"),0.0)</f>
        <v>0</v>
      </c>
      <c r="AJ44" s="59">
        <f>IFERROR(__xludf.DUMMYFUNCTION("IMPORTRANGE(""1YBT8hCgFe9nUhNdo9pGS2oMLXgn4s_p1opviQrazJPE"",""2026-27!R3"")"),0.0)</f>
        <v>0</v>
      </c>
      <c r="AK44" s="59">
        <f>IFERROR(__xludf.DUMMYFUNCTION("IMPORTRANGE(""1YBT8hCgFe9nUhNdo9pGS2oMLXgn4s_p1opviQrazJPE"",""2026-27!S4"")"),0.0)</f>
        <v>0</v>
      </c>
      <c r="AL44" s="59">
        <f>IFERROR(__xludf.DUMMYFUNCTION("IMPORTRANGE(""1YBT8hCgFe9nUhNdo9pGS2oMLXgn4s_p1opviQrazJPE"",""2026-27!S3"")"),0.0)</f>
        <v>0</v>
      </c>
      <c r="AM44" s="59">
        <f>IFERROR(__xludf.DUMMYFUNCTION("IMPORTRANGE(""1YBT8hCgFe9nUhNdo9pGS2oMLXgn4s_p1opviQrazJPE"",""2026-27!T4"")"),0.0)</f>
        <v>0</v>
      </c>
      <c r="AN44" s="59">
        <f>IFERROR(__xludf.DUMMYFUNCTION("IMPORTRANGE(""1YBT8hCgFe9nUhNdo9pGS2oMLXgn4s_p1opviQrazJPE"",""2026-27!T3"")"),0.0)</f>
        <v>0</v>
      </c>
      <c r="AO44" s="62" t="str">
        <f t="shared" si="69"/>
        <v/>
      </c>
      <c r="AP44" s="59">
        <f>IFERROR(__xludf.DUMMYFUNCTION("IMPORTRANGE(""1YBT8hCgFe9nUhNdo9pGS2oMLXgn4s_p1opviQrazJPE"",""2026-27!U4"")"),0.0)</f>
        <v>0</v>
      </c>
      <c r="AQ44" s="59">
        <f>IFERROR(__xludf.DUMMYFUNCTION("IMPORTRANGE(""1YBT8hCgFe9nUhNdo9pGS2oMLXgn4s_p1opviQrazJPE"",""2026-27!U3"")"),0.0)</f>
        <v>0</v>
      </c>
      <c r="AR44" s="59">
        <f>IFERROR(__xludf.DUMMYFUNCTION("IMPORTRANGE(""1YBT8hCgFe9nUhNdo9pGS2oMLXgn4s_p1opviQrazJPE"",""2026-27!V4"")"),0.0)</f>
        <v>0</v>
      </c>
      <c r="AS44" s="59">
        <f>IFERROR(__xludf.DUMMYFUNCTION("IMPORTRANGE(""1YBT8hCgFe9nUhNdo9pGS2oMLXgn4s_p1opviQrazJPE"",""2026-27!V3"")"),0.0)</f>
        <v>0</v>
      </c>
      <c r="AT44" s="59">
        <f>IFERROR(__xludf.DUMMYFUNCTION("IMPORTRANGE(""1YBT8hCgFe9nUhNdo9pGS2oMLXgn4s_p1opviQrazJPE"",""2026-27!W4"")"),0.0)</f>
        <v>0</v>
      </c>
      <c r="AU44" s="59">
        <f>IFERROR(__xludf.DUMMYFUNCTION("IMPORTRANGE(""1YBT8hCgFe9nUhNdo9pGS2oMLXgn4s_p1opviQrazJPE"",""2026-27!W3"")"),0.0)</f>
        <v>0</v>
      </c>
      <c r="AV44" s="62" t="str">
        <f t="shared" si="70"/>
        <v/>
      </c>
      <c r="AW44" s="59">
        <f>IFERROR(__xludf.DUMMYFUNCTION("IMPORTRANGE(""1YBT8hCgFe9nUhNdo9pGS2oMLXgn4s_p1opviQrazJPE"",""2026-27!X4"")"),0.0)</f>
        <v>0</v>
      </c>
      <c r="AX44" s="59">
        <f>IFERROR(__xludf.DUMMYFUNCTION("IMPORTRANGE(""1YBT8hCgFe9nUhNdo9pGS2oMLXgn4s_p1opviQrazJPE"",""2026-27!X3"")"),0.0)</f>
        <v>0</v>
      </c>
      <c r="AY44" s="59">
        <f>IFERROR(__xludf.DUMMYFUNCTION("IMPORTRANGE(""1YBT8hCgFe9nUhNdo9pGS2oMLXgn4s_p1opviQrazJPE"",""2026-27!Y4"")"),0.0)</f>
        <v>0</v>
      </c>
      <c r="AZ44" s="59">
        <f>IFERROR(__xludf.DUMMYFUNCTION("IMPORTRANGE(""1YBT8hCgFe9nUhNdo9pGS2oMLXgn4s_p1opviQrazJPE"",""2026-27!Y3"")"),0.0)</f>
        <v>0</v>
      </c>
      <c r="BA44" s="59">
        <f>IFERROR(__xludf.DUMMYFUNCTION("IMPORTRANGE(""1YBT8hCgFe9nUhNdo9pGS2oMLXgn4s_p1opviQrazJPE"",""2026-27!Z4"")"),0.0)</f>
        <v>0</v>
      </c>
      <c r="BB44" s="59">
        <f>IFERROR(__xludf.DUMMYFUNCTION("IMPORTRANGE(""1YBT8hCgFe9nUhNdo9pGS2oMLXgn4s_p1opviQrazJPE"",""2026-27!Z3"")"),0.0)</f>
        <v>0</v>
      </c>
      <c r="BC44" s="63" t="str">
        <f t="shared" si="71"/>
        <v/>
      </c>
      <c r="BD44" s="59">
        <f>IFERROR(__xludf.DUMMYFUNCTION("IMPORTRANGE(""1YBT8hCgFe9nUhNdo9pGS2oMLXgn4s_p1opviQrazJPE"",""2026-27!AA4"")"),0.0)</f>
        <v>0</v>
      </c>
      <c r="BE44" s="59">
        <f>IFERROR(__xludf.DUMMYFUNCTION("IMPORTRANGE(""1YBT8hCgFe9nUhNdo9pGS2oMLXgn4s_p1opviQrazJPE"",""2026-27!AA3"")"),0.0)</f>
        <v>0</v>
      </c>
      <c r="BF44" s="59">
        <f>IFERROR(__xludf.DUMMYFUNCTION("IMPORTRANGE(""1YBT8hCgFe9nUhNdo9pGS2oMLXgn4s_p1opviQrazJPE"",""2026-27!AB4"")"),0.0)</f>
        <v>0</v>
      </c>
      <c r="BG44" s="59">
        <f>IFERROR(__xludf.DUMMYFUNCTION("IMPORTRANGE(""1YBT8hCgFe9nUhNdo9pGS2oMLXgn4s_p1opviQrazJPE"",""2026-27!AB3"")"),0.0)</f>
        <v>0</v>
      </c>
      <c r="BH44" s="59">
        <f>IFERROR(__xludf.DUMMYFUNCTION("IMPORTRANGE(""1YBT8hCgFe9nUhNdo9pGS2oMLXgn4s_p1opviQrazJPE"",""2026-27!AC4"")"),0.0)</f>
        <v>0</v>
      </c>
      <c r="BI44" s="59">
        <f>IFERROR(__xludf.DUMMYFUNCTION("IMPORTRANGE(""1YBT8hCgFe9nUhNdo9pGS2oMLXgn4s_p1opviQrazJPE"",""2026-27!AC3"")"),0.0)</f>
        <v>0</v>
      </c>
      <c r="BJ44" s="63" t="str">
        <f t="shared" si="72"/>
        <v/>
      </c>
      <c r="BK44" s="59">
        <f>IFERROR(__xludf.DUMMYFUNCTION("IMPORTRANGE(""1YBT8hCgFe9nUhNdo9pGS2oMLXgn4s_p1opviQrazJPE"",""2026-27!AD4"")"),0.0)</f>
        <v>0</v>
      </c>
      <c r="BL44" s="59">
        <f>IFERROR(__xludf.DUMMYFUNCTION("IMPORTRANGE(""1YBT8hCgFe9nUhNdo9pGS2oMLXgn4s_p1opviQrazJPE"",""2026-27!AD3"")"),0.0)</f>
        <v>0</v>
      </c>
      <c r="BM44" s="59">
        <f>IFERROR(__xludf.DUMMYFUNCTION("IMPORTRANGE(""1YBT8hCgFe9nUhNdo9pGS2oMLXgn4s_p1opviQrazJPE"",""2026-27!AE4"")"),0.0)</f>
        <v>0</v>
      </c>
      <c r="BN44" s="59">
        <f>IFERROR(__xludf.DUMMYFUNCTION("IMPORTRANGE(""1YBT8hCgFe9nUhNdo9pGS2oMLXgn4s_p1opviQrazJPE"",""2026-27!AE3"")"),0.0)</f>
        <v>0</v>
      </c>
      <c r="BO44" s="59">
        <f>IFERROR(__xludf.DUMMYFUNCTION("IMPORTRANGE(""1YBT8hCgFe9nUhNdo9pGS2oMLXgn4s_p1opviQrazJPE"",""2026-27!AF4"")"),0.0)</f>
        <v>0</v>
      </c>
      <c r="BP44" s="59">
        <f>IFERROR(__xludf.DUMMYFUNCTION("IMPORTRANGE(""1YBT8hCgFe9nUhNdo9pGS2oMLXgn4s_p1opviQrazJPE"",""2026-27!AF3"")"),0.0)</f>
        <v>0</v>
      </c>
      <c r="BQ44" s="63" t="str">
        <f t="shared" si="73"/>
        <v/>
      </c>
      <c r="BR44" s="59">
        <f>IFERROR(__xludf.DUMMYFUNCTION("IMPORTRANGE(""1YBT8hCgFe9nUhNdo9pGS2oMLXgn4s_p1opviQrazJPE"",""2026-27!AG4"")"),0.0)</f>
        <v>0</v>
      </c>
      <c r="BS44" s="59">
        <f>IFERROR(__xludf.DUMMYFUNCTION("IMPORTRANGE(""1YBT8hCgFe9nUhNdo9pGS2oMLXgn4s_p1opviQrazJPE"",""2026-27!AG3"")"),0.0)</f>
        <v>0</v>
      </c>
      <c r="BT44" s="59">
        <f>IFERROR(__xludf.DUMMYFUNCTION("IMPORTRANGE(""1YBT8hCgFe9nUhNdo9pGS2oMLXgn4s_p1opviQrazJPE"",""2026-27!AH4"")"),0.0)</f>
        <v>0</v>
      </c>
      <c r="BU44" s="59">
        <f>IFERROR(__xludf.DUMMYFUNCTION("IMPORTRANGE(""1YBT8hCgFe9nUhNdo9pGS2oMLXgn4s_p1opviQrazJPE"",""2026-27!AH3"")"),0.0)</f>
        <v>0</v>
      </c>
      <c r="BV44" s="59">
        <f>IFERROR(__xludf.DUMMYFUNCTION("IMPORTRANGE(""1YBT8hCgFe9nUhNdo9pGS2oMLXgn4s_p1opviQrazJPE"",""2026-27!AI4"")"),0.0)</f>
        <v>0</v>
      </c>
      <c r="BW44" s="59">
        <f>IFERROR(__xludf.DUMMYFUNCTION("IMPORTRANGE(""1YBT8hCgFe9nUhNdo9pGS2oMLXgn4s_p1opviQrazJPE"",""2026-27!AI3"")"),0.0)</f>
        <v>0</v>
      </c>
      <c r="BX44" s="63" t="str">
        <f t="shared" si="74"/>
        <v/>
      </c>
      <c r="BY44" s="59">
        <f>IFERROR(__xludf.DUMMYFUNCTION("IMPORTRANGE(""1YBT8hCgFe9nUhNdo9pGS2oMLXgn4s_p1opviQrazJPE"",""2026-27!AJ4"")"),0.0)</f>
        <v>0</v>
      </c>
      <c r="BZ44" s="59">
        <f>IFERROR(__xludf.DUMMYFUNCTION("IMPORTRANGE(""1YBT8hCgFe9nUhNdo9pGS2oMLXgn4s_p1opviQrazJPE"",""2026-27!AJ3"")"),0.0)</f>
        <v>0</v>
      </c>
      <c r="CA44" s="59">
        <f>IFERROR(__xludf.DUMMYFUNCTION("IMPORTRANGE(""1YBT8hCgFe9nUhNdo9pGS2oMLXgn4s_p1opviQrazJPE"",""2026-27!AK4"")"),0.0)</f>
        <v>0</v>
      </c>
      <c r="CB44" s="59">
        <f>IFERROR(__xludf.DUMMYFUNCTION("IMPORTRANGE(""1YBT8hCgFe9nUhNdo9pGS2oMLXgn4s_p1opviQrazJPE"",""2026-27!AK3"")"),0.0)</f>
        <v>0</v>
      </c>
      <c r="CC44" s="59">
        <f>IFERROR(__xludf.DUMMYFUNCTION("IMPORTRANGE(""1YBT8hCgFe9nUhNdo9pGS2oMLXgn4s_p1opviQrazJPE"",""2026-27!AL4"")"),0.0)</f>
        <v>0</v>
      </c>
      <c r="CD44" s="59">
        <f>IFERROR(__xludf.DUMMYFUNCTION("IMPORTRANGE(""1YBT8hCgFe9nUhNdo9pGS2oMLXgn4s_p1opviQrazJPE"",""2026-27!AL3"")"),0.0)</f>
        <v>0</v>
      </c>
      <c r="CE44" s="63" t="str">
        <f t="shared" si="75"/>
        <v/>
      </c>
      <c r="CF44" s="59">
        <f>IFERROR(__xludf.DUMMYFUNCTION("IMPORTRANGE(""1YBT8hCgFe9nUhNdo9pGS2oMLXgn4s_p1opviQrazJPE"",""2026-27!AM4"")"),0.0)</f>
        <v>0</v>
      </c>
      <c r="CG44" s="59">
        <f>IFERROR(__xludf.DUMMYFUNCTION("IMPORTRANGE(""1YBT8hCgFe9nUhNdo9pGS2oMLXgn4s_p1opviQrazJPE"",""2026-27!AM3"")"),0.0)</f>
        <v>0</v>
      </c>
      <c r="CH44" s="59">
        <f>IFERROR(__xludf.DUMMYFUNCTION("IMPORTRANGE(""1YBT8hCgFe9nUhNdo9pGS2oMLXgn4s_p1opviQrazJPE"",""2026-27!AN4"")"),0.0)</f>
        <v>0</v>
      </c>
      <c r="CI44" s="59">
        <f>IFERROR(__xludf.DUMMYFUNCTION("IMPORTRANGE(""1YBT8hCgFe9nUhNdo9pGS2oMLXgn4s_p1opviQrazJPE"",""2026-27!AN3"")"),0.0)</f>
        <v>0</v>
      </c>
      <c r="CJ44" s="59">
        <f>IFERROR(__xludf.DUMMYFUNCTION("IMPORTRANGE(""1YBT8hCgFe9nUhNdo9pGS2oMLXgn4s_p1opviQrazJPE"",""2026-27!AO4"")"),0.0)</f>
        <v>0</v>
      </c>
      <c r="CK44" s="59">
        <f>IFERROR(__xludf.DUMMYFUNCTION("IMPORTRANGE(""1YBT8hCgFe9nUhNdo9pGS2oMLXgn4s_p1opviQrazJPE"",""2026-27!AO3"")"),0.0)</f>
        <v>0</v>
      </c>
      <c r="CL44" s="63" t="str">
        <f t="shared" si="76"/>
        <v/>
      </c>
      <c r="CM44" s="59">
        <f>IFERROR(__xludf.DUMMYFUNCTION("IMPORTRANGE(""1YBT8hCgFe9nUhNdo9pGS2oMLXgn4s_p1opviQrazJPE"",""2026-27!AP4"")"),0.0)</f>
        <v>0</v>
      </c>
      <c r="CN44" s="59">
        <f>IFERROR(__xludf.DUMMYFUNCTION("IMPORTRANGE(""1YBT8hCgFe9nUhNdo9pGS2oMLXgn4s_p1opviQrazJPE"",""2026-27!AP3"")"),0.0)</f>
        <v>0</v>
      </c>
      <c r="CO44" s="59">
        <f>IFERROR(__xludf.DUMMYFUNCTION("IMPORTRANGE(""1YBT8hCgFe9nUhNdo9pGS2oMLXgn4s_p1opviQrazJPE"",""2026-27!AQ4"")"),0.0)</f>
        <v>0</v>
      </c>
      <c r="CP44" s="59">
        <f>IFERROR(__xludf.DUMMYFUNCTION("IMPORTRANGE(""1YBT8hCgFe9nUhNdo9pGS2oMLXgn4s_p1opviQrazJPE"",""2026-27!AQ3"")"),0.0)</f>
        <v>0</v>
      </c>
      <c r="CQ44" s="59">
        <f>IFERROR(__xludf.DUMMYFUNCTION("IMPORTRANGE(""1YBT8hCgFe9nUhNdo9pGS2oMLXgn4s_p1opviQrazJPE"",""2026-27!AR4"")"),0.0)</f>
        <v>0</v>
      </c>
      <c r="CR44" s="59">
        <f>IFERROR(__xludf.DUMMYFUNCTION("IMPORTRANGE(""1YBT8hCgFe9nUhNdo9pGS2oMLXgn4s_p1opviQrazJPE"",""2026-27!AR3"")"),0.0)</f>
        <v>0</v>
      </c>
      <c r="CS44" s="63" t="str">
        <f t="shared" si="77"/>
        <v/>
      </c>
      <c r="CT44" s="59">
        <f>IFERROR(__xludf.DUMMYFUNCTION("IMPORTRANGE(""1YBT8hCgFe9nUhNdo9pGS2oMLXgn4s_p1opviQrazJPE"",""2026-27!AS4"")"),0.0)</f>
        <v>0</v>
      </c>
      <c r="CU44" s="59">
        <f>IFERROR(__xludf.DUMMYFUNCTION("IMPORTRANGE(""1YBT8hCgFe9nUhNdo9pGS2oMLXgn4s_p1opviQrazJPE"",""2026-27!AS3"")"),0.0)</f>
        <v>0</v>
      </c>
      <c r="CV44" s="64"/>
    </row>
    <row r="45">
      <c r="A45" s="1"/>
      <c r="B45" s="41"/>
      <c r="C45" s="103" t="s">
        <v>101</v>
      </c>
      <c r="D45" s="53"/>
      <c r="E45" s="54"/>
      <c r="F45" s="80"/>
      <c r="G45" s="66"/>
      <c r="H45" s="66"/>
      <c r="I45" s="57"/>
      <c r="J45" s="58">
        <v>700000.0</v>
      </c>
      <c r="K45" s="59"/>
      <c r="L45" s="59"/>
      <c r="M45" s="59"/>
      <c r="N45" s="60"/>
      <c r="O45" s="61"/>
      <c r="P45" s="59"/>
      <c r="Q45" s="59"/>
      <c r="R45" s="59"/>
      <c r="S45" s="59"/>
      <c r="T45" s="62"/>
      <c r="U45" s="59"/>
      <c r="V45" s="59"/>
      <c r="W45" s="59"/>
      <c r="X45" s="59"/>
      <c r="Y45" s="59"/>
      <c r="Z45" s="59"/>
      <c r="AA45" s="62"/>
      <c r="AB45" s="59"/>
      <c r="AC45" s="59"/>
      <c r="AD45" s="59"/>
      <c r="AE45" s="59"/>
      <c r="AF45" s="59"/>
      <c r="AG45" s="59"/>
      <c r="AH45" s="62"/>
      <c r="AI45" s="59"/>
      <c r="AJ45" s="59"/>
      <c r="AK45" s="59"/>
      <c r="AL45" s="59"/>
      <c r="AM45" s="59"/>
      <c r="AN45" s="59"/>
      <c r="AO45" s="62"/>
      <c r="AP45" s="59"/>
      <c r="AQ45" s="59"/>
      <c r="AR45" s="59"/>
      <c r="AS45" s="59"/>
      <c r="AT45" s="59"/>
      <c r="AU45" s="59"/>
      <c r="AV45" s="62"/>
      <c r="AW45" s="59"/>
      <c r="AX45" s="59"/>
      <c r="AY45" s="59"/>
      <c r="AZ45" s="59"/>
      <c r="BA45" s="59"/>
      <c r="BB45" s="59"/>
      <c r="BC45" s="63"/>
      <c r="BD45" s="59"/>
      <c r="BE45" s="59"/>
      <c r="BF45" s="59"/>
      <c r="BG45" s="59"/>
      <c r="BH45" s="59"/>
      <c r="BI45" s="59"/>
      <c r="BJ45" s="63"/>
      <c r="BK45" s="59"/>
      <c r="BL45" s="59"/>
      <c r="BM45" s="59"/>
      <c r="BN45" s="59"/>
      <c r="BO45" s="59"/>
      <c r="BP45" s="59"/>
      <c r="BQ45" s="63"/>
      <c r="BR45" s="59"/>
      <c r="BS45" s="59"/>
      <c r="BT45" s="59"/>
      <c r="BU45" s="59"/>
      <c r="BV45" s="59"/>
      <c r="BW45" s="59"/>
      <c r="BX45" s="63"/>
      <c r="BY45" s="59"/>
      <c r="BZ45" s="59"/>
      <c r="CA45" s="59"/>
      <c r="CB45" s="59"/>
      <c r="CC45" s="59"/>
      <c r="CD45" s="59"/>
      <c r="CE45" s="63"/>
      <c r="CF45" s="59"/>
      <c r="CG45" s="59"/>
      <c r="CH45" s="59"/>
      <c r="CI45" s="59"/>
      <c r="CJ45" s="59"/>
      <c r="CK45" s="59"/>
      <c r="CL45" s="63"/>
      <c r="CM45" s="59"/>
      <c r="CN45" s="59"/>
      <c r="CO45" s="59"/>
      <c r="CP45" s="59"/>
      <c r="CQ45" s="59"/>
      <c r="CR45" s="59"/>
      <c r="CS45" s="63"/>
      <c r="CT45" s="59"/>
      <c r="CU45" s="59"/>
      <c r="CV45" s="64"/>
    </row>
    <row r="46">
      <c r="A46" s="1"/>
      <c r="B46" s="47"/>
      <c r="C46" s="104" t="s">
        <v>102</v>
      </c>
      <c r="D46" s="53"/>
      <c r="E46" s="54"/>
      <c r="F46" s="80"/>
      <c r="G46" s="66"/>
      <c r="H46" s="66"/>
      <c r="I46" s="57"/>
      <c r="J46" s="58">
        <v>900000.0</v>
      </c>
      <c r="K46" s="59"/>
      <c r="L46" s="59"/>
      <c r="M46" s="59"/>
      <c r="N46" s="60"/>
      <c r="O46" s="61"/>
      <c r="P46" s="59"/>
      <c r="Q46" s="59"/>
      <c r="R46" s="59"/>
      <c r="S46" s="59"/>
      <c r="T46" s="62"/>
      <c r="U46" s="59"/>
      <c r="V46" s="59"/>
      <c r="W46" s="59"/>
      <c r="X46" s="59"/>
      <c r="Y46" s="59"/>
      <c r="Z46" s="59"/>
      <c r="AA46" s="62"/>
      <c r="AB46" s="59"/>
      <c r="AC46" s="59"/>
      <c r="AD46" s="59"/>
      <c r="AE46" s="59"/>
      <c r="AF46" s="59"/>
      <c r="AG46" s="59"/>
      <c r="AH46" s="62"/>
      <c r="AI46" s="59"/>
      <c r="AJ46" s="59"/>
      <c r="AK46" s="59"/>
      <c r="AL46" s="59"/>
      <c r="AM46" s="59"/>
      <c r="AN46" s="59"/>
      <c r="AO46" s="62"/>
      <c r="AP46" s="59"/>
      <c r="AQ46" s="59"/>
      <c r="AR46" s="59"/>
      <c r="AS46" s="59"/>
      <c r="AT46" s="59"/>
      <c r="AU46" s="59"/>
      <c r="AV46" s="62"/>
      <c r="AW46" s="59"/>
      <c r="AX46" s="59"/>
      <c r="AY46" s="59"/>
      <c r="AZ46" s="59"/>
      <c r="BA46" s="59"/>
      <c r="BB46" s="59"/>
      <c r="BC46" s="63"/>
      <c r="BD46" s="59"/>
      <c r="BE46" s="59"/>
      <c r="BF46" s="59"/>
      <c r="BG46" s="59"/>
      <c r="BH46" s="59"/>
      <c r="BI46" s="59"/>
      <c r="BJ46" s="63"/>
      <c r="BK46" s="59"/>
      <c r="BL46" s="59"/>
      <c r="BM46" s="59"/>
      <c r="BN46" s="59"/>
      <c r="BO46" s="59"/>
      <c r="BP46" s="59"/>
      <c r="BQ46" s="63"/>
      <c r="BR46" s="59"/>
      <c r="BS46" s="59"/>
      <c r="BT46" s="59"/>
      <c r="BU46" s="59"/>
      <c r="BV46" s="59"/>
      <c r="BW46" s="59"/>
      <c r="BX46" s="63"/>
      <c r="BY46" s="59"/>
      <c r="BZ46" s="59"/>
      <c r="CA46" s="59"/>
      <c r="CB46" s="59"/>
      <c r="CC46" s="59"/>
      <c r="CD46" s="59"/>
      <c r="CE46" s="63"/>
      <c r="CF46" s="59"/>
      <c r="CG46" s="59"/>
      <c r="CH46" s="59"/>
      <c r="CI46" s="59"/>
      <c r="CJ46" s="59"/>
      <c r="CK46" s="59"/>
      <c r="CL46" s="63"/>
      <c r="CM46" s="59"/>
      <c r="CN46" s="59"/>
      <c r="CO46" s="59"/>
      <c r="CP46" s="59"/>
      <c r="CQ46" s="59"/>
      <c r="CR46" s="59"/>
      <c r="CS46" s="63"/>
      <c r="CT46" s="59"/>
      <c r="CU46" s="59"/>
      <c r="CV46" s="64"/>
    </row>
    <row r="47">
      <c r="A47" s="1" t="s">
        <v>103</v>
      </c>
      <c r="B47" s="83" t="s">
        <v>104</v>
      </c>
      <c r="C47" s="86" t="s">
        <v>105</v>
      </c>
      <c r="D47" s="53" t="s">
        <v>106</v>
      </c>
      <c r="E47" s="54">
        <v>9.305013426E9</v>
      </c>
      <c r="F47" s="80">
        <v>41004.0</v>
      </c>
      <c r="G47" s="66"/>
      <c r="H47" s="66"/>
      <c r="I47" s="57">
        <v>95834.0</v>
      </c>
      <c r="J47" s="58">
        <v>4750001.0</v>
      </c>
      <c r="K47" s="59">
        <f>IFERROR(__xludf.DUMMYFUNCTION("IMPORTRANGE(""1qB0wLF6n06Xjuz33RbhM7IXLGi5siQLFWFLO-uO9I_g"",""2026-27!A3"")"),73.0)</f>
        <v>73</v>
      </c>
      <c r="L47" s="59">
        <f>IFERROR(__xludf.DUMMYFUNCTION("IMPORTRANGE(""1qB0wLF6n06Xjuz33RbhM7IXLGi5siQLFWFLO-uO9I_g"",""2026-27!G4"")"),5.08E7)</f>
        <v>50800000</v>
      </c>
      <c r="M47" s="59">
        <f t="shared" ref="M47:M52" si="78">R47+Y47+AF47+AM47+AT47+BA47+BH47+BO47+BV47+CC47+CJ47+CQ47</f>
        <v>11372838.61</v>
      </c>
      <c r="N47" s="60">
        <f t="shared" ref="N47:N76" si="79">iferror(O47/L47,"")</f>
        <v>0.1325337992</v>
      </c>
      <c r="O47" s="61">
        <f t="shared" ref="O47:O52" si="80">U47+AB47+AI47+AP47+AW47+BD47+BK47+BR47+BY47+CF47+CM47+CT47</f>
        <v>6732717</v>
      </c>
      <c r="P47" s="59">
        <f>IFERROR(__xludf.DUMMYFUNCTION("IMPORTRANGE(""1qB0wLF6n06Xjuz33RbhM7IXLGi5siQLFWFLO-uO9I_g"",""2026-27!J4"")"),2160000.0)</f>
        <v>2160000</v>
      </c>
      <c r="Q47" s="59">
        <f>IFERROR(__xludf.DUMMYFUNCTION("IMPORTRANGE(""1qB0wLF6n06Xjuz33RbhM7IXLGi5siQLFWFLO-uO9I_g"",""2026-27!J3"")"),55.0)</f>
        <v>55</v>
      </c>
      <c r="R47" s="59">
        <f>IFERROR(__xludf.DUMMYFUNCTION("IMPORTRANGE(""1qB0wLF6n06Xjuz33RbhM7IXLGi5siQLFWFLO-uO9I_g"",""2026-27!K4"")"),1779504.7999999993)</f>
        <v>1779504.8</v>
      </c>
      <c r="S47" s="59">
        <f>IFERROR(__xludf.DUMMYFUNCTION("IMPORTRANGE(""1qB0wLF6n06Xjuz33RbhM7IXLGi5siQLFWFLO-uO9I_g"",""2026-27!K3"")"),27.0)</f>
        <v>27</v>
      </c>
      <c r="T47" s="62">
        <f t="shared" ref="T47:T76" si="81">IFERROR((U47/P47),"")</f>
        <v>0.9658694444</v>
      </c>
      <c r="U47" s="59">
        <f>IFERROR(__xludf.DUMMYFUNCTION("IMPORTRANGE(""1qB0wLF6n06Xjuz33RbhM7IXLGi5siQLFWFLO-uO9I_g"",""2026-27!L4"")"),2086278.0)</f>
        <v>2086278</v>
      </c>
      <c r="V47" s="59">
        <f>IFERROR(__xludf.DUMMYFUNCTION("IMPORTRANGE(""1qB0wLF6n06Xjuz33RbhM7IXLGi5siQLFWFLO-uO9I_g"",""2026-27!L3"")"),27.0)</f>
        <v>27</v>
      </c>
      <c r="W47" s="59">
        <f>IFERROR(__xludf.DUMMYFUNCTION("IMPORTRANGE(""1qB0wLF6n06Xjuz33RbhM7IXLGi5siQLFWFLO-uO9I_g"",""2026-27!m4"")"),3755000.0)</f>
        <v>3755000</v>
      </c>
      <c r="X47" s="59">
        <f>IFERROR(__xludf.DUMMYFUNCTION("IMPORTRANGE(""1qB0wLF6n06Xjuz33RbhM7IXLGi5siQLFWFLO-uO9I_g"",""2026-27!m3"")"),54.0)</f>
        <v>54</v>
      </c>
      <c r="Y47" s="59">
        <f>IFERROR(__xludf.DUMMYFUNCTION("IMPORTRANGE(""1qB0wLF6n06Xjuz33RbhM7IXLGi5siQLFWFLO-uO9I_g"",""2026-27!N4"")"),5010393.909999999)</f>
        <v>5010393.91</v>
      </c>
      <c r="Z47" s="59">
        <f>IFERROR(__xludf.DUMMYFUNCTION("IMPORTRANGE(""1qB0wLF6n06Xjuz33RbhM7IXLGi5siQLFWFLO-uO9I_g"",""2026-27!N3"")"),36.0)</f>
        <v>36</v>
      </c>
      <c r="AA47" s="62">
        <f t="shared" ref="AA47:AA76" si="82">IFERROR((AB47/W47),"")</f>
        <v>1.237400533</v>
      </c>
      <c r="AB47" s="59">
        <f>IFERROR(__xludf.DUMMYFUNCTION("IMPORTRANGE(""1qB0wLF6n06Xjuz33RbhM7IXLGi5siQLFWFLO-uO9I_g"",""2026-27!O4"")"),4646439.0)</f>
        <v>4646439</v>
      </c>
      <c r="AC47" s="59">
        <f>IFERROR(__xludf.DUMMYFUNCTION("IMPORTRANGE(""1qB0wLF6n06Xjuz33RbhM7IXLGi5siQLFWFLO-uO9I_g"",""2026-27!O3"")"),38.0)</f>
        <v>38</v>
      </c>
      <c r="AD47" s="59">
        <f>IFERROR(__xludf.DUMMYFUNCTION("IMPORTRANGE(""1qB0wLF6n06Xjuz33RbhM7IXLGi5siQLFWFLO-uO9I_g"",""2026-27!P4"")"),4360000.0)</f>
        <v>4360000</v>
      </c>
      <c r="AE47" s="59">
        <f>IFERROR(__xludf.DUMMYFUNCTION("IMPORTRANGE(""1qB0wLF6n06Xjuz33RbhM7IXLGi5siQLFWFLO-uO9I_g"",""2026-27!P3"")"),57.0)</f>
        <v>57</v>
      </c>
      <c r="AF47" s="59">
        <f>IFERROR(__xludf.DUMMYFUNCTION("IMPORTRANGE(""1qB0wLF6n06Xjuz33RbhM7IXLGi5siQLFWFLO-uO9I_g"",""2026-27!Q4"")"),4582939.9)</f>
        <v>4582939.9</v>
      </c>
      <c r="AG47" s="59">
        <f>IFERROR(__xludf.DUMMYFUNCTION("IMPORTRANGE(""1qB0wLF6n06Xjuz33RbhM7IXLGi5siQLFWFLO-uO9I_g"",""2026-27!Q3"")"),41.0)</f>
        <v>41</v>
      </c>
      <c r="AH47" s="62">
        <f t="shared" ref="AH47:AH76" si="83">IFERROR((AI47/AD47),"")</f>
        <v>0</v>
      </c>
      <c r="AI47" s="59">
        <f>IFERROR(__xludf.DUMMYFUNCTION("IMPORTRANGE(""1qB0wLF6n06Xjuz33RbhM7IXLGi5siQLFWFLO-uO9I_g"",""2026-27!R4"")"),0.0)</f>
        <v>0</v>
      </c>
      <c r="AJ47" s="59">
        <f>IFERROR(__xludf.DUMMYFUNCTION("IMPORTRANGE(""1qB0wLF6n06Xjuz33RbhM7IXLGi5siQLFWFLO-uO9I_g"",""2026-27!R3"")"),0.0)</f>
        <v>0</v>
      </c>
      <c r="AK47" s="59">
        <f>IFERROR(__xludf.DUMMYFUNCTION("IMPORTRANGE(""1qB0wLF6n06Xjuz33RbhM7IXLGi5siQLFWFLO-uO9I_g"",""2026-27!S4"")"),4790000.0)</f>
        <v>4790000</v>
      </c>
      <c r="AL47" s="59">
        <f>IFERROR(__xludf.DUMMYFUNCTION("IMPORTRANGE(""1qB0wLF6n06Xjuz33RbhM7IXLGi5siQLFWFLO-uO9I_g"",""2026-27!S3"")"),57.0)</f>
        <v>57</v>
      </c>
      <c r="AM47" s="59">
        <f>IFERROR(__xludf.DUMMYFUNCTION("IMPORTRANGE(""1qB0wLF6n06Xjuz33RbhM7IXLGi5siQLFWFLO-uO9I_g"",""2026-27!T4"")"),0.0)</f>
        <v>0</v>
      </c>
      <c r="AN47" s="59">
        <f>IFERROR(__xludf.DUMMYFUNCTION("IMPORTRANGE(""1qB0wLF6n06Xjuz33RbhM7IXLGi5siQLFWFLO-uO9I_g"",""2026-27!T3"")"),0.0)</f>
        <v>0</v>
      </c>
      <c r="AO47" s="62">
        <f t="shared" ref="AO47:AO76" si="84">IFERROR((AP47/AK47),"")</f>
        <v>0</v>
      </c>
      <c r="AP47" s="59">
        <f>IFERROR(__xludf.DUMMYFUNCTION("IMPORTRANGE(""1qB0wLF6n06Xjuz33RbhM7IXLGi5siQLFWFLO-uO9I_g"",""2026-27!U4"")"),0.0)</f>
        <v>0</v>
      </c>
      <c r="AQ47" s="59">
        <f>IFERROR(__xludf.DUMMYFUNCTION("IMPORTRANGE(""1qB0wLF6n06Xjuz33RbhM7IXLGi5siQLFWFLO-uO9I_g"",""2026-27!U3"")"),0.0)</f>
        <v>0</v>
      </c>
      <c r="AR47" s="59">
        <f>IFERROR(__xludf.DUMMYFUNCTION("IMPORTRANGE(""1qB0wLF6n06Xjuz33RbhM7IXLGi5siQLFWFLO-uO9I_g"",""2026-27!V4"")"),0.0)</f>
        <v>0</v>
      </c>
      <c r="AS47" s="59">
        <f>IFERROR(__xludf.DUMMYFUNCTION("IMPORTRANGE(""1qB0wLF6n06Xjuz33RbhM7IXLGi5siQLFWFLO-uO9I_g"",""2026-27!V3"")"),0.0)</f>
        <v>0</v>
      </c>
      <c r="AT47" s="59">
        <f>IFERROR(__xludf.DUMMYFUNCTION("IMPORTRANGE(""1qB0wLF6n06Xjuz33RbhM7IXLGi5siQLFWFLO-uO9I_g"",""2026-27!W4"")"),0.0)</f>
        <v>0</v>
      </c>
      <c r="AU47" s="59">
        <f>IFERROR(__xludf.DUMMYFUNCTION("IMPORTRANGE(""1qB0wLF6n06Xjuz33RbhM7IXLGi5siQLFWFLO-uO9I_g"",""2026-27!W3"")"),0.0)</f>
        <v>0</v>
      </c>
      <c r="AV47" s="62" t="str">
        <f t="shared" ref="AV47:AV76" si="85">IFERROR((AW47/AR47),"")</f>
        <v/>
      </c>
      <c r="AW47" s="59">
        <f>IFERROR(__xludf.DUMMYFUNCTION("IMPORTRANGE(""1qB0wLF6n06Xjuz33RbhM7IXLGi5siQLFWFLO-uO9I_g"",""2026-27!X4"")"),0.0)</f>
        <v>0</v>
      </c>
      <c r="AX47" s="59">
        <f>IFERROR(__xludf.DUMMYFUNCTION("IMPORTRANGE(""1qB0wLF6n06Xjuz33RbhM7IXLGi5siQLFWFLO-uO9I_g"",""2026-27!X3"")"),0.0)</f>
        <v>0</v>
      </c>
      <c r="AY47" s="59">
        <f>IFERROR(__xludf.DUMMYFUNCTION("IMPORTRANGE(""1qB0wLF6n06Xjuz33RbhM7IXLGi5siQLFWFLO-uO9I_g"",""2026-27!Y4"")"),0.0)</f>
        <v>0</v>
      </c>
      <c r="AZ47" s="59">
        <f>IFERROR(__xludf.DUMMYFUNCTION("IMPORTRANGE(""1qB0wLF6n06Xjuz33RbhM7IXLGi5siQLFWFLO-uO9I_g"",""2026-27!Y3"")"),0.0)</f>
        <v>0</v>
      </c>
      <c r="BA47" s="59">
        <f>IFERROR(__xludf.DUMMYFUNCTION("IMPORTRANGE(""1qB0wLF6n06Xjuz33RbhM7IXLGi5siQLFWFLO-uO9I_g"",""2026-27!Z4"")"),0.0)</f>
        <v>0</v>
      </c>
      <c r="BB47" s="59">
        <f>IFERROR(__xludf.DUMMYFUNCTION("IMPORTRANGE(""1qB0wLF6n06Xjuz33RbhM7IXLGi5siQLFWFLO-uO9I_g"",""2026-27!Z3"")"),0.0)</f>
        <v>0</v>
      </c>
      <c r="BC47" s="63" t="str">
        <f t="shared" ref="BC47:BC76" si="86">IFERROR((BD47/AY47),"")</f>
        <v/>
      </c>
      <c r="BD47" s="59">
        <f>IFERROR(__xludf.DUMMYFUNCTION("IMPORTRANGE(""1qB0wLF6n06Xjuz33RbhM7IXLGi5siQLFWFLO-uO9I_g"",""2026-27!AA4"")"),0.0)</f>
        <v>0</v>
      </c>
      <c r="BE47" s="59">
        <f>IFERROR(__xludf.DUMMYFUNCTION("IMPORTRANGE(""1qB0wLF6n06Xjuz33RbhM7IXLGi5siQLFWFLO-uO9I_g"",""2026-27!AA3"")"),0.0)</f>
        <v>0</v>
      </c>
      <c r="BF47" s="59">
        <f>IFERROR(__xludf.DUMMYFUNCTION("IMPORTRANGE(""1qB0wLF6n06Xjuz33RbhM7IXLGi5siQLFWFLO-uO9I_g"",""2026-27!AB4"")"),0.0)</f>
        <v>0</v>
      </c>
      <c r="BG47" s="59">
        <f>IFERROR(__xludf.DUMMYFUNCTION("IMPORTRANGE(""1qB0wLF6n06Xjuz33RbhM7IXLGi5siQLFWFLO-uO9I_g"",""2026-27!AB3"")"),0.0)</f>
        <v>0</v>
      </c>
      <c r="BH47" s="59">
        <f>IFERROR(__xludf.DUMMYFUNCTION("IMPORTRANGE(""1qB0wLF6n06Xjuz33RbhM7IXLGi5siQLFWFLO-uO9I_g"",""2026-27!AC4"")"),0.0)</f>
        <v>0</v>
      </c>
      <c r="BI47" s="59">
        <f>IFERROR(__xludf.DUMMYFUNCTION("IMPORTRANGE(""1qB0wLF6n06Xjuz33RbhM7IXLGi5siQLFWFLO-uO9I_g"",""2026-27!AC3"")"),0.0)</f>
        <v>0</v>
      </c>
      <c r="BJ47" s="63" t="str">
        <f t="shared" ref="BJ47:BJ76" si="87">IFERROR((BK47/BF47),"")</f>
        <v/>
      </c>
      <c r="BK47" s="59">
        <f>IFERROR(__xludf.DUMMYFUNCTION("IMPORTRANGE(""1qB0wLF6n06Xjuz33RbhM7IXLGi5siQLFWFLO-uO9I_g"",""2026-27!AD4"")"),0.0)</f>
        <v>0</v>
      </c>
      <c r="BL47" s="59">
        <f>IFERROR(__xludf.DUMMYFUNCTION("IMPORTRANGE(""1qB0wLF6n06Xjuz33RbhM7IXLGi5siQLFWFLO-uO9I_g"",""2026-27!AD3"")"),0.0)</f>
        <v>0</v>
      </c>
      <c r="BM47" s="59">
        <f>IFERROR(__xludf.DUMMYFUNCTION("IMPORTRANGE(""1qB0wLF6n06Xjuz33RbhM7IXLGi5siQLFWFLO-uO9I_g"",""2026-27!AE4"")"),0.0)</f>
        <v>0</v>
      </c>
      <c r="BN47" s="59">
        <f>IFERROR(__xludf.DUMMYFUNCTION("IMPORTRANGE(""1qB0wLF6n06Xjuz33RbhM7IXLGi5siQLFWFLO-uO9I_g"",""2026-27!AE3"")"),0.0)</f>
        <v>0</v>
      </c>
      <c r="BO47" s="59">
        <f>IFERROR(__xludf.DUMMYFUNCTION("IMPORTRANGE(""1qB0wLF6n06Xjuz33RbhM7IXLGi5siQLFWFLO-uO9I_g"",""2026-27!AF4"")"),0.0)</f>
        <v>0</v>
      </c>
      <c r="BP47" s="59">
        <f>IFERROR(__xludf.DUMMYFUNCTION("IMPORTRANGE(""1qB0wLF6n06Xjuz33RbhM7IXLGi5siQLFWFLO-uO9I_g"",""2026-27!AF3"")"),0.0)</f>
        <v>0</v>
      </c>
      <c r="BQ47" s="63" t="str">
        <f t="shared" ref="BQ47:BQ76" si="88">IFERROR((BR47/BM47),"")</f>
        <v/>
      </c>
      <c r="BR47" s="59">
        <f>IFERROR(__xludf.DUMMYFUNCTION("IMPORTRANGE(""1qB0wLF6n06Xjuz33RbhM7IXLGi5siQLFWFLO-uO9I_g"",""2026-27!AG4"")"),0.0)</f>
        <v>0</v>
      </c>
      <c r="BS47" s="59">
        <f>IFERROR(__xludf.DUMMYFUNCTION("IMPORTRANGE(""1qB0wLF6n06Xjuz33RbhM7IXLGi5siQLFWFLO-uO9I_g"",""2026-27!AG3"")"),0.0)</f>
        <v>0</v>
      </c>
      <c r="BT47" s="59">
        <f>IFERROR(__xludf.DUMMYFUNCTION("IMPORTRANGE(""1qB0wLF6n06Xjuz33RbhM7IXLGi5siQLFWFLO-uO9I_g"",""2026-27!AH4"")"),0.0)</f>
        <v>0</v>
      </c>
      <c r="BU47" s="59">
        <f>IFERROR(__xludf.DUMMYFUNCTION("IMPORTRANGE(""1qB0wLF6n06Xjuz33RbhM7IXLGi5siQLFWFLO-uO9I_g"",""2026-27!AH3"")"),0.0)</f>
        <v>0</v>
      </c>
      <c r="BV47" s="59">
        <f>IFERROR(__xludf.DUMMYFUNCTION("IMPORTRANGE(""1qB0wLF6n06Xjuz33RbhM7IXLGi5siQLFWFLO-uO9I_g"",""2026-27!AI4"")"),0.0)</f>
        <v>0</v>
      </c>
      <c r="BW47" s="59">
        <f>IFERROR(__xludf.DUMMYFUNCTION("IMPORTRANGE(""1qB0wLF6n06Xjuz33RbhM7IXLGi5siQLFWFLO-uO9I_g"",""2026-27!AI3"")"),0.0)</f>
        <v>0</v>
      </c>
      <c r="BX47" s="63" t="str">
        <f t="shared" ref="BX47:BX76" si="89">IFERROR((BY47/BT47),"")</f>
        <v/>
      </c>
      <c r="BY47" s="59">
        <f>IFERROR(__xludf.DUMMYFUNCTION("IMPORTRANGE(""1qB0wLF6n06Xjuz33RbhM7IXLGi5siQLFWFLO-uO9I_g"",""2026-27!AJ4"")"),0.0)</f>
        <v>0</v>
      </c>
      <c r="BZ47" s="59">
        <f>IFERROR(__xludf.DUMMYFUNCTION("IMPORTRANGE(""1qB0wLF6n06Xjuz33RbhM7IXLGi5siQLFWFLO-uO9I_g"",""2026-27!AJ3"")"),0.0)</f>
        <v>0</v>
      </c>
      <c r="CA47" s="59">
        <f>IFERROR(__xludf.DUMMYFUNCTION("IMPORTRANGE(""1qB0wLF6n06Xjuz33RbhM7IXLGi5siQLFWFLO-uO9I_g"",""2026-27!AK4"")"),0.0)</f>
        <v>0</v>
      </c>
      <c r="CB47" s="59">
        <f>IFERROR(__xludf.DUMMYFUNCTION("IMPORTRANGE(""1qB0wLF6n06Xjuz33RbhM7IXLGi5siQLFWFLO-uO9I_g"",""2026-27!AK3"")"),0.0)</f>
        <v>0</v>
      </c>
      <c r="CC47" s="59">
        <f>IFERROR(__xludf.DUMMYFUNCTION("IMPORTRANGE(""1qB0wLF6n06Xjuz33RbhM7IXLGi5siQLFWFLO-uO9I_g"",""2026-27!AL4"")"),0.0)</f>
        <v>0</v>
      </c>
      <c r="CD47" s="59">
        <f>IFERROR(__xludf.DUMMYFUNCTION("IMPORTRANGE(""1qB0wLF6n06Xjuz33RbhM7IXLGi5siQLFWFLO-uO9I_g"",""2026-27!AL3"")"),0.0)</f>
        <v>0</v>
      </c>
      <c r="CE47" s="63" t="str">
        <f t="shared" ref="CE47:CE76" si="90">IFERROR((CF47/CA47),"")</f>
        <v/>
      </c>
      <c r="CF47" s="59">
        <f>IFERROR(__xludf.DUMMYFUNCTION("IMPORTRANGE(""1qB0wLF6n06Xjuz33RbhM7IXLGi5siQLFWFLO-uO9I_g"",""2026-27!AM4"")"),0.0)</f>
        <v>0</v>
      </c>
      <c r="CG47" s="59">
        <f>IFERROR(__xludf.DUMMYFUNCTION("IMPORTRANGE(""1qB0wLF6n06Xjuz33RbhM7IXLGi5siQLFWFLO-uO9I_g"",""2026-27!AM3"")"),0.0)</f>
        <v>0</v>
      </c>
      <c r="CH47" s="59">
        <f>IFERROR(__xludf.DUMMYFUNCTION("IMPORTRANGE(""1qB0wLF6n06Xjuz33RbhM7IXLGi5siQLFWFLO-uO9I_g"",""2026-27!AN4"")"),0.0)</f>
        <v>0</v>
      </c>
      <c r="CI47" s="59">
        <f>IFERROR(__xludf.DUMMYFUNCTION("IMPORTRANGE(""1qB0wLF6n06Xjuz33RbhM7IXLGi5siQLFWFLO-uO9I_g"",""2026-27!AN3"")"),0.0)</f>
        <v>0</v>
      </c>
      <c r="CJ47" s="59">
        <f>IFERROR(__xludf.DUMMYFUNCTION("IMPORTRANGE(""1qB0wLF6n06Xjuz33RbhM7IXLGi5siQLFWFLO-uO9I_g"",""2026-27!AO4"")"),0.0)</f>
        <v>0</v>
      </c>
      <c r="CK47" s="59">
        <f>IFERROR(__xludf.DUMMYFUNCTION("IMPORTRANGE(""1qB0wLF6n06Xjuz33RbhM7IXLGi5siQLFWFLO-uO9I_g"",""2026-27!AO3"")"),0.0)</f>
        <v>0</v>
      </c>
      <c r="CL47" s="63" t="str">
        <f t="shared" ref="CL47:CL76" si="91">IFERROR((CM47/CH47),"")</f>
        <v/>
      </c>
      <c r="CM47" s="59">
        <f>IFERROR(__xludf.DUMMYFUNCTION("IMPORTRANGE(""1qB0wLF6n06Xjuz33RbhM7IXLGi5siQLFWFLO-uO9I_g"",""2026-27!AP4"")"),0.0)</f>
        <v>0</v>
      </c>
      <c r="CN47" s="59">
        <f>IFERROR(__xludf.DUMMYFUNCTION("IMPORTRANGE(""1qB0wLF6n06Xjuz33RbhM7IXLGi5siQLFWFLO-uO9I_g"",""2026-27!AP3"")"),0.0)</f>
        <v>0</v>
      </c>
      <c r="CO47" s="59">
        <f>IFERROR(__xludf.DUMMYFUNCTION("IMPORTRANGE(""1qB0wLF6n06Xjuz33RbhM7IXLGi5siQLFWFLO-uO9I_g"",""2026-27!AQ4"")"),0.0)</f>
        <v>0</v>
      </c>
      <c r="CP47" s="59">
        <f>IFERROR(__xludf.DUMMYFUNCTION("IMPORTRANGE(""1qB0wLF6n06Xjuz33RbhM7IXLGi5siQLFWFLO-uO9I_g"",""2026-27!AQ3"")"),0.0)</f>
        <v>0</v>
      </c>
      <c r="CQ47" s="59">
        <f>IFERROR(__xludf.DUMMYFUNCTION("IMPORTRANGE(""1qB0wLF6n06Xjuz33RbhM7IXLGi5siQLFWFLO-uO9I_g"",""2026-27!AR4"")"),0.0)</f>
        <v>0</v>
      </c>
      <c r="CR47" s="59">
        <f>IFERROR(__xludf.DUMMYFUNCTION("IMPORTRANGE(""1qB0wLF6n06Xjuz33RbhM7IXLGi5siQLFWFLO-uO9I_g"",""2026-27!AR3"")"),0.0)</f>
        <v>0</v>
      </c>
      <c r="CS47" s="63" t="str">
        <f t="shared" ref="CS47:CS76" si="92">IFERROR((CT47/CO47),"")</f>
        <v/>
      </c>
      <c r="CT47" s="59">
        <f>IFERROR(__xludf.DUMMYFUNCTION("IMPORTRANGE(""1qB0wLF6n06Xjuz33RbhM7IXLGi5siQLFWFLO-uO9I_g"",""2026-27!AS4"")"),0.0)</f>
        <v>0</v>
      </c>
      <c r="CU47" s="59">
        <f>IFERROR(__xludf.DUMMYFUNCTION("IMPORTRANGE(""1qB0wLF6n06Xjuz33RbhM7IXLGi5siQLFWFLO-uO9I_g"",""2026-27!AS3"")"),0.0)</f>
        <v>0</v>
      </c>
      <c r="CV47" s="64"/>
    </row>
    <row r="48">
      <c r="A48" s="1" t="s">
        <v>103</v>
      </c>
      <c r="B48" s="41"/>
      <c r="C48" s="86" t="s">
        <v>107</v>
      </c>
      <c r="D48" s="53" t="s">
        <v>108</v>
      </c>
      <c r="E48" s="54">
        <v>9.889225789E9</v>
      </c>
      <c r="F48" s="80">
        <v>42619.0</v>
      </c>
      <c r="G48" s="66"/>
      <c r="H48" s="66"/>
      <c r="I48" s="57">
        <v>76210.0</v>
      </c>
      <c r="J48" s="58">
        <v>3166667.0</v>
      </c>
      <c r="K48" s="59">
        <f>IFERROR(__xludf.DUMMYFUNCTION("IMPORTRANGE(""1782y0Ibe1yvSMN3u9Xl6eOr76HRhRm0OHFWC8W9DhHQ"",""2026-27!A3"")"),86.0)</f>
        <v>86</v>
      </c>
      <c r="L48" s="59">
        <f>IFERROR(__xludf.DUMMYFUNCTION("IMPORTRANGE(""1782y0Ibe1yvSMN3u9Xl6eOr76HRhRm0OHFWC8W9DhHQ"",""2026-27!G4"")"),3.67E7)</f>
        <v>36700000</v>
      </c>
      <c r="M48" s="59">
        <f t="shared" si="78"/>
        <v>4647204.69</v>
      </c>
      <c r="N48" s="60">
        <f t="shared" si="79"/>
        <v>0.08707351499</v>
      </c>
      <c r="O48" s="61">
        <f t="shared" si="80"/>
        <v>3195598</v>
      </c>
      <c r="P48" s="59">
        <f>IFERROR(__xludf.DUMMYFUNCTION("IMPORTRANGE(""1782y0Ibe1yvSMN3u9Xl6eOr76HRhRm0OHFWC8W9DhHQ"",""2026-27!J4"")"),4150000.0)</f>
        <v>4150000</v>
      </c>
      <c r="Q48" s="59">
        <f>IFERROR(__xludf.DUMMYFUNCTION("IMPORTRANGE(""1782y0Ibe1yvSMN3u9Xl6eOr76HRhRm0OHFWC8W9DhHQ"",""2026-27!J3"")"),79.0)</f>
        <v>79</v>
      </c>
      <c r="R48" s="59">
        <f>IFERROR(__xludf.DUMMYFUNCTION("IMPORTRANGE(""1782y0Ibe1yvSMN3u9Xl6eOr76HRhRm0OHFWC8W9DhHQ"",""2026-27!K4"")"),1094904.6)</f>
        <v>1094904.6</v>
      </c>
      <c r="S48" s="59">
        <f>IFERROR(__xludf.DUMMYFUNCTION("IMPORTRANGE(""1782y0Ibe1yvSMN3u9Xl6eOr76HRhRm0OHFWC8W9DhHQ"",""2026-27!K3"")"),7.0)</f>
        <v>7</v>
      </c>
      <c r="T48" s="62">
        <f t="shared" si="81"/>
        <v>0.2889438554</v>
      </c>
      <c r="U48" s="59">
        <f>IFERROR(__xludf.DUMMYFUNCTION("IMPORTRANGE(""1782y0Ibe1yvSMN3u9Xl6eOr76HRhRm0OHFWC8W9DhHQ"",""2026-27!L4"")"),1199117.0)</f>
        <v>1199117</v>
      </c>
      <c r="V48" s="59">
        <f>IFERROR(__xludf.DUMMYFUNCTION("IMPORTRANGE(""1782y0Ibe1yvSMN3u9Xl6eOr76HRhRm0OHFWC8W9DhHQ"",""2026-27!L3"")"),10.0)</f>
        <v>10</v>
      </c>
      <c r="W48" s="59">
        <f>IFERROR(__xludf.DUMMYFUNCTION("IMPORTRANGE(""1782y0Ibe1yvSMN3u9Xl6eOr76HRhRm0OHFWC8W9DhHQ"",""2026-27!m4"")"),4150000.0)</f>
        <v>4150000</v>
      </c>
      <c r="X48" s="59">
        <f>IFERROR(__xludf.DUMMYFUNCTION("IMPORTRANGE(""1782y0Ibe1yvSMN3u9Xl6eOr76HRhRm0OHFWC8W9DhHQ"",""2026-27!m3"")"),79.0)</f>
        <v>79</v>
      </c>
      <c r="Y48" s="59">
        <f>IFERROR(__xludf.DUMMYFUNCTION("IMPORTRANGE(""1782y0Ibe1yvSMN3u9Xl6eOr76HRhRm0OHFWC8W9DhHQ"",""2026-27!N4"")"),1973314.0)</f>
        <v>1973314</v>
      </c>
      <c r="Z48" s="59">
        <f>IFERROR(__xludf.DUMMYFUNCTION("IMPORTRANGE(""1782y0Ibe1yvSMN3u9Xl6eOr76HRhRm0OHFWC8W9DhHQ"",""2026-27!N3"")"),5.0)</f>
        <v>5</v>
      </c>
      <c r="AA48" s="62">
        <f t="shared" si="82"/>
        <v>0.481079759</v>
      </c>
      <c r="AB48" s="59">
        <f>IFERROR(__xludf.DUMMYFUNCTION("IMPORTRANGE(""1782y0Ibe1yvSMN3u9Xl6eOr76HRhRm0OHFWC8W9DhHQ"",""2026-27!O4"")"),1996481.0)</f>
        <v>1996481</v>
      </c>
      <c r="AC48" s="59">
        <f>IFERROR(__xludf.DUMMYFUNCTION("IMPORTRANGE(""1782y0Ibe1yvSMN3u9Xl6eOr76HRhRm0OHFWC8W9DhHQ"",""2026-27!O3"")"),7.0)</f>
        <v>7</v>
      </c>
      <c r="AD48" s="59">
        <f>IFERROR(__xludf.DUMMYFUNCTION("IMPORTRANGE(""1782y0Ibe1yvSMN3u9Xl6eOr76HRhRm0OHFWC8W9DhHQ"",""2026-27!P4"")"),4150000.0)</f>
        <v>4150000</v>
      </c>
      <c r="AE48" s="59">
        <f>IFERROR(__xludf.DUMMYFUNCTION("IMPORTRANGE(""1782y0Ibe1yvSMN3u9Xl6eOr76HRhRm0OHFWC8W9DhHQ"",""2026-27!P3"")"),79.0)</f>
        <v>79</v>
      </c>
      <c r="AF48" s="59">
        <f>IFERROR(__xludf.DUMMYFUNCTION("IMPORTRANGE(""1782y0Ibe1yvSMN3u9Xl6eOr76HRhRm0OHFWC8W9DhHQ"",""2026-27!Q4"")"),1578986.0899999999)</f>
        <v>1578986.09</v>
      </c>
      <c r="AG48" s="59">
        <f>IFERROR(__xludf.DUMMYFUNCTION("IMPORTRANGE(""1782y0Ibe1yvSMN3u9Xl6eOr76HRhRm0OHFWC8W9DhHQ"",""2026-27!Q3"")"),18.0)</f>
        <v>18</v>
      </c>
      <c r="AH48" s="62">
        <f t="shared" si="83"/>
        <v>0</v>
      </c>
      <c r="AI48" s="59">
        <f>IFERROR(__xludf.DUMMYFUNCTION("IMPORTRANGE(""1782y0Ibe1yvSMN3u9Xl6eOr76HRhRm0OHFWC8W9DhHQ"",""2026-27!R4"")"),0.0)</f>
        <v>0</v>
      </c>
      <c r="AJ48" s="59">
        <f>IFERROR(__xludf.DUMMYFUNCTION("IMPORTRANGE(""1782y0Ibe1yvSMN3u9Xl6eOr76HRhRm0OHFWC8W9DhHQ"",""2026-27!R3"")"),0.0)</f>
        <v>0</v>
      </c>
      <c r="AK48" s="59">
        <f>IFERROR(__xludf.DUMMYFUNCTION("IMPORTRANGE(""1782y0Ibe1yvSMN3u9Xl6eOr76HRhRm0OHFWC8W9DhHQ"",""2026-27!S4"")"),0.0)</f>
        <v>0</v>
      </c>
      <c r="AL48" s="59">
        <f>IFERROR(__xludf.DUMMYFUNCTION("IMPORTRANGE(""1782y0Ibe1yvSMN3u9Xl6eOr76HRhRm0OHFWC8W9DhHQ"",""2026-27!S3"")"),0.0)</f>
        <v>0</v>
      </c>
      <c r="AM48" s="59">
        <f>IFERROR(__xludf.DUMMYFUNCTION("IMPORTRANGE(""1782y0Ibe1yvSMN3u9Xl6eOr76HRhRm0OHFWC8W9DhHQ"",""2026-27!T4"")"),0.0)</f>
        <v>0</v>
      </c>
      <c r="AN48" s="59">
        <f>IFERROR(__xludf.DUMMYFUNCTION("IMPORTRANGE(""1782y0Ibe1yvSMN3u9Xl6eOr76HRhRm0OHFWC8W9DhHQ"",""2026-27!T3"")"),0.0)</f>
        <v>0</v>
      </c>
      <c r="AO48" s="62" t="str">
        <f t="shared" si="84"/>
        <v/>
      </c>
      <c r="AP48" s="59">
        <f>IFERROR(__xludf.DUMMYFUNCTION("IMPORTRANGE(""1782y0Ibe1yvSMN3u9Xl6eOr76HRhRm0OHFWC8W9DhHQ"",""2026-27!U4"")"),0.0)</f>
        <v>0</v>
      </c>
      <c r="AQ48" s="59">
        <f>IFERROR(__xludf.DUMMYFUNCTION("IMPORTRANGE(""1782y0Ibe1yvSMN3u9Xl6eOr76HRhRm0OHFWC8W9DhHQ"",""2026-27!U3"")"),0.0)</f>
        <v>0</v>
      </c>
      <c r="AR48" s="59">
        <f>IFERROR(__xludf.DUMMYFUNCTION("IMPORTRANGE(""1782y0Ibe1yvSMN3u9Xl6eOr76HRhRm0OHFWC8W9DhHQ"",""2026-27!V4"")"),0.0)</f>
        <v>0</v>
      </c>
      <c r="AS48" s="59">
        <f>IFERROR(__xludf.DUMMYFUNCTION("IMPORTRANGE(""1782y0Ibe1yvSMN3u9Xl6eOr76HRhRm0OHFWC8W9DhHQ"",""2026-27!V3"")"),0.0)</f>
        <v>0</v>
      </c>
      <c r="AT48" s="59">
        <f>IFERROR(__xludf.DUMMYFUNCTION("IMPORTRANGE(""1782y0Ibe1yvSMN3u9Xl6eOr76HRhRm0OHFWC8W9DhHQ"",""2026-27!W4"")"),0.0)</f>
        <v>0</v>
      </c>
      <c r="AU48" s="59">
        <f>IFERROR(__xludf.DUMMYFUNCTION("IMPORTRANGE(""1782y0Ibe1yvSMN3u9Xl6eOr76HRhRm0OHFWC8W9DhHQ"",""2026-27!W3"")"),0.0)</f>
        <v>0</v>
      </c>
      <c r="AV48" s="62" t="str">
        <f t="shared" si="85"/>
        <v/>
      </c>
      <c r="AW48" s="59">
        <f>IFERROR(__xludf.DUMMYFUNCTION("IMPORTRANGE(""1782y0Ibe1yvSMN3u9Xl6eOr76HRhRm0OHFWC8W9DhHQ"",""2026-27!X4"")"),0.0)</f>
        <v>0</v>
      </c>
      <c r="AX48" s="59">
        <f>IFERROR(__xludf.DUMMYFUNCTION("IMPORTRANGE(""1782y0Ibe1yvSMN3u9Xl6eOr76HRhRm0OHFWC8W9DhHQ"",""2026-27!X3"")"),0.0)</f>
        <v>0</v>
      </c>
      <c r="AY48" s="59">
        <f>IFERROR(__xludf.DUMMYFUNCTION("IMPORTRANGE(""1782y0Ibe1yvSMN3u9Xl6eOr76HRhRm0OHFWC8W9DhHQ"",""2026-27!Y4"")"),0.0)</f>
        <v>0</v>
      </c>
      <c r="AZ48" s="59">
        <f>IFERROR(__xludf.DUMMYFUNCTION("IMPORTRANGE(""1782y0Ibe1yvSMN3u9Xl6eOr76HRhRm0OHFWC8W9DhHQ"",""2026-27!Y3"")"),0.0)</f>
        <v>0</v>
      </c>
      <c r="BA48" s="59">
        <f>IFERROR(__xludf.DUMMYFUNCTION("IMPORTRANGE(""1782y0Ibe1yvSMN3u9Xl6eOr76HRhRm0OHFWC8W9DhHQ"",""2026-27!Z4"")"),0.0)</f>
        <v>0</v>
      </c>
      <c r="BB48" s="59">
        <f>IFERROR(__xludf.DUMMYFUNCTION("IMPORTRANGE(""1782y0Ibe1yvSMN3u9Xl6eOr76HRhRm0OHFWC8W9DhHQ"",""2026-27!Z3"")"),0.0)</f>
        <v>0</v>
      </c>
      <c r="BC48" s="63" t="str">
        <f t="shared" si="86"/>
        <v/>
      </c>
      <c r="BD48" s="59">
        <f>IFERROR(__xludf.DUMMYFUNCTION("IMPORTRANGE(""1782y0Ibe1yvSMN3u9Xl6eOr76HRhRm0OHFWC8W9DhHQ"",""2026-27!AA4"")"),0.0)</f>
        <v>0</v>
      </c>
      <c r="BE48" s="59">
        <f>IFERROR(__xludf.DUMMYFUNCTION("IMPORTRANGE(""1782y0Ibe1yvSMN3u9Xl6eOr76HRhRm0OHFWC8W9DhHQ"",""2026-27!AA3"")"),0.0)</f>
        <v>0</v>
      </c>
      <c r="BF48" s="59">
        <f>IFERROR(__xludf.DUMMYFUNCTION("IMPORTRANGE(""1782y0Ibe1yvSMN3u9Xl6eOr76HRhRm0OHFWC8W9DhHQ"",""2026-27!AB4"")"),0.0)</f>
        <v>0</v>
      </c>
      <c r="BG48" s="59">
        <f>IFERROR(__xludf.DUMMYFUNCTION("IMPORTRANGE(""1782y0Ibe1yvSMN3u9Xl6eOr76HRhRm0OHFWC8W9DhHQ"",""2026-27!AB3"")"),0.0)</f>
        <v>0</v>
      </c>
      <c r="BH48" s="59">
        <f>IFERROR(__xludf.DUMMYFUNCTION("IMPORTRANGE(""1782y0Ibe1yvSMN3u9Xl6eOr76HRhRm0OHFWC8W9DhHQ"",""2026-27!AC4"")"),0.0)</f>
        <v>0</v>
      </c>
      <c r="BI48" s="59">
        <f>IFERROR(__xludf.DUMMYFUNCTION("IMPORTRANGE(""1782y0Ibe1yvSMN3u9Xl6eOr76HRhRm0OHFWC8W9DhHQ"",""2026-27!AC3"")"),0.0)</f>
        <v>0</v>
      </c>
      <c r="BJ48" s="63" t="str">
        <f t="shared" si="87"/>
        <v/>
      </c>
      <c r="BK48" s="59">
        <f>IFERROR(__xludf.DUMMYFUNCTION("IMPORTRANGE(""1782y0Ibe1yvSMN3u9Xl6eOr76HRhRm0OHFWC8W9DhHQ"",""2026-27!AD4"")"),0.0)</f>
        <v>0</v>
      </c>
      <c r="BL48" s="59">
        <f>IFERROR(__xludf.DUMMYFUNCTION("IMPORTRANGE(""1782y0Ibe1yvSMN3u9Xl6eOr76HRhRm0OHFWC8W9DhHQ"",""2026-27!AD3"")"),0.0)</f>
        <v>0</v>
      </c>
      <c r="BM48" s="59">
        <f>IFERROR(__xludf.DUMMYFUNCTION("IMPORTRANGE(""1782y0Ibe1yvSMN3u9Xl6eOr76HRhRm0OHFWC8W9DhHQ"",""2026-27!AE4"")"),0.0)</f>
        <v>0</v>
      </c>
      <c r="BN48" s="59">
        <f>IFERROR(__xludf.DUMMYFUNCTION("IMPORTRANGE(""1782y0Ibe1yvSMN3u9Xl6eOr76HRhRm0OHFWC8W9DhHQ"",""2026-27!AE3"")"),0.0)</f>
        <v>0</v>
      </c>
      <c r="BO48" s="59">
        <f>IFERROR(__xludf.DUMMYFUNCTION("IMPORTRANGE(""1782y0Ibe1yvSMN3u9Xl6eOr76HRhRm0OHFWC8W9DhHQ"",""2026-27!AF4"")"),0.0)</f>
        <v>0</v>
      </c>
      <c r="BP48" s="59">
        <f>IFERROR(__xludf.DUMMYFUNCTION("IMPORTRANGE(""1782y0Ibe1yvSMN3u9Xl6eOr76HRhRm0OHFWC8W9DhHQ"",""2026-27!AF3"")"),0.0)</f>
        <v>0</v>
      </c>
      <c r="BQ48" s="63" t="str">
        <f t="shared" si="88"/>
        <v/>
      </c>
      <c r="BR48" s="59">
        <f>IFERROR(__xludf.DUMMYFUNCTION("IMPORTRANGE(""1782y0Ibe1yvSMN3u9Xl6eOr76HRhRm0OHFWC8W9DhHQ"",""2026-27!AG4"")"),0.0)</f>
        <v>0</v>
      </c>
      <c r="BS48" s="59">
        <f>IFERROR(__xludf.DUMMYFUNCTION("IMPORTRANGE(""1782y0Ibe1yvSMN3u9Xl6eOr76HRhRm0OHFWC8W9DhHQ"",""2026-27!AG3"")"),0.0)</f>
        <v>0</v>
      </c>
      <c r="BT48" s="59">
        <f>IFERROR(__xludf.DUMMYFUNCTION("IMPORTRANGE(""1782y0Ibe1yvSMN3u9Xl6eOr76HRhRm0OHFWC8W9DhHQ"",""2026-27!AH4"")"),0.0)</f>
        <v>0</v>
      </c>
      <c r="BU48" s="59">
        <f>IFERROR(__xludf.DUMMYFUNCTION("IMPORTRANGE(""1782y0Ibe1yvSMN3u9Xl6eOr76HRhRm0OHFWC8W9DhHQ"",""2026-27!AH3"")"),0.0)</f>
        <v>0</v>
      </c>
      <c r="BV48" s="59">
        <f>IFERROR(__xludf.DUMMYFUNCTION("IMPORTRANGE(""1782y0Ibe1yvSMN3u9Xl6eOr76HRhRm0OHFWC8W9DhHQ"",""2026-27!AI4"")"),0.0)</f>
        <v>0</v>
      </c>
      <c r="BW48" s="59">
        <f>IFERROR(__xludf.DUMMYFUNCTION("IMPORTRANGE(""1782y0Ibe1yvSMN3u9Xl6eOr76HRhRm0OHFWC8W9DhHQ"",""2026-27!AI3"")"),0.0)</f>
        <v>0</v>
      </c>
      <c r="BX48" s="63" t="str">
        <f t="shared" si="89"/>
        <v/>
      </c>
      <c r="BY48" s="59">
        <f>IFERROR(__xludf.DUMMYFUNCTION("IMPORTRANGE(""1782y0Ibe1yvSMN3u9Xl6eOr76HRhRm0OHFWC8W9DhHQ"",""2026-27!AJ4"")"),0.0)</f>
        <v>0</v>
      </c>
      <c r="BZ48" s="59">
        <f>IFERROR(__xludf.DUMMYFUNCTION("IMPORTRANGE(""1782y0Ibe1yvSMN3u9Xl6eOr76HRhRm0OHFWC8W9DhHQ"",""2026-27!AJ3"")"),0.0)</f>
        <v>0</v>
      </c>
      <c r="CA48" s="59">
        <f>IFERROR(__xludf.DUMMYFUNCTION("IMPORTRANGE(""1782y0Ibe1yvSMN3u9Xl6eOr76HRhRm0OHFWC8W9DhHQ"",""2026-27!AK4"")"),0.0)</f>
        <v>0</v>
      </c>
      <c r="CB48" s="59">
        <f>IFERROR(__xludf.DUMMYFUNCTION("IMPORTRANGE(""1782y0Ibe1yvSMN3u9Xl6eOr76HRhRm0OHFWC8W9DhHQ"",""2026-27!AK3"")"),0.0)</f>
        <v>0</v>
      </c>
      <c r="CC48" s="59">
        <f>IFERROR(__xludf.DUMMYFUNCTION("IMPORTRANGE(""1782y0Ibe1yvSMN3u9Xl6eOr76HRhRm0OHFWC8W9DhHQ"",""2026-27!AL4"")"),0.0)</f>
        <v>0</v>
      </c>
      <c r="CD48" s="59">
        <f>IFERROR(__xludf.DUMMYFUNCTION("IMPORTRANGE(""1782y0Ibe1yvSMN3u9Xl6eOr76HRhRm0OHFWC8W9DhHQ"",""2026-27!AL3"")"),0.0)</f>
        <v>0</v>
      </c>
      <c r="CE48" s="63" t="str">
        <f t="shared" si="90"/>
        <v/>
      </c>
      <c r="CF48" s="59">
        <f>IFERROR(__xludf.DUMMYFUNCTION("IMPORTRANGE(""1782y0Ibe1yvSMN3u9Xl6eOr76HRhRm0OHFWC8W9DhHQ"",""2026-27!AM4"")"),0.0)</f>
        <v>0</v>
      </c>
      <c r="CG48" s="59">
        <f>IFERROR(__xludf.DUMMYFUNCTION("IMPORTRANGE(""1782y0Ibe1yvSMN3u9Xl6eOr76HRhRm0OHFWC8W9DhHQ"",""2026-27!AM3"")"),0.0)</f>
        <v>0</v>
      </c>
      <c r="CH48" s="59">
        <f>IFERROR(__xludf.DUMMYFUNCTION("IMPORTRANGE(""1782y0Ibe1yvSMN3u9Xl6eOr76HRhRm0OHFWC8W9DhHQ"",""2026-27!AN4"")"),0.0)</f>
        <v>0</v>
      </c>
      <c r="CI48" s="59">
        <f>IFERROR(__xludf.DUMMYFUNCTION("IMPORTRANGE(""1782y0Ibe1yvSMN3u9Xl6eOr76HRhRm0OHFWC8W9DhHQ"",""2026-27!AN3"")"),0.0)</f>
        <v>0</v>
      </c>
      <c r="CJ48" s="59">
        <f>IFERROR(__xludf.DUMMYFUNCTION("IMPORTRANGE(""1782y0Ibe1yvSMN3u9Xl6eOr76HRhRm0OHFWC8W9DhHQ"",""2026-27!AO4"")"),0.0)</f>
        <v>0</v>
      </c>
      <c r="CK48" s="59">
        <f>IFERROR(__xludf.DUMMYFUNCTION("IMPORTRANGE(""1782y0Ibe1yvSMN3u9Xl6eOr76HRhRm0OHFWC8W9DhHQ"",""2026-27!AO3"")"),0.0)</f>
        <v>0</v>
      </c>
      <c r="CL48" s="63" t="str">
        <f t="shared" si="91"/>
        <v/>
      </c>
      <c r="CM48" s="59">
        <f>IFERROR(__xludf.DUMMYFUNCTION("IMPORTRANGE(""1782y0Ibe1yvSMN3u9Xl6eOr76HRhRm0OHFWC8W9DhHQ"",""2026-27!AP4"")"),0.0)</f>
        <v>0</v>
      </c>
      <c r="CN48" s="59">
        <f>IFERROR(__xludf.DUMMYFUNCTION("IMPORTRANGE(""1782y0Ibe1yvSMN3u9Xl6eOr76HRhRm0OHFWC8W9DhHQ"",""2026-27!AP3"")"),0.0)</f>
        <v>0</v>
      </c>
      <c r="CO48" s="59">
        <f>IFERROR(__xludf.DUMMYFUNCTION("IMPORTRANGE(""1782y0Ibe1yvSMN3u9Xl6eOr76HRhRm0OHFWC8W9DhHQ"",""2026-27!AQ4"")"),0.0)</f>
        <v>0</v>
      </c>
      <c r="CP48" s="59">
        <f>IFERROR(__xludf.DUMMYFUNCTION("IMPORTRANGE(""1782y0Ibe1yvSMN3u9Xl6eOr76HRhRm0OHFWC8W9DhHQ"",""2026-27!AQ3"")"),0.0)</f>
        <v>0</v>
      </c>
      <c r="CQ48" s="59">
        <f>IFERROR(__xludf.DUMMYFUNCTION("IMPORTRANGE(""1782y0Ibe1yvSMN3u9Xl6eOr76HRhRm0OHFWC8W9DhHQ"",""2026-27!AR4"")"),0.0)</f>
        <v>0</v>
      </c>
      <c r="CR48" s="59">
        <f>IFERROR(__xludf.DUMMYFUNCTION("IMPORTRANGE(""1782y0Ibe1yvSMN3u9Xl6eOr76HRhRm0OHFWC8W9DhHQ"",""2026-27!AR3"")"),0.0)</f>
        <v>0</v>
      </c>
      <c r="CS48" s="63" t="str">
        <f t="shared" si="92"/>
        <v/>
      </c>
      <c r="CT48" s="59">
        <f>IFERROR(__xludf.DUMMYFUNCTION("IMPORTRANGE(""1782y0Ibe1yvSMN3u9Xl6eOr76HRhRm0OHFWC8W9DhHQ"",""2026-27!AS4"")"),0.0)</f>
        <v>0</v>
      </c>
      <c r="CU48" s="59">
        <f>IFERROR(__xludf.DUMMYFUNCTION("IMPORTRANGE(""1782y0Ibe1yvSMN3u9Xl6eOr76HRhRm0OHFWC8W9DhHQ"",""2026-27!AS3"")"),0.0)</f>
        <v>0</v>
      </c>
      <c r="CV48" s="64"/>
    </row>
    <row r="49">
      <c r="A49" s="1" t="s">
        <v>103</v>
      </c>
      <c r="B49" s="41"/>
      <c r="C49" s="105" t="s">
        <v>109</v>
      </c>
      <c r="D49" s="53" t="s">
        <v>110</v>
      </c>
      <c r="E49" s="54">
        <v>9.754902778E9</v>
      </c>
      <c r="F49" s="80">
        <v>42720.0</v>
      </c>
      <c r="G49" s="66"/>
      <c r="H49" s="66"/>
      <c r="I49" s="57">
        <v>61850.0</v>
      </c>
      <c r="J49" s="58">
        <v>3750000.0</v>
      </c>
      <c r="K49" s="59">
        <f>IFERROR(__xludf.DUMMYFUNCTION("IMPORTRANGE(""1HDGA-F4B-GDBBUlnJZi2PMo2Yy--hq6dG-YFM90rIzw"",""2026-27!A3"")"),79.0)</f>
        <v>79</v>
      </c>
      <c r="L49" s="59">
        <f>IFERROR(__xludf.DUMMYFUNCTION("IMPORTRANGE(""1HDGA-F4B-GDBBUlnJZi2PMo2Yy--hq6dG-YFM90rIzw"",""2026-27!G4"")"),4.555E7)</f>
        <v>45550000</v>
      </c>
      <c r="M49" s="59">
        <f t="shared" si="78"/>
        <v>6917352.29</v>
      </c>
      <c r="N49" s="60">
        <f t="shared" si="79"/>
        <v>0.09514454446</v>
      </c>
      <c r="O49" s="61">
        <f t="shared" si="80"/>
        <v>4333834</v>
      </c>
      <c r="P49" s="59">
        <f>IFERROR(__xludf.DUMMYFUNCTION("IMPORTRANGE(""1HDGA-F4B-GDBBUlnJZi2PMo2Yy--hq6dG-YFM90rIzw"",""2026-27!J4"")"),3180000.0)</f>
        <v>3180000</v>
      </c>
      <c r="Q49" s="59">
        <f>IFERROR(__xludf.DUMMYFUNCTION("IMPORTRANGE(""1HDGA-F4B-GDBBUlnJZi2PMo2Yy--hq6dG-YFM90rIzw"",""2026-27!J3"")"),70.0)</f>
        <v>70</v>
      </c>
      <c r="R49" s="59">
        <f>IFERROR(__xludf.DUMMYFUNCTION("IMPORTRANGE(""1HDGA-F4B-GDBBUlnJZi2PMo2Yy--hq6dG-YFM90rIzw"",""2026-27!K4"")"),1865169.9300000002)</f>
        <v>1865169.93</v>
      </c>
      <c r="S49" s="59">
        <f>IFERROR(__xludf.DUMMYFUNCTION("IMPORTRANGE(""1HDGA-F4B-GDBBUlnJZi2PMo2Yy--hq6dG-YFM90rIzw"",""2026-27!K3"")"),22.0)</f>
        <v>22</v>
      </c>
      <c r="T49" s="62">
        <f t="shared" si="81"/>
        <v>0.5865308176</v>
      </c>
      <c r="U49" s="59">
        <f>IFERROR(__xludf.DUMMYFUNCTION("IMPORTRANGE(""1HDGA-F4B-GDBBUlnJZi2PMo2Yy--hq6dG-YFM90rIzw"",""2026-27!L4"")"),1865168.0)</f>
        <v>1865168</v>
      </c>
      <c r="V49" s="59">
        <f>IFERROR(__xludf.DUMMYFUNCTION("IMPORTRANGE(""1HDGA-F4B-GDBBUlnJZi2PMo2Yy--hq6dG-YFM90rIzw"",""2026-27!L3"")"),22.0)</f>
        <v>22</v>
      </c>
      <c r="W49" s="59">
        <f>IFERROR(__xludf.DUMMYFUNCTION("IMPORTRANGE(""1HDGA-F4B-GDBBUlnJZi2PMo2Yy--hq6dG-YFM90rIzw"",""2026-27!m4"")"),3180000.0)</f>
        <v>3180000</v>
      </c>
      <c r="X49" s="59">
        <f>IFERROR(__xludf.DUMMYFUNCTION("IMPORTRANGE(""1HDGA-F4B-GDBBUlnJZi2PMo2Yy--hq6dG-YFM90rIzw"",""2026-27!m3"")"),70.0)</f>
        <v>70</v>
      </c>
      <c r="Y49" s="59">
        <f>IFERROR(__xludf.DUMMYFUNCTION("IMPORTRANGE(""1HDGA-F4B-GDBBUlnJZi2PMo2Yy--hq6dG-YFM90rIzw"",""2026-27!N4"")"),2230689.8)</f>
        <v>2230689.8</v>
      </c>
      <c r="Z49" s="59">
        <f>IFERROR(__xludf.DUMMYFUNCTION("IMPORTRANGE(""1HDGA-F4B-GDBBUlnJZi2PMo2Yy--hq6dG-YFM90rIzw"",""2026-27!N3"")"),28.0)</f>
        <v>28</v>
      </c>
      <c r="AA49" s="62">
        <f t="shared" si="82"/>
        <v>0.7763100629</v>
      </c>
      <c r="AB49" s="59">
        <f>IFERROR(__xludf.DUMMYFUNCTION("IMPORTRANGE(""1HDGA-F4B-GDBBUlnJZi2PMo2Yy--hq6dG-YFM90rIzw"",""2026-27!O4"")"),2468666.0)</f>
        <v>2468666</v>
      </c>
      <c r="AC49" s="59">
        <f>IFERROR(__xludf.DUMMYFUNCTION("IMPORTRANGE(""1HDGA-F4B-GDBBUlnJZi2PMo2Yy--hq6dG-YFM90rIzw"",""2026-27!O3"")"),28.0)</f>
        <v>28</v>
      </c>
      <c r="AD49" s="59">
        <f>IFERROR(__xludf.DUMMYFUNCTION("IMPORTRANGE(""1HDGA-F4B-GDBBUlnJZi2PMo2Yy--hq6dG-YFM90rIzw"",""2026-27!P4"")"),3180000.0)</f>
        <v>3180000</v>
      </c>
      <c r="AE49" s="59">
        <f>IFERROR(__xludf.DUMMYFUNCTION("IMPORTRANGE(""1HDGA-F4B-GDBBUlnJZi2PMo2Yy--hq6dG-YFM90rIzw"",""2026-27!P3"")"),70.0)</f>
        <v>70</v>
      </c>
      <c r="AF49" s="59">
        <f>IFERROR(__xludf.DUMMYFUNCTION("IMPORTRANGE(""1HDGA-F4B-GDBBUlnJZi2PMo2Yy--hq6dG-YFM90rIzw"",""2026-27!Q4"")"),2821492.559999999)</f>
        <v>2821492.56</v>
      </c>
      <c r="AG49" s="59">
        <f>IFERROR(__xludf.DUMMYFUNCTION("IMPORTRANGE(""1HDGA-F4B-GDBBUlnJZi2PMo2Yy--hq6dG-YFM90rIzw"",""2026-27!Q3"")"),40.0)</f>
        <v>40</v>
      </c>
      <c r="AH49" s="62">
        <f t="shared" si="83"/>
        <v>0</v>
      </c>
      <c r="AI49" s="59">
        <f>IFERROR(__xludf.DUMMYFUNCTION("IMPORTRANGE(""1HDGA-F4B-GDBBUlnJZi2PMo2Yy--hq6dG-YFM90rIzw"",""2026-27!R4"")"),0.0)</f>
        <v>0</v>
      </c>
      <c r="AJ49" s="59">
        <f>IFERROR(__xludf.DUMMYFUNCTION("IMPORTRANGE(""1HDGA-F4B-GDBBUlnJZi2PMo2Yy--hq6dG-YFM90rIzw"",""2026-27!R3"")"),0.0)</f>
        <v>0</v>
      </c>
      <c r="AK49" s="59">
        <f>IFERROR(__xludf.DUMMYFUNCTION("IMPORTRANGE(""1HDGA-F4B-GDBBUlnJZi2PMo2Yy--hq6dG-YFM90rIzw"",""2026-27!S4"")"),0.0)</f>
        <v>0</v>
      </c>
      <c r="AL49" s="59">
        <f>IFERROR(__xludf.DUMMYFUNCTION("IMPORTRANGE(""1HDGA-F4B-GDBBUlnJZi2PMo2Yy--hq6dG-YFM90rIzw"",""2026-27!S3"")"),0.0)</f>
        <v>0</v>
      </c>
      <c r="AM49" s="59">
        <f>IFERROR(__xludf.DUMMYFUNCTION("IMPORTRANGE(""1HDGA-F4B-GDBBUlnJZi2PMo2Yy--hq6dG-YFM90rIzw"",""2026-27!T4"")"),0.0)</f>
        <v>0</v>
      </c>
      <c r="AN49" s="59">
        <f>IFERROR(__xludf.DUMMYFUNCTION("IMPORTRANGE(""1HDGA-F4B-GDBBUlnJZi2PMo2Yy--hq6dG-YFM90rIzw"",""2026-27!T3"")"),0.0)</f>
        <v>0</v>
      </c>
      <c r="AO49" s="62" t="str">
        <f t="shared" si="84"/>
        <v/>
      </c>
      <c r="AP49" s="59">
        <f>IFERROR(__xludf.DUMMYFUNCTION("IMPORTRANGE(""1HDGA-F4B-GDBBUlnJZi2PMo2Yy--hq6dG-YFM90rIzw"",""2026-27!U4"")"),0.0)</f>
        <v>0</v>
      </c>
      <c r="AQ49" s="59">
        <f>IFERROR(__xludf.DUMMYFUNCTION("IMPORTRANGE(""1HDGA-F4B-GDBBUlnJZi2PMo2Yy--hq6dG-YFM90rIzw"",""2026-27!U3"")"),0.0)</f>
        <v>0</v>
      </c>
      <c r="AR49" s="59">
        <f>IFERROR(__xludf.DUMMYFUNCTION("IMPORTRANGE(""1HDGA-F4B-GDBBUlnJZi2PMo2Yy--hq6dG-YFM90rIzw"",""2026-27!V4"")"),0.0)</f>
        <v>0</v>
      </c>
      <c r="AS49" s="59">
        <f>IFERROR(__xludf.DUMMYFUNCTION("IMPORTRANGE(""1HDGA-F4B-GDBBUlnJZi2PMo2Yy--hq6dG-YFM90rIzw"",""2026-27!V3"")"),0.0)</f>
        <v>0</v>
      </c>
      <c r="AT49" s="59">
        <f>IFERROR(__xludf.DUMMYFUNCTION("IMPORTRANGE(""1HDGA-F4B-GDBBUlnJZi2PMo2Yy--hq6dG-YFM90rIzw"",""2026-27!W4"")"),0.0)</f>
        <v>0</v>
      </c>
      <c r="AU49" s="59">
        <f>IFERROR(__xludf.DUMMYFUNCTION("IMPORTRANGE(""1HDGA-F4B-GDBBUlnJZi2PMo2Yy--hq6dG-YFM90rIzw"",""2026-27!W3"")"),0.0)</f>
        <v>0</v>
      </c>
      <c r="AV49" s="62" t="str">
        <f t="shared" si="85"/>
        <v/>
      </c>
      <c r="AW49" s="59">
        <f>IFERROR(__xludf.DUMMYFUNCTION("IMPORTRANGE(""1HDGA-F4B-GDBBUlnJZi2PMo2Yy--hq6dG-YFM90rIzw"",""2026-27!X4"")"),0.0)</f>
        <v>0</v>
      </c>
      <c r="AX49" s="59">
        <f>IFERROR(__xludf.DUMMYFUNCTION("IMPORTRANGE(""1HDGA-F4B-GDBBUlnJZi2PMo2Yy--hq6dG-YFM90rIzw"",""2026-27!X3"")"),0.0)</f>
        <v>0</v>
      </c>
      <c r="AY49" s="59">
        <f>IFERROR(__xludf.DUMMYFUNCTION("IMPORTRANGE(""1HDGA-F4B-GDBBUlnJZi2PMo2Yy--hq6dG-YFM90rIzw"",""2026-27!Y4"")"),0.0)</f>
        <v>0</v>
      </c>
      <c r="AZ49" s="59">
        <f>IFERROR(__xludf.DUMMYFUNCTION("IMPORTRANGE(""1HDGA-F4B-GDBBUlnJZi2PMo2Yy--hq6dG-YFM90rIzw"",""2026-27!Y3"")"),0.0)</f>
        <v>0</v>
      </c>
      <c r="BA49" s="59">
        <f>IFERROR(__xludf.DUMMYFUNCTION("IMPORTRANGE(""1HDGA-F4B-GDBBUlnJZi2PMo2Yy--hq6dG-YFM90rIzw"",""2026-27!Z4"")"),0.0)</f>
        <v>0</v>
      </c>
      <c r="BB49" s="59">
        <f>IFERROR(__xludf.DUMMYFUNCTION("IMPORTRANGE(""1HDGA-F4B-GDBBUlnJZi2PMo2Yy--hq6dG-YFM90rIzw"",""2026-27!Z3"")"),0.0)</f>
        <v>0</v>
      </c>
      <c r="BC49" s="63" t="str">
        <f t="shared" si="86"/>
        <v/>
      </c>
      <c r="BD49" s="59">
        <f>IFERROR(__xludf.DUMMYFUNCTION("IMPORTRANGE(""1HDGA-F4B-GDBBUlnJZi2PMo2Yy--hq6dG-YFM90rIzw"",""2026-27!AA4"")"),0.0)</f>
        <v>0</v>
      </c>
      <c r="BE49" s="59">
        <f>IFERROR(__xludf.DUMMYFUNCTION("IMPORTRANGE(""1HDGA-F4B-GDBBUlnJZi2PMo2Yy--hq6dG-YFM90rIzw"",""2026-27!AA3"")"),0.0)</f>
        <v>0</v>
      </c>
      <c r="BF49" s="59">
        <f>IFERROR(__xludf.DUMMYFUNCTION("IMPORTRANGE(""1HDGA-F4B-GDBBUlnJZi2PMo2Yy--hq6dG-YFM90rIzw"",""2026-27!AB4"")"),0.0)</f>
        <v>0</v>
      </c>
      <c r="BG49" s="59">
        <f>IFERROR(__xludf.DUMMYFUNCTION("IMPORTRANGE(""1HDGA-F4B-GDBBUlnJZi2PMo2Yy--hq6dG-YFM90rIzw"",""2026-27!AB3"")"),0.0)</f>
        <v>0</v>
      </c>
      <c r="BH49" s="59">
        <f>IFERROR(__xludf.DUMMYFUNCTION("IMPORTRANGE(""1HDGA-F4B-GDBBUlnJZi2PMo2Yy--hq6dG-YFM90rIzw"",""2026-27!AC4"")"),0.0)</f>
        <v>0</v>
      </c>
      <c r="BI49" s="59">
        <f>IFERROR(__xludf.DUMMYFUNCTION("IMPORTRANGE(""1HDGA-F4B-GDBBUlnJZi2PMo2Yy--hq6dG-YFM90rIzw"",""2026-27!AC3"")"),0.0)</f>
        <v>0</v>
      </c>
      <c r="BJ49" s="63" t="str">
        <f t="shared" si="87"/>
        <v/>
      </c>
      <c r="BK49" s="59">
        <f>IFERROR(__xludf.DUMMYFUNCTION("IMPORTRANGE(""1HDGA-F4B-GDBBUlnJZi2PMo2Yy--hq6dG-YFM90rIzw"",""2026-27!AD4"")"),0.0)</f>
        <v>0</v>
      </c>
      <c r="BL49" s="59">
        <f>IFERROR(__xludf.DUMMYFUNCTION("IMPORTRANGE(""1HDGA-F4B-GDBBUlnJZi2PMo2Yy--hq6dG-YFM90rIzw"",""2026-27!AD3"")"),0.0)</f>
        <v>0</v>
      </c>
      <c r="BM49" s="59">
        <f>IFERROR(__xludf.DUMMYFUNCTION("IMPORTRANGE(""1HDGA-F4B-GDBBUlnJZi2PMo2Yy--hq6dG-YFM90rIzw"",""2026-27!AE4"")"),0.0)</f>
        <v>0</v>
      </c>
      <c r="BN49" s="59">
        <f>IFERROR(__xludf.DUMMYFUNCTION("IMPORTRANGE(""1HDGA-F4B-GDBBUlnJZi2PMo2Yy--hq6dG-YFM90rIzw"",""2026-27!AE3"")"),0.0)</f>
        <v>0</v>
      </c>
      <c r="BO49" s="59">
        <f>IFERROR(__xludf.DUMMYFUNCTION("IMPORTRANGE(""1HDGA-F4B-GDBBUlnJZi2PMo2Yy--hq6dG-YFM90rIzw"",""2026-27!AF4"")"),0.0)</f>
        <v>0</v>
      </c>
      <c r="BP49" s="59">
        <f>IFERROR(__xludf.DUMMYFUNCTION("IMPORTRANGE(""1HDGA-F4B-GDBBUlnJZi2PMo2Yy--hq6dG-YFM90rIzw"",""2026-27!AF3"")"),0.0)</f>
        <v>0</v>
      </c>
      <c r="BQ49" s="63" t="str">
        <f t="shared" si="88"/>
        <v/>
      </c>
      <c r="BR49" s="59">
        <f>IFERROR(__xludf.DUMMYFUNCTION("IMPORTRANGE(""1HDGA-F4B-GDBBUlnJZi2PMo2Yy--hq6dG-YFM90rIzw"",""2026-27!AG4"")"),0.0)</f>
        <v>0</v>
      </c>
      <c r="BS49" s="59">
        <f>IFERROR(__xludf.DUMMYFUNCTION("IMPORTRANGE(""1HDGA-F4B-GDBBUlnJZi2PMo2Yy--hq6dG-YFM90rIzw"",""2026-27!AG3"")"),0.0)</f>
        <v>0</v>
      </c>
      <c r="BT49" s="59">
        <f>IFERROR(__xludf.DUMMYFUNCTION("IMPORTRANGE(""1HDGA-F4B-GDBBUlnJZi2PMo2Yy--hq6dG-YFM90rIzw"",""2026-27!AH4"")"),0.0)</f>
        <v>0</v>
      </c>
      <c r="BU49" s="59">
        <f>IFERROR(__xludf.DUMMYFUNCTION("IMPORTRANGE(""1HDGA-F4B-GDBBUlnJZi2PMo2Yy--hq6dG-YFM90rIzw"",""2026-27!AH3"")"),0.0)</f>
        <v>0</v>
      </c>
      <c r="BV49" s="59">
        <f>IFERROR(__xludf.DUMMYFUNCTION("IMPORTRANGE(""1HDGA-F4B-GDBBUlnJZi2PMo2Yy--hq6dG-YFM90rIzw"",""2026-27!AI4"")"),0.0)</f>
        <v>0</v>
      </c>
      <c r="BW49" s="59">
        <f>IFERROR(__xludf.DUMMYFUNCTION("IMPORTRANGE(""1HDGA-F4B-GDBBUlnJZi2PMo2Yy--hq6dG-YFM90rIzw"",""2026-27!AI3"")"),0.0)</f>
        <v>0</v>
      </c>
      <c r="BX49" s="63" t="str">
        <f t="shared" si="89"/>
        <v/>
      </c>
      <c r="BY49" s="59">
        <f>IFERROR(__xludf.DUMMYFUNCTION("IMPORTRANGE(""1HDGA-F4B-GDBBUlnJZi2PMo2Yy--hq6dG-YFM90rIzw"",""2026-27!AJ4"")"),0.0)</f>
        <v>0</v>
      </c>
      <c r="BZ49" s="59">
        <f>IFERROR(__xludf.DUMMYFUNCTION("IMPORTRANGE(""1HDGA-F4B-GDBBUlnJZi2PMo2Yy--hq6dG-YFM90rIzw"",""2026-27!AJ3"")"),0.0)</f>
        <v>0</v>
      </c>
      <c r="CA49" s="59">
        <f>IFERROR(__xludf.DUMMYFUNCTION("IMPORTRANGE(""1HDGA-F4B-GDBBUlnJZi2PMo2Yy--hq6dG-YFM90rIzw"",""2026-27!AK4"")"),0.0)</f>
        <v>0</v>
      </c>
      <c r="CB49" s="59">
        <f>IFERROR(__xludf.DUMMYFUNCTION("IMPORTRANGE(""1HDGA-F4B-GDBBUlnJZi2PMo2Yy--hq6dG-YFM90rIzw"",""2026-27!AK3"")"),0.0)</f>
        <v>0</v>
      </c>
      <c r="CC49" s="59">
        <f>IFERROR(__xludf.DUMMYFUNCTION("IMPORTRANGE(""1HDGA-F4B-GDBBUlnJZi2PMo2Yy--hq6dG-YFM90rIzw"",""2026-27!AL4"")"),0.0)</f>
        <v>0</v>
      </c>
      <c r="CD49" s="59">
        <f>IFERROR(__xludf.DUMMYFUNCTION("IMPORTRANGE(""1HDGA-F4B-GDBBUlnJZi2PMo2Yy--hq6dG-YFM90rIzw"",""2026-27!AL3"")"),0.0)</f>
        <v>0</v>
      </c>
      <c r="CE49" s="63" t="str">
        <f t="shared" si="90"/>
        <v/>
      </c>
      <c r="CF49" s="59">
        <f>IFERROR(__xludf.DUMMYFUNCTION("IMPORTRANGE(""1HDGA-F4B-GDBBUlnJZi2PMo2Yy--hq6dG-YFM90rIzw"",""2026-27!AM4"")"),0.0)</f>
        <v>0</v>
      </c>
      <c r="CG49" s="59">
        <f>IFERROR(__xludf.DUMMYFUNCTION("IMPORTRANGE(""1HDGA-F4B-GDBBUlnJZi2PMo2Yy--hq6dG-YFM90rIzw"",""2026-27!AM3"")"),0.0)</f>
        <v>0</v>
      </c>
      <c r="CH49" s="59">
        <f>IFERROR(__xludf.DUMMYFUNCTION("IMPORTRANGE(""1HDGA-F4B-GDBBUlnJZi2PMo2Yy--hq6dG-YFM90rIzw"",""2026-27!AN4"")"),0.0)</f>
        <v>0</v>
      </c>
      <c r="CI49" s="59">
        <f>IFERROR(__xludf.DUMMYFUNCTION("IMPORTRANGE(""1HDGA-F4B-GDBBUlnJZi2PMo2Yy--hq6dG-YFM90rIzw"",""2026-27!AN3"")"),0.0)</f>
        <v>0</v>
      </c>
      <c r="CJ49" s="59">
        <f>IFERROR(__xludf.DUMMYFUNCTION("IMPORTRANGE(""1HDGA-F4B-GDBBUlnJZi2PMo2Yy--hq6dG-YFM90rIzw"",""2026-27!AO4"")"),0.0)</f>
        <v>0</v>
      </c>
      <c r="CK49" s="59">
        <f>IFERROR(__xludf.DUMMYFUNCTION("IMPORTRANGE(""1HDGA-F4B-GDBBUlnJZi2PMo2Yy--hq6dG-YFM90rIzw"",""2026-27!AO3"")"),0.0)</f>
        <v>0</v>
      </c>
      <c r="CL49" s="63" t="str">
        <f t="shared" si="91"/>
        <v/>
      </c>
      <c r="CM49" s="59">
        <f>IFERROR(__xludf.DUMMYFUNCTION("IMPORTRANGE(""1HDGA-F4B-GDBBUlnJZi2PMo2Yy--hq6dG-YFM90rIzw"",""2026-27!AP4"")"),0.0)</f>
        <v>0</v>
      </c>
      <c r="CN49" s="59">
        <f>IFERROR(__xludf.DUMMYFUNCTION("IMPORTRANGE(""1HDGA-F4B-GDBBUlnJZi2PMo2Yy--hq6dG-YFM90rIzw"",""2026-27!AP3"")"),0.0)</f>
        <v>0</v>
      </c>
      <c r="CO49" s="59">
        <f>IFERROR(__xludf.DUMMYFUNCTION("IMPORTRANGE(""1HDGA-F4B-GDBBUlnJZi2PMo2Yy--hq6dG-YFM90rIzw"",""2026-27!AQ4"")"),0.0)</f>
        <v>0</v>
      </c>
      <c r="CP49" s="59">
        <f>IFERROR(__xludf.DUMMYFUNCTION("IMPORTRANGE(""1HDGA-F4B-GDBBUlnJZi2PMo2Yy--hq6dG-YFM90rIzw"",""2026-27!AQ3"")"),0.0)</f>
        <v>0</v>
      </c>
      <c r="CQ49" s="59">
        <f>IFERROR(__xludf.DUMMYFUNCTION("IMPORTRANGE(""1HDGA-F4B-GDBBUlnJZi2PMo2Yy--hq6dG-YFM90rIzw"",""2026-27!AR4"")"),0.0)</f>
        <v>0</v>
      </c>
      <c r="CR49" s="59">
        <f>IFERROR(__xludf.DUMMYFUNCTION("IMPORTRANGE(""1HDGA-F4B-GDBBUlnJZi2PMo2Yy--hq6dG-YFM90rIzw"",""2026-27!AR3"")"),0.0)</f>
        <v>0</v>
      </c>
      <c r="CS49" s="63" t="str">
        <f t="shared" si="92"/>
        <v/>
      </c>
      <c r="CT49" s="59">
        <f>IFERROR(__xludf.DUMMYFUNCTION("IMPORTRANGE(""1HDGA-F4B-GDBBUlnJZi2PMo2Yy--hq6dG-YFM90rIzw"",""2026-27!AS4"")"),0.0)</f>
        <v>0</v>
      </c>
      <c r="CU49" s="59">
        <f>IFERROR(__xludf.DUMMYFUNCTION("IMPORTRANGE(""1HDGA-F4B-GDBBUlnJZi2PMo2Yy--hq6dG-YFM90rIzw"",""2026-27!AS3"")"),0.0)</f>
        <v>0</v>
      </c>
      <c r="CV49" s="64"/>
    </row>
    <row r="50">
      <c r="A50" s="1" t="s">
        <v>103</v>
      </c>
      <c r="B50" s="41"/>
      <c r="C50" s="86" t="s">
        <v>111</v>
      </c>
      <c r="D50" s="53" t="s">
        <v>112</v>
      </c>
      <c r="E50" s="54">
        <v>9.926642562E9</v>
      </c>
      <c r="F50" s="80">
        <v>43315.0</v>
      </c>
      <c r="G50" s="66"/>
      <c r="H50" s="66"/>
      <c r="I50" s="57">
        <v>140000.0</v>
      </c>
      <c r="J50" s="58">
        <v>4750000.0</v>
      </c>
      <c r="K50" s="59">
        <f>IFERROR(__xludf.DUMMYFUNCTION("IMPORTRANGE(""160qastmdA75nF7eZOKHiYx2-dg1tDT-CE6L7D1M1stU"",""2026-27!A3"")"),103.0)</f>
        <v>103</v>
      </c>
      <c r="L50" s="59">
        <f>IFERROR(__xludf.DUMMYFUNCTION("IMPORTRANGE(""160qastmdA75nF7eZOKHiYx2-dg1tDT-CE6L7D1M1stU"",""2026-27!G4"")"),5.41E7)</f>
        <v>54100000</v>
      </c>
      <c r="M50" s="59">
        <f t="shared" si="78"/>
        <v>15086232.09</v>
      </c>
      <c r="N50" s="60">
        <f t="shared" si="79"/>
        <v>0.15673061</v>
      </c>
      <c r="O50" s="61">
        <f t="shared" si="80"/>
        <v>8479126</v>
      </c>
      <c r="P50" s="59">
        <f>IFERROR(__xludf.DUMMYFUNCTION("IMPORTRANGE(""160qastmdA75nF7eZOKHiYx2-dg1tDT-CE6L7D1M1stU"",""2026-27!J4"")"),4050000.0)</f>
        <v>4050000</v>
      </c>
      <c r="Q50" s="59">
        <f>IFERROR(__xludf.DUMMYFUNCTION("IMPORTRANGE(""160qastmdA75nF7eZOKHiYx2-dg1tDT-CE6L7D1M1stU"",""2026-27!J3"")"),91.0)</f>
        <v>91</v>
      </c>
      <c r="R50" s="59">
        <f>IFERROR(__xludf.DUMMYFUNCTION("IMPORTRANGE(""160qastmdA75nF7eZOKHiYx2-dg1tDT-CE6L7D1M1stU"",""2026-27!K4"")"),4003415.98)</f>
        <v>4003415.98</v>
      </c>
      <c r="S50" s="59">
        <f>IFERROR(__xludf.DUMMYFUNCTION("IMPORTRANGE(""160qastmdA75nF7eZOKHiYx2-dg1tDT-CE6L7D1M1stU"",""2026-27!K3"")"),59.0)</f>
        <v>59</v>
      </c>
      <c r="T50" s="62">
        <f t="shared" si="81"/>
        <v>0.9835837037</v>
      </c>
      <c r="U50" s="59">
        <f>IFERROR(__xludf.DUMMYFUNCTION("IMPORTRANGE(""160qastmdA75nF7eZOKHiYx2-dg1tDT-CE6L7D1M1stU"",""2026-27!L4"")"),3983514.0)</f>
        <v>3983514</v>
      </c>
      <c r="V50" s="59">
        <f>IFERROR(__xludf.DUMMYFUNCTION("IMPORTRANGE(""160qastmdA75nF7eZOKHiYx2-dg1tDT-CE6L7D1M1stU"",""2026-27!L3"")"),61.0)</f>
        <v>61</v>
      </c>
      <c r="W50" s="59">
        <f>IFERROR(__xludf.DUMMYFUNCTION("IMPORTRANGE(""160qastmdA75nF7eZOKHiYx2-dg1tDT-CE6L7D1M1stU"",""2026-27!m4"")"),4300000.0)</f>
        <v>4300000</v>
      </c>
      <c r="X50" s="59">
        <f>IFERROR(__xludf.DUMMYFUNCTION("IMPORTRANGE(""160qastmdA75nF7eZOKHiYx2-dg1tDT-CE6L7D1M1stU"",""2026-27!m3"")"),91.0)</f>
        <v>91</v>
      </c>
      <c r="Y50" s="59">
        <f>IFERROR(__xludf.DUMMYFUNCTION("IMPORTRANGE(""160qastmdA75nF7eZOKHiYx2-dg1tDT-CE6L7D1M1stU"",""2026-27!N4"")"),4569128.040000001)</f>
        <v>4569128.04</v>
      </c>
      <c r="Z50" s="59">
        <f>IFERROR(__xludf.DUMMYFUNCTION("IMPORTRANGE(""160qastmdA75nF7eZOKHiYx2-dg1tDT-CE6L7D1M1stU"",""2026-27!N3"")"),66.0)</f>
        <v>66</v>
      </c>
      <c r="AA50" s="62">
        <f t="shared" si="82"/>
        <v>1.045491163</v>
      </c>
      <c r="AB50" s="59">
        <f>IFERROR(__xludf.DUMMYFUNCTION("IMPORTRANGE(""160qastmdA75nF7eZOKHiYx2-dg1tDT-CE6L7D1M1stU"",""2026-27!O4"")"),4495612.0)</f>
        <v>4495612</v>
      </c>
      <c r="AC50" s="59">
        <f>IFERROR(__xludf.DUMMYFUNCTION("IMPORTRANGE(""160qastmdA75nF7eZOKHiYx2-dg1tDT-CE6L7D1M1stU"",""2026-27!O3"")"),66.0)</f>
        <v>66</v>
      </c>
      <c r="AD50" s="59">
        <f>IFERROR(__xludf.DUMMYFUNCTION("IMPORTRANGE(""160qastmdA75nF7eZOKHiYx2-dg1tDT-CE6L7D1M1stU"",""2026-27!P4"")"),4350000.0)</f>
        <v>4350000</v>
      </c>
      <c r="AE50" s="59">
        <f>IFERROR(__xludf.DUMMYFUNCTION("IMPORTRANGE(""160qastmdA75nF7eZOKHiYx2-dg1tDT-CE6L7D1M1stU"",""2026-27!P3"")"),91.0)</f>
        <v>91</v>
      </c>
      <c r="AF50" s="59">
        <f>IFERROR(__xludf.DUMMYFUNCTION("IMPORTRANGE(""160qastmdA75nF7eZOKHiYx2-dg1tDT-CE6L7D1M1stU"",""2026-27!Q4"")"),6513688.069999998)</f>
        <v>6513688.07</v>
      </c>
      <c r="AG50" s="59">
        <f>IFERROR(__xludf.DUMMYFUNCTION("IMPORTRANGE(""160qastmdA75nF7eZOKHiYx2-dg1tDT-CE6L7D1M1stU"",""2026-27!Q3"")"),61.0)</f>
        <v>61</v>
      </c>
      <c r="AH50" s="62">
        <f t="shared" si="83"/>
        <v>0</v>
      </c>
      <c r="AI50" s="59">
        <f>IFERROR(__xludf.DUMMYFUNCTION("IMPORTRANGE(""160qastmdA75nF7eZOKHiYx2-dg1tDT-CE6L7D1M1stU"",""2026-27!R4"")"),0.0)</f>
        <v>0</v>
      </c>
      <c r="AJ50" s="59">
        <f>IFERROR(__xludf.DUMMYFUNCTION("IMPORTRANGE(""160qastmdA75nF7eZOKHiYx2-dg1tDT-CE6L7D1M1stU"",""2026-27!R3"")"),0.0)</f>
        <v>0</v>
      </c>
      <c r="AK50" s="59">
        <f>IFERROR(__xludf.DUMMYFUNCTION("IMPORTRANGE(""160qastmdA75nF7eZOKHiYx2-dg1tDT-CE6L7D1M1stU"",""2026-27!S4"")"),0.0)</f>
        <v>0</v>
      </c>
      <c r="AL50" s="59">
        <f>IFERROR(__xludf.DUMMYFUNCTION("IMPORTRANGE(""160qastmdA75nF7eZOKHiYx2-dg1tDT-CE6L7D1M1stU"",""2026-27!S3"")"),0.0)</f>
        <v>0</v>
      </c>
      <c r="AM50" s="59">
        <f>IFERROR(__xludf.DUMMYFUNCTION("IMPORTRANGE(""160qastmdA75nF7eZOKHiYx2-dg1tDT-CE6L7D1M1stU"",""2026-27!T4"")"),0.0)</f>
        <v>0</v>
      </c>
      <c r="AN50" s="59">
        <f>IFERROR(__xludf.DUMMYFUNCTION("IMPORTRANGE(""160qastmdA75nF7eZOKHiYx2-dg1tDT-CE6L7D1M1stU"",""2026-27!T3"")"),0.0)</f>
        <v>0</v>
      </c>
      <c r="AO50" s="62" t="str">
        <f t="shared" si="84"/>
        <v/>
      </c>
      <c r="AP50" s="59">
        <f>IFERROR(__xludf.DUMMYFUNCTION("IMPORTRANGE(""160qastmdA75nF7eZOKHiYx2-dg1tDT-CE6L7D1M1stU"",""2026-27!U4"")"),0.0)</f>
        <v>0</v>
      </c>
      <c r="AQ50" s="59">
        <f>IFERROR(__xludf.DUMMYFUNCTION("IMPORTRANGE(""160qastmdA75nF7eZOKHiYx2-dg1tDT-CE6L7D1M1stU"",""2026-27!U3"")"),0.0)</f>
        <v>0</v>
      </c>
      <c r="AR50" s="59">
        <f>IFERROR(__xludf.DUMMYFUNCTION("IMPORTRANGE(""160qastmdA75nF7eZOKHiYx2-dg1tDT-CE6L7D1M1stU"",""2026-27!V4"")"),0.0)</f>
        <v>0</v>
      </c>
      <c r="AS50" s="59">
        <f>IFERROR(__xludf.DUMMYFUNCTION("IMPORTRANGE(""160qastmdA75nF7eZOKHiYx2-dg1tDT-CE6L7D1M1stU"",""2026-27!V3"")"),0.0)</f>
        <v>0</v>
      </c>
      <c r="AT50" s="59">
        <f>IFERROR(__xludf.DUMMYFUNCTION("IMPORTRANGE(""160qastmdA75nF7eZOKHiYx2-dg1tDT-CE6L7D1M1stU"",""2026-27!W4"")"),0.0)</f>
        <v>0</v>
      </c>
      <c r="AU50" s="59">
        <f>IFERROR(__xludf.DUMMYFUNCTION("IMPORTRANGE(""160qastmdA75nF7eZOKHiYx2-dg1tDT-CE6L7D1M1stU"",""2026-27!W3"")"),0.0)</f>
        <v>0</v>
      </c>
      <c r="AV50" s="62" t="str">
        <f t="shared" si="85"/>
        <v/>
      </c>
      <c r="AW50" s="59">
        <f>IFERROR(__xludf.DUMMYFUNCTION("IMPORTRANGE(""160qastmdA75nF7eZOKHiYx2-dg1tDT-CE6L7D1M1stU"",""2026-27!X4"")"),0.0)</f>
        <v>0</v>
      </c>
      <c r="AX50" s="59">
        <f>IFERROR(__xludf.DUMMYFUNCTION("IMPORTRANGE(""160qastmdA75nF7eZOKHiYx2-dg1tDT-CE6L7D1M1stU"",""2026-27!X3"")"),0.0)</f>
        <v>0</v>
      </c>
      <c r="AY50" s="59">
        <f>IFERROR(__xludf.DUMMYFUNCTION("IMPORTRANGE(""160qastmdA75nF7eZOKHiYx2-dg1tDT-CE6L7D1M1stU"",""2026-27!Y4"")"),0.0)</f>
        <v>0</v>
      </c>
      <c r="AZ50" s="59">
        <f>IFERROR(__xludf.DUMMYFUNCTION("IMPORTRANGE(""160qastmdA75nF7eZOKHiYx2-dg1tDT-CE6L7D1M1stU"",""2026-27!Y3"")"),0.0)</f>
        <v>0</v>
      </c>
      <c r="BA50" s="59">
        <f>IFERROR(__xludf.DUMMYFUNCTION("IMPORTRANGE(""160qastmdA75nF7eZOKHiYx2-dg1tDT-CE6L7D1M1stU"",""2026-27!Z4"")"),0.0)</f>
        <v>0</v>
      </c>
      <c r="BB50" s="59">
        <f>IFERROR(__xludf.DUMMYFUNCTION("IMPORTRANGE(""160qastmdA75nF7eZOKHiYx2-dg1tDT-CE6L7D1M1stU"",""2026-27!Z3"")"),0.0)</f>
        <v>0</v>
      </c>
      <c r="BC50" s="63" t="str">
        <f t="shared" si="86"/>
        <v/>
      </c>
      <c r="BD50" s="59">
        <f>IFERROR(__xludf.DUMMYFUNCTION("IMPORTRANGE(""160qastmdA75nF7eZOKHiYx2-dg1tDT-CE6L7D1M1stU"",""2026-27!AA4"")"),0.0)</f>
        <v>0</v>
      </c>
      <c r="BE50" s="59">
        <f>IFERROR(__xludf.DUMMYFUNCTION("IMPORTRANGE(""160qastmdA75nF7eZOKHiYx2-dg1tDT-CE6L7D1M1stU"",""2026-27!AA3"")"),0.0)</f>
        <v>0</v>
      </c>
      <c r="BF50" s="59">
        <f>IFERROR(__xludf.DUMMYFUNCTION("IMPORTRANGE(""160qastmdA75nF7eZOKHiYx2-dg1tDT-CE6L7D1M1stU"",""2026-27!AB4"")"),0.0)</f>
        <v>0</v>
      </c>
      <c r="BG50" s="59">
        <f>IFERROR(__xludf.DUMMYFUNCTION("IMPORTRANGE(""160qastmdA75nF7eZOKHiYx2-dg1tDT-CE6L7D1M1stU"",""2026-27!AB3"")"),0.0)</f>
        <v>0</v>
      </c>
      <c r="BH50" s="59">
        <f>IFERROR(__xludf.DUMMYFUNCTION("IMPORTRANGE(""160qastmdA75nF7eZOKHiYx2-dg1tDT-CE6L7D1M1stU"",""2026-27!AC4"")"),0.0)</f>
        <v>0</v>
      </c>
      <c r="BI50" s="59">
        <f>IFERROR(__xludf.DUMMYFUNCTION("IMPORTRANGE(""160qastmdA75nF7eZOKHiYx2-dg1tDT-CE6L7D1M1stU"",""2026-27!AC3"")"),0.0)</f>
        <v>0</v>
      </c>
      <c r="BJ50" s="63" t="str">
        <f t="shared" si="87"/>
        <v/>
      </c>
      <c r="BK50" s="59">
        <f>IFERROR(__xludf.DUMMYFUNCTION("IMPORTRANGE(""160qastmdA75nF7eZOKHiYx2-dg1tDT-CE6L7D1M1stU"",""2026-27!AD4"")"),0.0)</f>
        <v>0</v>
      </c>
      <c r="BL50" s="59">
        <f>IFERROR(__xludf.DUMMYFUNCTION("IMPORTRANGE(""160qastmdA75nF7eZOKHiYx2-dg1tDT-CE6L7D1M1stU"",""2026-27!AD3"")"),0.0)</f>
        <v>0</v>
      </c>
      <c r="BM50" s="59">
        <f>IFERROR(__xludf.DUMMYFUNCTION("IMPORTRANGE(""160qastmdA75nF7eZOKHiYx2-dg1tDT-CE6L7D1M1stU"",""2026-27!AE4"")"),0.0)</f>
        <v>0</v>
      </c>
      <c r="BN50" s="59">
        <f>IFERROR(__xludf.DUMMYFUNCTION("IMPORTRANGE(""160qastmdA75nF7eZOKHiYx2-dg1tDT-CE6L7D1M1stU"",""2026-27!AE3"")"),0.0)</f>
        <v>0</v>
      </c>
      <c r="BO50" s="59">
        <f>IFERROR(__xludf.DUMMYFUNCTION("IMPORTRANGE(""160qastmdA75nF7eZOKHiYx2-dg1tDT-CE6L7D1M1stU"",""2026-27!AF4"")"),0.0)</f>
        <v>0</v>
      </c>
      <c r="BP50" s="59">
        <f>IFERROR(__xludf.DUMMYFUNCTION("IMPORTRANGE(""160qastmdA75nF7eZOKHiYx2-dg1tDT-CE6L7D1M1stU"",""2026-27!AF3"")"),0.0)</f>
        <v>0</v>
      </c>
      <c r="BQ50" s="63" t="str">
        <f t="shared" si="88"/>
        <v/>
      </c>
      <c r="BR50" s="59">
        <f>IFERROR(__xludf.DUMMYFUNCTION("IMPORTRANGE(""160qastmdA75nF7eZOKHiYx2-dg1tDT-CE6L7D1M1stU"",""2026-27!AG4"")"),0.0)</f>
        <v>0</v>
      </c>
      <c r="BS50" s="59">
        <f>IFERROR(__xludf.DUMMYFUNCTION("IMPORTRANGE(""160qastmdA75nF7eZOKHiYx2-dg1tDT-CE6L7D1M1stU"",""2026-27!AG3"")"),0.0)</f>
        <v>0</v>
      </c>
      <c r="BT50" s="59">
        <f>IFERROR(__xludf.DUMMYFUNCTION("IMPORTRANGE(""160qastmdA75nF7eZOKHiYx2-dg1tDT-CE6L7D1M1stU"",""2026-27!AH4"")"),0.0)</f>
        <v>0</v>
      </c>
      <c r="BU50" s="59">
        <f>IFERROR(__xludf.DUMMYFUNCTION("IMPORTRANGE(""160qastmdA75nF7eZOKHiYx2-dg1tDT-CE6L7D1M1stU"",""2026-27!AH3"")"),0.0)</f>
        <v>0</v>
      </c>
      <c r="BV50" s="59">
        <f>IFERROR(__xludf.DUMMYFUNCTION("IMPORTRANGE(""160qastmdA75nF7eZOKHiYx2-dg1tDT-CE6L7D1M1stU"",""2026-27!AI4"")"),0.0)</f>
        <v>0</v>
      </c>
      <c r="BW50" s="59">
        <f>IFERROR(__xludf.DUMMYFUNCTION("IMPORTRANGE(""160qastmdA75nF7eZOKHiYx2-dg1tDT-CE6L7D1M1stU"",""2026-27!AI3"")"),0.0)</f>
        <v>0</v>
      </c>
      <c r="BX50" s="63" t="str">
        <f t="shared" si="89"/>
        <v/>
      </c>
      <c r="BY50" s="59">
        <f>IFERROR(__xludf.DUMMYFUNCTION("IMPORTRANGE(""160qastmdA75nF7eZOKHiYx2-dg1tDT-CE6L7D1M1stU"",""2026-27!AJ4"")"),0.0)</f>
        <v>0</v>
      </c>
      <c r="BZ50" s="59">
        <f>IFERROR(__xludf.DUMMYFUNCTION("IMPORTRANGE(""160qastmdA75nF7eZOKHiYx2-dg1tDT-CE6L7D1M1stU"",""2026-27!AJ3"")"),0.0)</f>
        <v>0</v>
      </c>
      <c r="CA50" s="59">
        <f>IFERROR(__xludf.DUMMYFUNCTION("IMPORTRANGE(""160qastmdA75nF7eZOKHiYx2-dg1tDT-CE6L7D1M1stU"",""2026-27!AK4"")"),0.0)</f>
        <v>0</v>
      </c>
      <c r="CB50" s="59">
        <f>IFERROR(__xludf.DUMMYFUNCTION("IMPORTRANGE(""160qastmdA75nF7eZOKHiYx2-dg1tDT-CE6L7D1M1stU"",""2026-27!AK3"")"),0.0)</f>
        <v>0</v>
      </c>
      <c r="CC50" s="59">
        <f>IFERROR(__xludf.DUMMYFUNCTION("IMPORTRANGE(""160qastmdA75nF7eZOKHiYx2-dg1tDT-CE6L7D1M1stU"",""2026-27!AL4"")"),0.0)</f>
        <v>0</v>
      </c>
      <c r="CD50" s="59">
        <f>IFERROR(__xludf.DUMMYFUNCTION("IMPORTRANGE(""160qastmdA75nF7eZOKHiYx2-dg1tDT-CE6L7D1M1stU"",""2026-27!AL3"")"),0.0)</f>
        <v>0</v>
      </c>
      <c r="CE50" s="63" t="str">
        <f t="shared" si="90"/>
        <v/>
      </c>
      <c r="CF50" s="59">
        <f>IFERROR(__xludf.DUMMYFUNCTION("IMPORTRANGE(""160qastmdA75nF7eZOKHiYx2-dg1tDT-CE6L7D1M1stU"",""2026-27!AM4"")"),0.0)</f>
        <v>0</v>
      </c>
      <c r="CG50" s="59">
        <f>IFERROR(__xludf.DUMMYFUNCTION("IMPORTRANGE(""160qastmdA75nF7eZOKHiYx2-dg1tDT-CE6L7D1M1stU"",""2026-27!AM3"")"),0.0)</f>
        <v>0</v>
      </c>
      <c r="CH50" s="59">
        <f>IFERROR(__xludf.DUMMYFUNCTION("IMPORTRANGE(""160qastmdA75nF7eZOKHiYx2-dg1tDT-CE6L7D1M1stU"",""2026-27!AN4"")"),0.0)</f>
        <v>0</v>
      </c>
      <c r="CI50" s="59">
        <f>IFERROR(__xludf.DUMMYFUNCTION("IMPORTRANGE(""160qastmdA75nF7eZOKHiYx2-dg1tDT-CE6L7D1M1stU"",""2026-27!AN3"")"),0.0)</f>
        <v>0</v>
      </c>
      <c r="CJ50" s="59">
        <f>IFERROR(__xludf.DUMMYFUNCTION("IMPORTRANGE(""160qastmdA75nF7eZOKHiYx2-dg1tDT-CE6L7D1M1stU"",""2026-27!AO4"")"),0.0)</f>
        <v>0</v>
      </c>
      <c r="CK50" s="59">
        <f>IFERROR(__xludf.DUMMYFUNCTION("IMPORTRANGE(""160qastmdA75nF7eZOKHiYx2-dg1tDT-CE6L7D1M1stU"",""2026-27!AO3"")"),0.0)</f>
        <v>0</v>
      </c>
      <c r="CL50" s="63" t="str">
        <f t="shared" si="91"/>
        <v/>
      </c>
      <c r="CM50" s="59">
        <f>IFERROR(__xludf.DUMMYFUNCTION("IMPORTRANGE(""160qastmdA75nF7eZOKHiYx2-dg1tDT-CE6L7D1M1stU"",""2026-27!AP4"")"),0.0)</f>
        <v>0</v>
      </c>
      <c r="CN50" s="59">
        <f>IFERROR(__xludf.DUMMYFUNCTION("IMPORTRANGE(""160qastmdA75nF7eZOKHiYx2-dg1tDT-CE6L7D1M1stU"",""2026-27!AP3"")"),0.0)</f>
        <v>0</v>
      </c>
      <c r="CO50" s="59">
        <f>IFERROR(__xludf.DUMMYFUNCTION("IMPORTRANGE(""160qastmdA75nF7eZOKHiYx2-dg1tDT-CE6L7D1M1stU"",""2026-27!AQ4"")"),0.0)</f>
        <v>0</v>
      </c>
      <c r="CP50" s="59">
        <f>IFERROR(__xludf.DUMMYFUNCTION("IMPORTRANGE(""160qastmdA75nF7eZOKHiYx2-dg1tDT-CE6L7D1M1stU"",""2026-27!AQ3"")"),0.0)</f>
        <v>0</v>
      </c>
      <c r="CQ50" s="59">
        <f>IFERROR(__xludf.DUMMYFUNCTION("IMPORTRANGE(""160qastmdA75nF7eZOKHiYx2-dg1tDT-CE6L7D1M1stU"",""2026-27!AR4"")"),0.0)</f>
        <v>0</v>
      </c>
      <c r="CR50" s="59">
        <f>IFERROR(__xludf.DUMMYFUNCTION("IMPORTRANGE(""160qastmdA75nF7eZOKHiYx2-dg1tDT-CE6L7D1M1stU"",""2026-27!AR3"")"),0.0)</f>
        <v>0</v>
      </c>
      <c r="CS50" s="63" t="str">
        <f t="shared" si="92"/>
        <v/>
      </c>
      <c r="CT50" s="59">
        <f>IFERROR(__xludf.DUMMYFUNCTION("IMPORTRANGE(""160qastmdA75nF7eZOKHiYx2-dg1tDT-CE6L7D1M1stU"",""2026-27!AS4"")"),0.0)</f>
        <v>0</v>
      </c>
      <c r="CU50" s="59">
        <f>IFERROR(__xludf.DUMMYFUNCTION("IMPORTRANGE(""160qastmdA75nF7eZOKHiYx2-dg1tDT-CE6L7D1M1stU"",""2026-27!AS3"")"),0.0)</f>
        <v>0</v>
      </c>
      <c r="CV50" s="64"/>
    </row>
    <row r="51">
      <c r="A51" s="1" t="s">
        <v>103</v>
      </c>
      <c r="B51" s="41"/>
      <c r="C51" s="86" t="s">
        <v>113</v>
      </c>
      <c r="D51" s="53" t="s">
        <v>114</v>
      </c>
      <c r="E51" s="54">
        <v>8.889494782E9</v>
      </c>
      <c r="F51" s="80">
        <v>44245.0</v>
      </c>
      <c r="G51" s="66"/>
      <c r="H51" s="66"/>
      <c r="I51" s="57">
        <v>41690.0</v>
      </c>
      <c r="J51" s="58">
        <v>2800000.0</v>
      </c>
      <c r="K51" s="59">
        <f>IFERROR(__xludf.DUMMYFUNCTION("IMPORTRANGE(""1zZrQzeo-pLQodYi6Jw--fNVDOKrSmQL1Jd3GjTKt7z8"",""2026-27!A3"")"),108.0)</f>
        <v>108</v>
      </c>
      <c r="L51" s="59">
        <f>IFERROR(__xludf.DUMMYFUNCTION("IMPORTRANGE(""1zZrQzeo-pLQodYi6Jw--fNVDOKrSmQL1Jd3GjTKt7z8"",""2026-27!G4"")"),2.86E7)</f>
        <v>28600000</v>
      </c>
      <c r="M51" s="59">
        <f t="shared" si="78"/>
        <v>4632219.59</v>
      </c>
      <c r="N51" s="60">
        <f t="shared" si="79"/>
        <v>0.108583042</v>
      </c>
      <c r="O51" s="61">
        <f t="shared" si="80"/>
        <v>3105475</v>
      </c>
      <c r="P51" s="59">
        <f>IFERROR(__xludf.DUMMYFUNCTION("IMPORTRANGE(""1zZrQzeo-pLQodYi6Jw--fNVDOKrSmQL1Jd3GjTKt7z8"",""2026-27!J4"")"),2370000.0)</f>
        <v>2370000</v>
      </c>
      <c r="Q51" s="59">
        <f>IFERROR(__xludf.DUMMYFUNCTION("IMPORTRANGE(""1zZrQzeo-pLQodYi6Jw--fNVDOKrSmQL1Jd3GjTKt7z8"",""2026-27!J3"")"),107.0)</f>
        <v>107</v>
      </c>
      <c r="R51" s="59">
        <f>IFERROR(__xludf.DUMMYFUNCTION("IMPORTRANGE(""1zZrQzeo-pLQodYi6Jw--fNVDOKrSmQL1Jd3GjTKt7z8"",""2026-27!K4"")"),1260502.58)</f>
        <v>1260502.58</v>
      </c>
      <c r="S51" s="59">
        <f>IFERROR(__xludf.DUMMYFUNCTION("IMPORTRANGE(""1zZrQzeo-pLQodYi6Jw--fNVDOKrSmQL1Jd3GjTKt7z8"",""2026-27!K3"")"),23.0)</f>
        <v>23</v>
      </c>
      <c r="T51" s="62">
        <f t="shared" si="81"/>
        <v>0.6385649789</v>
      </c>
      <c r="U51" s="59">
        <f>IFERROR(__xludf.DUMMYFUNCTION("IMPORTRANGE(""1zZrQzeo-pLQodYi6Jw--fNVDOKrSmQL1Jd3GjTKt7z8"",""2026-27!L4"")"),1513399.0)</f>
        <v>1513399</v>
      </c>
      <c r="V51" s="59">
        <f>IFERROR(__xludf.DUMMYFUNCTION("IMPORTRANGE(""1zZrQzeo-pLQodYi6Jw--fNVDOKrSmQL1Jd3GjTKt7z8"",""2026-27!L3"")"),26.0)</f>
        <v>26</v>
      </c>
      <c r="W51" s="59">
        <f>IFERROR(__xludf.DUMMYFUNCTION("IMPORTRANGE(""1zZrQzeo-pLQodYi6Jw--fNVDOKrSmQL1Jd3GjTKt7z8"",""2026-27!m4"")"),2369000.0)</f>
        <v>2369000</v>
      </c>
      <c r="X51" s="59">
        <f>IFERROR(__xludf.DUMMYFUNCTION("IMPORTRANGE(""1zZrQzeo-pLQodYi6Jw--fNVDOKrSmQL1Jd3GjTKt7z8"",""2026-27!m3"")"),107.0)</f>
        <v>107</v>
      </c>
      <c r="Y51" s="59">
        <f>IFERROR(__xludf.DUMMYFUNCTION("IMPORTRANGE(""1zZrQzeo-pLQodYi6Jw--fNVDOKrSmQL1Jd3GjTKt7z8"",""2026-27!N4"")"),1091354.56)</f>
        <v>1091354.56</v>
      </c>
      <c r="Z51" s="59">
        <f>IFERROR(__xludf.DUMMYFUNCTION("IMPORTRANGE(""1zZrQzeo-pLQodYi6Jw--fNVDOKrSmQL1Jd3GjTKt7z8"",""2026-27!N3"")"),25.0)</f>
        <v>25</v>
      </c>
      <c r="AA51" s="62">
        <f t="shared" si="82"/>
        <v>0.6720455889</v>
      </c>
      <c r="AB51" s="59">
        <f>IFERROR(__xludf.DUMMYFUNCTION("IMPORTRANGE(""1zZrQzeo-pLQodYi6Jw--fNVDOKrSmQL1Jd3GjTKt7z8"",""2026-27!O4"")"),1592076.0)</f>
        <v>1592076</v>
      </c>
      <c r="AC51" s="59">
        <f>IFERROR(__xludf.DUMMYFUNCTION("IMPORTRANGE(""1zZrQzeo-pLQodYi6Jw--fNVDOKrSmQL1Jd3GjTKt7z8"",""2026-27!O3"")"),42.0)</f>
        <v>42</v>
      </c>
      <c r="AD51" s="59">
        <f>IFERROR(__xludf.DUMMYFUNCTION("IMPORTRANGE(""1zZrQzeo-pLQodYi6Jw--fNVDOKrSmQL1Jd3GjTKt7z8"",""2026-27!P4"")"),2369000.0)</f>
        <v>2369000</v>
      </c>
      <c r="AE51" s="59">
        <f>IFERROR(__xludf.DUMMYFUNCTION("IMPORTRANGE(""1zZrQzeo-pLQodYi6Jw--fNVDOKrSmQL1Jd3GjTKt7z8"",""2026-27!P3"")"),107.0)</f>
        <v>107</v>
      </c>
      <c r="AF51" s="59">
        <f>IFERROR(__xludf.DUMMYFUNCTION("IMPORTRANGE(""1zZrQzeo-pLQodYi6Jw--fNVDOKrSmQL1Jd3GjTKt7z8"",""2026-27!Q4"")"),2280362.45)</f>
        <v>2280362.45</v>
      </c>
      <c r="AG51" s="59">
        <f>IFERROR(__xludf.DUMMYFUNCTION("IMPORTRANGE(""1zZrQzeo-pLQodYi6Jw--fNVDOKrSmQL1Jd3GjTKt7z8"",""2026-27!Q3"")"),23.0)</f>
        <v>23</v>
      </c>
      <c r="AH51" s="62">
        <f t="shared" si="83"/>
        <v>0</v>
      </c>
      <c r="AI51" s="59">
        <f>IFERROR(__xludf.DUMMYFUNCTION("IMPORTRANGE(""1zZrQzeo-pLQodYi6Jw--fNVDOKrSmQL1Jd3GjTKt7z8"",""2026-27!R4"")"),0.0)</f>
        <v>0</v>
      </c>
      <c r="AJ51" s="59">
        <f>IFERROR(__xludf.DUMMYFUNCTION("IMPORTRANGE(""1zZrQzeo-pLQodYi6Jw--fNVDOKrSmQL1Jd3GjTKt7z8"",""2026-27!R3"")"),0.0)</f>
        <v>0</v>
      </c>
      <c r="AK51" s="59">
        <f>IFERROR(__xludf.DUMMYFUNCTION("IMPORTRANGE(""1zZrQzeo-pLQodYi6Jw--fNVDOKrSmQL1Jd3GjTKt7z8"",""2026-27!S4"")"),0.0)</f>
        <v>0</v>
      </c>
      <c r="AL51" s="59">
        <f>IFERROR(__xludf.DUMMYFUNCTION("IMPORTRANGE(""1zZrQzeo-pLQodYi6Jw--fNVDOKrSmQL1Jd3GjTKt7z8"",""2026-27!S3"")"),0.0)</f>
        <v>0</v>
      </c>
      <c r="AM51" s="59">
        <f>IFERROR(__xludf.DUMMYFUNCTION("IMPORTRANGE(""1zZrQzeo-pLQodYi6Jw--fNVDOKrSmQL1Jd3GjTKt7z8"",""2026-27!T4"")"),0.0)</f>
        <v>0</v>
      </c>
      <c r="AN51" s="59">
        <f>IFERROR(__xludf.DUMMYFUNCTION("IMPORTRANGE(""1zZrQzeo-pLQodYi6Jw--fNVDOKrSmQL1Jd3GjTKt7z8"",""2026-27!T3"")"),0.0)</f>
        <v>0</v>
      </c>
      <c r="AO51" s="62" t="str">
        <f t="shared" si="84"/>
        <v/>
      </c>
      <c r="AP51" s="59">
        <f>IFERROR(__xludf.DUMMYFUNCTION("IMPORTRANGE(""1zZrQzeo-pLQodYi6Jw--fNVDOKrSmQL1Jd3GjTKt7z8"",""2026-27!U4"")"),0.0)</f>
        <v>0</v>
      </c>
      <c r="AQ51" s="59">
        <f>IFERROR(__xludf.DUMMYFUNCTION("IMPORTRANGE(""1zZrQzeo-pLQodYi6Jw--fNVDOKrSmQL1Jd3GjTKt7z8"",""2026-27!U3"")"),0.0)</f>
        <v>0</v>
      </c>
      <c r="AR51" s="59">
        <f>IFERROR(__xludf.DUMMYFUNCTION("IMPORTRANGE(""1zZrQzeo-pLQodYi6Jw--fNVDOKrSmQL1Jd3GjTKt7z8"",""2026-27!V4"")"),0.0)</f>
        <v>0</v>
      </c>
      <c r="AS51" s="59">
        <f>IFERROR(__xludf.DUMMYFUNCTION("IMPORTRANGE(""1zZrQzeo-pLQodYi6Jw--fNVDOKrSmQL1Jd3GjTKt7z8"",""2026-27!V3"")"),0.0)</f>
        <v>0</v>
      </c>
      <c r="AT51" s="59">
        <f>IFERROR(__xludf.DUMMYFUNCTION("IMPORTRANGE(""1zZrQzeo-pLQodYi6Jw--fNVDOKrSmQL1Jd3GjTKt7z8"",""2026-27!W4"")"),0.0)</f>
        <v>0</v>
      </c>
      <c r="AU51" s="59">
        <f>IFERROR(__xludf.DUMMYFUNCTION("IMPORTRANGE(""1zZrQzeo-pLQodYi6Jw--fNVDOKrSmQL1Jd3GjTKt7z8"",""2026-27!W3"")"),0.0)</f>
        <v>0</v>
      </c>
      <c r="AV51" s="62" t="str">
        <f t="shared" si="85"/>
        <v/>
      </c>
      <c r="AW51" s="59">
        <f>IFERROR(__xludf.DUMMYFUNCTION("IMPORTRANGE(""1zZrQzeo-pLQodYi6Jw--fNVDOKrSmQL1Jd3GjTKt7z8"",""2026-27!X4"")"),0.0)</f>
        <v>0</v>
      </c>
      <c r="AX51" s="59">
        <f>IFERROR(__xludf.DUMMYFUNCTION("IMPORTRANGE(""1zZrQzeo-pLQodYi6Jw--fNVDOKrSmQL1Jd3GjTKt7z8"",""2026-27!X3"")"),0.0)</f>
        <v>0</v>
      </c>
      <c r="AY51" s="59">
        <f>IFERROR(__xludf.DUMMYFUNCTION("IMPORTRANGE(""1zZrQzeo-pLQodYi6Jw--fNVDOKrSmQL1Jd3GjTKt7z8"",""2026-27!Y4"")"),0.0)</f>
        <v>0</v>
      </c>
      <c r="AZ51" s="59">
        <f>IFERROR(__xludf.DUMMYFUNCTION("IMPORTRANGE(""1zZrQzeo-pLQodYi6Jw--fNVDOKrSmQL1Jd3GjTKt7z8"",""2026-27!Y3"")"),0.0)</f>
        <v>0</v>
      </c>
      <c r="BA51" s="59">
        <f>IFERROR(__xludf.DUMMYFUNCTION("IMPORTRANGE(""1zZrQzeo-pLQodYi6Jw--fNVDOKrSmQL1Jd3GjTKt7z8"",""2026-27!Z4"")"),0.0)</f>
        <v>0</v>
      </c>
      <c r="BB51" s="59">
        <f>IFERROR(__xludf.DUMMYFUNCTION("IMPORTRANGE(""1zZrQzeo-pLQodYi6Jw--fNVDOKrSmQL1Jd3GjTKt7z8"",""2026-27!Z3"")"),0.0)</f>
        <v>0</v>
      </c>
      <c r="BC51" s="63" t="str">
        <f t="shared" si="86"/>
        <v/>
      </c>
      <c r="BD51" s="59">
        <f>IFERROR(__xludf.DUMMYFUNCTION("IMPORTRANGE(""1zZrQzeo-pLQodYi6Jw--fNVDOKrSmQL1Jd3GjTKt7z8"",""2026-27!AA4"")"),0.0)</f>
        <v>0</v>
      </c>
      <c r="BE51" s="59">
        <f>IFERROR(__xludf.DUMMYFUNCTION("IMPORTRANGE(""1zZrQzeo-pLQodYi6Jw--fNVDOKrSmQL1Jd3GjTKt7z8"",""2026-27!AA3"")"),0.0)</f>
        <v>0</v>
      </c>
      <c r="BF51" s="59">
        <f>IFERROR(__xludf.DUMMYFUNCTION("IMPORTRANGE(""1zZrQzeo-pLQodYi6Jw--fNVDOKrSmQL1Jd3GjTKt7z8"",""2026-27!AB4"")"),0.0)</f>
        <v>0</v>
      </c>
      <c r="BG51" s="59">
        <f>IFERROR(__xludf.DUMMYFUNCTION("IMPORTRANGE(""1zZrQzeo-pLQodYi6Jw--fNVDOKrSmQL1Jd3GjTKt7z8"",""2026-27!AB3"")"),0.0)</f>
        <v>0</v>
      </c>
      <c r="BH51" s="59">
        <f>IFERROR(__xludf.DUMMYFUNCTION("IMPORTRANGE(""1zZrQzeo-pLQodYi6Jw--fNVDOKrSmQL1Jd3GjTKt7z8"",""2026-27!AC4"")"),0.0)</f>
        <v>0</v>
      </c>
      <c r="BI51" s="59">
        <f>IFERROR(__xludf.DUMMYFUNCTION("IMPORTRANGE(""1zZrQzeo-pLQodYi6Jw--fNVDOKrSmQL1Jd3GjTKt7z8"",""2026-27!AC3"")"),0.0)</f>
        <v>0</v>
      </c>
      <c r="BJ51" s="63" t="str">
        <f t="shared" si="87"/>
        <v/>
      </c>
      <c r="BK51" s="59">
        <f>IFERROR(__xludf.DUMMYFUNCTION("IMPORTRANGE(""1zZrQzeo-pLQodYi6Jw--fNVDOKrSmQL1Jd3GjTKt7z8"",""2026-27!AD4"")"),0.0)</f>
        <v>0</v>
      </c>
      <c r="BL51" s="59">
        <f>IFERROR(__xludf.DUMMYFUNCTION("IMPORTRANGE(""1zZrQzeo-pLQodYi6Jw--fNVDOKrSmQL1Jd3GjTKt7z8"",""2026-27!AD3"")"),0.0)</f>
        <v>0</v>
      </c>
      <c r="BM51" s="59">
        <f>IFERROR(__xludf.DUMMYFUNCTION("IMPORTRANGE(""1zZrQzeo-pLQodYi6Jw--fNVDOKrSmQL1Jd3GjTKt7z8"",""2026-27!AE4"")"),0.0)</f>
        <v>0</v>
      </c>
      <c r="BN51" s="59">
        <f>IFERROR(__xludf.DUMMYFUNCTION("IMPORTRANGE(""1zZrQzeo-pLQodYi6Jw--fNVDOKrSmQL1Jd3GjTKt7z8"",""2026-27!AE3"")"),0.0)</f>
        <v>0</v>
      </c>
      <c r="BO51" s="59">
        <f>IFERROR(__xludf.DUMMYFUNCTION("IMPORTRANGE(""1zZrQzeo-pLQodYi6Jw--fNVDOKrSmQL1Jd3GjTKt7z8"",""2026-27!AF4"")"),0.0)</f>
        <v>0</v>
      </c>
      <c r="BP51" s="59">
        <f>IFERROR(__xludf.DUMMYFUNCTION("IMPORTRANGE(""1zZrQzeo-pLQodYi6Jw--fNVDOKrSmQL1Jd3GjTKt7z8"",""2026-27!AF3"")"),0.0)</f>
        <v>0</v>
      </c>
      <c r="BQ51" s="63" t="str">
        <f t="shared" si="88"/>
        <v/>
      </c>
      <c r="BR51" s="59">
        <f>IFERROR(__xludf.DUMMYFUNCTION("IMPORTRANGE(""1zZrQzeo-pLQodYi6Jw--fNVDOKrSmQL1Jd3GjTKt7z8"",""2026-27!AG4"")"),0.0)</f>
        <v>0</v>
      </c>
      <c r="BS51" s="59">
        <f>IFERROR(__xludf.DUMMYFUNCTION("IMPORTRANGE(""1zZrQzeo-pLQodYi6Jw--fNVDOKrSmQL1Jd3GjTKt7z8"",""2026-27!AG3"")"),0.0)</f>
        <v>0</v>
      </c>
      <c r="BT51" s="59">
        <f>IFERROR(__xludf.DUMMYFUNCTION("IMPORTRANGE(""1zZrQzeo-pLQodYi6Jw--fNVDOKrSmQL1Jd3GjTKt7z8"",""2026-27!AH4"")"),0.0)</f>
        <v>0</v>
      </c>
      <c r="BU51" s="59">
        <f>IFERROR(__xludf.DUMMYFUNCTION("IMPORTRANGE(""1zZrQzeo-pLQodYi6Jw--fNVDOKrSmQL1Jd3GjTKt7z8"",""2026-27!AH3"")"),0.0)</f>
        <v>0</v>
      </c>
      <c r="BV51" s="59">
        <f>IFERROR(__xludf.DUMMYFUNCTION("IMPORTRANGE(""1zZrQzeo-pLQodYi6Jw--fNVDOKrSmQL1Jd3GjTKt7z8"",""2026-27!AI4"")"),0.0)</f>
        <v>0</v>
      </c>
      <c r="BW51" s="59">
        <f>IFERROR(__xludf.DUMMYFUNCTION("IMPORTRANGE(""1zZrQzeo-pLQodYi6Jw--fNVDOKrSmQL1Jd3GjTKt7z8"",""2026-27!AI3"")"),0.0)</f>
        <v>0</v>
      </c>
      <c r="BX51" s="63" t="str">
        <f t="shared" si="89"/>
        <v/>
      </c>
      <c r="BY51" s="59">
        <f>IFERROR(__xludf.DUMMYFUNCTION("IMPORTRANGE(""1zZrQzeo-pLQodYi6Jw--fNVDOKrSmQL1Jd3GjTKt7z8"",""2026-27!AJ4"")"),0.0)</f>
        <v>0</v>
      </c>
      <c r="BZ51" s="59">
        <f>IFERROR(__xludf.DUMMYFUNCTION("IMPORTRANGE(""1zZrQzeo-pLQodYi6Jw--fNVDOKrSmQL1Jd3GjTKt7z8"",""2026-27!AJ3"")"),0.0)</f>
        <v>0</v>
      </c>
      <c r="CA51" s="59">
        <f>IFERROR(__xludf.DUMMYFUNCTION("IMPORTRANGE(""1zZrQzeo-pLQodYi6Jw--fNVDOKrSmQL1Jd3GjTKt7z8"",""2026-27!AK4"")"),0.0)</f>
        <v>0</v>
      </c>
      <c r="CB51" s="59">
        <f>IFERROR(__xludf.DUMMYFUNCTION("IMPORTRANGE(""1zZrQzeo-pLQodYi6Jw--fNVDOKrSmQL1Jd3GjTKt7z8"",""2026-27!AK3"")"),0.0)</f>
        <v>0</v>
      </c>
      <c r="CC51" s="59">
        <f>IFERROR(__xludf.DUMMYFUNCTION("IMPORTRANGE(""1zZrQzeo-pLQodYi6Jw--fNVDOKrSmQL1Jd3GjTKt7z8"",""2026-27!AL4"")"),0.0)</f>
        <v>0</v>
      </c>
      <c r="CD51" s="59">
        <f>IFERROR(__xludf.DUMMYFUNCTION("IMPORTRANGE(""1zZrQzeo-pLQodYi6Jw--fNVDOKrSmQL1Jd3GjTKt7z8"",""2026-27!AL3"")"),0.0)</f>
        <v>0</v>
      </c>
      <c r="CE51" s="63" t="str">
        <f t="shared" si="90"/>
        <v/>
      </c>
      <c r="CF51" s="59">
        <f>IFERROR(__xludf.DUMMYFUNCTION("IMPORTRANGE(""1zZrQzeo-pLQodYi6Jw--fNVDOKrSmQL1Jd3GjTKt7z8"",""2026-27!AM4"")"),0.0)</f>
        <v>0</v>
      </c>
      <c r="CG51" s="59">
        <f>IFERROR(__xludf.DUMMYFUNCTION("IMPORTRANGE(""1zZrQzeo-pLQodYi6Jw--fNVDOKrSmQL1Jd3GjTKt7z8"",""2026-27!AM3"")"),0.0)</f>
        <v>0</v>
      </c>
      <c r="CH51" s="59">
        <f>IFERROR(__xludf.DUMMYFUNCTION("IMPORTRANGE(""1zZrQzeo-pLQodYi6Jw--fNVDOKrSmQL1Jd3GjTKt7z8"",""2026-27!AN4"")"),0.0)</f>
        <v>0</v>
      </c>
      <c r="CI51" s="59">
        <f>IFERROR(__xludf.DUMMYFUNCTION("IMPORTRANGE(""1zZrQzeo-pLQodYi6Jw--fNVDOKrSmQL1Jd3GjTKt7z8"",""2026-27!AN3"")"),0.0)</f>
        <v>0</v>
      </c>
      <c r="CJ51" s="59">
        <f>IFERROR(__xludf.DUMMYFUNCTION("IMPORTRANGE(""1zZrQzeo-pLQodYi6Jw--fNVDOKrSmQL1Jd3GjTKt7z8"",""2026-27!AO4"")"),0.0)</f>
        <v>0</v>
      </c>
      <c r="CK51" s="59">
        <f>IFERROR(__xludf.DUMMYFUNCTION("IMPORTRANGE(""1zZrQzeo-pLQodYi6Jw--fNVDOKrSmQL1Jd3GjTKt7z8"",""2026-27!AO3"")"),0.0)</f>
        <v>0</v>
      </c>
      <c r="CL51" s="63" t="str">
        <f t="shared" si="91"/>
        <v/>
      </c>
      <c r="CM51" s="59">
        <f>IFERROR(__xludf.DUMMYFUNCTION("IMPORTRANGE(""1zZrQzeo-pLQodYi6Jw--fNVDOKrSmQL1Jd3GjTKt7z8"",""2026-27!AP4"")"),0.0)</f>
        <v>0</v>
      </c>
      <c r="CN51" s="59">
        <f>IFERROR(__xludf.DUMMYFUNCTION("IMPORTRANGE(""1zZrQzeo-pLQodYi6Jw--fNVDOKrSmQL1Jd3GjTKt7z8"",""2026-27!AP3"")"),0.0)</f>
        <v>0</v>
      </c>
      <c r="CO51" s="59">
        <f>IFERROR(__xludf.DUMMYFUNCTION("IMPORTRANGE(""1zZrQzeo-pLQodYi6Jw--fNVDOKrSmQL1Jd3GjTKt7z8"",""2026-27!AQ4"")"),0.0)</f>
        <v>0</v>
      </c>
      <c r="CP51" s="59">
        <f>IFERROR(__xludf.DUMMYFUNCTION("IMPORTRANGE(""1zZrQzeo-pLQodYi6Jw--fNVDOKrSmQL1Jd3GjTKt7z8"",""2026-27!AQ3"")"),0.0)</f>
        <v>0</v>
      </c>
      <c r="CQ51" s="59">
        <f>IFERROR(__xludf.DUMMYFUNCTION("IMPORTRANGE(""1zZrQzeo-pLQodYi6Jw--fNVDOKrSmQL1Jd3GjTKt7z8"",""2026-27!AR4"")"),0.0)</f>
        <v>0</v>
      </c>
      <c r="CR51" s="59">
        <f>IFERROR(__xludf.DUMMYFUNCTION("IMPORTRANGE(""1zZrQzeo-pLQodYi6Jw--fNVDOKrSmQL1Jd3GjTKt7z8"",""2026-27!AR3"")"),0.0)</f>
        <v>0</v>
      </c>
      <c r="CS51" s="63" t="str">
        <f t="shared" si="92"/>
        <v/>
      </c>
      <c r="CT51" s="59">
        <f>IFERROR(__xludf.DUMMYFUNCTION("IMPORTRANGE(""1zZrQzeo-pLQodYi6Jw--fNVDOKrSmQL1Jd3GjTKt7z8"",""2026-27!AS4"")"),0.0)</f>
        <v>0</v>
      </c>
      <c r="CU51" s="59">
        <f>IFERROR(__xludf.DUMMYFUNCTION("IMPORTRANGE(""1zZrQzeo-pLQodYi6Jw--fNVDOKrSmQL1Jd3GjTKt7z8"",""2026-27!AS3"")"),0.0)</f>
        <v>0</v>
      </c>
      <c r="CV51" s="64"/>
    </row>
    <row r="52">
      <c r="A52" s="1" t="s">
        <v>103</v>
      </c>
      <c r="B52" s="41"/>
      <c r="C52" s="86" t="s">
        <v>115</v>
      </c>
      <c r="D52" s="53" t="s">
        <v>116</v>
      </c>
      <c r="E52" s="54">
        <v>8.081770985E9</v>
      </c>
      <c r="F52" s="80">
        <v>44247.0</v>
      </c>
      <c r="G52" s="66"/>
      <c r="H52" s="66"/>
      <c r="I52" s="57">
        <v>45515.0</v>
      </c>
      <c r="J52" s="58">
        <v>3800000.0</v>
      </c>
      <c r="K52" s="59">
        <f>IFERROR(__xludf.DUMMYFUNCTION("IMPORTRANGE(""168rO1noAjXUXPyctkxWsPdyeGBTsdn824sOiP-z2cWY"",""2026-27!A3"")"),113.0)</f>
        <v>113</v>
      </c>
      <c r="L52" s="59">
        <f>IFERROR(__xludf.DUMMYFUNCTION("IMPORTRANGE(""168rO1noAjXUXPyctkxWsPdyeGBTsdn824sOiP-z2cWY"",""2026-27!G4"")"),4.06E7)</f>
        <v>40600000</v>
      </c>
      <c r="M52" s="59">
        <f t="shared" si="78"/>
        <v>5984670.57</v>
      </c>
      <c r="N52" s="60">
        <f t="shared" si="79"/>
        <v>0.06678650246</v>
      </c>
      <c r="O52" s="61">
        <f t="shared" si="80"/>
        <v>2711532</v>
      </c>
      <c r="P52" s="59">
        <f>IFERROR(__xludf.DUMMYFUNCTION("IMPORTRANGE(""168rO1noAjXUXPyctkxWsPdyeGBTsdn824sOiP-z2cWY"",""2026-27!J4"")"),3150000.0)</f>
        <v>3150000</v>
      </c>
      <c r="Q52" s="59">
        <f>IFERROR(__xludf.DUMMYFUNCTION("IMPORTRANGE(""168rO1noAjXUXPyctkxWsPdyeGBTsdn824sOiP-z2cWY"",""2026-27!J3"")"),108.0)</f>
        <v>108</v>
      </c>
      <c r="R52" s="59">
        <f>IFERROR(__xludf.DUMMYFUNCTION("IMPORTRANGE(""168rO1noAjXUXPyctkxWsPdyeGBTsdn824sOiP-z2cWY"",""2026-27!K4"")"),1475694.65)</f>
        <v>1475694.65</v>
      </c>
      <c r="S52" s="59">
        <f>IFERROR(__xludf.DUMMYFUNCTION("IMPORTRANGE(""168rO1noAjXUXPyctkxWsPdyeGBTsdn824sOiP-z2cWY"",""2026-27!K3"")"),22.0)</f>
        <v>22</v>
      </c>
      <c r="T52" s="62">
        <f t="shared" si="81"/>
        <v>0.3513466667</v>
      </c>
      <c r="U52" s="59">
        <f>IFERROR(__xludf.DUMMYFUNCTION("IMPORTRANGE(""168rO1noAjXUXPyctkxWsPdyeGBTsdn824sOiP-z2cWY"",""2026-27!L4"")"),1106742.0)</f>
        <v>1106742</v>
      </c>
      <c r="V52" s="59">
        <f>IFERROR(__xludf.DUMMYFUNCTION("IMPORTRANGE(""168rO1noAjXUXPyctkxWsPdyeGBTsdn824sOiP-z2cWY"",""2026-27!L3"")"),23.0)</f>
        <v>23</v>
      </c>
      <c r="W52" s="59">
        <f>IFERROR(__xludf.DUMMYFUNCTION("IMPORTRANGE(""168rO1noAjXUXPyctkxWsPdyeGBTsdn824sOiP-z2cWY"",""2026-27!m4"")"),3445000.0)</f>
        <v>3445000</v>
      </c>
      <c r="X52" s="59">
        <f>IFERROR(__xludf.DUMMYFUNCTION("IMPORTRANGE(""168rO1noAjXUXPyctkxWsPdyeGBTsdn824sOiP-z2cWY"",""2026-27!m3"")"),108.0)</f>
        <v>108</v>
      </c>
      <c r="Y52" s="59">
        <f>IFERROR(__xludf.DUMMYFUNCTION("IMPORTRANGE(""168rO1noAjXUXPyctkxWsPdyeGBTsdn824sOiP-z2cWY"",""2026-27!N4"")"),2100832.1099999994)</f>
        <v>2100832.11</v>
      </c>
      <c r="Z52" s="59">
        <f>IFERROR(__xludf.DUMMYFUNCTION("IMPORTRANGE(""168rO1noAjXUXPyctkxWsPdyeGBTsdn824sOiP-z2cWY"",""2026-27!N3"")"),35.0)</f>
        <v>35</v>
      </c>
      <c r="AA52" s="62">
        <f t="shared" si="82"/>
        <v>0.4658316401</v>
      </c>
      <c r="AB52" s="59">
        <f>IFERROR(__xludf.DUMMYFUNCTION("IMPORTRANGE(""168rO1noAjXUXPyctkxWsPdyeGBTsdn824sOiP-z2cWY"",""2026-27!O4"")"),1604790.0)</f>
        <v>1604790</v>
      </c>
      <c r="AC52" s="59">
        <f>IFERROR(__xludf.DUMMYFUNCTION("IMPORTRANGE(""168rO1noAjXUXPyctkxWsPdyeGBTsdn824sOiP-z2cWY"",""2026-27!O3"")"),26.0)</f>
        <v>26</v>
      </c>
      <c r="AD52" s="59">
        <f>IFERROR(__xludf.DUMMYFUNCTION("IMPORTRANGE(""168rO1noAjXUXPyctkxWsPdyeGBTsdn824sOiP-z2cWY"",""2026-27!P4"")"),3675000.0)</f>
        <v>3675000</v>
      </c>
      <c r="AE52" s="59">
        <f>IFERROR(__xludf.DUMMYFUNCTION("IMPORTRANGE(""168rO1noAjXUXPyctkxWsPdyeGBTsdn824sOiP-z2cWY"",""2026-27!P3"")"),108.0)</f>
        <v>108</v>
      </c>
      <c r="AF52" s="59">
        <f>IFERROR(__xludf.DUMMYFUNCTION("IMPORTRANGE(""168rO1noAjXUXPyctkxWsPdyeGBTsdn824sOiP-z2cWY"",""2026-27!Q4"")"),2408143.8099999996)</f>
        <v>2408143.81</v>
      </c>
      <c r="AG52" s="59">
        <f>IFERROR(__xludf.DUMMYFUNCTION("IMPORTRANGE(""168rO1noAjXUXPyctkxWsPdyeGBTsdn824sOiP-z2cWY"",""2026-27!Q3"")"),34.0)</f>
        <v>34</v>
      </c>
      <c r="AH52" s="62">
        <f t="shared" si="83"/>
        <v>0</v>
      </c>
      <c r="AI52" s="59">
        <f>IFERROR(__xludf.DUMMYFUNCTION("IMPORTRANGE(""168rO1noAjXUXPyctkxWsPdyeGBTsdn824sOiP-z2cWY"",""2026-27!R4"")"),0.0)</f>
        <v>0</v>
      </c>
      <c r="AJ52" s="59">
        <f>IFERROR(__xludf.DUMMYFUNCTION("IMPORTRANGE(""168rO1noAjXUXPyctkxWsPdyeGBTsdn824sOiP-z2cWY"",""2026-27!R3"")"),0.0)</f>
        <v>0</v>
      </c>
      <c r="AK52" s="59">
        <f>IFERROR(__xludf.DUMMYFUNCTION("IMPORTRANGE(""168rO1noAjXUXPyctkxWsPdyeGBTsdn824sOiP-z2cWY"",""2026-27!S4"")"),0.0)</f>
        <v>0</v>
      </c>
      <c r="AL52" s="59">
        <f>IFERROR(__xludf.DUMMYFUNCTION("IMPORTRANGE(""168rO1noAjXUXPyctkxWsPdyeGBTsdn824sOiP-z2cWY"",""2026-27!S3"")"),0.0)</f>
        <v>0</v>
      </c>
      <c r="AM52" s="59">
        <f>IFERROR(__xludf.DUMMYFUNCTION("IMPORTRANGE(""168rO1noAjXUXPyctkxWsPdyeGBTsdn824sOiP-z2cWY"",""2026-27!T4"")"),0.0)</f>
        <v>0</v>
      </c>
      <c r="AN52" s="59">
        <f>IFERROR(__xludf.DUMMYFUNCTION("IMPORTRANGE(""168rO1noAjXUXPyctkxWsPdyeGBTsdn824sOiP-z2cWY"",""2026-27!T3"")"),0.0)</f>
        <v>0</v>
      </c>
      <c r="AO52" s="62" t="str">
        <f t="shared" si="84"/>
        <v/>
      </c>
      <c r="AP52" s="59">
        <f>IFERROR(__xludf.DUMMYFUNCTION("IMPORTRANGE(""168rO1noAjXUXPyctkxWsPdyeGBTsdn824sOiP-z2cWY"",""2026-27!U4"")"),0.0)</f>
        <v>0</v>
      </c>
      <c r="AQ52" s="59">
        <f>IFERROR(__xludf.DUMMYFUNCTION("IMPORTRANGE(""168rO1noAjXUXPyctkxWsPdyeGBTsdn824sOiP-z2cWY"",""2026-27!U3"")"),0.0)</f>
        <v>0</v>
      </c>
      <c r="AR52" s="59">
        <f>IFERROR(__xludf.DUMMYFUNCTION("IMPORTRANGE(""168rO1noAjXUXPyctkxWsPdyeGBTsdn824sOiP-z2cWY"",""2026-27!V4"")"),0.0)</f>
        <v>0</v>
      </c>
      <c r="AS52" s="59">
        <f>IFERROR(__xludf.DUMMYFUNCTION("IMPORTRANGE(""168rO1noAjXUXPyctkxWsPdyeGBTsdn824sOiP-z2cWY"",""2026-27!V3"")"),0.0)</f>
        <v>0</v>
      </c>
      <c r="AT52" s="59">
        <f>IFERROR(__xludf.DUMMYFUNCTION("IMPORTRANGE(""168rO1noAjXUXPyctkxWsPdyeGBTsdn824sOiP-z2cWY"",""2026-27!W4"")"),0.0)</f>
        <v>0</v>
      </c>
      <c r="AU52" s="59">
        <f>IFERROR(__xludf.DUMMYFUNCTION("IMPORTRANGE(""168rO1noAjXUXPyctkxWsPdyeGBTsdn824sOiP-z2cWY"",""2026-27!W3"")"),0.0)</f>
        <v>0</v>
      </c>
      <c r="AV52" s="62" t="str">
        <f t="shared" si="85"/>
        <v/>
      </c>
      <c r="AW52" s="59">
        <f>IFERROR(__xludf.DUMMYFUNCTION("IMPORTRANGE(""168rO1noAjXUXPyctkxWsPdyeGBTsdn824sOiP-z2cWY"",""2026-27!X4"")"),0.0)</f>
        <v>0</v>
      </c>
      <c r="AX52" s="59">
        <f>IFERROR(__xludf.DUMMYFUNCTION("IMPORTRANGE(""168rO1noAjXUXPyctkxWsPdyeGBTsdn824sOiP-z2cWY"",""2026-27!X3"")"),0.0)</f>
        <v>0</v>
      </c>
      <c r="AY52" s="59">
        <f>IFERROR(__xludf.DUMMYFUNCTION("IMPORTRANGE(""168rO1noAjXUXPyctkxWsPdyeGBTsdn824sOiP-z2cWY"",""2026-27!Y4"")"),0.0)</f>
        <v>0</v>
      </c>
      <c r="AZ52" s="59">
        <f>IFERROR(__xludf.DUMMYFUNCTION("IMPORTRANGE(""168rO1noAjXUXPyctkxWsPdyeGBTsdn824sOiP-z2cWY"",""2026-27!Y3"")"),0.0)</f>
        <v>0</v>
      </c>
      <c r="BA52" s="59">
        <f>IFERROR(__xludf.DUMMYFUNCTION("IMPORTRANGE(""168rO1noAjXUXPyctkxWsPdyeGBTsdn824sOiP-z2cWY"",""2026-27!Z4"")"),0.0)</f>
        <v>0</v>
      </c>
      <c r="BB52" s="59">
        <f>IFERROR(__xludf.DUMMYFUNCTION("IMPORTRANGE(""168rO1noAjXUXPyctkxWsPdyeGBTsdn824sOiP-z2cWY"",""2026-27!Z3"")"),0.0)</f>
        <v>0</v>
      </c>
      <c r="BC52" s="63" t="str">
        <f t="shared" si="86"/>
        <v/>
      </c>
      <c r="BD52" s="59">
        <f>IFERROR(__xludf.DUMMYFUNCTION("IMPORTRANGE(""168rO1noAjXUXPyctkxWsPdyeGBTsdn824sOiP-z2cWY"",""2026-27!AA4"")"),0.0)</f>
        <v>0</v>
      </c>
      <c r="BE52" s="59">
        <f>IFERROR(__xludf.DUMMYFUNCTION("IMPORTRANGE(""168rO1noAjXUXPyctkxWsPdyeGBTsdn824sOiP-z2cWY"",""2026-27!AA3"")"),0.0)</f>
        <v>0</v>
      </c>
      <c r="BF52" s="59">
        <f>IFERROR(__xludf.DUMMYFUNCTION("IMPORTRANGE(""168rO1noAjXUXPyctkxWsPdyeGBTsdn824sOiP-z2cWY"",""2026-27!AB4"")"),0.0)</f>
        <v>0</v>
      </c>
      <c r="BG52" s="59">
        <f>IFERROR(__xludf.DUMMYFUNCTION("IMPORTRANGE(""168rO1noAjXUXPyctkxWsPdyeGBTsdn824sOiP-z2cWY"",""2026-27!AB3"")"),0.0)</f>
        <v>0</v>
      </c>
      <c r="BH52" s="59">
        <f>IFERROR(__xludf.DUMMYFUNCTION("IMPORTRANGE(""168rO1noAjXUXPyctkxWsPdyeGBTsdn824sOiP-z2cWY"",""2026-27!AC4"")"),0.0)</f>
        <v>0</v>
      </c>
      <c r="BI52" s="59">
        <f>IFERROR(__xludf.DUMMYFUNCTION("IMPORTRANGE(""168rO1noAjXUXPyctkxWsPdyeGBTsdn824sOiP-z2cWY"",""2026-27!AC3"")"),0.0)</f>
        <v>0</v>
      </c>
      <c r="BJ52" s="63" t="str">
        <f t="shared" si="87"/>
        <v/>
      </c>
      <c r="BK52" s="59">
        <f>IFERROR(__xludf.DUMMYFUNCTION("IMPORTRANGE(""168rO1noAjXUXPyctkxWsPdyeGBTsdn824sOiP-z2cWY"",""2026-27!AD4"")"),0.0)</f>
        <v>0</v>
      </c>
      <c r="BL52" s="59">
        <f>IFERROR(__xludf.DUMMYFUNCTION("IMPORTRANGE(""168rO1noAjXUXPyctkxWsPdyeGBTsdn824sOiP-z2cWY"",""2026-27!AD3"")"),0.0)</f>
        <v>0</v>
      </c>
      <c r="BM52" s="59">
        <f>IFERROR(__xludf.DUMMYFUNCTION("IMPORTRANGE(""168rO1noAjXUXPyctkxWsPdyeGBTsdn824sOiP-z2cWY"",""2026-27!AE4"")"),0.0)</f>
        <v>0</v>
      </c>
      <c r="BN52" s="59">
        <f>IFERROR(__xludf.DUMMYFUNCTION("IMPORTRANGE(""168rO1noAjXUXPyctkxWsPdyeGBTsdn824sOiP-z2cWY"",""2026-27!AE3"")"),0.0)</f>
        <v>0</v>
      </c>
      <c r="BO52" s="59">
        <f>IFERROR(__xludf.DUMMYFUNCTION("IMPORTRANGE(""168rO1noAjXUXPyctkxWsPdyeGBTsdn824sOiP-z2cWY"",""2026-27!AF4"")"),0.0)</f>
        <v>0</v>
      </c>
      <c r="BP52" s="59">
        <f>IFERROR(__xludf.DUMMYFUNCTION("IMPORTRANGE(""168rO1noAjXUXPyctkxWsPdyeGBTsdn824sOiP-z2cWY"",""2026-27!AF3"")"),0.0)</f>
        <v>0</v>
      </c>
      <c r="BQ52" s="63" t="str">
        <f t="shared" si="88"/>
        <v/>
      </c>
      <c r="BR52" s="59">
        <f>IFERROR(__xludf.DUMMYFUNCTION("IMPORTRANGE(""168rO1noAjXUXPyctkxWsPdyeGBTsdn824sOiP-z2cWY"",""2026-27!AG4"")"),0.0)</f>
        <v>0</v>
      </c>
      <c r="BS52" s="59">
        <f>IFERROR(__xludf.DUMMYFUNCTION("IMPORTRANGE(""168rO1noAjXUXPyctkxWsPdyeGBTsdn824sOiP-z2cWY"",""2026-27!AG3"")"),0.0)</f>
        <v>0</v>
      </c>
      <c r="BT52" s="59">
        <f>IFERROR(__xludf.DUMMYFUNCTION("IMPORTRANGE(""168rO1noAjXUXPyctkxWsPdyeGBTsdn824sOiP-z2cWY"",""2026-27!AH4"")"),0.0)</f>
        <v>0</v>
      </c>
      <c r="BU52" s="59">
        <f>IFERROR(__xludf.DUMMYFUNCTION("IMPORTRANGE(""168rO1noAjXUXPyctkxWsPdyeGBTsdn824sOiP-z2cWY"",""2026-27!AH3"")"),0.0)</f>
        <v>0</v>
      </c>
      <c r="BV52" s="59">
        <f>IFERROR(__xludf.DUMMYFUNCTION("IMPORTRANGE(""168rO1noAjXUXPyctkxWsPdyeGBTsdn824sOiP-z2cWY"",""2026-27!AI4"")"),0.0)</f>
        <v>0</v>
      </c>
      <c r="BW52" s="59">
        <f>IFERROR(__xludf.DUMMYFUNCTION("IMPORTRANGE(""168rO1noAjXUXPyctkxWsPdyeGBTsdn824sOiP-z2cWY"",""2026-27!AI3"")"),0.0)</f>
        <v>0</v>
      </c>
      <c r="BX52" s="63" t="str">
        <f t="shared" si="89"/>
        <v/>
      </c>
      <c r="BY52" s="59">
        <f>IFERROR(__xludf.DUMMYFUNCTION("IMPORTRANGE(""168rO1noAjXUXPyctkxWsPdyeGBTsdn824sOiP-z2cWY"",""2026-27!AJ4"")"),0.0)</f>
        <v>0</v>
      </c>
      <c r="BZ52" s="59">
        <f>IFERROR(__xludf.DUMMYFUNCTION("IMPORTRANGE(""168rO1noAjXUXPyctkxWsPdyeGBTsdn824sOiP-z2cWY"",""2026-27!AJ3"")"),0.0)</f>
        <v>0</v>
      </c>
      <c r="CA52" s="59">
        <f>IFERROR(__xludf.DUMMYFUNCTION("IMPORTRANGE(""168rO1noAjXUXPyctkxWsPdyeGBTsdn824sOiP-z2cWY"",""2026-27!AK4"")"),0.0)</f>
        <v>0</v>
      </c>
      <c r="CB52" s="59">
        <f>IFERROR(__xludf.DUMMYFUNCTION("IMPORTRANGE(""168rO1noAjXUXPyctkxWsPdyeGBTsdn824sOiP-z2cWY"",""2026-27!AK3"")"),0.0)</f>
        <v>0</v>
      </c>
      <c r="CC52" s="59">
        <f>IFERROR(__xludf.DUMMYFUNCTION("IMPORTRANGE(""168rO1noAjXUXPyctkxWsPdyeGBTsdn824sOiP-z2cWY"",""2026-27!AL4"")"),0.0)</f>
        <v>0</v>
      </c>
      <c r="CD52" s="59">
        <f>IFERROR(__xludf.DUMMYFUNCTION("IMPORTRANGE(""168rO1noAjXUXPyctkxWsPdyeGBTsdn824sOiP-z2cWY"",""2026-27!AL3"")"),0.0)</f>
        <v>0</v>
      </c>
      <c r="CE52" s="63" t="str">
        <f t="shared" si="90"/>
        <v/>
      </c>
      <c r="CF52" s="59">
        <f>IFERROR(__xludf.DUMMYFUNCTION("IMPORTRANGE(""168rO1noAjXUXPyctkxWsPdyeGBTsdn824sOiP-z2cWY"",""2026-27!AM4"")"),0.0)</f>
        <v>0</v>
      </c>
      <c r="CG52" s="59">
        <f>IFERROR(__xludf.DUMMYFUNCTION("IMPORTRANGE(""168rO1noAjXUXPyctkxWsPdyeGBTsdn824sOiP-z2cWY"",""2026-27!AM3"")"),0.0)</f>
        <v>0</v>
      </c>
      <c r="CH52" s="59">
        <f>IFERROR(__xludf.DUMMYFUNCTION("IMPORTRANGE(""168rO1noAjXUXPyctkxWsPdyeGBTsdn824sOiP-z2cWY"",""2026-27!AN4"")"),0.0)</f>
        <v>0</v>
      </c>
      <c r="CI52" s="59">
        <f>IFERROR(__xludf.DUMMYFUNCTION("IMPORTRANGE(""168rO1noAjXUXPyctkxWsPdyeGBTsdn824sOiP-z2cWY"",""2026-27!AN3"")"),0.0)</f>
        <v>0</v>
      </c>
      <c r="CJ52" s="59">
        <f>IFERROR(__xludf.DUMMYFUNCTION("IMPORTRANGE(""168rO1noAjXUXPyctkxWsPdyeGBTsdn824sOiP-z2cWY"",""2026-27!AO4"")"),0.0)</f>
        <v>0</v>
      </c>
      <c r="CK52" s="59">
        <f>IFERROR(__xludf.DUMMYFUNCTION("IMPORTRANGE(""168rO1noAjXUXPyctkxWsPdyeGBTsdn824sOiP-z2cWY"",""2026-27!AO3"")"),0.0)</f>
        <v>0</v>
      </c>
      <c r="CL52" s="63" t="str">
        <f t="shared" si="91"/>
        <v/>
      </c>
      <c r="CM52" s="59">
        <f>IFERROR(__xludf.DUMMYFUNCTION("IMPORTRANGE(""168rO1noAjXUXPyctkxWsPdyeGBTsdn824sOiP-z2cWY"",""2026-27!AP4"")"),0.0)</f>
        <v>0</v>
      </c>
      <c r="CN52" s="59">
        <f>IFERROR(__xludf.DUMMYFUNCTION("IMPORTRANGE(""168rO1noAjXUXPyctkxWsPdyeGBTsdn824sOiP-z2cWY"",""2026-27!AP3"")"),0.0)</f>
        <v>0</v>
      </c>
      <c r="CO52" s="59">
        <f>IFERROR(__xludf.DUMMYFUNCTION("IMPORTRANGE(""168rO1noAjXUXPyctkxWsPdyeGBTsdn824sOiP-z2cWY"",""2026-27!AQ4"")"),0.0)</f>
        <v>0</v>
      </c>
      <c r="CP52" s="59">
        <f>IFERROR(__xludf.DUMMYFUNCTION("IMPORTRANGE(""168rO1noAjXUXPyctkxWsPdyeGBTsdn824sOiP-z2cWY"",""2026-27!AQ3"")"),0.0)</f>
        <v>0</v>
      </c>
      <c r="CQ52" s="59">
        <f>IFERROR(__xludf.DUMMYFUNCTION("IMPORTRANGE(""168rO1noAjXUXPyctkxWsPdyeGBTsdn824sOiP-z2cWY"",""2026-27!AR4"")"),0.0)</f>
        <v>0</v>
      </c>
      <c r="CR52" s="59">
        <f>IFERROR(__xludf.DUMMYFUNCTION("IMPORTRANGE(""168rO1noAjXUXPyctkxWsPdyeGBTsdn824sOiP-z2cWY"",""2026-27!AR3"")"),0.0)</f>
        <v>0</v>
      </c>
      <c r="CS52" s="63" t="str">
        <f t="shared" si="92"/>
        <v/>
      </c>
      <c r="CT52" s="59">
        <f>IFERROR(__xludf.DUMMYFUNCTION("IMPORTRANGE(""168rO1noAjXUXPyctkxWsPdyeGBTsdn824sOiP-z2cWY"",""2026-27!AS4"")"),0.0)</f>
        <v>0</v>
      </c>
      <c r="CU52" s="59">
        <f>IFERROR(__xludf.DUMMYFUNCTION("IMPORTRANGE(""168rO1noAjXUXPyctkxWsPdyeGBTsdn824sOiP-z2cWY"",""2026-27!AS3"")"),0.0)</f>
        <v>0</v>
      </c>
      <c r="CV52" s="64"/>
    </row>
    <row r="53">
      <c r="A53" s="1" t="s">
        <v>103</v>
      </c>
      <c r="B53" s="41"/>
      <c r="C53" s="96" t="s">
        <v>117</v>
      </c>
      <c r="D53" s="54" t="s">
        <v>118</v>
      </c>
      <c r="E53" s="54">
        <v>9.860457616E9</v>
      </c>
      <c r="F53" s="80">
        <v>44501.0</v>
      </c>
      <c r="G53" s="66"/>
      <c r="H53" s="66"/>
      <c r="I53" s="57">
        <v>25835.0</v>
      </c>
      <c r="J53" s="58">
        <v>1971200.0</v>
      </c>
      <c r="K53" s="61">
        <f>IFERROR(__xludf.DUMMYFUNCTION("IMPORTRANGE(""https://docs.google.com/spreadsheets/d/14pr0LWS4yWvsbcpEvNucTxJa2rYb_R0kLM3icaSL2uY/edit#gid=1059240066"",""2026-27!A3"")"),72.0)</f>
        <v>72</v>
      </c>
      <c r="L53" s="61">
        <f>IFERROR(__xludf.DUMMYFUNCTION("IMPORTRANGE(""https://docs.google.com/spreadsheets/d/14pr0LWS4yWvsbcpEvNucTxJa2rYb_R0kLM3icaSL2uY/edit#gid=1059240066"",""2026-27!G4"")"),1.914E7)</f>
        <v>19140000</v>
      </c>
      <c r="M53" s="61">
        <f>SUM(R53+Y53+AF53+AM53+AT53+BA53+BH53+BO53+BV53+CC53+CJ53+CQ53)</f>
        <v>3126987.47</v>
      </c>
      <c r="N53" s="60">
        <f t="shared" si="79"/>
        <v>0.03431046029</v>
      </c>
      <c r="O53" s="61">
        <f>SUM(U53,AB53,AI53,AP53,AW53,BD53,BK53,BR53,BY53,CF53,CM53,CT53)</f>
        <v>656702.21</v>
      </c>
      <c r="P53" s="59">
        <f>IFERROR(__xludf.DUMMYFUNCTION("IMPORTRANGE(""https://docs.google.com/spreadsheets/d/14pr0LWS4yWvsbcpEvNucTxJa2rYb_R0kLM3icaSL2uY/edit#gid=1059240066"",""2026-27!J4"")"),1545004.6666666667)</f>
        <v>1545004.667</v>
      </c>
      <c r="Q53" s="59">
        <f>IFERROR(__xludf.DUMMYFUNCTION("IMPORTRANGE(""https://docs.google.com/spreadsheets/d/14pr0LWS4yWvsbcpEvNucTxJa2rYb_R0kLM3icaSL2uY/edit#gid=1059240066"",""2026-27!J3"")"),65.0)</f>
        <v>65</v>
      </c>
      <c r="R53" s="59">
        <f>IFERROR(__xludf.DUMMYFUNCTION("IMPORTRANGE(""https://docs.google.com/spreadsheets/d/14pr0LWS4yWvsbcpEvNucTxJa2rYb_R0kLM3icaSL2uY/edit#gid=1059240066"",""2026-27!K4"")"),1133348.2000000002)</f>
        <v>1133348.2</v>
      </c>
      <c r="S53" s="59">
        <f>IFERROR(__xludf.DUMMYFUNCTION("IMPORTRANGE(""https://docs.google.com/spreadsheets/d/14pr0LWS4yWvsbcpEvNucTxJa2rYb_R0kLM3icaSL2uY/edit#gid=1059240066"",""2026-27!K3"")"),21.0)</f>
        <v>21</v>
      </c>
      <c r="T53" s="62">
        <f t="shared" si="81"/>
        <v>0.4250486903</v>
      </c>
      <c r="U53" s="59">
        <f>IFERROR(__xludf.DUMMYFUNCTION("IMPORTRANGE(""https://docs.google.com/spreadsheets/d/14pr0LWS4yWvsbcpEvNucTxJa2rYb_R0kLM3icaSL2uY/edit#gid=1059240066"",""2026-27!L4"")"),656702.21)</f>
        <v>656702.21</v>
      </c>
      <c r="V53" s="85">
        <f>IFERROR(__xludf.DUMMYFUNCTION("IMPORTRANGE(""https://docs.google.com/spreadsheets/d/14pr0LWS4yWvsbcpEvNucTxJa2rYb_R0kLM3icaSL2uY/edit#gid=1059240066"",""2026-27!L3"")"),21.0)</f>
        <v>21</v>
      </c>
      <c r="W53" s="59">
        <f>IFERROR(__xludf.DUMMYFUNCTION("IMPORTRANGE(""https://docs.google.com/spreadsheets/d/14pr0LWS4yWvsbcpEvNucTxJa2rYb_R0kLM3icaSL2uY/edit#gid=1059240066"",""2026-27!M4"")"),1545007.0)</f>
        <v>1545007</v>
      </c>
      <c r="X53" s="85">
        <f>IFERROR(__xludf.DUMMYFUNCTION("IMPORTRANGE(""https://docs.google.com/spreadsheets/d/14pr0LWS4yWvsbcpEvNucTxJa2rYb_R0kLM3icaSL2uY/edit#gid=1059240066"",""2026-27!M3"")"),65.0)</f>
        <v>65</v>
      </c>
      <c r="Y53" s="59">
        <f>IFERROR(__xludf.DUMMYFUNCTION("importrange(""https://docs.google.com/spreadsheets/d/14pr0LWS4yWvsbcpEvNucTxJa2rYb_R0kLM3icaSL2uY/edit#gid=1059240066"",""2026-27!n4"")"),785356.0599999999)</f>
        <v>785356.06</v>
      </c>
      <c r="Z53" s="59">
        <f>IFERROR(__xludf.DUMMYFUNCTION("importrange(""https://docs.google.com/spreadsheets/d/14pr0LWS4yWvsbcpEvNucTxJa2rYb_R0kLM3icaSL2uY/edit#gid=1059240066"",""2026-27!n3"")"),18.0)</f>
        <v>18</v>
      </c>
      <c r="AA53" s="62">
        <f t="shared" si="82"/>
        <v>0</v>
      </c>
      <c r="AB53" s="59">
        <f>IFERROR(__xludf.DUMMYFUNCTION("importrange(""https://docs.google.com/spreadsheets/d/14pr0LWS4yWvsbcpEvNucTxJa2rYb_R0kLM3icaSL2uY/edit#gid=1059240066"",""2026-27!o4"")"),0.0)</f>
        <v>0</v>
      </c>
      <c r="AC53" s="59">
        <f>IFERROR(__xludf.DUMMYFUNCTION("importrange(""https://docs.google.com/spreadsheets/d/14pr0LWS4yWvsbcpEvNucTxJa2rYb_R0kLM3icaSL2uY/edit#gid=1059240066"",""2026-27!o3"")"),0.0)</f>
        <v>0</v>
      </c>
      <c r="AD53" s="59">
        <f>IFERROR(__xludf.DUMMYFUNCTION("importrange(""https://docs.google.com/spreadsheets/d/14pr0LWS4yWvsbcpEvNucTxJa2rYb_R0kLM3icaSL2uY/edit#gid=1059240066"",""2026-27!p4"")"),1545007.0)</f>
        <v>1545007</v>
      </c>
      <c r="AE53" s="59">
        <f>IFERROR(__xludf.DUMMYFUNCTION("importrange(""https://docs.google.com/spreadsheets/d/14pr0LWS4yWvsbcpEvNucTxJa2rYb_R0kLM3icaSL2uY/edit#gid=1059240066"",""2026-27!p3"")"),65.0)</f>
        <v>65</v>
      </c>
      <c r="AF53" s="59">
        <f>IFERROR(__xludf.DUMMYFUNCTION("importrange(""https://docs.google.com/spreadsheets/d/14pr0LWS4yWvsbcpEvNucTxJa2rYb_R0kLM3icaSL2uY/edit#gid=1059240066"",""2026-27!q4"")"),1208283.21)</f>
        <v>1208283.21</v>
      </c>
      <c r="AG53" s="59">
        <f>IFERROR(__xludf.DUMMYFUNCTION("importrange(""https://docs.google.com/spreadsheets/d/14pr0LWS4yWvsbcpEvNucTxJa2rYb_R0kLM3icaSL2uY/edit#gid=1059240066"",""2026-27!q3"")"),20.0)</f>
        <v>20</v>
      </c>
      <c r="AH53" s="62">
        <f t="shared" si="83"/>
        <v>0</v>
      </c>
      <c r="AI53" s="59">
        <f>IFERROR(__xludf.DUMMYFUNCTION("importrange(""https://docs.google.com/spreadsheets/d/14pr0LWS4yWvsbcpEvNucTxJa2rYb_R0kLM3icaSL2uY/edit#gid=1059240066"",""2026-27!r4"")"),0.0)</f>
        <v>0</v>
      </c>
      <c r="AJ53" s="59">
        <f>IFERROR(__xludf.DUMMYFUNCTION("importrange(""https://docs.google.com/spreadsheets/d/14pr0LWS4yWvsbcpEvNucTxJa2rYb_R0kLM3icaSL2uY/edit#gid=1059240066"",""2026-27!r3"")"),0.0)</f>
        <v>0</v>
      </c>
      <c r="AK53" s="59">
        <f>IFERROR(__xludf.DUMMYFUNCTION("importrange(""https://docs.google.com/spreadsheets/d/14pr0LWS4yWvsbcpEvNucTxJa2rYb_R0kLM3icaSL2uY/edit#gid=1059240066"",""2026-27!s4"")"),1545007.0)</f>
        <v>1545007</v>
      </c>
      <c r="AL53" s="59">
        <f>IFERROR(__xludf.DUMMYFUNCTION("importrange(""https://docs.google.com/spreadsheets/d/14pr0LWS4yWvsbcpEvNucTxJa2rYb_R0kLM3icaSL2uY/edit#gid=1059240066"",""2026-27!s3"")"),65.0)</f>
        <v>65</v>
      </c>
      <c r="AM53" s="61">
        <f>IFERROR(__xludf.DUMMYFUNCTION("importrange(""https://docs.google.com/spreadsheets/d/14pr0LWS4yWvsbcpEvNucTxJa2rYb_R0kLM3icaSL2uY/edit#gid=1059240066"",""2026-27!t4"")"),0.0)</f>
        <v>0</v>
      </c>
      <c r="AN53" s="59">
        <f>IFERROR(__xludf.DUMMYFUNCTION("importrange(""https://docs.google.com/spreadsheets/d/14pr0LWS4yWvsbcpEvNucTxJa2rYb_R0kLM3icaSL2uY/edit#gid=1059240066"",""2026-27!t3"")"),0.0)</f>
        <v>0</v>
      </c>
      <c r="AO53" s="62">
        <f t="shared" si="84"/>
        <v>0</v>
      </c>
      <c r="AP53" s="59">
        <f>IFERROR(__xludf.DUMMYFUNCTION("importrange(""https://docs.google.com/spreadsheets/d/14pr0LWS4yWvsbcpEvNucTxJa2rYb_R0kLM3icaSL2uY/edit#gid=1059240066"",""2026-27!u4"")"),0.0)</f>
        <v>0</v>
      </c>
      <c r="AQ53" s="59">
        <f>IFERROR(__xludf.DUMMYFUNCTION("importrange(""https://docs.google.com/spreadsheets/d/14pr0LWS4yWvsbcpEvNucTxJa2rYb_R0kLM3icaSL2uY/edit#gid=1059240066"",""2026-27!u3"")"),0.0)</f>
        <v>0</v>
      </c>
      <c r="AR53" s="59">
        <f>IFERROR(__xludf.DUMMYFUNCTION("importrange(""https://docs.google.com/spreadsheets/d/14pr0LWS4yWvsbcpEvNucTxJa2rYb_R0kLM3icaSL2uY/edit#gid=1059240066"",""2026-27!v4"")"),1545007.0)</f>
        <v>1545007</v>
      </c>
      <c r="AS53" s="59">
        <f>IFERROR(__xludf.DUMMYFUNCTION("importrange(""https://docs.google.com/spreadsheets/d/14pr0LWS4yWvsbcpEvNucTxJa2rYb_R0kLM3icaSL2uY/edit#gid=1059240066"",""2026-27!v3"")"),65.0)</f>
        <v>65</v>
      </c>
      <c r="AT53" s="61">
        <f>IFERROR(__xludf.DUMMYFUNCTION("importrange(""https://docs.google.com/spreadsheets/d/14pr0LWS4yWvsbcpEvNucTxJa2rYb_R0kLM3icaSL2uY/edit#gid=1059240066"",""2026-27!w4"")"),0.0)</f>
        <v>0</v>
      </c>
      <c r="AU53" s="59">
        <f>IFERROR(__xludf.DUMMYFUNCTION("importrange(""https://docs.google.com/spreadsheets/d/14pr0LWS4yWvsbcpEvNucTxJa2rYb_R0kLM3icaSL2uY/edit#gid=1059240066"",""2026-27!w3"")"),0.0)</f>
        <v>0</v>
      </c>
      <c r="AV53" s="62">
        <f t="shared" si="85"/>
        <v>0</v>
      </c>
      <c r="AW53" s="59">
        <f>IFERROR(__xludf.DUMMYFUNCTION("importrange(""https://docs.google.com/spreadsheets/d/14pr0LWS4yWvsbcpEvNucTxJa2rYb_R0kLM3icaSL2uY/edit#gid=1059240066"",""2026-27!x4"")"),0.0)</f>
        <v>0</v>
      </c>
      <c r="AX53" s="59">
        <f>IFERROR(__xludf.DUMMYFUNCTION("importrange(""https://docs.google.com/spreadsheets/d/14pr0LWS4yWvsbcpEvNucTxJa2rYb_R0kLM3icaSL2uY/edit#gid=1059240066"",""2026-27!x3"")"),0.0)</f>
        <v>0</v>
      </c>
      <c r="AY53" s="59">
        <f>IFERROR(__xludf.DUMMYFUNCTION("importrange(""https://docs.google.com/spreadsheets/d/14pr0LWS4yWvsbcpEvNucTxJa2rYb_R0kLM3icaSL2uY/edit#gid=1059240066"",""2026-27!y4"")"),1545007.0)</f>
        <v>1545007</v>
      </c>
      <c r="AZ53" s="59">
        <f>IFERROR(__xludf.DUMMYFUNCTION("importrange(""https://docs.google.com/spreadsheets/d/14pr0LWS4yWvsbcpEvNucTxJa2rYb_R0kLM3icaSL2uY/edit#gid=1059240066"",""2026-27!y3"")"),65.0)</f>
        <v>65</v>
      </c>
      <c r="BA53" s="61">
        <f>IFERROR(__xludf.DUMMYFUNCTION("importrange(""https://docs.google.com/spreadsheets/d/14pr0LWS4yWvsbcpEvNucTxJa2rYb_R0kLM3icaSL2uY/edit#gid=1059240066"",""2026-27!z4"")"),0.0)</f>
        <v>0</v>
      </c>
      <c r="BB53" s="59">
        <f>IFERROR(__xludf.DUMMYFUNCTION("importrange(""https://docs.google.com/spreadsheets/d/14pr0LWS4yWvsbcpEvNucTxJa2rYb_R0kLM3icaSL2uY/edit#gid=1059240066"",""2026-27!z3"")"),0.0)</f>
        <v>0</v>
      </c>
      <c r="BC53" s="63">
        <f t="shared" si="86"/>
        <v>0</v>
      </c>
      <c r="BD53" s="59">
        <f>IFERROR(__xludf.DUMMYFUNCTION("importrange(""https://docs.google.com/spreadsheets/d/14pr0LWS4yWvsbcpEvNucTxJa2rYb_R0kLM3icaSL2uY/edit#gid=1059240066"",""2026-27!aa4"")"),0.0)</f>
        <v>0</v>
      </c>
      <c r="BE53" s="59">
        <f>IFERROR(__xludf.DUMMYFUNCTION("importrange(""https://docs.google.com/spreadsheets/d/14pr0LWS4yWvsbcpEvNucTxJa2rYb_R0kLM3icaSL2uY/edit#gid=1059240066"",""2026-27!aa3"")"),0.0)</f>
        <v>0</v>
      </c>
      <c r="BF53" s="59">
        <f>IFERROR(__xludf.DUMMYFUNCTION("importrange(""https://docs.google.com/spreadsheets/d/14pr0LWS4yWvsbcpEvNucTxJa2rYb_R0kLM3icaSL2uY/edit#gid=1059240066"",""2026-27!ab4"")"),1545007.0)</f>
        <v>1545007</v>
      </c>
      <c r="BG53" s="59">
        <f>IFERROR(__xludf.DUMMYFUNCTION("importrange(""https://docs.google.com/spreadsheets/d/14pr0LWS4yWvsbcpEvNucTxJa2rYb_R0kLM3icaSL2uY/edit#gid=1059240066"",""2026-27!ab3"")"),65.0)</f>
        <v>65</v>
      </c>
      <c r="BH53" s="59">
        <f>IFERROR(__xludf.DUMMYFUNCTION("importrange(""https://docs.google.com/spreadsheets/d/14pr0LWS4yWvsbcpEvNucTxJa2rYb_R0kLM3icaSL2uY/edit#gid=1059240066"",""2026-27!ac4"")"),0.0)</f>
        <v>0</v>
      </c>
      <c r="BI53" s="59">
        <f>IFERROR(__xludf.DUMMYFUNCTION("importrange(""https://docs.google.com/spreadsheets/d/14pr0LWS4yWvsbcpEvNucTxJa2rYb_R0kLM3icaSL2uY/edit#gid=1059240066"",""2026-27!ac3"")"),0.0)</f>
        <v>0</v>
      </c>
      <c r="BJ53" s="63">
        <f t="shared" si="87"/>
        <v>0</v>
      </c>
      <c r="BK53" s="59">
        <f>IFERROR(__xludf.DUMMYFUNCTION("importrange(""https://docs.google.com/spreadsheets/d/14pr0LWS4yWvsbcpEvNucTxJa2rYb_R0kLM3icaSL2uY/edit#gid=1059240066"",""2026-27!ad4"")"),0.0)</f>
        <v>0</v>
      </c>
      <c r="BL53" s="59">
        <f>IFERROR(__xludf.DUMMYFUNCTION("importrange(""https://docs.google.com/spreadsheets/d/14pr0LWS4yWvsbcpEvNucTxJa2rYb_R0kLM3icaSL2uY/edit#gid=1059240066"",""2026-27!ad3"")"),0.0)</f>
        <v>0</v>
      </c>
      <c r="BM53" s="59">
        <f>IFERROR(__xludf.DUMMYFUNCTION("importrange(""https://docs.google.com/spreadsheets/d/14pr0LWS4yWvsbcpEvNucTxJa2rYb_R0kLM3icaSL2uY/edit#gid=1059240066"",""2026-27!ae4"")"),1545007.0)</f>
        <v>1545007</v>
      </c>
      <c r="BN53" s="59">
        <f>IFERROR(__xludf.DUMMYFUNCTION("importrange(""https://docs.google.com/spreadsheets/d/14pr0LWS4yWvsbcpEvNucTxJa2rYb_R0kLM3icaSL2uY/edit#gid=1059240066"",""2026-27!ae3"")"),65.0)</f>
        <v>65</v>
      </c>
      <c r="BO53" s="59">
        <f>IFERROR(__xludf.DUMMYFUNCTION("importrange(""https://docs.google.com/spreadsheets/d/14pr0LWS4yWvsbcpEvNucTxJa2rYb_R0kLM3icaSL2uY/edit#gid=1059240066"",""2026-27!af4"")"),0.0)</f>
        <v>0</v>
      </c>
      <c r="BP53" s="59">
        <f>IFERROR(__xludf.DUMMYFUNCTION("importrange(""https://docs.google.com/spreadsheets/d/14pr0LWS4yWvsbcpEvNucTxJa2rYb_R0kLM3icaSL2uY/edit#gid=1059240066"",""2026-27!af3"")"),0.0)</f>
        <v>0</v>
      </c>
      <c r="BQ53" s="63">
        <f t="shared" si="88"/>
        <v>0</v>
      </c>
      <c r="BR53" s="59">
        <f>IFERROR(__xludf.DUMMYFUNCTION("importrange(""https://docs.google.com/spreadsheets/d/14pr0LWS4yWvsbcpEvNucTxJa2rYb_R0kLM3icaSL2uY/edit#gid=1059240066"",""2026-27!ag4"")"),0.0)</f>
        <v>0</v>
      </c>
      <c r="BS53" s="59">
        <f>IFERROR(__xludf.DUMMYFUNCTION("importrange(""https://docs.google.com/spreadsheets/d/14pr0LWS4yWvsbcpEvNucTxJa2rYb_R0kLM3icaSL2uY/edit#gid=1059240066"",""2026-27!ag3"")"),0.0)</f>
        <v>0</v>
      </c>
      <c r="BT53" s="59">
        <f>IFERROR(__xludf.DUMMYFUNCTION("importrange(""https://docs.google.com/spreadsheets/d/14pr0LWS4yWvsbcpEvNucTxJa2rYb_R0kLM3icaSL2uY/edit#gid=1059240066"",""2026-27!ah4"")"),1545007.0)</f>
        <v>1545007</v>
      </c>
      <c r="BU53" s="59">
        <f>IFERROR(__xludf.DUMMYFUNCTION("importrange(""https://docs.google.com/spreadsheets/d/14pr0LWS4yWvsbcpEvNucTxJa2rYb_R0kLM3icaSL2uY/edit#gid=1059240066"",""2026-27!ah3"")"),65.0)</f>
        <v>65</v>
      </c>
      <c r="BV53" s="59">
        <f>IFERROR(__xludf.DUMMYFUNCTION("importrange(""https://docs.google.com/spreadsheets/d/14pr0LWS4yWvsbcpEvNucTxJa2rYb_R0kLM3icaSL2uY/edit#gid=1059240066"",""2026-27!ai4"")"),0.0)</f>
        <v>0</v>
      </c>
      <c r="BW53" s="59">
        <f>IFERROR(__xludf.DUMMYFUNCTION("importrange(""https://docs.google.com/spreadsheets/d/14pr0LWS4yWvsbcpEvNucTxJa2rYb_R0kLM3icaSL2uY/edit#gid=1059240066"",""2026-27!ai3"")"),0.0)</f>
        <v>0</v>
      </c>
      <c r="BX53" s="63">
        <f t="shared" si="89"/>
        <v>0</v>
      </c>
      <c r="BY53" s="59">
        <f>IFERROR(__xludf.DUMMYFUNCTION("importrange(""https://docs.google.com/spreadsheets/d/14pr0LWS4yWvsbcpEvNucTxJa2rYb_R0kLM3icaSL2uY/edit#gid=1059240066"",""2026-27!aj4"")"),0.0)</f>
        <v>0</v>
      </c>
      <c r="BZ53" s="59">
        <f>IFERROR(__xludf.DUMMYFUNCTION("importrange(""https://docs.google.com/spreadsheets/d/14pr0LWS4yWvsbcpEvNucTxJa2rYb_R0kLM3icaSL2uY/edit#gid=1059240066"",""2026-27!aj3"")"),0.0)</f>
        <v>0</v>
      </c>
      <c r="CA53" s="59">
        <f>IFERROR(__xludf.DUMMYFUNCTION("importrange(""https://docs.google.com/spreadsheets/d/14pr0LWS4yWvsbcpEvNucTxJa2rYb_R0kLM3icaSL2uY/edit#gid=1059240066"",""2026-27!ak4"")"),1545007.0)</f>
        <v>1545007</v>
      </c>
      <c r="CB53" s="59">
        <f>IFERROR(__xludf.DUMMYFUNCTION("importrange(""https://docs.google.com/spreadsheets/d/14pr0LWS4yWvsbcpEvNucTxJa2rYb_R0kLM3icaSL2uY/edit#gid=1059240066"",""2026-27!ak3"")"),65.0)</f>
        <v>65</v>
      </c>
      <c r="CC53" s="59">
        <f>IFERROR(__xludf.DUMMYFUNCTION("importrange(""https://docs.google.com/spreadsheets/d/14pr0LWS4yWvsbcpEvNucTxJa2rYb_R0kLM3icaSL2uY/edit#gid=1059240066"",""2026-27!al4"")"),0.0)</f>
        <v>0</v>
      </c>
      <c r="CD53" s="59">
        <f>IFERROR(__xludf.DUMMYFUNCTION("importrange(""https://docs.google.com/spreadsheets/d/14pr0LWS4yWvsbcpEvNucTxJa2rYb_R0kLM3icaSL2uY/edit#gid=1059240066"",""2026-27!ai3"")"),0.0)</f>
        <v>0</v>
      </c>
      <c r="CE53" s="63">
        <f t="shared" si="90"/>
        <v>0</v>
      </c>
      <c r="CF53" s="59">
        <f>IFERROR(__xludf.DUMMYFUNCTION("importrange(""https://docs.google.com/spreadsheets/d/14pr0LWS4yWvsbcpEvNucTxJa2rYb_R0kLM3icaSL2uY/edit#gid=1059240066"",""2026-27!am4"")"),0.0)</f>
        <v>0</v>
      </c>
      <c r="CG53" s="59">
        <f>IFERROR(__xludf.DUMMYFUNCTION("importrange(""https://docs.google.com/spreadsheets/d/14pr0LWS4yWvsbcpEvNucTxJa2rYb_R0kLM3icaSL2uY/edit#gid=1059240066"",""2026-27!am3"")"),0.0)</f>
        <v>0</v>
      </c>
      <c r="CH53" s="59">
        <f>IFERROR(__xludf.DUMMYFUNCTION("importrange(""https://docs.google.com/spreadsheets/d/14pr0LWS4yWvsbcpEvNucTxJa2rYb_R0kLM3icaSL2uY/edit#gid=1059240066"",""2026-27!an4"")"),1545007.0)</f>
        <v>1545007</v>
      </c>
      <c r="CI53" s="59">
        <f>IFERROR(__xludf.DUMMYFUNCTION("importrange(""https://docs.google.com/spreadsheets/d/14pr0LWS4yWvsbcpEvNucTxJa2rYb_R0kLM3icaSL2uY/edit#gid=1059240066"",""2026-27!an3"")"),65.0)</f>
        <v>65</v>
      </c>
      <c r="CJ53" s="59">
        <f>IFERROR(__xludf.DUMMYFUNCTION("importrange(""https://docs.google.com/spreadsheets/d/14pr0LWS4yWvsbcpEvNucTxJa2rYb_R0kLM3icaSL2uY/edit#gid=1059240066"",""2026-27!ao4"")"),0.0)</f>
        <v>0</v>
      </c>
      <c r="CK53" s="59">
        <f>IFERROR(__xludf.DUMMYFUNCTION("importrange(""https://docs.google.com/spreadsheets/d/14pr0LWS4yWvsbcpEvNucTxJa2rYb_R0kLM3icaSL2uY/edit#gid=1059240066"",""2026-27!ao3"")"),0.0)</f>
        <v>0</v>
      </c>
      <c r="CL53" s="63">
        <f t="shared" si="91"/>
        <v>0</v>
      </c>
      <c r="CM53" s="59">
        <f>IFERROR(__xludf.DUMMYFUNCTION("importrange(""https://docs.google.com/spreadsheets/d/14pr0LWS4yWvsbcpEvNucTxJa2rYb_R0kLM3icaSL2uY/edit#gid=1059240066"",""2026-27!ap4"")"),0.0)</f>
        <v>0</v>
      </c>
      <c r="CN53" s="59">
        <f>IFERROR(__xludf.DUMMYFUNCTION("importrange(""https://docs.google.com/spreadsheets/d/14pr0LWS4yWvsbcpEvNucTxJa2rYb_R0kLM3icaSL2uY/edit#gid=1059240066"",""2026-27!ap3"")"),0.0)</f>
        <v>0</v>
      </c>
      <c r="CO53" s="59">
        <f>IFERROR(__xludf.DUMMYFUNCTION("importrange(""https://docs.google.com/spreadsheets/d/14pr0LWS4yWvsbcpEvNucTxJa2rYb_R0kLM3icaSL2uY/edit#gid=1059240066"",""2026-27!aq4"")"),1545007.0)</f>
        <v>1545007</v>
      </c>
      <c r="CP53" s="59">
        <f>IFERROR(__xludf.DUMMYFUNCTION("importrange(""https://docs.google.com/spreadsheets/d/14pr0LWS4yWvsbcpEvNucTxJa2rYb_R0kLM3icaSL2uY/edit#gid=1059240066"",""2026-27!aq3"")"),65.0)</f>
        <v>65</v>
      </c>
      <c r="CQ53" s="59">
        <f>IFERROR(__xludf.DUMMYFUNCTION("importrange(""https://docs.google.com/spreadsheets/d/14pr0LWS4yWvsbcpEvNucTxJa2rYb_R0kLM3icaSL2uY/edit#gid=1059240066"",""2026-27!ar4"")"),0.0)</f>
        <v>0</v>
      </c>
      <c r="CR53" s="59">
        <f>IFERROR(__xludf.DUMMYFUNCTION("importrange(""https://docs.google.com/spreadsheets/d/14pr0LWS4yWvsbcpEvNucTxJa2rYb_R0kLM3icaSL2uY/edit#gid=1059240066"",""2026-27!ar3"")"),0.0)</f>
        <v>0</v>
      </c>
      <c r="CS53" s="63">
        <f t="shared" si="92"/>
        <v>0</v>
      </c>
      <c r="CT53" s="59">
        <f>IFERROR(__xludf.DUMMYFUNCTION("importrange(""https://docs.google.com/spreadsheets/d/14pr0LWS4yWvsbcpEvNucTxJa2rYb_R0kLM3icaSL2uY/edit#gid=1059240066"",""2026-27!as4"")"),0.0)</f>
        <v>0</v>
      </c>
      <c r="CU53" s="59">
        <f>IFERROR(__xludf.DUMMYFUNCTION("importrange(""https://docs.google.com/spreadsheets/d/14pr0LWS4yWvsbcpEvNucTxJa2rYb_R0kLM3icaSL2uY/edit#gid=1059240066"",""2026-27!as3"")"),0.0)</f>
        <v>0</v>
      </c>
      <c r="CV53" s="64"/>
    </row>
    <row r="54">
      <c r="A54" s="1" t="s">
        <v>103</v>
      </c>
      <c r="B54" s="41"/>
      <c r="C54" s="52" t="s">
        <v>119</v>
      </c>
      <c r="D54" s="53" t="s">
        <v>120</v>
      </c>
      <c r="E54" s="54">
        <v>9.83862871E9</v>
      </c>
      <c r="F54" s="80">
        <v>44511.0</v>
      </c>
      <c r="G54" s="66"/>
      <c r="H54" s="66"/>
      <c r="I54" s="57">
        <v>44000.0</v>
      </c>
      <c r="J54" s="58">
        <v>2491667.0</v>
      </c>
      <c r="K54" s="59">
        <f>IFERROR(__xludf.DUMMYFUNCTION("IMPORTRANGE(""1MvzyJLe5oScOl4KjmrXr4bF1shHNP7m3u_KrVvJNGq8"",""2026-27!A3"")"),85.0)</f>
        <v>85</v>
      </c>
      <c r="L54" s="59">
        <f>IFERROR(__xludf.DUMMYFUNCTION("IMPORTRANGE(""1MvzyJLe5oScOl4KjmrXr4bF1shHNP7m3u_KrVvJNGq8"",""2026-27!G4"")"),3.185E7)</f>
        <v>31850000</v>
      </c>
      <c r="M54" s="59">
        <f t="shared" ref="M54:M59" si="93">R54+Y54+AF54+AM54+AT54+BA54+BH54+BO54+BV54+CC54+CJ54+CQ54</f>
        <v>4380412.89</v>
      </c>
      <c r="N54" s="60">
        <f t="shared" si="79"/>
        <v>0.09685726845</v>
      </c>
      <c r="O54" s="61">
        <f t="shared" ref="O54:O59" si="94">U54+AB54+AI54+AP54+AW54+BD54+BK54+BR54+BY54+CF54+CM54+CT54</f>
        <v>3084904</v>
      </c>
      <c r="P54" s="59">
        <f>IFERROR(__xludf.DUMMYFUNCTION("IMPORTRANGE(""1MvzyJLe5oScOl4KjmrXr4bF1shHNP7m3u_KrVvJNGq8"",""2026-27!J4"")"),3775000.0)</f>
        <v>3775000</v>
      </c>
      <c r="Q54" s="59">
        <f>IFERROR(__xludf.DUMMYFUNCTION("IMPORTRANGE(""1MvzyJLe5oScOl4KjmrXr4bF1shHNP7m3u_KrVvJNGq8"",""2026-27!J3"")"),83.0)</f>
        <v>83</v>
      </c>
      <c r="R54" s="59">
        <f>IFERROR(__xludf.DUMMYFUNCTION("IMPORTRANGE(""1MvzyJLe5oScOl4KjmrXr4bF1shHNP7m3u_KrVvJNGq8"",""2026-27!K4"")"),1307914.36)</f>
        <v>1307914.36</v>
      </c>
      <c r="S54" s="59">
        <f>IFERROR(__xludf.DUMMYFUNCTION("IMPORTRANGE(""1MvzyJLe5oScOl4KjmrXr4bF1shHNP7m3u_KrVvJNGq8"",""2026-27!K3"")"),15.0)</f>
        <v>15</v>
      </c>
      <c r="T54" s="62">
        <f t="shared" si="81"/>
        <v>0.3973290066</v>
      </c>
      <c r="U54" s="59">
        <f>IFERROR(__xludf.DUMMYFUNCTION("IMPORTRANGE(""1MvzyJLe5oScOl4KjmrXr4bF1shHNP7m3u_KrVvJNGq8"",""2026-27!L4"")"),1499917.0)</f>
        <v>1499917</v>
      </c>
      <c r="V54" s="59">
        <f>IFERROR(__xludf.DUMMYFUNCTION("IMPORTRANGE(""1MvzyJLe5oScOl4KjmrXr4bF1shHNP7m3u_KrVvJNGq8"",""2026-27!L3"")"),15.0)</f>
        <v>15</v>
      </c>
      <c r="W54" s="59">
        <f>IFERROR(__xludf.DUMMYFUNCTION("IMPORTRANGE(""1MvzyJLe5oScOl4KjmrXr4bF1shHNP7m3u_KrVvJNGq8"",""2026-27!m4"")"),3775000.0)</f>
        <v>3775000</v>
      </c>
      <c r="X54" s="59">
        <f>IFERROR(__xludf.DUMMYFUNCTION("IMPORTRANGE(""1MvzyJLe5oScOl4KjmrXr4bF1shHNP7m3u_KrVvJNGq8"",""2026-27!m3"")"),83.0)</f>
        <v>83</v>
      </c>
      <c r="Y54" s="59">
        <f>IFERROR(__xludf.DUMMYFUNCTION("IMPORTRANGE(""1MvzyJLe5oScOl4KjmrXr4bF1shHNP7m3u_KrVvJNGq8"",""2026-27!N4"")"),1451442.6400000001)</f>
        <v>1451442.64</v>
      </c>
      <c r="Z54" s="59">
        <f>IFERROR(__xludf.DUMMYFUNCTION("IMPORTRANGE(""1MvzyJLe5oScOl4KjmrXr4bF1shHNP7m3u_KrVvJNGq8"",""2026-27!N3"")"),24.0)</f>
        <v>24</v>
      </c>
      <c r="AA54" s="62">
        <f t="shared" si="82"/>
        <v>0.419864106</v>
      </c>
      <c r="AB54" s="59">
        <f>IFERROR(__xludf.DUMMYFUNCTION("IMPORTRANGE(""1MvzyJLe5oScOl4KjmrXr4bF1shHNP7m3u_KrVvJNGq8"",""2026-27!O4"")"),1584987.0)</f>
        <v>1584987</v>
      </c>
      <c r="AC54" s="59">
        <f>IFERROR(__xludf.DUMMYFUNCTION("IMPORTRANGE(""1MvzyJLe5oScOl4KjmrXr4bF1shHNP7m3u_KrVvJNGq8"",""2026-27!O3"")"),24.0)</f>
        <v>24</v>
      </c>
      <c r="AD54" s="59">
        <f>IFERROR(__xludf.DUMMYFUNCTION("IMPORTRANGE(""1MvzyJLe5oScOl4KjmrXr4bF1shHNP7m3u_KrVvJNGq8"",""2026-27!P4"")"),3775000.0)</f>
        <v>3775000</v>
      </c>
      <c r="AE54" s="59">
        <f>IFERROR(__xludf.DUMMYFUNCTION("IMPORTRANGE(""1MvzyJLe5oScOl4KjmrXr4bF1shHNP7m3u_KrVvJNGq8"",""2026-27!P3"")"),83.0)</f>
        <v>83</v>
      </c>
      <c r="AF54" s="59">
        <f>IFERROR(__xludf.DUMMYFUNCTION("IMPORTRANGE(""1MvzyJLe5oScOl4KjmrXr4bF1shHNP7m3u_KrVvJNGq8"",""2026-27!Q4"")"),1621055.89)</f>
        <v>1621055.89</v>
      </c>
      <c r="AG54" s="59">
        <f>IFERROR(__xludf.DUMMYFUNCTION("IMPORTRANGE(""1MvzyJLe5oScOl4KjmrXr4bF1shHNP7m3u_KrVvJNGq8"",""2026-27!Q3"")"),21.0)</f>
        <v>21</v>
      </c>
      <c r="AH54" s="62">
        <f t="shared" si="83"/>
        <v>0</v>
      </c>
      <c r="AI54" s="59">
        <f>IFERROR(__xludf.DUMMYFUNCTION("IMPORTRANGE(""1MvzyJLe5oScOl4KjmrXr4bF1shHNP7m3u_KrVvJNGq8"",""2026-27!R4"")"),0.0)</f>
        <v>0</v>
      </c>
      <c r="AJ54" s="59">
        <f>IFERROR(__xludf.DUMMYFUNCTION("IMPORTRANGE(""1MvzyJLe5oScOl4KjmrXr4bF1shHNP7m3u_KrVvJNGq8"",""2026-27!R3"")"),0.0)</f>
        <v>0</v>
      </c>
      <c r="AK54" s="59">
        <f>IFERROR(__xludf.DUMMYFUNCTION("IMPORTRANGE(""1MvzyJLe5oScOl4KjmrXr4bF1shHNP7m3u_KrVvJNGq8"",""2026-27!S4"")"),1527000.0)</f>
        <v>1527000</v>
      </c>
      <c r="AL54" s="59">
        <f>IFERROR(__xludf.DUMMYFUNCTION("IMPORTRANGE(""1MvzyJLe5oScOl4KjmrXr4bF1shHNP7m3u_KrVvJNGq8"",""2026-27!S3"")"),80.0)</f>
        <v>80</v>
      </c>
      <c r="AM54" s="59">
        <f>IFERROR(__xludf.DUMMYFUNCTION("IMPORTRANGE(""1MvzyJLe5oScOl4KjmrXr4bF1shHNP7m3u_KrVvJNGq8"",""2026-27!T4"")"),0.0)</f>
        <v>0</v>
      </c>
      <c r="AN54" s="59">
        <f>IFERROR(__xludf.DUMMYFUNCTION("IMPORTRANGE(""1MvzyJLe5oScOl4KjmrXr4bF1shHNP7m3u_KrVvJNGq8"",""2026-27!T3"")"),0.0)</f>
        <v>0</v>
      </c>
      <c r="AO54" s="62">
        <f t="shared" si="84"/>
        <v>0</v>
      </c>
      <c r="AP54" s="59">
        <f>IFERROR(__xludf.DUMMYFUNCTION("IMPORTRANGE(""1MvzyJLe5oScOl4KjmrXr4bF1shHNP7m3u_KrVvJNGq8"",""2026-27!U4"")"),0.0)</f>
        <v>0</v>
      </c>
      <c r="AQ54" s="59">
        <f>IFERROR(__xludf.DUMMYFUNCTION("IMPORTRANGE(""1MvzyJLe5oScOl4KjmrXr4bF1shHNP7m3u_KrVvJNGq8"",""2026-27!U3"")"),0.0)</f>
        <v>0</v>
      </c>
      <c r="AR54" s="59">
        <f>IFERROR(__xludf.DUMMYFUNCTION("IMPORTRANGE(""1MvzyJLe5oScOl4KjmrXr4bF1shHNP7m3u_KrVvJNGq8"",""2026-27!V4"")"),1225000.0)</f>
        <v>1225000</v>
      </c>
      <c r="AS54" s="59">
        <f>IFERROR(__xludf.DUMMYFUNCTION("IMPORTRANGE(""1MvzyJLe5oScOl4KjmrXr4bF1shHNP7m3u_KrVvJNGq8"",""2026-27!V3"")"),80.0)</f>
        <v>80</v>
      </c>
      <c r="AT54" s="59">
        <f>IFERROR(__xludf.DUMMYFUNCTION("IMPORTRANGE(""1MvzyJLe5oScOl4KjmrXr4bF1shHNP7m3u_KrVvJNGq8"",""2026-27!W4"")"),0.0)</f>
        <v>0</v>
      </c>
      <c r="AU54" s="59">
        <f>IFERROR(__xludf.DUMMYFUNCTION("IMPORTRANGE(""1MvzyJLe5oScOl4KjmrXr4bF1shHNP7m3u_KrVvJNGq8"",""2026-27!W3"")"),0.0)</f>
        <v>0</v>
      </c>
      <c r="AV54" s="62">
        <f t="shared" si="85"/>
        <v>0</v>
      </c>
      <c r="AW54" s="59">
        <f>IFERROR(__xludf.DUMMYFUNCTION("IMPORTRANGE(""1MvzyJLe5oScOl4KjmrXr4bF1shHNP7m3u_KrVvJNGq8"",""2026-27!X4"")"),0.0)</f>
        <v>0</v>
      </c>
      <c r="AX54" s="59">
        <f>IFERROR(__xludf.DUMMYFUNCTION("IMPORTRANGE(""1MvzyJLe5oScOl4KjmrXr4bF1shHNP7m3u_KrVvJNGq8"",""2026-27!X3"")"),0.0)</f>
        <v>0</v>
      </c>
      <c r="AY54" s="59">
        <f>IFERROR(__xludf.DUMMYFUNCTION("IMPORTRANGE(""1MvzyJLe5oScOl4KjmrXr4bF1shHNP7m3u_KrVvJNGq8"",""2026-27!Y4"")"),0.0)</f>
        <v>0</v>
      </c>
      <c r="AZ54" s="59">
        <f>IFERROR(__xludf.DUMMYFUNCTION("IMPORTRANGE(""1MvzyJLe5oScOl4KjmrXr4bF1shHNP7m3u_KrVvJNGq8"",""2026-27!Y3"")"),0.0)</f>
        <v>0</v>
      </c>
      <c r="BA54" s="59">
        <f>IFERROR(__xludf.DUMMYFUNCTION("IMPORTRANGE(""1MvzyJLe5oScOl4KjmrXr4bF1shHNP7m3u_KrVvJNGq8"",""2026-27!Z4"")"),0.0)</f>
        <v>0</v>
      </c>
      <c r="BB54" s="59">
        <f>IFERROR(__xludf.DUMMYFUNCTION("IMPORTRANGE(""1MvzyJLe5oScOl4KjmrXr4bF1shHNP7m3u_KrVvJNGq8"",""2026-27!Z3"")"),0.0)</f>
        <v>0</v>
      </c>
      <c r="BC54" s="63" t="str">
        <f t="shared" si="86"/>
        <v/>
      </c>
      <c r="BD54" s="59">
        <f>IFERROR(__xludf.DUMMYFUNCTION("IMPORTRANGE(""1MvzyJLe5oScOl4KjmrXr4bF1shHNP7m3u_KrVvJNGq8"",""2026-27!AA4"")"),0.0)</f>
        <v>0</v>
      </c>
      <c r="BE54" s="59">
        <f>IFERROR(__xludf.DUMMYFUNCTION("IMPORTRANGE(""1MvzyJLe5oScOl4KjmrXr4bF1shHNP7m3u_KrVvJNGq8"",""2026-27!AA3"")"),0.0)</f>
        <v>0</v>
      </c>
      <c r="BF54" s="59">
        <f>IFERROR(__xludf.DUMMYFUNCTION("IMPORTRANGE(""1MvzyJLe5oScOl4KjmrXr4bF1shHNP7m3u_KrVvJNGq8"",""2026-27!AB4"")"),1699500.0)</f>
        <v>1699500</v>
      </c>
      <c r="BG54" s="59">
        <f>IFERROR(__xludf.DUMMYFUNCTION("IMPORTRANGE(""1MvzyJLe5oScOl4KjmrXr4bF1shHNP7m3u_KrVvJNGq8"",""2026-27!AB3"")"),79.0)</f>
        <v>79</v>
      </c>
      <c r="BH54" s="59">
        <f>IFERROR(__xludf.DUMMYFUNCTION("IMPORTRANGE(""1MvzyJLe5oScOl4KjmrXr4bF1shHNP7m3u_KrVvJNGq8"",""2026-27!AC4"")"),0.0)</f>
        <v>0</v>
      </c>
      <c r="BI54" s="59">
        <f>IFERROR(__xludf.DUMMYFUNCTION("IMPORTRANGE(""1MvzyJLe5oScOl4KjmrXr4bF1shHNP7m3u_KrVvJNGq8"",""2026-27!AC3"")"),0.0)</f>
        <v>0</v>
      </c>
      <c r="BJ54" s="63">
        <f t="shared" si="87"/>
        <v>0</v>
      </c>
      <c r="BK54" s="59">
        <f>IFERROR(__xludf.DUMMYFUNCTION("IMPORTRANGE(""1MvzyJLe5oScOl4KjmrXr4bF1shHNP7m3u_KrVvJNGq8"",""2026-27!AD4"")"),0.0)</f>
        <v>0</v>
      </c>
      <c r="BL54" s="59">
        <f>IFERROR(__xludf.DUMMYFUNCTION("IMPORTRANGE(""1MvzyJLe5oScOl4KjmrXr4bF1shHNP7m3u_KrVvJNGq8"",""2026-27!AD3"")"),0.0)</f>
        <v>0</v>
      </c>
      <c r="BM54" s="59">
        <f>IFERROR(__xludf.DUMMYFUNCTION("IMPORTRANGE(""1MvzyJLe5oScOl4KjmrXr4bF1shHNP7m3u_KrVvJNGq8"",""2026-27!AE4"")"),1495500.0)</f>
        <v>1495500</v>
      </c>
      <c r="BN54" s="59">
        <f>IFERROR(__xludf.DUMMYFUNCTION("IMPORTRANGE(""1MvzyJLe5oScOl4KjmrXr4bF1shHNP7m3u_KrVvJNGq8"",""2026-27!AE3"")"),79.0)</f>
        <v>79</v>
      </c>
      <c r="BO54" s="59">
        <f>IFERROR(__xludf.DUMMYFUNCTION("IMPORTRANGE(""1MvzyJLe5oScOl4KjmrXr4bF1shHNP7m3u_KrVvJNGq8"",""2026-27!AF4"")"),0.0)</f>
        <v>0</v>
      </c>
      <c r="BP54" s="59">
        <f>IFERROR(__xludf.DUMMYFUNCTION("IMPORTRANGE(""1MvzyJLe5oScOl4KjmrXr4bF1shHNP7m3u_KrVvJNGq8"",""2026-27!AF3"")"),0.0)</f>
        <v>0</v>
      </c>
      <c r="BQ54" s="63">
        <f t="shared" si="88"/>
        <v>0</v>
      </c>
      <c r="BR54" s="59">
        <f>IFERROR(__xludf.DUMMYFUNCTION("IMPORTRANGE(""1MvzyJLe5oScOl4KjmrXr4bF1shHNP7m3u_KrVvJNGq8"",""2026-27!AG4"")"),0.0)</f>
        <v>0</v>
      </c>
      <c r="BS54" s="59">
        <f>IFERROR(__xludf.DUMMYFUNCTION("IMPORTRANGE(""1MvzyJLe5oScOl4KjmrXr4bF1shHNP7m3u_KrVvJNGq8"",""2026-27!AG3"")"),0.0)</f>
        <v>0</v>
      </c>
      <c r="BT54" s="59">
        <f>IFERROR(__xludf.DUMMYFUNCTION("IMPORTRANGE(""1MvzyJLe5oScOl4KjmrXr4bF1shHNP7m3u_KrVvJNGq8"",""2026-27!AH4"")"),1132500.0)</f>
        <v>1132500</v>
      </c>
      <c r="BU54" s="59">
        <f>IFERROR(__xludf.DUMMYFUNCTION("IMPORTRANGE(""1MvzyJLe5oScOl4KjmrXr4bF1shHNP7m3u_KrVvJNGq8"",""2026-27!AH3"")"),79.0)</f>
        <v>79</v>
      </c>
      <c r="BV54" s="59">
        <f>IFERROR(__xludf.DUMMYFUNCTION("IMPORTRANGE(""1MvzyJLe5oScOl4KjmrXr4bF1shHNP7m3u_KrVvJNGq8"",""2026-27!AI4"")"),0.0)</f>
        <v>0</v>
      </c>
      <c r="BW54" s="59">
        <f>IFERROR(__xludf.DUMMYFUNCTION("IMPORTRANGE(""1MvzyJLe5oScOl4KjmrXr4bF1shHNP7m3u_KrVvJNGq8"",""2026-27!AI3"")"),0.0)</f>
        <v>0</v>
      </c>
      <c r="BX54" s="63">
        <f t="shared" si="89"/>
        <v>0</v>
      </c>
      <c r="BY54" s="59">
        <f>IFERROR(__xludf.DUMMYFUNCTION("IMPORTRANGE(""1MvzyJLe5oScOl4KjmrXr4bF1shHNP7m3u_KrVvJNGq8"",""2026-27!AJ4"")"),0.0)</f>
        <v>0</v>
      </c>
      <c r="BZ54" s="59">
        <f>IFERROR(__xludf.DUMMYFUNCTION("IMPORTRANGE(""1MvzyJLe5oScOl4KjmrXr4bF1shHNP7m3u_KrVvJNGq8"",""2026-27!AJ3"")"),0.0)</f>
        <v>0</v>
      </c>
      <c r="CA54" s="59">
        <f>IFERROR(__xludf.DUMMYFUNCTION("IMPORTRANGE(""1MvzyJLe5oScOl4KjmrXr4bF1shHNP7m3u_KrVvJNGq8"",""2026-27!AK4"")"),1630500.0)</f>
        <v>1630500</v>
      </c>
      <c r="CB54" s="59">
        <f>IFERROR(__xludf.DUMMYFUNCTION("IMPORTRANGE(""1MvzyJLe5oScOl4KjmrXr4bF1shHNP7m3u_KrVvJNGq8"",""2026-27!AK3"")"),79.0)</f>
        <v>79</v>
      </c>
      <c r="CC54" s="59">
        <f>IFERROR(__xludf.DUMMYFUNCTION("IMPORTRANGE(""1MvzyJLe5oScOl4KjmrXr4bF1shHNP7m3u_KrVvJNGq8"",""2026-27!AL4"")"),0.0)</f>
        <v>0</v>
      </c>
      <c r="CD54" s="59">
        <f>IFERROR(__xludf.DUMMYFUNCTION("IMPORTRANGE(""1MvzyJLe5oScOl4KjmrXr4bF1shHNP7m3u_KrVvJNGq8"",""2026-27!AL3"")"),0.0)</f>
        <v>0</v>
      </c>
      <c r="CE54" s="63">
        <f t="shared" si="90"/>
        <v>0</v>
      </c>
      <c r="CF54" s="59">
        <f>IFERROR(__xludf.DUMMYFUNCTION("IMPORTRANGE(""1MvzyJLe5oScOl4KjmrXr4bF1shHNP7m3u_KrVvJNGq8"",""2026-27!AM4"")"),0.0)</f>
        <v>0</v>
      </c>
      <c r="CG54" s="59">
        <f>IFERROR(__xludf.DUMMYFUNCTION("IMPORTRANGE(""1MvzyJLe5oScOl4KjmrXr4bF1shHNP7m3u_KrVvJNGq8"",""2026-27!AM3"")"),0.0)</f>
        <v>0</v>
      </c>
      <c r="CH54" s="59">
        <f>IFERROR(__xludf.DUMMYFUNCTION("IMPORTRANGE(""1MvzyJLe5oScOl4KjmrXr4bF1shHNP7m3u_KrVvJNGq8"",""2026-27!AN4"")"),1186500.0)</f>
        <v>1186500</v>
      </c>
      <c r="CI54" s="59">
        <f>IFERROR(__xludf.DUMMYFUNCTION("IMPORTRANGE(""1MvzyJLe5oScOl4KjmrXr4bF1shHNP7m3u_KrVvJNGq8"",""2026-27!AN3"")"),79.0)</f>
        <v>79</v>
      </c>
      <c r="CJ54" s="59">
        <f>IFERROR(__xludf.DUMMYFUNCTION("IMPORTRANGE(""1MvzyJLe5oScOl4KjmrXr4bF1shHNP7m3u_KrVvJNGq8"",""2026-27!AO4"")"),0.0)</f>
        <v>0</v>
      </c>
      <c r="CK54" s="59">
        <f>IFERROR(__xludf.DUMMYFUNCTION("IMPORTRANGE(""1MvzyJLe5oScOl4KjmrXr4bF1shHNP7m3u_KrVvJNGq8"",""2026-27!AO3"")"),0.0)</f>
        <v>0</v>
      </c>
      <c r="CL54" s="63">
        <f t="shared" si="91"/>
        <v>0</v>
      </c>
      <c r="CM54" s="59">
        <f>IFERROR(__xludf.DUMMYFUNCTION("IMPORTRANGE(""1MvzyJLe5oScOl4KjmrXr4bF1shHNP7m3u_KrVvJNGq8"",""2026-27!AP4"")"),0.0)</f>
        <v>0</v>
      </c>
      <c r="CN54" s="59">
        <f>IFERROR(__xludf.DUMMYFUNCTION("IMPORTRANGE(""1MvzyJLe5oScOl4KjmrXr4bF1shHNP7m3u_KrVvJNGq8"",""2026-27!AP3"")"),0.0)</f>
        <v>0</v>
      </c>
      <c r="CO54" s="59">
        <f>IFERROR(__xludf.DUMMYFUNCTION("IMPORTRANGE(""1MvzyJLe5oScOl4KjmrXr4bF1shHNP7m3u_KrVvJNGq8"",""2026-27!AQ4"")"),1859500.0)</f>
        <v>1859500</v>
      </c>
      <c r="CP54" s="59">
        <f>IFERROR(__xludf.DUMMYFUNCTION("IMPORTRANGE(""1MvzyJLe5oScOl4KjmrXr4bF1shHNP7m3u_KrVvJNGq8"",""2026-27!AQ3"")"),79.0)</f>
        <v>79</v>
      </c>
      <c r="CQ54" s="59">
        <f>IFERROR(__xludf.DUMMYFUNCTION("IMPORTRANGE(""1MvzyJLe5oScOl4KjmrXr4bF1shHNP7m3u_KrVvJNGq8"",""2026-27!AR4"")"),0.0)</f>
        <v>0</v>
      </c>
      <c r="CR54" s="59">
        <f>IFERROR(__xludf.DUMMYFUNCTION("IMPORTRANGE(""1MvzyJLe5oScOl4KjmrXr4bF1shHNP7m3u_KrVvJNGq8"",""2026-27!AR3"")"),0.0)</f>
        <v>0</v>
      </c>
      <c r="CS54" s="63">
        <f t="shared" si="92"/>
        <v>0</v>
      </c>
      <c r="CT54" s="59">
        <f>IFERROR(__xludf.DUMMYFUNCTION("IMPORTRANGE(""1MvzyJLe5oScOl4KjmrXr4bF1shHNP7m3u_KrVvJNGq8"",""2026-27!AS4"")"),0.0)</f>
        <v>0</v>
      </c>
      <c r="CU54" s="59">
        <f>IFERROR(__xludf.DUMMYFUNCTION("IMPORTRANGE(""1MvzyJLe5oScOl4KjmrXr4bF1shHNP7m3u_KrVvJNGq8"",""2026-27!AS3"")"),0.0)</f>
        <v>0</v>
      </c>
      <c r="CV54" s="64"/>
    </row>
    <row r="55">
      <c r="A55" s="1" t="s">
        <v>103</v>
      </c>
      <c r="B55" s="41"/>
      <c r="C55" s="52" t="s">
        <v>121</v>
      </c>
      <c r="D55" s="69" t="s">
        <v>122</v>
      </c>
      <c r="E55" s="54">
        <v>9.111237181E9</v>
      </c>
      <c r="F55" s="80">
        <v>44662.0</v>
      </c>
      <c r="G55" s="66"/>
      <c r="H55" s="66"/>
      <c r="I55" s="57">
        <v>51950.0</v>
      </c>
      <c r="J55" s="58">
        <v>2114666.0</v>
      </c>
      <c r="K55" s="59">
        <f>IFERROR(__xludf.DUMMYFUNCTION("IMPORTRANGE(""1vvfCDjQh1LBVwkUUB7ZEeku1dM6x_yzeXavvI--pPRg"",""2026-27!A3"")"),57.0)</f>
        <v>57</v>
      </c>
      <c r="L55" s="59">
        <f>IFERROR(__xludf.DUMMYFUNCTION("IMPORTRANGE(""1vvfCDjQh1LBVwkUUB7ZEeku1dM6x_yzeXavvI--pPRg"",""2026-27!G4"")"),1.385E7)</f>
        <v>13850000</v>
      </c>
      <c r="M55" s="59">
        <f t="shared" si="93"/>
        <v>539551.9</v>
      </c>
      <c r="N55" s="60">
        <f t="shared" si="79"/>
        <v>0.02540945848</v>
      </c>
      <c r="O55" s="61">
        <f t="shared" si="94"/>
        <v>351921</v>
      </c>
      <c r="P55" s="59">
        <f>IFERROR(__xludf.DUMMYFUNCTION("IMPORTRANGE(""1vvfCDjQh1LBVwkUUB7ZEeku1dM6x_yzeXavvI--pPRg"",""2026-27!J4"")"),1170822.0)</f>
        <v>1170822</v>
      </c>
      <c r="Q55" s="59">
        <f>IFERROR(__xludf.DUMMYFUNCTION("IMPORTRANGE(""1vvfCDjQh1LBVwkUUB7ZEeku1dM6x_yzeXavvI--pPRg"",""2026-27!J3"")"),50.0)</f>
        <v>50</v>
      </c>
      <c r="R55" s="59">
        <f>IFERROR(__xludf.DUMMYFUNCTION("IMPORTRANGE(""1vvfCDjQh1LBVwkUUB7ZEeku1dM6x_yzeXavvI--pPRg"",""2026-27!K4"")"),74582.7)</f>
        <v>74582.7</v>
      </c>
      <c r="S55" s="59">
        <f>IFERROR(__xludf.DUMMYFUNCTION("IMPORTRANGE(""1vvfCDjQh1LBVwkUUB7ZEeku1dM6x_yzeXavvI--pPRg"",""2026-27!K3"")"),5.0)</f>
        <v>5</v>
      </c>
      <c r="T55" s="62">
        <f t="shared" si="81"/>
        <v>0.3005760056</v>
      </c>
      <c r="U55" s="59">
        <f>IFERROR(__xludf.DUMMYFUNCTION("IMPORTRANGE(""1vvfCDjQh1LBVwkUUB7ZEeku1dM6x_yzeXavvI--pPRg"",""2026-27!L4"")"),351921.0)</f>
        <v>351921</v>
      </c>
      <c r="V55" s="59">
        <f>IFERROR(__xludf.DUMMYFUNCTION("IMPORTRANGE(""1vvfCDjQh1LBVwkUUB7ZEeku1dM6x_yzeXavvI--pPRg"",""2026-27!L3"")"),6.0)</f>
        <v>6</v>
      </c>
      <c r="W55" s="59">
        <f>IFERROR(__xludf.DUMMYFUNCTION("IMPORTRANGE(""1vvfCDjQh1LBVwkUUB7ZEeku1dM6x_yzeXavvI--pPRg"",""2026-27!m4"")"),2345313.0)</f>
        <v>2345313</v>
      </c>
      <c r="X55" s="59">
        <f>IFERROR(__xludf.DUMMYFUNCTION("IMPORTRANGE(""1vvfCDjQh1LBVwkUUB7ZEeku1dM6x_yzeXavvI--pPRg"",""2026-27!m3"")"),50.0)</f>
        <v>50</v>
      </c>
      <c r="Y55" s="59">
        <f>IFERROR(__xludf.DUMMYFUNCTION("IMPORTRANGE(""1vvfCDjQh1LBVwkUUB7ZEeku1dM6x_yzeXavvI--pPRg"",""2026-27!N4"")"),0.0)</f>
        <v>0</v>
      </c>
      <c r="Z55" s="59">
        <f>IFERROR(__xludf.DUMMYFUNCTION("IMPORTRANGE(""1vvfCDjQh1LBVwkUUB7ZEeku1dM6x_yzeXavvI--pPRg"",""2026-27!N3"")"),0.0)</f>
        <v>0</v>
      </c>
      <c r="AA55" s="62">
        <f t="shared" si="82"/>
        <v>0</v>
      </c>
      <c r="AB55" s="59">
        <f>IFERROR(__xludf.DUMMYFUNCTION("IMPORTRANGE(""1vvfCDjQh1LBVwkUUB7ZEeku1dM6x_yzeXavvI--pPRg"",""2026-27!O4"")"),0.0)</f>
        <v>0</v>
      </c>
      <c r="AC55" s="59">
        <f>IFERROR(__xludf.DUMMYFUNCTION("IMPORTRANGE(""1vvfCDjQh1LBVwkUUB7ZEeku1dM6x_yzeXavvI--pPRg"",""2026-27!O3"")"),0.0)</f>
        <v>0</v>
      </c>
      <c r="AD55" s="59">
        <f>IFERROR(__xludf.DUMMYFUNCTION("IMPORTRANGE(""1vvfCDjQh1LBVwkUUB7ZEeku1dM6x_yzeXavvI--pPRg"",""2026-27!P4"")"),1182656.0)</f>
        <v>1182656</v>
      </c>
      <c r="AE55" s="59">
        <f>IFERROR(__xludf.DUMMYFUNCTION("IMPORTRANGE(""1vvfCDjQh1LBVwkUUB7ZEeku1dM6x_yzeXavvI--pPRg"",""2026-27!P3"")"),50.0)</f>
        <v>50</v>
      </c>
      <c r="AF55" s="59">
        <f>IFERROR(__xludf.DUMMYFUNCTION("IMPORTRANGE(""1vvfCDjQh1LBVwkUUB7ZEeku1dM6x_yzeXavvI--pPRg"",""2026-27!Q4"")"),464969.2)</f>
        <v>464969.2</v>
      </c>
      <c r="AG55" s="59">
        <f>IFERROR(__xludf.DUMMYFUNCTION("IMPORTRANGE(""1vvfCDjQh1LBVwkUUB7ZEeku1dM6x_yzeXavvI--pPRg"",""2026-27!Q3"")"),2.0)</f>
        <v>2</v>
      </c>
      <c r="AH55" s="62">
        <f t="shared" si="83"/>
        <v>0</v>
      </c>
      <c r="AI55" s="59">
        <f>IFERROR(__xludf.DUMMYFUNCTION("IMPORTRANGE(""1vvfCDjQh1LBVwkUUB7ZEeku1dM6x_yzeXavvI--pPRg"",""2026-27!R4"")"),0.0)</f>
        <v>0</v>
      </c>
      <c r="AJ55" s="59">
        <f>IFERROR(__xludf.DUMMYFUNCTION("IMPORTRANGE(""1vvfCDjQh1LBVwkUUB7ZEeku1dM6x_yzeXavvI--pPRg"",""2026-27!R3"")"),0.0)</f>
        <v>0</v>
      </c>
      <c r="AK55" s="59">
        <f>IFERROR(__xludf.DUMMYFUNCTION("IMPORTRANGE(""1vvfCDjQh1LBVwkUUB7ZEeku1dM6x_yzeXavvI--pPRg"",""2026-27!S4"")"),0.0)</f>
        <v>0</v>
      </c>
      <c r="AL55" s="59">
        <f>IFERROR(__xludf.DUMMYFUNCTION("IMPORTRANGE(""1vvfCDjQh1LBVwkUUB7ZEeku1dM6x_yzeXavvI--pPRg"",""2026-27!S3"")"),0.0)</f>
        <v>0</v>
      </c>
      <c r="AM55" s="59">
        <f>IFERROR(__xludf.DUMMYFUNCTION("IMPORTRANGE(""1vvfCDjQh1LBVwkUUB7ZEeku1dM6x_yzeXavvI--pPRg"",""2026-27!T4"")"),0.0)</f>
        <v>0</v>
      </c>
      <c r="AN55" s="59">
        <f>IFERROR(__xludf.DUMMYFUNCTION("IMPORTRANGE(""1vvfCDjQh1LBVwkUUB7ZEeku1dM6x_yzeXavvI--pPRg"",""2026-27!T3"")"),0.0)</f>
        <v>0</v>
      </c>
      <c r="AO55" s="62" t="str">
        <f t="shared" si="84"/>
        <v/>
      </c>
      <c r="AP55" s="59">
        <f>IFERROR(__xludf.DUMMYFUNCTION("IMPORTRANGE(""1vvfCDjQh1LBVwkUUB7ZEeku1dM6x_yzeXavvI--pPRg"",""2026-27!U4"")"),0.0)</f>
        <v>0</v>
      </c>
      <c r="AQ55" s="59">
        <f>IFERROR(__xludf.DUMMYFUNCTION("IMPORTRANGE(""1vvfCDjQh1LBVwkUUB7ZEeku1dM6x_yzeXavvI--pPRg"",""2026-27!U3"")"),0.0)</f>
        <v>0</v>
      </c>
      <c r="AR55" s="59">
        <f>IFERROR(__xludf.DUMMYFUNCTION("IMPORTRANGE(""1vvfCDjQh1LBVwkUUB7ZEeku1dM6x_yzeXavvI--pPRg"",""2026-27!V4"")"),0.0)</f>
        <v>0</v>
      </c>
      <c r="AS55" s="59">
        <f>IFERROR(__xludf.DUMMYFUNCTION("IMPORTRANGE(""1vvfCDjQh1LBVwkUUB7ZEeku1dM6x_yzeXavvI--pPRg"",""2026-27!V3"")"),0.0)</f>
        <v>0</v>
      </c>
      <c r="AT55" s="59">
        <f>IFERROR(__xludf.DUMMYFUNCTION("IMPORTRANGE(""1vvfCDjQh1LBVwkUUB7ZEeku1dM6x_yzeXavvI--pPRg"",""2026-27!W4"")"),0.0)</f>
        <v>0</v>
      </c>
      <c r="AU55" s="59">
        <f>IFERROR(__xludf.DUMMYFUNCTION("IMPORTRANGE(""1vvfCDjQh1LBVwkUUB7ZEeku1dM6x_yzeXavvI--pPRg"",""2026-27!W3"")"),0.0)</f>
        <v>0</v>
      </c>
      <c r="AV55" s="62" t="str">
        <f t="shared" si="85"/>
        <v/>
      </c>
      <c r="AW55" s="59">
        <f>IFERROR(__xludf.DUMMYFUNCTION("IMPORTRANGE(""1vvfCDjQh1LBVwkUUB7ZEeku1dM6x_yzeXavvI--pPRg"",""2026-27!X4"")"),0.0)</f>
        <v>0</v>
      </c>
      <c r="AX55" s="59">
        <f>IFERROR(__xludf.DUMMYFUNCTION("IMPORTRANGE(""1vvfCDjQh1LBVwkUUB7ZEeku1dM6x_yzeXavvI--pPRg"",""2026-27!X3"")"),0.0)</f>
        <v>0</v>
      </c>
      <c r="AY55" s="59">
        <f>IFERROR(__xludf.DUMMYFUNCTION("IMPORTRANGE(""1vvfCDjQh1LBVwkUUB7ZEeku1dM6x_yzeXavvI--pPRg"",""2026-27!Y4"")"),0.0)</f>
        <v>0</v>
      </c>
      <c r="AZ55" s="59">
        <f>IFERROR(__xludf.DUMMYFUNCTION("IMPORTRANGE(""1vvfCDjQh1LBVwkUUB7ZEeku1dM6x_yzeXavvI--pPRg"",""2026-27!Y3"")"),0.0)</f>
        <v>0</v>
      </c>
      <c r="BA55" s="59">
        <f>IFERROR(__xludf.DUMMYFUNCTION("IMPORTRANGE(""1vvfCDjQh1LBVwkUUB7ZEeku1dM6x_yzeXavvI--pPRg"",""2026-27!Z4"")"),0.0)</f>
        <v>0</v>
      </c>
      <c r="BB55" s="59">
        <f>IFERROR(__xludf.DUMMYFUNCTION("IMPORTRANGE(""1vvfCDjQh1LBVwkUUB7ZEeku1dM6x_yzeXavvI--pPRg"",""2026-27!Z3"")"),0.0)</f>
        <v>0</v>
      </c>
      <c r="BC55" s="63" t="str">
        <f t="shared" si="86"/>
        <v/>
      </c>
      <c r="BD55" s="59">
        <f>IFERROR(__xludf.DUMMYFUNCTION("IMPORTRANGE(""1vvfCDjQh1LBVwkUUB7ZEeku1dM6x_yzeXavvI--pPRg"",""2026-27!AA4"")"),0.0)</f>
        <v>0</v>
      </c>
      <c r="BE55" s="59">
        <f>IFERROR(__xludf.DUMMYFUNCTION("IMPORTRANGE(""1vvfCDjQh1LBVwkUUB7ZEeku1dM6x_yzeXavvI--pPRg"",""2026-27!AA3"")"),0.0)</f>
        <v>0</v>
      </c>
      <c r="BF55" s="59">
        <f>IFERROR(__xludf.DUMMYFUNCTION("IMPORTRANGE(""1vvfCDjQh1LBVwkUUB7ZEeku1dM6x_yzeXavvI--pPRg"",""2026-27!AB4"")"),0.0)</f>
        <v>0</v>
      </c>
      <c r="BG55" s="59">
        <f>IFERROR(__xludf.DUMMYFUNCTION("IMPORTRANGE(""1vvfCDjQh1LBVwkUUB7ZEeku1dM6x_yzeXavvI--pPRg"",""2026-27!AB3"")"),0.0)</f>
        <v>0</v>
      </c>
      <c r="BH55" s="59">
        <f>IFERROR(__xludf.DUMMYFUNCTION("IMPORTRANGE(""1vvfCDjQh1LBVwkUUB7ZEeku1dM6x_yzeXavvI--pPRg"",""2026-27!AC4"")"),0.0)</f>
        <v>0</v>
      </c>
      <c r="BI55" s="59">
        <f>IFERROR(__xludf.DUMMYFUNCTION("IMPORTRANGE(""1vvfCDjQh1LBVwkUUB7ZEeku1dM6x_yzeXavvI--pPRg"",""2026-27!AC3"")"),0.0)</f>
        <v>0</v>
      </c>
      <c r="BJ55" s="63" t="str">
        <f t="shared" si="87"/>
        <v/>
      </c>
      <c r="BK55" s="59">
        <f>IFERROR(__xludf.DUMMYFUNCTION("IMPORTRANGE(""1vvfCDjQh1LBVwkUUB7ZEeku1dM6x_yzeXavvI--pPRg"",""2026-27!AD4"")"),0.0)</f>
        <v>0</v>
      </c>
      <c r="BL55" s="59">
        <f>IFERROR(__xludf.DUMMYFUNCTION("IMPORTRANGE(""1vvfCDjQh1LBVwkUUB7ZEeku1dM6x_yzeXavvI--pPRg"",""2026-27!AD3"")"),0.0)</f>
        <v>0</v>
      </c>
      <c r="BM55" s="59">
        <f>IFERROR(__xludf.DUMMYFUNCTION("IMPORTRANGE(""1vvfCDjQh1LBVwkUUB7ZEeku1dM6x_yzeXavvI--pPRg"",""2026-27!AE4"")"),0.0)</f>
        <v>0</v>
      </c>
      <c r="BN55" s="59">
        <f>IFERROR(__xludf.DUMMYFUNCTION("IMPORTRANGE(""1vvfCDjQh1LBVwkUUB7ZEeku1dM6x_yzeXavvI--pPRg"",""2026-27!AE3"")"),0.0)</f>
        <v>0</v>
      </c>
      <c r="BO55" s="59">
        <f>IFERROR(__xludf.DUMMYFUNCTION("IMPORTRANGE(""1vvfCDjQh1LBVwkUUB7ZEeku1dM6x_yzeXavvI--pPRg"",""2026-27!AF4"")"),0.0)</f>
        <v>0</v>
      </c>
      <c r="BP55" s="59">
        <f>IFERROR(__xludf.DUMMYFUNCTION("IMPORTRANGE(""1vvfCDjQh1LBVwkUUB7ZEeku1dM6x_yzeXavvI--pPRg"",""2026-27!AF3"")"),0.0)</f>
        <v>0</v>
      </c>
      <c r="BQ55" s="63" t="str">
        <f t="shared" si="88"/>
        <v/>
      </c>
      <c r="BR55" s="59">
        <f>IFERROR(__xludf.DUMMYFUNCTION("IMPORTRANGE(""1vvfCDjQh1LBVwkUUB7ZEeku1dM6x_yzeXavvI--pPRg"",""2026-27!AG4"")"),0.0)</f>
        <v>0</v>
      </c>
      <c r="BS55" s="59">
        <f>IFERROR(__xludf.DUMMYFUNCTION("IMPORTRANGE(""1vvfCDjQh1LBVwkUUB7ZEeku1dM6x_yzeXavvI--pPRg"",""2026-27!AG3"")"),0.0)</f>
        <v>0</v>
      </c>
      <c r="BT55" s="59">
        <f>IFERROR(__xludf.DUMMYFUNCTION("IMPORTRANGE(""1vvfCDjQh1LBVwkUUB7ZEeku1dM6x_yzeXavvI--pPRg"",""2026-27!AH4"")"),0.0)</f>
        <v>0</v>
      </c>
      <c r="BU55" s="59">
        <f>IFERROR(__xludf.DUMMYFUNCTION("IMPORTRANGE(""1vvfCDjQh1LBVwkUUB7ZEeku1dM6x_yzeXavvI--pPRg"",""2026-27!AH3"")"),0.0)</f>
        <v>0</v>
      </c>
      <c r="BV55" s="59">
        <f>IFERROR(__xludf.DUMMYFUNCTION("IMPORTRANGE(""1vvfCDjQh1LBVwkUUB7ZEeku1dM6x_yzeXavvI--pPRg"",""2026-27!AI4"")"),0.0)</f>
        <v>0</v>
      </c>
      <c r="BW55" s="59">
        <f>IFERROR(__xludf.DUMMYFUNCTION("IMPORTRANGE(""1vvfCDjQh1LBVwkUUB7ZEeku1dM6x_yzeXavvI--pPRg"",""2026-27!AI3"")"),0.0)</f>
        <v>0</v>
      </c>
      <c r="BX55" s="63" t="str">
        <f t="shared" si="89"/>
        <v/>
      </c>
      <c r="BY55" s="59">
        <f>IFERROR(__xludf.DUMMYFUNCTION("IMPORTRANGE(""1vvfCDjQh1LBVwkUUB7ZEeku1dM6x_yzeXavvI--pPRg"",""2026-27!AJ4"")"),0.0)</f>
        <v>0</v>
      </c>
      <c r="BZ55" s="59">
        <f>IFERROR(__xludf.DUMMYFUNCTION("IMPORTRANGE(""1vvfCDjQh1LBVwkUUB7ZEeku1dM6x_yzeXavvI--pPRg"",""2026-27!AJ3"")"),0.0)</f>
        <v>0</v>
      </c>
      <c r="CA55" s="59">
        <f>IFERROR(__xludf.DUMMYFUNCTION("IMPORTRANGE(""1vvfCDjQh1LBVwkUUB7ZEeku1dM6x_yzeXavvI--pPRg"",""2026-27!AK4"")"),0.0)</f>
        <v>0</v>
      </c>
      <c r="CB55" s="59">
        <f>IFERROR(__xludf.DUMMYFUNCTION("IMPORTRANGE(""1vvfCDjQh1LBVwkUUB7ZEeku1dM6x_yzeXavvI--pPRg"",""2026-27!AK3"")"),0.0)</f>
        <v>0</v>
      </c>
      <c r="CC55" s="59">
        <f>IFERROR(__xludf.DUMMYFUNCTION("IMPORTRANGE(""1vvfCDjQh1LBVwkUUB7ZEeku1dM6x_yzeXavvI--pPRg"",""2026-27!AL4"")"),0.0)</f>
        <v>0</v>
      </c>
      <c r="CD55" s="59">
        <f>IFERROR(__xludf.DUMMYFUNCTION("IMPORTRANGE(""1vvfCDjQh1LBVwkUUB7ZEeku1dM6x_yzeXavvI--pPRg"",""2026-27!AL3"")"),0.0)</f>
        <v>0</v>
      </c>
      <c r="CE55" s="63" t="str">
        <f t="shared" si="90"/>
        <v/>
      </c>
      <c r="CF55" s="59">
        <f>IFERROR(__xludf.DUMMYFUNCTION("IMPORTRANGE(""1vvfCDjQh1LBVwkUUB7ZEeku1dM6x_yzeXavvI--pPRg"",""2026-27!AM4"")"),0.0)</f>
        <v>0</v>
      </c>
      <c r="CG55" s="59">
        <f>IFERROR(__xludf.DUMMYFUNCTION("IMPORTRANGE(""1vvfCDjQh1LBVwkUUB7ZEeku1dM6x_yzeXavvI--pPRg"",""2026-27!AM3"")"),0.0)</f>
        <v>0</v>
      </c>
      <c r="CH55" s="59">
        <f>IFERROR(__xludf.DUMMYFUNCTION("IMPORTRANGE(""1vvfCDjQh1LBVwkUUB7ZEeku1dM6x_yzeXavvI--pPRg"",""2026-27!AN4"")"),0.0)</f>
        <v>0</v>
      </c>
      <c r="CI55" s="59">
        <f>IFERROR(__xludf.DUMMYFUNCTION("IMPORTRANGE(""1vvfCDjQh1LBVwkUUB7ZEeku1dM6x_yzeXavvI--pPRg"",""2026-27!AN3"")"),0.0)</f>
        <v>0</v>
      </c>
      <c r="CJ55" s="59">
        <f>IFERROR(__xludf.DUMMYFUNCTION("IMPORTRANGE(""1vvfCDjQh1LBVwkUUB7ZEeku1dM6x_yzeXavvI--pPRg"",""2026-27!AO4"")"),0.0)</f>
        <v>0</v>
      </c>
      <c r="CK55" s="59">
        <f>IFERROR(__xludf.DUMMYFUNCTION("IMPORTRANGE(""1vvfCDjQh1LBVwkUUB7ZEeku1dM6x_yzeXavvI--pPRg"",""2026-27!AO3"")"),0.0)</f>
        <v>0</v>
      </c>
      <c r="CL55" s="63" t="str">
        <f t="shared" si="91"/>
        <v/>
      </c>
      <c r="CM55" s="59">
        <f>IFERROR(__xludf.DUMMYFUNCTION("IMPORTRANGE(""1vvfCDjQh1LBVwkUUB7ZEeku1dM6x_yzeXavvI--pPRg"",""2026-27!AP4"")"),0.0)</f>
        <v>0</v>
      </c>
      <c r="CN55" s="59">
        <f>IFERROR(__xludf.DUMMYFUNCTION("IMPORTRANGE(""1vvfCDjQh1LBVwkUUB7ZEeku1dM6x_yzeXavvI--pPRg"",""2026-27!AP3"")"),0.0)</f>
        <v>0</v>
      </c>
      <c r="CO55" s="59">
        <f>IFERROR(__xludf.DUMMYFUNCTION("IMPORTRANGE(""1vvfCDjQh1LBVwkUUB7ZEeku1dM6x_yzeXavvI--pPRg"",""2026-27!AQ4"")"),0.0)</f>
        <v>0</v>
      </c>
      <c r="CP55" s="59">
        <f>IFERROR(__xludf.DUMMYFUNCTION("IMPORTRANGE(""1vvfCDjQh1LBVwkUUB7ZEeku1dM6x_yzeXavvI--pPRg"",""2026-27!AQ3"")"),0.0)</f>
        <v>0</v>
      </c>
      <c r="CQ55" s="59">
        <f>IFERROR(__xludf.DUMMYFUNCTION("IMPORTRANGE(""1vvfCDjQh1LBVwkUUB7ZEeku1dM6x_yzeXavvI--pPRg"",""2026-27!AR4"")"),0.0)</f>
        <v>0</v>
      </c>
      <c r="CR55" s="59">
        <f>IFERROR(__xludf.DUMMYFUNCTION("IMPORTRANGE(""1vvfCDjQh1LBVwkUUB7ZEeku1dM6x_yzeXavvI--pPRg"",""2026-27!AR3"")"),0.0)</f>
        <v>0</v>
      </c>
      <c r="CS55" s="63" t="str">
        <f t="shared" si="92"/>
        <v/>
      </c>
      <c r="CT55" s="59">
        <f>IFERROR(__xludf.DUMMYFUNCTION("IMPORTRANGE(""1vvfCDjQh1LBVwkUUB7ZEeku1dM6x_yzeXavvI--pPRg"",""2026-27!AS4"")"),0.0)</f>
        <v>0</v>
      </c>
      <c r="CU55" s="59">
        <f>IFERROR(__xludf.DUMMYFUNCTION("IMPORTRANGE(""1vvfCDjQh1LBVwkUUB7ZEeku1dM6x_yzeXavvI--pPRg"",""2026-27!AS3"")"),0.0)</f>
        <v>0</v>
      </c>
      <c r="CV55" s="64"/>
    </row>
    <row r="56">
      <c r="A56" s="1" t="s">
        <v>103</v>
      </c>
      <c r="B56" s="41"/>
      <c r="C56" s="52" t="s">
        <v>123</v>
      </c>
      <c r="D56" s="53" t="s">
        <v>124</v>
      </c>
      <c r="E56" s="54">
        <v>6.3069155E9</v>
      </c>
      <c r="F56" s="80">
        <v>44911.0</v>
      </c>
      <c r="G56" s="66"/>
      <c r="H56" s="66"/>
      <c r="I56" s="57">
        <v>45935.0</v>
      </c>
      <c r="J56" s="58">
        <v>2500000.0</v>
      </c>
      <c r="K56" s="59">
        <f>IFERROR(__xludf.DUMMYFUNCTION("IMPORTRANGE(""1VEbI85GIACBzK7Fr53MA8H90fnc5xOBzkIV_G3O2R84"",""2026-27!A3"")"),233.0)</f>
        <v>233</v>
      </c>
      <c r="L56" s="59">
        <f>IFERROR(__xludf.DUMMYFUNCTION("IMPORTRANGE(""1VEbI85GIACBzK7Fr53MA8H90fnc5xOBzkIV_G3O2R84"",""2026-27!G4"")"),2.646E7)</f>
        <v>26460000</v>
      </c>
      <c r="M56" s="59">
        <f t="shared" si="93"/>
        <v>5815195.94</v>
      </c>
      <c r="N56" s="60">
        <f t="shared" si="79"/>
        <v>0.1924164777</v>
      </c>
      <c r="O56" s="61">
        <f t="shared" si="94"/>
        <v>5091340</v>
      </c>
      <c r="P56" s="59">
        <f>IFERROR(__xludf.DUMMYFUNCTION("IMPORTRANGE(""1VEbI85GIACBzK7Fr53MA8H90fnc5xOBzkIV_G3O2R84"",""2026-27!J4"")"),1440010.0)</f>
        <v>1440010</v>
      </c>
      <c r="Q56" s="59">
        <f>IFERROR(__xludf.DUMMYFUNCTION("IMPORTRANGE(""1VEbI85GIACBzK7Fr53MA8H90fnc5xOBzkIV_G3O2R84"",""2026-27!J3"")"),97.0)</f>
        <v>97</v>
      </c>
      <c r="R56" s="59">
        <f>IFERROR(__xludf.DUMMYFUNCTION("IMPORTRANGE(""1VEbI85GIACBzK7Fr53MA8H90fnc5xOBzkIV_G3O2R84"",""2026-27!K4"")"),1196110.2800000003)</f>
        <v>1196110.28</v>
      </c>
      <c r="S56" s="59">
        <f>IFERROR(__xludf.DUMMYFUNCTION("IMPORTRANGE(""1VEbI85GIACBzK7Fr53MA8H90fnc5xOBzkIV_G3O2R84"",""2026-27!K3"")"),62.0)</f>
        <v>62</v>
      </c>
      <c r="T56" s="62">
        <f t="shared" si="81"/>
        <v>0.8949139242</v>
      </c>
      <c r="U56" s="59">
        <f>IFERROR(__xludf.DUMMYFUNCTION("IMPORTRANGE(""1VEbI85GIACBzK7Fr53MA8H90fnc5xOBzkIV_G3O2R84"",""2026-27!L4"")"),1288685.0)</f>
        <v>1288685</v>
      </c>
      <c r="V56" s="59">
        <f>IFERROR(__xludf.DUMMYFUNCTION("IMPORTRANGE(""1VEbI85GIACBzK7Fr53MA8H90fnc5xOBzkIV_G3O2R84"",""2026-27!L3"")"),67.0)</f>
        <v>67</v>
      </c>
      <c r="W56" s="59">
        <f>IFERROR(__xludf.DUMMYFUNCTION("IMPORTRANGE(""1VEbI85GIACBzK7Fr53MA8H90fnc5xOBzkIV_G3O2R84"",""2026-27!m4"")"),2252000.0)</f>
        <v>2252000</v>
      </c>
      <c r="X56" s="59">
        <f>IFERROR(__xludf.DUMMYFUNCTION("IMPORTRANGE(""1VEbI85GIACBzK7Fr53MA8H90fnc5xOBzkIV_G3O2R84"",""2026-27!m3"")"),124.0)</f>
        <v>124</v>
      </c>
      <c r="Y56" s="59">
        <f>IFERROR(__xludf.DUMMYFUNCTION("IMPORTRANGE(""1VEbI85GIACBzK7Fr53MA8H90fnc5xOBzkIV_G3O2R84"",""2026-27!N4"")"),2515961.6799999997)</f>
        <v>2515961.68</v>
      </c>
      <c r="Z56" s="59">
        <f>IFERROR(__xludf.DUMMYFUNCTION("IMPORTRANGE(""1VEbI85GIACBzK7Fr53MA8H90fnc5xOBzkIV_G3O2R84"",""2026-27!N3"")"),74.0)</f>
        <v>74</v>
      </c>
      <c r="AA56" s="62">
        <f t="shared" si="82"/>
        <v>1.123809947</v>
      </c>
      <c r="AB56" s="59">
        <f>IFERROR(__xludf.DUMMYFUNCTION("IMPORTRANGE(""1VEbI85GIACBzK7Fr53MA8H90fnc5xOBzkIV_G3O2R84"",""2026-27!O4"")"),2530820.0)</f>
        <v>2530820</v>
      </c>
      <c r="AC56" s="59">
        <f>IFERROR(__xludf.DUMMYFUNCTION("IMPORTRANGE(""1VEbI85GIACBzK7Fr53MA8H90fnc5xOBzkIV_G3O2R84"",""2026-27!O3"")"),83.0)</f>
        <v>83</v>
      </c>
      <c r="AD56" s="59">
        <f>IFERROR(__xludf.DUMMYFUNCTION("IMPORTRANGE(""1VEbI85GIACBzK7Fr53MA8H90fnc5xOBzkIV_G3O2R84"",""2026-27!P4"")"),2834000.0)</f>
        <v>2834000</v>
      </c>
      <c r="AE56" s="59">
        <f>IFERROR(__xludf.DUMMYFUNCTION("IMPORTRANGE(""1VEbI85GIACBzK7Fr53MA8H90fnc5xOBzkIV_G3O2R84"",""2026-27!P3"")"),118.0)</f>
        <v>118</v>
      </c>
      <c r="AF56" s="59">
        <f>IFERROR(__xludf.DUMMYFUNCTION("IMPORTRANGE(""1VEbI85GIACBzK7Fr53MA8H90fnc5xOBzkIV_G3O2R84"",""2026-27!Q4"")"),2103123.9799999995)</f>
        <v>2103123.98</v>
      </c>
      <c r="AG56" s="59">
        <f>IFERROR(__xludf.DUMMYFUNCTION("IMPORTRANGE(""1VEbI85GIACBzK7Fr53MA8H90fnc5xOBzkIV_G3O2R84"",""2026-27!Q3"")"),87.0)</f>
        <v>87</v>
      </c>
      <c r="AH56" s="62">
        <f t="shared" si="83"/>
        <v>0.4487773465</v>
      </c>
      <c r="AI56" s="59">
        <f>IFERROR(__xludf.DUMMYFUNCTION("IMPORTRANGE(""1VEbI85GIACBzK7Fr53MA8H90fnc5xOBzkIV_G3O2R84"",""2026-27!R4"")"),1271835.0)</f>
        <v>1271835</v>
      </c>
      <c r="AJ56" s="59">
        <f>IFERROR(__xludf.DUMMYFUNCTION("IMPORTRANGE(""1VEbI85GIACBzK7Fr53MA8H90fnc5xOBzkIV_G3O2R84"",""2026-27!R3"")"),64.0)</f>
        <v>64</v>
      </c>
      <c r="AK56" s="59">
        <f>IFERROR(__xludf.DUMMYFUNCTION("IMPORTRANGE(""1VEbI85GIACBzK7Fr53MA8H90fnc5xOBzkIV_G3O2R84"",""2026-27!S4"")"),2265000.0)</f>
        <v>2265000</v>
      </c>
      <c r="AL56" s="59">
        <f>IFERROR(__xludf.DUMMYFUNCTION("IMPORTRANGE(""1VEbI85GIACBzK7Fr53MA8H90fnc5xOBzkIV_G3O2R84"",""2026-27!S3"")"),173.0)</f>
        <v>173</v>
      </c>
      <c r="AM56" s="59">
        <f>IFERROR(__xludf.DUMMYFUNCTION("IMPORTRANGE(""1VEbI85GIACBzK7Fr53MA8H90fnc5xOBzkIV_G3O2R84"",""2026-27!T4"")"),0.0)</f>
        <v>0</v>
      </c>
      <c r="AN56" s="59">
        <f>IFERROR(__xludf.DUMMYFUNCTION("IMPORTRANGE(""1VEbI85GIACBzK7Fr53MA8H90fnc5xOBzkIV_G3O2R84"",""2026-27!T3"")"),0.0)</f>
        <v>0</v>
      </c>
      <c r="AO56" s="62">
        <f t="shared" si="84"/>
        <v>0</v>
      </c>
      <c r="AP56" s="59">
        <f>IFERROR(__xludf.DUMMYFUNCTION("IMPORTRANGE(""1VEbI85GIACBzK7Fr53MA8H90fnc5xOBzkIV_G3O2R84"",""2026-27!U4"")"),0.0)</f>
        <v>0</v>
      </c>
      <c r="AQ56" s="59">
        <f>IFERROR(__xludf.DUMMYFUNCTION("IMPORTRANGE(""1VEbI85GIACBzK7Fr53MA8H90fnc5xOBzkIV_G3O2R84"",""2026-27!U3"")"),0.0)</f>
        <v>0</v>
      </c>
      <c r="AR56" s="59">
        <f>IFERROR(__xludf.DUMMYFUNCTION("IMPORTRANGE(""1VEbI85GIACBzK7Fr53MA8H90fnc5xOBzkIV_G3O2R84"",""2026-27!V4"")"),2286009.0)</f>
        <v>2286009</v>
      </c>
      <c r="AS56" s="59">
        <f>IFERROR(__xludf.DUMMYFUNCTION("IMPORTRANGE(""1VEbI85GIACBzK7Fr53MA8H90fnc5xOBzkIV_G3O2R84"",""2026-27!V3"")"),173.0)</f>
        <v>173</v>
      </c>
      <c r="AT56" s="59">
        <f>IFERROR(__xludf.DUMMYFUNCTION("IMPORTRANGE(""1VEbI85GIACBzK7Fr53MA8H90fnc5xOBzkIV_G3O2R84"",""2026-27!W4"")"),0.0)</f>
        <v>0</v>
      </c>
      <c r="AU56" s="59">
        <f>IFERROR(__xludf.DUMMYFUNCTION("IMPORTRANGE(""1VEbI85GIACBzK7Fr53MA8H90fnc5xOBzkIV_G3O2R84"",""2026-27!W3"")"),0.0)</f>
        <v>0</v>
      </c>
      <c r="AV56" s="62">
        <f t="shared" si="85"/>
        <v>0</v>
      </c>
      <c r="AW56" s="59">
        <f>IFERROR(__xludf.DUMMYFUNCTION("IMPORTRANGE(""1VEbI85GIACBzK7Fr53MA8H90fnc5xOBzkIV_G3O2R84"",""2026-27!X4"")"),0.0)</f>
        <v>0</v>
      </c>
      <c r="AX56" s="59">
        <f>IFERROR(__xludf.DUMMYFUNCTION("IMPORTRANGE(""1VEbI85GIACBzK7Fr53MA8H90fnc5xOBzkIV_G3O2R84"",""2026-27!X3"")"),0.0)</f>
        <v>0</v>
      </c>
      <c r="AY56" s="59">
        <f>IFERROR(__xludf.DUMMYFUNCTION("IMPORTRANGE(""1VEbI85GIACBzK7Fr53MA8H90fnc5xOBzkIV_G3O2R84"",""2026-27!Y4"")"),0.0)</f>
        <v>0</v>
      </c>
      <c r="AZ56" s="59">
        <f>IFERROR(__xludf.DUMMYFUNCTION("IMPORTRANGE(""1VEbI85GIACBzK7Fr53MA8H90fnc5xOBzkIV_G3O2R84"",""2026-27!Y3"")"),0.0)</f>
        <v>0</v>
      </c>
      <c r="BA56" s="59">
        <f>IFERROR(__xludf.DUMMYFUNCTION("IMPORTRANGE(""1VEbI85GIACBzK7Fr53MA8H90fnc5xOBzkIV_G3O2R84"",""2026-27!Z4"")"),0.0)</f>
        <v>0</v>
      </c>
      <c r="BB56" s="59">
        <f>IFERROR(__xludf.DUMMYFUNCTION("IMPORTRANGE(""1VEbI85GIACBzK7Fr53MA8H90fnc5xOBzkIV_G3O2R84"",""2026-27!Z3"")"),0.0)</f>
        <v>0</v>
      </c>
      <c r="BC56" s="63" t="str">
        <f t="shared" si="86"/>
        <v/>
      </c>
      <c r="BD56" s="59">
        <f>IFERROR(__xludf.DUMMYFUNCTION("IMPORTRANGE(""1VEbI85GIACBzK7Fr53MA8H90fnc5xOBzkIV_G3O2R84"",""2026-27!AA4"")"),0.0)</f>
        <v>0</v>
      </c>
      <c r="BE56" s="59">
        <f>IFERROR(__xludf.DUMMYFUNCTION("IMPORTRANGE(""1VEbI85GIACBzK7Fr53MA8H90fnc5xOBzkIV_G3O2R84"",""2026-27!AA3"")"),0.0)</f>
        <v>0</v>
      </c>
      <c r="BF56" s="59">
        <f>IFERROR(__xludf.DUMMYFUNCTION("IMPORTRANGE(""1VEbI85GIACBzK7Fr53MA8H90fnc5xOBzkIV_G3O2R84"",""2026-27!AB4"")"),0.0)</f>
        <v>0</v>
      </c>
      <c r="BG56" s="59">
        <f>IFERROR(__xludf.DUMMYFUNCTION("IMPORTRANGE(""1VEbI85GIACBzK7Fr53MA8H90fnc5xOBzkIV_G3O2R84"",""2026-27!AB3"")"),0.0)</f>
        <v>0</v>
      </c>
      <c r="BH56" s="59">
        <f>IFERROR(__xludf.DUMMYFUNCTION("IMPORTRANGE(""1VEbI85GIACBzK7Fr53MA8H90fnc5xOBzkIV_G3O2R84"",""2026-27!AC4"")"),0.0)</f>
        <v>0</v>
      </c>
      <c r="BI56" s="59">
        <f>IFERROR(__xludf.DUMMYFUNCTION("IMPORTRANGE(""1VEbI85GIACBzK7Fr53MA8H90fnc5xOBzkIV_G3O2R84"",""2026-27!AC3"")"),0.0)</f>
        <v>0</v>
      </c>
      <c r="BJ56" s="63" t="str">
        <f t="shared" si="87"/>
        <v/>
      </c>
      <c r="BK56" s="59">
        <f>IFERROR(__xludf.DUMMYFUNCTION("IMPORTRANGE(""1VEbI85GIACBzK7Fr53MA8H90fnc5xOBzkIV_G3O2R84"",""2026-27!AD4"")"),0.0)</f>
        <v>0</v>
      </c>
      <c r="BL56" s="59">
        <f>IFERROR(__xludf.DUMMYFUNCTION("IMPORTRANGE(""1VEbI85GIACBzK7Fr53MA8H90fnc5xOBzkIV_G3O2R84"",""2026-27!AD3"")"),0.0)</f>
        <v>0</v>
      </c>
      <c r="BM56" s="59">
        <f>IFERROR(__xludf.DUMMYFUNCTION("IMPORTRANGE(""1VEbI85GIACBzK7Fr53MA8H90fnc5xOBzkIV_G3O2R84"",""2026-27!AE4"")"),0.0)</f>
        <v>0</v>
      </c>
      <c r="BN56" s="59">
        <f>IFERROR(__xludf.DUMMYFUNCTION("IMPORTRANGE(""1VEbI85GIACBzK7Fr53MA8H90fnc5xOBzkIV_G3O2R84"",""2026-27!AE3"")"),0.0)</f>
        <v>0</v>
      </c>
      <c r="BO56" s="59">
        <f>IFERROR(__xludf.DUMMYFUNCTION("IMPORTRANGE(""1VEbI85GIACBzK7Fr53MA8H90fnc5xOBzkIV_G3O2R84"",""2026-27!AF4"")"),0.0)</f>
        <v>0</v>
      </c>
      <c r="BP56" s="59">
        <f>IFERROR(__xludf.DUMMYFUNCTION("IMPORTRANGE(""1VEbI85GIACBzK7Fr53MA8H90fnc5xOBzkIV_G3O2R84"",""2026-27!AF3"")"),0.0)</f>
        <v>0</v>
      </c>
      <c r="BQ56" s="63" t="str">
        <f t="shared" si="88"/>
        <v/>
      </c>
      <c r="BR56" s="59">
        <f>IFERROR(__xludf.DUMMYFUNCTION("IMPORTRANGE(""1VEbI85GIACBzK7Fr53MA8H90fnc5xOBzkIV_G3O2R84"",""2026-27!AG4"")"),0.0)</f>
        <v>0</v>
      </c>
      <c r="BS56" s="59">
        <f>IFERROR(__xludf.DUMMYFUNCTION("IMPORTRANGE(""1VEbI85GIACBzK7Fr53MA8H90fnc5xOBzkIV_G3O2R84"",""2026-27!AG3"")"),0.0)</f>
        <v>0</v>
      </c>
      <c r="BT56" s="59">
        <f>IFERROR(__xludf.DUMMYFUNCTION("IMPORTRANGE(""1VEbI85GIACBzK7Fr53MA8H90fnc5xOBzkIV_G3O2R84"",""2026-27!AH4"")"),0.0)</f>
        <v>0</v>
      </c>
      <c r="BU56" s="59">
        <f>IFERROR(__xludf.DUMMYFUNCTION("IMPORTRANGE(""1VEbI85GIACBzK7Fr53MA8H90fnc5xOBzkIV_G3O2R84"",""2026-27!AH3"")"),0.0)</f>
        <v>0</v>
      </c>
      <c r="BV56" s="59">
        <f>IFERROR(__xludf.DUMMYFUNCTION("IMPORTRANGE(""1VEbI85GIACBzK7Fr53MA8H90fnc5xOBzkIV_G3O2R84"",""2026-27!AI4"")"),0.0)</f>
        <v>0</v>
      </c>
      <c r="BW56" s="59">
        <f>IFERROR(__xludf.DUMMYFUNCTION("IMPORTRANGE(""1VEbI85GIACBzK7Fr53MA8H90fnc5xOBzkIV_G3O2R84"",""2026-27!AI3"")"),0.0)</f>
        <v>0</v>
      </c>
      <c r="BX56" s="63" t="str">
        <f t="shared" si="89"/>
        <v/>
      </c>
      <c r="BY56" s="59">
        <f>IFERROR(__xludf.DUMMYFUNCTION("IMPORTRANGE(""1VEbI85GIACBzK7Fr53MA8H90fnc5xOBzkIV_G3O2R84"",""2026-27!AJ4"")"),0.0)</f>
        <v>0</v>
      </c>
      <c r="BZ56" s="59">
        <f>IFERROR(__xludf.DUMMYFUNCTION("IMPORTRANGE(""1VEbI85GIACBzK7Fr53MA8H90fnc5xOBzkIV_G3O2R84"",""2026-27!AJ3"")"),0.0)</f>
        <v>0</v>
      </c>
      <c r="CA56" s="59">
        <f>IFERROR(__xludf.DUMMYFUNCTION("IMPORTRANGE(""1VEbI85GIACBzK7Fr53MA8H90fnc5xOBzkIV_G3O2R84"",""2026-27!AK4"")"),0.0)</f>
        <v>0</v>
      </c>
      <c r="CB56" s="59">
        <f>IFERROR(__xludf.DUMMYFUNCTION("IMPORTRANGE(""1VEbI85GIACBzK7Fr53MA8H90fnc5xOBzkIV_G3O2R84"",""2026-27!AK3"")"),0.0)</f>
        <v>0</v>
      </c>
      <c r="CC56" s="59">
        <f>IFERROR(__xludf.DUMMYFUNCTION("IMPORTRANGE(""1VEbI85GIACBzK7Fr53MA8H90fnc5xOBzkIV_G3O2R84"",""2026-27!AL4"")"),0.0)</f>
        <v>0</v>
      </c>
      <c r="CD56" s="59">
        <f>IFERROR(__xludf.DUMMYFUNCTION("IMPORTRANGE(""1VEbI85GIACBzK7Fr53MA8H90fnc5xOBzkIV_G3O2R84"",""2026-27!AL3"")"),0.0)</f>
        <v>0</v>
      </c>
      <c r="CE56" s="63" t="str">
        <f t="shared" si="90"/>
        <v/>
      </c>
      <c r="CF56" s="59">
        <f>IFERROR(__xludf.DUMMYFUNCTION("IMPORTRANGE(""1VEbI85GIACBzK7Fr53MA8H90fnc5xOBzkIV_G3O2R84"",""2026-27!AM4"")"),0.0)</f>
        <v>0</v>
      </c>
      <c r="CG56" s="59">
        <f>IFERROR(__xludf.DUMMYFUNCTION("IMPORTRANGE(""1VEbI85GIACBzK7Fr53MA8H90fnc5xOBzkIV_G3O2R84"",""2026-27!AM3"")"),0.0)</f>
        <v>0</v>
      </c>
      <c r="CH56" s="59">
        <f>IFERROR(__xludf.DUMMYFUNCTION("IMPORTRANGE(""1VEbI85GIACBzK7Fr53MA8H90fnc5xOBzkIV_G3O2R84"",""2026-27!AN4"")"),0.0)</f>
        <v>0</v>
      </c>
      <c r="CI56" s="59">
        <f>IFERROR(__xludf.DUMMYFUNCTION("IMPORTRANGE(""1VEbI85GIACBzK7Fr53MA8H90fnc5xOBzkIV_G3O2R84"",""2026-27!AN3"")"),0.0)</f>
        <v>0</v>
      </c>
      <c r="CJ56" s="59">
        <f>IFERROR(__xludf.DUMMYFUNCTION("IMPORTRANGE(""1VEbI85GIACBzK7Fr53MA8H90fnc5xOBzkIV_G3O2R84"",""2026-27!AO4"")"),0.0)</f>
        <v>0</v>
      </c>
      <c r="CK56" s="59">
        <f>IFERROR(__xludf.DUMMYFUNCTION("IMPORTRANGE(""1VEbI85GIACBzK7Fr53MA8H90fnc5xOBzkIV_G3O2R84"",""2026-27!AO3"")"),0.0)</f>
        <v>0</v>
      </c>
      <c r="CL56" s="63" t="str">
        <f t="shared" si="91"/>
        <v/>
      </c>
      <c r="CM56" s="59">
        <f>IFERROR(__xludf.DUMMYFUNCTION("IMPORTRANGE(""1VEbI85GIACBzK7Fr53MA8H90fnc5xOBzkIV_G3O2R84"",""2026-27!AP4"")"),0.0)</f>
        <v>0</v>
      </c>
      <c r="CN56" s="59">
        <f>IFERROR(__xludf.DUMMYFUNCTION("IMPORTRANGE(""1VEbI85GIACBzK7Fr53MA8H90fnc5xOBzkIV_G3O2R84"",""2026-27!AP3"")"),0.0)</f>
        <v>0</v>
      </c>
      <c r="CO56" s="59">
        <f>IFERROR(__xludf.DUMMYFUNCTION("IMPORTRANGE(""1VEbI85GIACBzK7Fr53MA8H90fnc5xOBzkIV_G3O2R84"",""2026-27!AQ4"")"),0.0)</f>
        <v>0</v>
      </c>
      <c r="CP56" s="59">
        <f>IFERROR(__xludf.DUMMYFUNCTION("IMPORTRANGE(""1VEbI85GIACBzK7Fr53MA8H90fnc5xOBzkIV_G3O2R84"",""2026-27!AQ3"")"),0.0)</f>
        <v>0</v>
      </c>
      <c r="CQ56" s="59">
        <f>IFERROR(__xludf.DUMMYFUNCTION("IMPORTRANGE(""1VEbI85GIACBzK7Fr53MA8H90fnc5xOBzkIV_G3O2R84"",""2026-27!AR4"")"),0.0)</f>
        <v>0</v>
      </c>
      <c r="CR56" s="59">
        <f>IFERROR(__xludf.DUMMYFUNCTION("IMPORTRANGE(""1VEbI85GIACBzK7Fr53MA8H90fnc5xOBzkIV_G3O2R84"",""2026-27!AR3"")"),0.0)</f>
        <v>0</v>
      </c>
      <c r="CS56" s="63" t="str">
        <f t="shared" si="92"/>
        <v/>
      </c>
      <c r="CT56" s="59">
        <f>IFERROR(__xludf.DUMMYFUNCTION("IMPORTRANGE(""1VEbI85GIACBzK7Fr53MA8H90fnc5xOBzkIV_G3O2R84"",""2026-27!AS4"")"),0.0)</f>
        <v>0</v>
      </c>
      <c r="CU56" s="59">
        <f>IFERROR(__xludf.DUMMYFUNCTION("IMPORTRANGE(""1VEbI85GIACBzK7Fr53MA8H90fnc5xOBzkIV_G3O2R84"",""2026-27!AS3"")"),0.0)</f>
        <v>0</v>
      </c>
      <c r="CV56" s="64"/>
    </row>
    <row r="57">
      <c r="A57" s="1" t="s">
        <v>103</v>
      </c>
      <c r="B57" s="41"/>
      <c r="C57" s="105" t="s">
        <v>125</v>
      </c>
      <c r="D57" s="53" t="s">
        <v>126</v>
      </c>
      <c r="E57" s="54">
        <v>9.795362536E9</v>
      </c>
      <c r="F57" s="80">
        <v>45080.0</v>
      </c>
      <c r="G57" s="66"/>
      <c r="H57" s="66"/>
      <c r="I57" s="57">
        <v>57990.0</v>
      </c>
      <c r="J57" s="58">
        <v>2950000.0</v>
      </c>
      <c r="K57" s="59">
        <f>IFERROR(__xludf.DUMMYFUNCTION("IMPORTRANGE(""1Aj8bWFTL-YpgmLeRYIHRh9VWv_x0tdoFK37SvSkVoMA"",""2026-27!A3"")"),118.0)</f>
        <v>118</v>
      </c>
      <c r="L57" s="59">
        <f>IFERROR(__xludf.DUMMYFUNCTION("IMPORTRANGE(""1Aj8bWFTL-YpgmLeRYIHRh9VWv_x0tdoFK37SvSkVoMA"",""2026-27!G4"")"),3.09E7)</f>
        <v>30900000</v>
      </c>
      <c r="M57" s="59">
        <f t="shared" si="93"/>
        <v>5896680.38</v>
      </c>
      <c r="N57" s="60">
        <f t="shared" si="79"/>
        <v>0.1484406796</v>
      </c>
      <c r="O57" s="61">
        <f t="shared" si="94"/>
        <v>4586817</v>
      </c>
      <c r="P57" s="59">
        <f>IFERROR(__xludf.DUMMYFUNCTION("IMPORTRANGE(""1Aj8bWFTL-YpgmLeRYIHRh9VWv_x0tdoFK37SvSkVoMA"",""2026-27!J4"")"),2440000.0)</f>
        <v>2440000</v>
      </c>
      <c r="Q57" s="59">
        <f>IFERROR(__xludf.DUMMYFUNCTION("IMPORTRANGE(""1Aj8bWFTL-YpgmLeRYIHRh9VWv_x0tdoFK37SvSkVoMA"",""2026-27!J3"")"),88.0)</f>
        <v>88</v>
      </c>
      <c r="R57" s="59">
        <f>IFERROR(__xludf.DUMMYFUNCTION("IMPORTRANGE(""1Aj8bWFTL-YpgmLeRYIHRh9VWv_x0tdoFK37SvSkVoMA"",""2026-27!K4"")"),1208091.74)</f>
        <v>1208091.74</v>
      </c>
      <c r="S57" s="59">
        <f>IFERROR(__xludf.DUMMYFUNCTION("IMPORTRANGE(""1Aj8bWFTL-YpgmLeRYIHRh9VWv_x0tdoFK37SvSkVoMA"",""2026-27!K3"")"),16.0)</f>
        <v>16</v>
      </c>
      <c r="T57" s="62">
        <f t="shared" si="81"/>
        <v>0.3146836066</v>
      </c>
      <c r="U57" s="59">
        <f>IFERROR(__xludf.DUMMYFUNCTION("IMPORTRANGE(""1Aj8bWFTL-YpgmLeRYIHRh9VWv_x0tdoFK37SvSkVoMA"",""2026-27!L4"")"),767828.0)</f>
        <v>767828</v>
      </c>
      <c r="V57" s="59">
        <f>IFERROR(__xludf.DUMMYFUNCTION("IMPORTRANGE(""1Aj8bWFTL-YpgmLeRYIHRh9VWv_x0tdoFK37SvSkVoMA"",""2026-27!L3"")"),12.0)</f>
        <v>12</v>
      </c>
      <c r="W57" s="59">
        <f>IFERROR(__xludf.DUMMYFUNCTION("IMPORTRANGE(""1Aj8bWFTL-YpgmLeRYIHRh9VWv_x0tdoFK37SvSkVoMA"",""2026-27!m4"")"),2475000.0)</f>
        <v>2475000</v>
      </c>
      <c r="X57" s="59">
        <f>IFERROR(__xludf.DUMMYFUNCTION("IMPORTRANGE(""1Aj8bWFTL-YpgmLeRYIHRh9VWv_x0tdoFK37SvSkVoMA"",""2026-27!m3"")"),88.0)</f>
        <v>88</v>
      </c>
      <c r="Y57" s="59">
        <f>IFERROR(__xludf.DUMMYFUNCTION("IMPORTRANGE(""1Aj8bWFTL-YpgmLeRYIHRh9VWv_x0tdoFK37SvSkVoMA"",""2026-27!N4"")"),2197936.7700000005)</f>
        <v>2197936.77</v>
      </c>
      <c r="Z57" s="59">
        <f>IFERROR(__xludf.DUMMYFUNCTION("IMPORTRANGE(""1Aj8bWFTL-YpgmLeRYIHRh9VWv_x0tdoFK37SvSkVoMA"",""2026-27!N3"")"),17.0)</f>
        <v>17</v>
      </c>
      <c r="AA57" s="62">
        <f t="shared" si="82"/>
        <v>0.7929866667</v>
      </c>
      <c r="AB57" s="59">
        <f>IFERROR(__xludf.DUMMYFUNCTION("IMPORTRANGE(""1Aj8bWFTL-YpgmLeRYIHRh9VWv_x0tdoFK37SvSkVoMA"",""2026-27!O4"")"),1962642.0)</f>
        <v>1962642</v>
      </c>
      <c r="AC57" s="59">
        <f>IFERROR(__xludf.DUMMYFUNCTION("IMPORTRANGE(""1Aj8bWFTL-YpgmLeRYIHRh9VWv_x0tdoFK37SvSkVoMA"",""2026-27!O3"")"),19.0)</f>
        <v>19</v>
      </c>
      <c r="AD57" s="59">
        <f>IFERROR(__xludf.DUMMYFUNCTION("IMPORTRANGE(""1Aj8bWFTL-YpgmLeRYIHRh9VWv_x0tdoFK37SvSkVoMA"",""2026-27!P4"")"),2520000.0)</f>
        <v>2520000</v>
      </c>
      <c r="AE57" s="59">
        <f>IFERROR(__xludf.DUMMYFUNCTION("IMPORTRANGE(""1Aj8bWFTL-YpgmLeRYIHRh9VWv_x0tdoFK37SvSkVoMA"",""2026-27!P3"")"),88.0)</f>
        <v>88</v>
      </c>
      <c r="AF57" s="59">
        <f>IFERROR(__xludf.DUMMYFUNCTION("IMPORTRANGE(""1Aj8bWFTL-YpgmLeRYIHRh9VWv_x0tdoFK37SvSkVoMA"",""2026-27!Q4"")"),2490651.87)</f>
        <v>2490651.87</v>
      </c>
      <c r="AG57" s="59">
        <f>IFERROR(__xludf.DUMMYFUNCTION("IMPORTRANGE(""1Aj8bWFTL-YpgmLeRYIHRh9VWv_x0tdoFK37SvSkVoMA"",""2026-27!Q3"")"),18.0)</f>
        <v>18</v>
      </c>
      <c r="AH57" s="62">
        <f t="shared" si="83"/>
        <v>0.7366456349</v>
      </c>
      <c r="AI57" s="59">
        <f>IFERROR(__xludf.DUMMYFUNCTION("IMPORTRANGE(""1Aj8bWFTL-YpgmLeRYIHRh9VWv_x0tdoFK37SvSkVoMA"",""2026-27!R4"")"),1856347.0)</f>
        <v>1856347</v>
      </c>
      <c r="AJ57" s="59">
        <f>IFERROR(__xludf.DUMMYFUNCTION("IMPORTRANGE(""1Aj8bWFTL-YpgmLeRYIHRh9VWv_x0tdoFK37SvSkVoMA"",""2026-27!R3"")"),18.0)</f>
        <v>18</v>
      </c>
      <c r="AK57" s="59">
        <f>IFERROR(__xludf.DUMMYFUNCTION("IMPORTRANGE(""1Aj8bWFTL-YpgmLeRYIHRh9VWv_x0tdoFK37SvSkVoMA"",""2026-27!S4"")"),2910000.0)</f>
        <v>2910000</v>
      </c>
      <c r="AL57" s="59">
        <f>IFERROR(__xludf.DUMMYFUNCTION("IMPORTRANGE(""1Aj8bWFTL-YpgmLeRYIHRh9VWv_x0tdoFK37SvSkVoMA"",""2026-27!S3"")"),86.0)</f>
        <v>86</v>
      </c>
      <c r="AM57" s="59">
        <f>IFERROR(__xludf.DUMMYFUNCTION("IMPORTRANGE(""1Aj8bWFTL-YpgmLeRYIHRh9VWv_x0tdoFK37SvSkVoMA"",""2026-27!T4"")"),0.0)</f>
        <v>0</v>
      </c>
      <c r="AN57" s="59">
        <f>IFERROR(__xludf.DUMMYFUNCTION("IMPORTRANGE(""1Aj8bWFTL-YpgmLeRYIHRh9VWv_x0tdoFK37SvSkVoMA"",""2026-27!T3"")"),0.0)</f>
        <v>0</v>
      </c>
      <c r="AO57" s="62">
        <f t="shared" si="84"/>
        <v>0</v>
      </c>
      <c r="AP57" s="59">
        <f>IFERROR(__xludf.DUMMYFUNCTION("IMPORTRANGE(""1Aj8bWFTL-YpgmLeRYIHRh9VWv_x0tdoFK37SvSkVoMA"",""2026-27!U4"")"),0.0)</f>
        <v>0</v>
      </c>
      <c r="AQ57" s="59">
        <f>IFERROR(__xludf.DUMMYFUNCTION("IMPORTRANGE(""1Aj8bWFTL-YpgmLeRYIHRh9VWv_x0tdoFK37SvSkVoMA"",""2026-27!U3"")"),0.0)</f>
        <v>0</v>
      </c>
      <c r="AR57" s="59">
        <f>IFERROR(__xludf.DUMMYFUNCTION("IMPORTRANGE(""1Aj8bWFTL-YpgmLeRYIHRh9VWv_x0tdoFK37SvSkVoMA"",""2026-27!V4"")"),2860000.0)</f>
        <v>2860000</v>
      </c>
      <c r="AS57" s="59">
        <f>IFERROR(__xludf.DUMMYFUNCTION("IMPORTRANGE(""1Aj8bWFTL-YpgmLeRYIHRh9VWv_x0tdoFK37SvSkVoMA"",""2026-27!V3"")"),85.0)</f>
        <v>85</v>
      </c>
      <c r="AT57" s="59">
        <f>IFERROR(__xludf.DUMMYFUNCTION("IMPORTRANGE(""1Aj8bWFTL-YpgmLeRYIHRh9VWv_x0tdoFK37SvSkVoMA"",""2026-27!W4"")"),0.0)</f>
        <v>0</v>
      </c>
      <c r="AU57" s="59">
        <f>IFERROR(__xludf.DUMMYFUNCTION("IMPORTRANGE(""1Aj8bWFTL-YpgmLeRYIHRh9VWv_x0tdoFK37SvSkVoMA"",""2026-27!W3"")"),0.0)</f>
        <v>0</v>
      </c>
      <c r="AV57" s="62">
        <f t="shared" si="85"/>
        <v>0</v>
      </c>
      <c r="AW57" s="59">
        <f>IFERROR(__xludf.DUMMYFUNCTION("IMPORTRANGE(""1Aj8bWFTL-YpgmLeRYIHRh9VWv_x0tdoFK37SvSkVoMA"",""2026-27!X4"")"),0.0)</f>
        <v>0</v>
      </c>
      <c r="AX57" s="59">
        <f>IFERROR(__xludf.DUMMYFUNCTION("IMPORTRANGE(""1Aj8bWFTL-YpgmLeRYIHRh9VWv_x0tdoFK37SvSkVoMA"",""2026-27!X3"")"),0.0)</f>
        <v>0</v>
      </c>
      <c r="AY57" s="59">
        <f>IFERROR(__xludf.DUMMYFUNCTION("IMPORTRANGE(""1Aj8bWFTL-YpgmLeRYIHRh9VWv_x0tdoFK37SvSkVoMA"",""2026-27!Y4"")"),0.0)</f>
        <v>0</v>
      </c>
      <c r="AZ57" s="59">
        <f>IFERROR(__xludf.DUMMYFUNCTION("IMPORTRANGE(""1Aj8bWFTL-YpgmLeRYIHRh9VWv_x0tdoFK37SvSkVoMA"",""2026-27!Y3"")"),0.0)</f>
        <v>0</v>
      </c>
      <c r="BA57" s="59">
        <f>IFERROR(__xludf.DUMMYFUNCTION("IMPORTRANGE(""1Aj8bWFTL-YpgmLeRYIHRh9VWv_x0tdoFK37SvSkVoMA"",""2026-27!Z4"")"),0.0)</f>
        <v>0</v>
      </c>
      <c r="BB57" s="59">
        <f>IFERROR(__xludf.DUMMYFUNCTION("IMPORTRANGE(""1Aj8bWFTL-YpgmLeRYIHRh9VWv_x0tdoFK37SvSkVoMA"",""2026-27!Z3"")"),0.0)</f>
        <v>0</v>
      </c>
      <c r="BC57" s="63" t="str">
        <f t="shared" si="86"/>
        <v/>
      </c>
      <c r="BD57" s="59">
        <f>IFERROR(__xludf.DUMMYFUNCTION("IMPORTRANGE(""1Aj8bWFTL-YpgmLeRYIHRh9VWv_x0tdoFK37SvSkVoMA"",""2026-27!AA4"")"),0.0)</f>
        <v>0</v>
      </c>
      <c r="BE57" s="59">
        <f>IFERROR(__xludf.DUMMYFUNCTION("IMPORTRANGE(""1Aj8bWFTL-YpgmLeRYIHRh9VWv_x0tdoFK37SvSkVoMA"",""2026-27!AA3"")"),0.0)</f>
        <v>0</v>
      </c>
      <c r="BF57" s="59">
        <f>IFERROR(__xludf.DUMMYFUNCTION("IMPORTRANGE(""1Aj8bWFTL-YpgmLeRYIHRh9VWv_x0tdoFK37SvSkVoMA"",""2026-27!AB4"")"),0.0)</f>
        <v>0</v>
      </c>
      <c r="BG57" s="59">
        <f>IFERROR(__xludf.DUMMYFUNCTION("IMPORTRANGE(""1Aj8bWFTL-YpgmLeRYIHRh9VWv_x0tdoFK37SvSkVoMA"",""2026-27!AB3"")"),0.0)</f>
        <v>0</v>
      </c>
      <c r="BH57" s="59">
        <f>IFERROR(__xludf.DUMMYFUNCTION("IMPORTRANGE(""1Aj8bWFTL-YpgmLeRYIHRh9VWv_x0tdoFK37SvSkVoMA"",""2026-27!AC4"")"),0.0)</f>
        <v>0</v>
      </c>
      <c r="BI57" s="59">
        <f>IFERROR(__xludf.DUMMYFUNCTION("IMPORTRANGE(""1Aj8bWFTL-YpgmLeRYIHRh9VWv_x0tdoFK37SvSkVoMA"",""2026-27!AC3"")"),0.0)</f>
        <v>0</v>
      </c>
      <c r="BJ57" s="63" t="str">
        <f t="shared" si="87"/>
        <v/>
      </c>
      <c r="BK57" s="59">
        <f>IFERROR(__xludf.DUMMYFUNCTION("IMPORTRANGE(""1Aj8bWFTL-YpgmLeRYIHRh9VWv_x0tdoFK37SvSkVoMA"",""2026-27!AD4"")"),0.0)</f>
        <v>0</v>
      </c>
      <c r="BL57" s="59">
        <f>IFERROR(__xludf.DUMMYFUNCTION("IMPORTRANGE(""1Aj8bWFTL-YpgmLeRYIHRh9VWv_x0tdoFK37SvSkVoMA"",""2026-27!AD3"")"),0.0)</f>
        <v>0</v>
      </c>
      <c r="BM57" s="59">
        <f>IFERROR(__xludf.DUMMYFUNCTION("IMPORTRANGE(""1Aj8bWFTL-YpgmLeRYIHRh9VWv_x0tdoFK37SvSkVoMA"",""2026-27!AE4"")"),0.0)</f>
        <v>0</v>
      </c>
      <c r="BN57" s="59">
        <f>IFERROR(__xludf.DUMMYFUNCTION("IMPORTRANGE(""1Aj8bWFTL-YpgmLeRYIHRh9VWv_x0tdoFK37SvSkVoMA"",""2026-27!AE3"")"),0.0)</f>
        <v>0</v>
      </c>
      <c r="BO57" s="59">
        <f>IFERROR(__xludf.DUMMYFUNCTION("IMPORTRANGE(""1Aj8bWFTL-YpgmLeRYIHRh9VWv_x0tdoFK37SvSkVoMA"",""2026-27!AF4"")"),0.0)</f>
        <v>0</v>
      </c>
      <c r="BP57" s="59">
        <f>IFERROR(__xludf.DUMMYFUNCTION("IMPORTRANGE(""1Aj8bWFTL-YpgmLeRYIHRh9VWv_x0tdoFK37SvSkVoMA"",""2026-27!AF3"")"),0.0)</f>
        <v>0</v>
      </c>
      <c r="BQ57" s="63" t="str">
        <f t="shared" si="88"/>
        <v/>
      </c>
      <c r="BR57" s="59">
        <f>IFERROR(__xludf.DUMMYFUNCTION("IMPORTRANGE(""1Aj8bWFTL-YpgmLeRYIHRh9VWv_x0tdoFK37SvSkVoMA"",""2026-27!AG4"")"),0.0)</f>
        <v>0</v>
      </c>
      <c r="BS57" s="59">
        <f>IFERROR(__xludf.DUMMYFUNCTION("IMPORTRANGE(""1Aj8bWFTL-YpgmLeRYIHRh9VWv_x0tdoFK37SvSkVoMA"",""2026-27!AG3"")"),0.0)</f>
        <v>0</v>
      </c>
      <c r="BT57" s="59">
        <f>IFERROR(__xludf.DUMMYFUNCTION("IMPORTRANGE(""1Aj8bWFTL-YpgmLeRYIHRh9VWv_x0tdoFK37SvSkVoMA"",""2026-27!AH4"")"),0.0)</f>
        <v>0</v>
      </c>
      <c r="BU57" s="59">
        <f>IFERROR(__xludf.DUMMYFUNCTION("IMPORTRANGE(""1Aj8bWFTL-YpgmLeRYIHRh9VWv_x0tdoFK37SvSkVoMA"",""2026-27!AH3"")"),0.0)</f>
        <v>0</v>
      </c>
      <c r="BV57" s="59">
        <f>IFERROR(__xludf.DUMMYFUNCTION("IMPORTRANGE(""1Aj8bWFTL-YpgmLeRYIHRh9VWv_x0tdoFK37SvSkVoMA"",""2026-27!AI4"")"),0.0)</f>
        <v>0</v>
      </c>
      <c r="BW57" s="59">
        <f>IFERROR(__xludf.DUMMYFUNCTION("IMPORTRANGE(""1Aj8bWFTL-YpgmLeRYIHRh9VWv_x0tdoFK37SvSkVoMA"",""2026-27!AI3"")"),0.0)</f>
        <v>0</v>
      </c>
      <c r="BX57" s="63" t="str">
        <f t="shared" si="89"/>
        <v/>
      </c>
      <c r="BY57" s="59">
        <f>IFERROR(__xludf.DUMMYFUNCTION("IMPORTRANGE(""1Aj8bWFTL-YpgmLeRYIHRh9VWv_x0tdoFK37SvSkVoMA"",""2026-27!AJ4"")"),0.0)</f>
        <v>0</v>
      </c>
      <c r="BZ57" s="59">
        <f>IFERROR(__xludf.DUMMYFUNCTION("IMPORTRANGE(""1Aj8bWFTL-YpgmLeRYIHRh9VWv_x0tdoFK37SvSkVoMA"",""2026-27!AJ3"")"),0.0)</f>
        <v>0</v>
      </c>
      <c r="CA57" s="59">
        <f>IFERROR(__xludf.DUMMYFUNCTION("IMPORTRANGE(""1Aj8bWFTL-YpgmLeRYIHRh9VWv_x0tdoFK37SvSkVoMA"",""2026-27!AK4"")"),0.0)</f>
        <v>0</v>
      </c>
      <c r="CB57" s="59">
        <f>IFERROR(__xludf.DUMMYFUNCTION("IMPORTRANGE(""1Aj8bWFTL-YpgmLeRYIHRh9VWv_x0tdoFK37SvSkVoMA"",""2026-27!AK3"")"),0.0)</f>
        <v>0</v>
      </c>
      <c r="CC57" s="59">
        <f>IFERROR(__xludf.DUMMYFUNCTION("IMPORTRANGE(""1Aj8bWFTL-YpgmLeRYIHRh9VWv_x0tdoFK37SvSkVoMA"",""2026-27!AL4"")"),0.0)</f>
        <v>0</v>
      </c>
      <c r="CD57" s="59">
        <f>IFERROR(__xludf.DUMMYFUNCTION("IMPORTRANGE(""1Aj8bWFTL-YpgmLeRYIHRh9VWv_x0tdoFK37SvSkVoMA"",""2026-27!AL3"")"),0.0)</f>
        <v>0</v>
      </c>
      <c r="CE57" s="63" t="str">
        <f t="shared" si="90"/>
        <v/>
      </c>
      <c r="CF57" s="59">
        <f>IFERROR(__xludf.DUMMYFUNCTION("IMPORTRANGE(""1Aj8bWFTL-YpgmLeRYIHRh9VWv_x0tdoFK37SvSkVoMA"",""2026-27!AM4"")"),0.0)</f>
        <v>0</v>
      </c>
      <c r="CG57" s="59">
        <f>IFERROR(__xludf.DUMMYFUNCTION("IMPORTRANGE(""1Aj8bWFTL-YpgmLeRYIHRh9VWv_x0tdoFK37SvSkVoMA"",""2026-27!AM3"")"),0.0)</f>
        <v>0</v>
      </c>
      <c r="CH57" s="59">
        <f>IFERROR(__xludf.DUMMYFUNCTION("IMPORTRANGE(""1Aj8bWFTL-YpgmLeRYIHRh9VWv_x0tdoFK37SvSkVoMA"",""2026-27!AN4"")"),0.0)</f>
        <v>0</v>
      </c>
      <c r="CI57" s="59">
        <f>IFERROR(__xludf.DUMMYFUNCTION("IMPORTRANGE(""1Aj8bWFTL-YpgmLeRYIHRh9VWv_x0tdoFK37SvSkVoMA"",""2026-27!AN3"")"),0.0)</f>
        <v>0</v>
      </c>
      <c r="CJ57" s="59">
        <f>IFERROR(__xludf.DUMMYFUNCTION("IMPORTRANGE(""1Aj8bWFTL-YpgmLeRYIHRh9VWv_x0tdoFK37SvSkVoMA"",""2026-27!AO4"")"),0.0)</f>
        <v>0</v>
      </c>
      <c r="CK57" s="59">
        <f>IFERROR(__xludf.DUMMYFUNCTION("IMPORTRANGE(""1Aj8bWFTL-YpgmLeRYIHRh9VWv_x0tdoFK37SvSkVoMA"",""2026-27!AO3"")"),0.0)</f>
        <v>0</v>
      </c>
      <c r="CL57" s="63" t="str">
        <f t="shared" si="91"/>
        <v/>
      </c>
      <c r="CM57" s="59">
        <f>IFERROR(__xludf.DUMMYFUNCTION("IMPORTRANGE(""1Aj8bWFTL-YpgmLeRYIHRh9VWv_x0tdoFK37SvSkVoMA"",""2026-27!AP4"")"),0.0)</f>
        <v>0</v>
      </c>
      <c r="CN57" s="59">
        <f>IFERROR(__xludf.DUMMYFUNCTION("IMPORTRANGE(""1Aj8bWFTL-YpgmLeRYIHRh9VWv_x0tdoFK37SvSkVoMA"",""2026-27!AP3"")"),0.0)</f>
        <v>0</v>
      </c>
      <c r="CO57" s="59">
        <f>IFERROR(__xludf.DUMMYFUNCTION("IMPORTRANGE(""1Aj8bWFTL-YpgmLeRYIHRh9VWv_x0tdoFK37SvSkVoMA"",""2026-27!AQ4"")"),0.0)</f>
        <v>0</v>
      </c>
      <c r="CP57" s="59">
        <f>IFERROR(__xludf.DUMMYFUNCTION("IMPORTRANGE(""1Aj8bWFTL-YpgmLeRYIHRh9VWv_x0tdoFK37SvSkVoMA"",""2026-27!AQ3"")"),0.0)</f>
        <v>0</v>
      </c>
      <c r="CQ57" s="59">
        <f>IFERROR(__xludf.DUMMYFUNCTION("IMPORTRANGE(""1Aj8bWFTL-YpgmLeRYIHRh9VWv_x0tdoFK37SvSkVoMA"",""2026-27!AR4"")"),0.0)</f>
        <v>0</v>
      </c>
      <c r="CR57" s="59">
        <f>IFERROR(__xludf.DUMMYFUNCTION("IMPORTRANGE(""1Aj8bWFTL-YpgmLeRYIHRh9VWv_x0tdoFK37SvSkVoMA"",""2026-27!AR3"")"),0.0)</f>
        <v>0</v>
      </c>
      <c r="CS57" s="63" t="str">
        <f t="shared" si="92"/>
        <v/>
      </c>
      <c r="CT57" s="59">
        <f>IFERROR(__xludf.DUMMYFUNCTION("IMPORTRANGE(""1Aj8bWFTL-YpgmLeRYIHRh9VWv_x0tdoFK37SvSkVoMA"",""2026-27!AS4"")"),0.0)</f>
        <v>0</v>
      </c>
      <c r="CU57" s="59">
        <f>IFERROR(__xludf.DUMMYFUNCTION("IMPORTRANGE(""1Aj8bWFTL-YpgmLeRYIHRh9VWv_x0tdoFK37SvSkVoMA"",""2026-27!AS3"")"),0.0)</f>
        <v>0</v>
      </c>
      <c r="CV57" s="64"/>
    </row>
    <row r="58">
      <c r="A58" s="1" t="s">
        <v>103</v>
      </c>
      <c r="B58" s="41"/>
      <c r="C58" s="105" t="s">
        <v>127</v>
      </c>
      <c r="D58" s="53" t="s">
        <v>128</v>
      </c>
      <c r="E58" s="54">
        <v>7.068809048E9</v>
      </c>
      <c r="F58" s="80">
        <v>45121.0</v>
      </c>
      <c r="G58" s="66"/>
      <c r="H58" s="66"/>
      <c r="I58" s="57">
        <v>27784.0</v>
      </c>
      <c r="J58" s="58">
        <v>2650000.0</v>
      </c>
      <c r="K58" s="59">
        <f>IFERROR(__xludf.DUMMYFUNCTION("IMPORTRANGE(""1Rxe7z3t_XfrfvmDl_1EhXw1OSPwOK642EiaRHONm2Oc"",""2026-27!A3"")"),75.0)</f>
        <v>75</v>
      </c>
      <c r="L58" s="59">
        <f>IFERROR(__xludf.DUMMYFUNCTION("IMPORTRANGE(""1Rxe7z3t_XfrfvmDl_1EhXw1OSPwOK642EiaRHONm2Oc"",""2026-27!G4"")"),2.835E7)</f>
        <v>28350000</v>
      </c>
      <c r="M58" s="59">
        <f t="shared" si="93"/>
        <v>5102855.62</v>
      </c>
      <c r="N58" s="60">
        <f t="shared" si="79"/>
        <v>0.08445354497</v>
      </c>
      <c r="O58" s="61">
        <f t="shared" si="94"/>
        <v>2394258</v>
      </c>
      <c r="P58" s="59">
        <f>IFERROR(__xludf.DUMMYFUNCTION("IMPORTRANGE(""1Rxe7z3t_XfrfvmDl_1EhXw1OSPwOK642EiaRHONm2Oc"",""2026-27!J4"")"),0.0)</f>
        <v>0</v>
      </c>
      <c r="Q58" s="59">
        <f>IFERROR(__xludf.DUMMYFUNCTION("IMPORTRANGE(""1Rxe7z3t_XfrfvmDl_1EhXw1OSPwOK642EiaRHONm2Oc"",""2026-27!J3"")"),0.0)</f>
        <v>0</v>
      </c>
      <c r="R58" s="59">
        <f>IFERROR(__xludf.DUMMYFUNCTION("IMPORTRANGE(""1Rxe7z3t_XfrfvmDl_1EhXw1OSPwOK642EiaRHONm2Oc"",""2026-27!K4"")"),0.0)</f>
        <v>0</v>
      </c>
      <c r="S58" s="59">
        <f>IFERROR(__xludf.DUMMYFUNCTION("IMPORTRANGE(""1Rxe7z3t_XfrfvmDl_1EhXw1OSPwOK642EiaRHONm2Oc"",""2026-27!K3"")"),0.0)</f>
        <v>0</v>
      </c>
      <c r="T58" s="62" t="str">
        <f t="shared" si="81"/>
        <v/>
      </c>
      <c r="U58" s="59">
        <f>IFERROR(__xludf.DUMMYFUNCTION("IMPORTRANGE(""1Rxe7z3t_XfrfvmDl_1EhXw1OSPwOK642EiaRHONm2Oc"",""2026-27!L4"")"),0.0)</f>
        <v>0</v>
      </c>
      <c r="V58" s="59">
        <f>IFERROR(__xludf.DUMMYFUNCTION("IMPORTRANGE(""1Rxe7z3t_XfrfvmDl_1EhXw1OSPwOK642EiaRHONm2Oc"",""2026-27!L3"")"),0.0)</f>
        <v>0</v>
      </c>
      <c r="W58" s="59">
        <f>IFERROR(__xludf.DUMMYFUNCTION("IMPORTRANGE(""1Rxe7z3t_XfrfvmDl_1EhXw1OSPwOK642EiaRHONm2Oc"",""2026-27!m4"")"),2230000.0)</f>
        <v>2230000</v>
      </c>
      <c r="X58" s="59">
        <f>IFERROR(__xludf.DUMMYFUNCTION("IMPORTRANGE(""1Rxe7z3t_XfrfvmDl_1EhXw1OSPwOK642EiaRHONm2Oc"",""2026-27!m3"")"),25.0)</f>
        <v>25</v>
      </c>
      <c r="Y58" s="59">
        <f>IFERROR(__xludf.DUMMYFUNCTION("IMPORTRANGE(""1Rxe7z3t_XfrfvmDl_1EhXw1OSPwOK642EiaRHONm2Oc"",""2026-27!N4"")"),2480900.6599999997)</f>
        <v>2480900.66</v>
      </c>
      <c r="Z58" s="59">
        <f>IFERROR(__xludf.DUMMYFUNCTION("IMPORTRANGE(""1Rxe7z3t_XfrfvmDl_1EhXw1OSPwOK642EiaRHONm2Oc"",""2026-27!N3"")"),21.0)</f>
        <v>21</v>
      </c>
      <c r="AA58" s="62">
        <f t="shared" si="82"/>
        <v>1.073658296</v>
      </c>
      <c r="AB58" s="59">
        <f>IFERROR(__xludf.DUMMYFUNCTION("IMPORTRANGE(""1Rxe7z3t_XfrfvmDl_1EhXw1OSPwOK642EiaRHONm2Oc"",""2026-27!O4"")"),2394258.0)</f>
        <v>2394258</v>
      </c>
      <c r="AC58" s="59">
        <f>IFERROR(__xludf.DUMMYFUNCTION("IMPORTRANGE(""1Rxe7z3t_XfrfvmDl_1EhXw1OSPwOK642EiaRHONm2Oc"",""2026-27!O3"")"),21.0)</f>
        <v>21</v>
      </c>
      <c r="AD58" s="59">
        <f>IFERROR(__xludf.DUMMYFUNCTION("IMPORTRANGE(""1Rxe7z3t_XfrfvmDl_1EhXw1OSPwOK642EiaRHONm2Oc"",""2026-27!P4"")"),2550000.0)</f>
        <v>2550000</v>
      </c>
      <c r="AE58" s="59">
        <f>IFERROR(__xludf.DUMMYFUNCTION("IMPORTRANGE(""1Rxe7z3t_XfrfvmDl_1EhXw1OSPwOK642EiaRHONm2Oc"",""2026-27!P3"")"),27.0)</f>
        <v>27</v>
      </c>
      <c r="AF58" s="59">
        <f>IFERROR(__xludf.DUMMYFUNCTION("IMPORTRANGE(""1Rxe7z3t_XfrfvmDl_1EhXw1OSPwOK642EiaRHONm2Oc"",""2026-27!Q4"")"),2621954.9600000004)</f>
        <v>2621954.96</v>
      </c>
      <c r="AG58" s="59">
        <f>IFERROR(__xludf.DUMMYFUNCTION("IMPORTRANGE(""1Rxe7z3t_XfrfvmDl_1EhXw1OSPwOK642EiaRHONm2Oc"",""2026-27!Q3"")"),21.0)</f>
        <v>21</v>
      </c>
      <c r="AH58" s="62">
        <f t="shared" si="83"/>
        <v>0</v>
      </c>
      <c r="AI58" s="59">
        <f>IFERROR(__xludf.DUMMYFUNCTION("IMPORTRANGE(""1Rxe7z3t_XfrfvmDl_1EhXw1OSPwOK642EiaRHONm2Oc"",""2026-27!R4"")"),0.0)</f>
        <v>0</v>
      </c>
      <c r="AJ58" s="59">
        <f>IFERROR(__xludf.DUMMYFUNCTION("IMPORTRANGE(""1Rxe7z3t_XfrfvmDl_1EhXw1OSPwOK642EiaRHONm2Oc"",""2026-27!R3"")"),0.0)</f>
        <v>0</v>
      </c>
      <c r="AK58" s="59">
        <f>IFERROR(__xludf.DUMMYFUNCTION("IMPORTRANGE(""1Rxe7z3t_XfrfvmDl_1EhXw1OSPwOK642EiaRHONm2Oc"",""2026-27!S4"")"),0.0)</f>
        <v>0</v>
      </c>
      <c r="AL58" s="59">
        <f>IFERROR(__xludf.DUMMYFUNCTION("IMPORTRANGE(""1Rxe7z3t_XfrfvmDl_1EhXw1OSPwOK642EiaRHONm2Oc"",""2026-27!S3"")"),0.0)</f>
        <v>0</v>
      </c>
      <c r="AM58" s="59">
        <f>IFERROR(__xludf.DUMMYFUNCTION("IMPORTRANGE(""1Rxe7z3t_XfrfvmDl_1EhXw1OSPwOK642EiaRHONm2Oc"",""2026-27!T4"")"),0.0)</f>
        <v>0</v>
      </c>
      <c r="AN58" s="59">
        <f>IFERROR(__xludf.DUMMYFUNCTION("IMPORTRANGE(""1Rxe7z3t_XfrfvmDl_1EhXw1OSPwOK642EiaRHONm2Oc"",""2026-27!T3"")"),0.0)</f>
        <v>0</v>
      </c>
      <c r="AO58" s="62" t="str">
        <f t="shared" si="84"/>
        <v/>
      </c>
      <c r="AP58" s="59">
        <f>IFERROR(__xludf.DUMMYFUNCTION("IMPORTRANGE(""1Rxe7z3t_XfrfvmDl_1EhXw1OSPwOK642EiaRHONm2Oc"",""2026-27!U4"")"),0.0)</f>
        <v>0</v>
      </c>
      <c r="AQ58" s="59">
        <f>IFERROR(__xludf.DUMMYFUNCTION("IMPORTRANGE(""1Rxe7z3t_XfrfvmDl_1EhXw1OSPwOK642EiaRHONm2Oc"",""2026-27!U3"")"),0.0)</f>
        <v>0</v>
      </c>
      <c r="AR58" s="59">
        <f>IFERROR(__xludf.DUMMYFUNCTION("IMPORTRANGE(""1Rxe7z3t_XfrfvmDl_1EhXw1OSPwOK642EiaRHONm2Oc"",""2026-27!V4"")"),0.0)</f>
        <v>0</v>
      </c>
      <c r="AS58" s="59">
        <f>IFERROR(__xludf.DUMMYFUNCTION("IMPORTRANGE(""1Rxe7z3t_XfrfvmDl_1EhXw1OSPwOK642EiaRHONm2Oc"",""2026-27!V3"")"),0.0)</f>
        <v>0</v>
      </c>
      <c r="AT58" s="59">
        <f>IFERROR(__xludf.DUMMYFUNCTION("IMPORTRANGE(""1Rxe7z3t_XfrfvmDl_1EhXw1OSPwOK642EiaRHONm2Oc"",""2026-27!W4"")"),0.0)</f>
        <v>0</v>
      </c>
      <c r="AU58" s="59">
        <f>IFERROR(__xludf.DUMMYFUNCTION("IMPORTRANGE(""1Rxe7z3t_XfrfvmDl_1EhXw1OSPwOK642EiaRHONm2Oc"",""2026-27!W3"")"),0.0)</f>
        <v>0</v>
      </c>
      <c r="AV58" s="62" t="str">
        <f t="shared" si="85"/>
        <v/>
      </c>
      <c r="AW58" s="59">
        <f>IFERROR(__xludf.DUMMYFUNCTION("IMPORTRANGE(""1Rxe7z3t_XfrfvmDl_1EhXw1OSPwOK642EiaRHONm2Oc"",""2026-27!X4"")"),0.0)</f>
        <v>0</v>
      </c>
      <c r="AX58" s="59">
        <f>IFERROR(__xludf.DUMMYFUNCTION("IMPORTRANGE(""1Rxe7z3t_XfrfvmDl_1EhXw1OSPwOK642EiaRHONm2Oc"",""2026-27!X3"")"),0.0)</f>
        <v>0</v>
      </c>
      <c r="AY58" s="59">
        <f>IFERROR(__xludf.DUMMYFUNCTION("IMPORTRANGE(""1Rxe7z3t_XfrfvmDl_1EhXw1OSPwOK642EiaRHONm2Oc"",""2026-27!Y4"")"),0.0)</f>
        <v>0</v>
      </c>
      <c r="AZ58" s="59">
        <f>IFERROR(__xludf.DUMMYFUNCTION("IMPORTRANGE(""1Rxe7z3t_XfrfvmDl_1EhXw1OSPwOK642EiaRHONm2Oc"",""2026-27!Y3"")"),0.0)</f>
        <v>0</v>
      </c>
      <c r="BA58" s="59">
        <f>IFERROR(__xludf.DUMMYFUNCTION("IMPORTRANGE(""1Rxe7z3t_XfrfvmDl_1EhXw1OSPwOK642EiaRHONm2Oc"",""2026-27!Z4"")"),0.0)</f>
        <v>0</v>
      </c>
      <c r="BB58" s="59">
        <f>IFERROR(__xludf.DUMMYFUNCTION("IMPORTRANGE(""1Rxe7z3t_XfrfvmDl_1EhXw1OSPwOK642EiaRHONm2Oc"",""2026-27!Z3"")"),0.0)</f>
        <v>0</v>
      </c>
      <c r="BC58" s="63" t="str">
        <f t="shared" si="86"/>
        <v/>
      </c>
      <c r="BD58" s="59">
        <f>IFERROR(__xludf.DUMMYFUNCTION("IMPORTRANGE(""1Rxe7z3t_XfrfvmDl_1EhXw1OSPwOK642EiaRHONm2Oc"",""2026-27!AA4"")"),0.0)</f>
        <v>0</v>
      </c>
      <c r="BE58" s="59">
        <f>IFERROR(__xludf.DUMMYFUNCTION("IMPORTRANGE(""1Rxe7z3t_XfrfvmDl_1EhXw1OSPwOK642EiaRHONm2Oc"",""2026-27!AA3"")"),0.0)</f>
        <v>0</v>
      </c>
      <c r="BF58" s="59">
        <f>IFERROR(__xludf.DUMMYFUNCTION("IMPORTRANGE(""1Rxe7z3t_XfrfvmDl_1EhXw1OSPwOK642EiaRHONm2Oc"",""2026-27!AB4"")"),0.0)</f>
        <v>0</v>
      </c>
      <c r="BG58" s="59">
        <f>IFERROR(__xludf.DUMMYFUNCTION("IMPORTRANGE(""1Rxe7z3t_XfrfvmDl_1EhXw1OSPwOK642EiaRHONm2Oc"",""2026-27!AB3"")"),0.0)</f>
        <v>0</v>
      </c>
      <c r="BH58" s="59">
        <f>IFERROR(__xludf.DUMMYFUNCTION("IMPORTRANGE(""1Rxe7z3t_XfrfvmDl_1EhXw1OSPwOK642EiaRHONm2Oc"",""2026-27!AC4"")"),0.0)</f>
        <v>0</v>
      </c>
      <c r="BI58" s="59">
        <f>IFERROR(__xludf.DUMMYFUNCTION("IMPORTRANGE(""1Rxe7z3t_XfrfvmDl_1EhXw1OSPwOK642EiaRHONm2Oc"",""2026-27!AC3"")"),0.0)</f>
        <v>0</v>
      </c>
      <c r="BJ58" s="63" t="str">
        <f t="shared" si="87"/>
        <v/>
      </c>
      <c r="BK58" s="59">
        <f>IFERROR(__xludf.DUMMYFUNCTION("IMPORTRANGE(""1Rxe7z3t_XfrfvmDl_1EhXw1OSPwOK642EiaRHONm2Oc"",""2026-27!AD4"")"),0.0)</f>
        <v>0</v>
      </c>
      <c r="BL58" s="59">
        <f>IFERROR(__xludf.DUMMYFUNCTION("IMPORTRANGE(""1Rxe7z3t_XfrfvmDl_1EhXw1OSPwOK642EiaRHONm2Oc"",""2026-27!AD3"")"),0.0)</f>
        <v>0</v>
      </c>
      <c r="BM58" s="59">
        <f>IFERROR(__xludf.DUMMYFUNCTION("IMPORTRANGE(""1Rxe7z3t_XfrfvmDl_1EhXw1OSPwOK642EiaRHONm2Oc"",""2026-27!AE4"")"),0.0)</f>
        <v>0</v>
      </c>
      <c r="BN58" s="59">
        <f>IFERROR(__xludf.DUMMYFUNCTION("IMPORTRANGE(""1Rxe7z3t_XfrfvmDl_1EhXw1OSPwOK642EiaRHONm2Oc"",""2026-27!AE3"")"),0.0)</f>
        <v>0</v>
      </c>
      <c r="BO58" s="59">
        <f>IFERROR(__xludf.DUMMYFUNCTION("IMPORTRANGE(""1Rxe7z3t_XfrfvmDl_1EhXw1OSPwOK642EiaRHONm2Oc"",""2026-27!AF4"")"),0.0)</f>
        <v>0</v>
      </c>
      <c r="BP58" s="59">
        <f>IFERROR(__xludf.DUMMYFUNCTION("IMPORTRANGE(""1Rxe7z3t_XfrfvmDl_1EhXw1OSPwOK642EiaRHONm2Oc"",""2026-27!AF3"")"),0.0)</f>
        <v>0</v>
      </c>
      <c r="BQ58" s="63" t="str">
        <f t="shared" si="88"/>
        <v/>
      </c>
      <c r="BR58" s="59">
        <f>IFERROR(__xludf.DUMMYFUNCTION("IMPORTRANGE(""1Rxe7z3t_XfrfvmDl_1EhXw1OSPwOK642EiaRHONm2Oc"",""2026-27!AG4"")"),0.0)</f>
        <v>0</v>
      </c>
      <c r="BS58" s="59">
        <f>IFERROR(__xludf.DUMMYFUNCTION("IMPORTRANGE(""1Rxe7z3t_XfrfvmDl_1EhXw1OSPwOK642EiaRHONm2Oc"",""2026-27!AG3"")"),0.0)</f>
        <v>0</v>
      </c>
      <c r="BT58" s="59">
        <f>IFERROR(__xludf.DUMMYFUNCTION("IMPORTRANGE(""1Rxe7z3t_XfrfvmDl_1EhXw1OSPwOK642EiaRHONm2Oc"",""2026-27!AH4"")"),0.0)</f>
        <v>0</v>
      </c>
      <c r="BU58" s="59">
        <f>IFERROR(__xludf.DUMMYFUNCTION("IMPORTRANGE(""1Rxe7z3t_XfrfvmDl_1EhXw1OSPwOK642EiaRHONm2Oc"",""2026-27!AH3"")"),0.0)</f>
        <v>0</v>
      </c>
      <c r="BV58" s="59">
        <f>IFERROR(__xludf.DUMMYFUNCTION("IMPORTRANGE(""1Rxe7z3t_XfrfvmDl_1EhXw1OSPwOK642EiaRHONm2Oc"",""2026-27!AI4"")"),0.0)</f>
        <v>0</v>
      </c>
      <c r="BW58" s="59">
        <f>IFERROR(__xludf.DUMMYFUNCTION("IMPORTRANGE(""1Rxe7z3t_XfrfvmDl_1EhXw1OSPwOK642EiaRHONm2Oc"",""2026-27!AI3"")"),0.0)</f>
        <v>0</v>
      </c>
      <c r="BX58" s="63" t="str">
        <f t="shared" si="89"/>
        <v/>
      </c>
      <c r="BY58" s="59">
        <f>IFERROR(__xludf.DUMMYFUNCTION("IMPORTRANGE(""1Rxe7z3t_XfrfvmDl_1EhXw1OSPwOK642EiaRHONm2Oc"",""2026-27!AJ4"")"),0.0)</f>
        <v>0</v>
      </c>
      <c r="BZ58" s="59">
        <f>IFERROR(__xludf.DUMMYFUNCTION("IMPORTRANGE(""1Rxe7z3t_XfrfvmDl_1EhXw1OSPwOK642EiaRHONm2Oc"",""2026-27!AJ3"")"),0.0)</f>
        <v>0</v>
      </c>
      <c r="CA58" s="59">
        <f>IFERROR(__xludf.DUMMYFUNCTION("IMPORTRANGE(""1Rxe7z3t_XfrfvmDl_1EhXw1OSPwOK642EiaRHONm2Oc"",""2026-27!AK4"")"),0.0)</f>
        <v>0</v>
      </c>
      <c r="CB58" s="59">
        <f>IFERROR(__xludf.DUMMYFUNCTION("IMPORTRANGE(""1Rxe7z3t_XfrfvmDl_1EhXw1OSPwOK642EiaRHONm2Oc"",""2026-27!AK3"")"),0.0)</f>
        <v>0</v>
      </c>
      <c r="CC58" s="59">
        <f>IFERROR(__xludf.DUMMYFUNCTION("IMPORTRANGE(""1Rxe7z3t_XfrfvmDl_1EhXw1OSPwOK642EiaRHONm2Oc"",""2026-27!AL4"")"),0.0)</f>
        <v>0</v>
      </c>
      <c r="CD58" s="59">
        <f>IFERROR(__xludf.DUMMYFUNCTION("IMPORTRANGE(""1Rxe7z3t_XfrfvmDl_1EhXw1OSPwOK642EiaRHONm2Oc"",""2026-27!AL3"")"),0.0)</f>
        <v>0</v>
      </c>
      <c r="CE58" s="63" t="str">
        <f t="shared" si="90"/>
        <v/>
      </c>
      <c r="CF58" s="59">
        <f>IFERROR(__xludf.DUMMYFUNCTION("IMPORTRANGE(""1Rxe7z3t_XfrfvmDl_1EhXw1OSPwOK642EiaRHONm2Oc"",""2026-27!AM4"")"),0.0)</f>
        <v>0</v>
      </c>
      <c r="CG58" s="59">
        <f>IFERROR(__xludf.DUMMYFUNCTION("IMPORTRANGE(""1Rxe7z3t_XfrfvmDl_1EhXw1OSPwOK642EiaRHONm2Oc"",""2026-27!AM3"")"),0.0)</f>
        <v>0</v>
      </c>
      <c r="CH58" s="59">
        <f>IFERROR(__xludf.DUMMYFUNCTION("IMPORTRANGE(""1Rxe7z3t_XfrfvmDl_1EhXw1OSPwOK642EiaRHONm2Oc"",""2026-27!AN4"")"),0.0)</f>
        <v>0</v>
      </c>
      <c r="CI58" s="59">
        <f>IFERROR(__xludf.DUMMYFUNCTION("IMPORTRANGE(""1Rxe7z3t_XfrfvmDl_1EhXw1OSPwOK642EiaRHONm2Oc"",""2026-27!AN3"")"),0.0)</f>
        <v>0</v>
      </c>
      <c r="CJ58" s="59">
        <f>IFERROR(__xludf.DUMMYFUNCTION("IMPORTRANGE(""1Rxe7z3t_XfrfvmDl_1EhXw1OSPwOK642EiaRHONm2Oc"",""2026-27!AO4"")"),0.0)</f>
        <v>0</v>
      </c>
      <c r="CK58" s="59">
        <f>IFERROR(__xludf.DUMMYFUNCTION("IMPORTRANGE(""1Rxe7z3t_XfrfvmDl_1EhXw1OSPwOK642EiaRHONm2Oc"",""2026-27!AO3"")"),0.0)</f>
        <v>0</v>
      </c>
      <c r="CL58" s="63" t="str">
        <f t="shared" si="91"/>
        <v/>
      </c>
      <c r="CM58" s="59">
        <f>IFERROR(__xludf.DUMMYFUNCTION("IMPORTRANGE(""1Rxe7z3t_XfrfvmDl_1EhXw1OSPwOK642EiaRHONm2Oc"",""2026-27!AP4"")"),0.0)</f>
        <v>0</v>
      </c>
      <c r="CN58" s="59">
        <f>IFERROR(__xludf.DUMMYFUNCTION("IMPORTRANGE(""1Rxe7z3t_XfrfvmDl_1EhXw1OSPwOK642EiaRHONm2Oc"",""2026-27!AP3"")"),0.0)</f>
        <v>0</v>
      </c>
      <c r="CO58" s="59">
        <f>IFERROR(__xludf.DUMMYFUNCTION("IMPORTRANGE(""1Rxe7z3t_XfrfvmDl_1EhXw1OSPwOK642EiaRHONm2Oc"",""2026-27!AQ4"")"),0.0)</f>
        <v>0</v>
      </c>
      <c r="CP58" s="59">
        <f>IFERROR(__xludf.DUMMYFUNCTION("IMPORTRANGE(""1Rxe7z3t_XfrfvmDl_1EhXw1OSPwOK642EiaRHONm2Oc"",""2026-27!AQ3"")"),0.0)</f>
        <v>0</v>
      </c>
      <c r="CQ58" s="59">
        <f>IFERROR(__xludf.DUMMYFUNCTION("IMPORTRANGE(""1Rxe7z3t_XfrfvmDl_1EhXw1OSPwOK642EiaRHONm2Oc"",""2026-27!AR4"")"),0.0)</f>
        <v>0</v>
      </c>
      <c r="CR58" s="59">
        <f>IFERROR(__xludf.DUMMYFUNCTION("IMPORTRANGE(""1Rxe7z3t_XfrfvmDl_1EhXw1OSPwOK642EiaRHONm2Oc"",""2026-27!AR3"")"),0.0)</f>
        <v>0</v>
      </c>
      <c r="CS58" s="63" t="str">
        <f t="shared" si="92"/>
        <v/>
      </c>
      <c r="CT58" s="59">
        <f>IFERROR(__xludf.DUMMYFUNCTION("IMPORTRANGE(""1Rxe7z3t_XfrfvmDl_1EhXw1OSPwOK642EiaRHONm2Oc"",""2026-27!AS4"")"),0.0)</f>
        <v>0</v>
      </c>
      <c r="CU58" s="59">
        <f>IFERROR(__xludf.DUMMYFUNCTION("IMPORTRANGE(""1Rxe7z3t_XfrfvmDl_1EhXw1OSPwOK642EiaRHONm2Oc"",""2026-27!AS3"")"),0.0)</f>
        <v>0</v>
      </c>
      <c r="CV58" s="64"/>
    </row>
    <row r="59">
      <c r="A59" s="1" t="s">
        <v>103</v>
      </c>
      <c r="B59" s="41"/>
      <c r="C59" s="105" t="s">
        <v>129</v>
      </c>
      <c r="D59" s="53" t="s">
        <v>130</v>
      </c>
      <c r="E59" s="54">
        <v>9.506977281E9</v>
      </c>
      <c r="F59" s="80">
        <v>45122.0</v>
      </c>
      <c r="G59" s="66"/>
      <c r="H59" s="66"/>
      <c r="I59" s="57">
        <v>24182.0</v>
      </c>
      <c r="J59" s="58">
        <v>2132084.0</v>
      </c>
      <c r="K59" s="59">
        <f>IFERROR(__xludf.DUMMYFUNCTION("IMPORTRANGE(""14M5jXuQsrQnNmVEk4qaGhkFZmAEG0r9kxepMstmBo44"",""2026-27!A3"")"),62.0)</f>
        <v>62</v>
      </c>
      <c r="L59" s="59">
        <f>IFERROR(__xludf.DUMMYFUNCTION("IMPORTRANGE(""14M5jXuQsrQnNmVEk4qaGhkFZmAEG0r9kxepMstmBo44"",""2026-27!G4"")"),2.34E7)</f>
        <v>23400000</v>
      </c>
      <c r="M59" s="59">
        <f t="shared" si="93"/>
        <v>3484990.57</v>
      </c>
      <c r="N59" s="60">
        <f t="shared" si="79"/>
        <v>0.0969325641</v>
      </c>
      <c r="O59" s="61">
        <f t="shared" si="94"/>
        <v>2268222</v>
      </c>
      <c r="P59" s="59">
        <f>IFERROR(__xludf.DUMMYFUNCTION("IMPORTRANGE(""14M5jXuQsrQnNmVEk4qaGhkFZmAEG0r9kxepMstmBo44"",""2026-27!J4"")"),1668000.0)</f>
        <v>1668000</v>
      </c>
      <c r="Q59" s="59">
        <f>IFERROR(__xludf.DUMMYFUNCTION("IMPORTRANGE(""14M5jXuQsrQnNmVEk4qaGhkFZmAEG0r9kxepMstmBo44"",""2026-27!J3"")"),59.0)</f>
        <v>59</v>
      </c>
      <c r="R59" s="59">
        <f>IFERROR(__xludf.DUMMYFUNCTION("IMPORTRANGE(""14M5jXuQsrQnNmVEk4qaGhkFZmAEG0r9kxepMstmBo44"",""2026-27!K4"")"),865685.74)</f>
        <v>865685.74</v>
      </c>
      <c r="S59" s="59">
        <f>IFERROR(__xludf.DUMMYFUNCTION("IMPORTRANGE(""14M5jXuQsrQnNmVEk4qaGhkFZmAEG0r9kxepMstmBo44"",""2026-27!K3"")"),15.0)</f>
        <v>15</v>
      </c>
      <c r="T59" s="62">
        <f t="shared" si="81"/>
        <v>0.5205425659</v>
      </c>
      <c r="U59" s="59">
        <f>IFERROR(__xludf.DUMMYFUNCTION("IMPORTRANGE(""14M5jXuQsrQnNmVEk4qaGhkFZmAEG0r9kxepMstmBo44"",""2026-27!L4"")"),868265.0)</f>
        <v>868265</v>
      </c>
      <c r="V59" s="59">
        <f>IFERROR(__xludf.DUMMYFUNCTION("IMPORTRANGE(""14M5jXuQsrQnNmVEk4qaGhkFZmAEG0r9kxepMstmBo44"",""2026-27!L3"")"),15.0)</f>
        <v>15</v>
      </c>
      <c r="W59" s="59">
        <f>IFERROR(__xludf.DUMMYFUNCTION("IMPORTRANGE(""14M5jXuQsrQnNmVEk4qaGhkFZmAEG0r9kxepMstmBo44"",""2026-27!m4"")"),1940000.0)</f>
        <v>1940000</v>
      </c>
      <c r="X59" s="59">
        <f>IFERROR(__xludf.DUMMYFUNCTION("IMPORTRANGE(""14M5jXuQsrQnNmVEk4qaGhkFZmAEG0r9kxepMstmBo44"",""2026-27!m3"")"),59.0)</f>
        <v>59</v>
      </c>
      <c r="Y59" s="59">
        <f>IFERROR(__xludf.DUMMYFUNCTION("IMPORTRANGE(""14M5jXuQsrQnNmVEk4qaGhkFZmAEG0r9kxepMstmBo44"",""2026-27!N4"")"),1406296.8599999999)</f>
        <v>1406296.86</v>
      </c>
      <c r="Z59" s="59">
        <f>IFERROR(__xludf.DUMMYFUNCTION("IMPORTRANGE(""14M5jXuQsrQnNmVEk4qaGhkFZmAEG0r9kxepMstmBo44"",""2026-27!N3"")"),20.0)</f>
        <v>20</v>
      </c>
      <c r="AA59" s="62">
        <f t="shared" si="82"/>
        <v>0.7216273196</v>
      </c>
      <c r="AB59" s="59">
        <f>IFERROR(__xludf.DUMMYFUNCTION("IMPORTRANGE(""14M5jXuQsrQnNmVEk4qaGhkFZmAEG0r9kxepMstmBo44"",""2026-27!O4"")"),1399957.0)</f>
        <v>1399957</v>
      </c>
      <c r="AC59" s="59">
        <f>IFERROR(__xludf.DUMMYFUNCTION("IMPORTRANGE(""14M5jXuQsrQnNmVEk4qaGhkFZmAEG0r9kxepMstmBo44"",""2026-27!O3"")"),20.0)</f>
        <v>20</v>
      </c>
      <c r="AD59" s="59">
        <f>IFERROR(__xludf.DUMMYFUNCTION("IMPORTRANGE(""14M5jXuQsrQnNmVEk4qaGhkFZmAEG0r9kxepMstmBo44"",""2026-27!P4"")"),2240000.0)</f>
        <v>2240000</v>
      </c>
      <c r="AE59" s="59">
        <f>IFERROR(__xludf.DUMMYFUNCTION("IMPORTRANGE(""14M5jXuQsrQnNmVEk4qaGhkFZmAEG0r9kxepMstmBo44"",""2026-27!P3"")"),59.0)</f>
        <v>59</v>
      </c>
      <c r="AF59" s="59">
        <f>IFERROR(__xludf.DUMMYFUNCTION("IMPORTRANGE(""14M5jXuQsrQnNmVEk4qaGhkFZmAEG0r9kxepMstmBo44"",""2026-27!Q4"")"),1213007.97)</f>
        <v>1213007.97</v>
      </c>
      <c r="AG59" s="59">
        <f>IFERROR(__xludf.DUMMYFUNCTION("IMPORTRANGE(""14M5jXuQsrQnNmVEk4qaGhkFZmAEG0r9kxepMstmBo44"",""2026-27!Q3"")"),19.0)</f>
        <v>19</v>
      </c>
      <c r="AH59" s="62">
        <f t="shared" si="83"/>
        <v>0</v>
      </c>
      <c r="AI59" s="59">
        <f>IFERROR(__xludf.DUMMYFUNCTION("IMPORTRANGE(""14M5jXuQsrQnNmVEk4qaGhkFZmAEG0r9kxepMstmBo44"",""2026-27!R4"")"),0.0)</f>
        <v>0</v>
      </c>
      <c r="AJ59" s="59">
        <f>IFERROR(__xludf.DUMMYFUNCTION("IMPORTRANGE(""14M5jXuQsrQnNmVEk4qaGhkFZmAEG0r9kxepMstmBo44"",""2026-27!R3"")"),0.0)</f>
        <v>0</v>
      </c>
      <c r="AK59" s="59">
        <f>IFERROR(__xludf.DUMMYFUNCTION("IMPORTRANGE(""14M5jXuQsrQnNmVEk4qaGhkFZmAEG0r9kxepMstmBo44"",""2026-27!S4"")"),0.0)</f>
        <v>0</v>
      </c>
      <c r="AL59" s="59">
        <f>IFERROR(__xludf.DUMMYFUNCTION("IMPORTRANGE(""14M5jXuQsrQnNmVEk4qaGhkFZmAEG0r9kxepMstmBo44"",""2026-27!S3"")"),0.0)</f>
        <v>0</v>
      </c>
      <c r="AM59" s="59">
        <f>IFERROR(__xludf.DUMMYFUNCTION("IMPORTRANGE(""14M5jXuQsrQnNmVEk4qaGhkFZmAEG0r9kxepMstmBo44"",""2026-27!T4"")"),0.0)</f>
        <v>0</v>
      </c>
      <c r="AN59" s="59">
        <f>IFERROR(__xludf.DUMMYFUNCTION("IMPORTRANGE(""14M5jXuQsrQnNmVEk4qaGhkFZmAEG0r9kxepMstmBo44"",""2026-27!T3"")"),0.0)</f>
        <v>0</v>
      </c>
      <c r="AO59" s="62" t="str">
        <f t="shared" si="84"/>
        <v/>
      </c>
      <c r="AP59" s="59">
        <f>IFERROR(__xludf.DUMMYFUNCTION("IMPORTRANGE(""14M5jXuQsrQnNmVEk4qaGhkFZmAEG0r9kxepMstmBo44"",""2026-27!U4"")"),0.0)</f>
        <v>0</v>
      </c>
      <c r="AQ59" s="59">
        <f>IFERROR(__xludf.DUMMYFUNCTION("IMPORTRANGE(""14M5jXuQsrQnNmVEk4qaGhkFZmAEG0r9kxepMstmBo44"",""2026-27!U3"")"),0.0)</f>
        <v>0</v>
      </c>
      <c r="AR59" s="59">
        <f>IFERROR(__xludf.DUMMYFUNCTION("IMPORTRANGE(""14M5jXuQsrQnNmVEk4qaGhkFZmAEG0r9kxepMstmBo44"",""2026-27!V4"")"),0.0)</f>
        <v>0</v>
      </c>
      <c r="AS59" s="59">
        <f>IFERROR(__xludf.DUMMYFUNCTION("IMPORTRANGE(""14M5jXuQsrQnNmVEk4qaGhkFZmAEG0r9kxepMstmBo44"",""2026-27!V3"")"),0.0)</f>
        <v>0</v>
      </c>
      <c r="AT59" s="59">
        <f>IFERROR(__xludf.DUMMYFUNCTION("IMPORTRANGE(""14M5jXuQsrQnNmVEk4qaGhkFZmAEG0r9kxepMstmBo44"",""2026-27!W4"")"),0.0)</f>
        <v>0</v>
      </c>
      <c r="AU59" s="59">
        <f>IFERROR(__xludf.DUMMYFUNCTION("IMPORTRANGE(""14M5jXuQsrQnNmVEk4qaGhkFZmAEG0r9kxepMstmBo44"",""2026-27!W3"")"),0.0)</f>
        <v>0</v>
      </c>
      <c r="AV59" s="62" t="str">
        <f t="shared" si="85"/>
        <v/>
      </c>
      <c r="AW59" s="59">
        <f>IFERROR(__xludf.DUMMYFUNCTION("IMPORTRANGE(""14M5jXuQsrQnNmVEk4qaGhkFZmAEG0r9kxepMstmBo44"",""2026-27!X4"")"),0.0)</f>
        <v>0</v>
      </c>
      <c r="AX59" s="59">
        <f>IFERROR(__xludf.DUMMYFUNCTION("IMPORTRANGE(""14M5jXuQsrQnNmVEk4qaGhkFZmAEG0r9kxepMstmBo44"",""2026-27!X3"")"),0.0)</f>
        <v>0</v>
      </c>
      <c r="AY59" s="59">
        <f>IFERROR(__xludf.DUMMYFUNCTION("IMPORTRANGE(""14M5jXuQsrQnNmVEk4qaGhkFZmAEG0r9kxepMstmBo44"",""2026-27!Y4"")"),0.0)</f>
        <v>0</v>
      </c>
      <c r="AZ59" s="59">
        <f>IFERROR(__xludf.DUMMYFUNCTION("IMPORTRANGE(""14M5jXuQsrQnNmVEk4qaGhkFZmAEG0r9kxepMstmBo44"",""2026-27!Y3"")"),0.0)</f>
        <v>0</v>
      </c>
      <c r="BA59" s="59">
        <f>IFERROR(__xludf.DUMMYFUNCTION("IMPORTRANGE(""14M5jXuQsrQnNmVEk4qaGhkFZmAEG0r9kxepMstmBo44"",""2026-27!Z4"")"),0.0)</f>
        <v>0</v>
      </c>
      <c r="BB59" s="59">
        <f>IFERROR(__xludf.DUMMYFUNCTION("IMPORTRANGE(""14M5jXuQsrQnNmVEk4qaGhkFZmAEG0r9kxepMstmBo44"",""2026-27!Z3"")"),0.0)</f>
        <v>0</v>
      </c>
      <c r="BC59" s="63" t="str">
        <f t="shared" si="86"/>
        <v/>
      </c>
      <c r="BD59" s="59">
        <f>IFERROR(__xludf.DUMMYFUNCTION("IMPORTRANGE(""14M5jXuQsrQnNmVEk4qaGhkFZmAEG0r9kxepMstmBo44"",""2026-27!AA4"")"),0.0)</f>
        <v>0</v>
      </c>
      <c r="BE59" s="59">
        <f>IFERROR(__xludf.DUMMYFUNCTION("IMPORTRANGE(""14M5jXuQsrQnNmVEk4qaGhkFZmAEG0r9kxepMstmBo44"",""2026-27!AA3"")"),0.0)</f>
        <v>0</v>
      </c>
      <c r="BF59" s="59">
        <f>IFERROR(__xludf.DUMMYFUNCTION("IMPORTRANGE(""14M5jXuQsrQnNmVEk4qaGhkFZmAEG0r9kxepMstmBo44"",""2026-27!AB4"")"),0.0)</f>
        <v>0</v>
      </c>
      <c r="BG59" s="59">
        <f>IFERROR(__xludf.DUMMYFUNCTION("IMPORTRANGE(""14M5jXuQsrQnNmVEk4qaGhkFZmAEG0r9kxepMstmBo44"",""2026-27!AB3"")"),0.0)</f>
        <v>0</v>
      </c>
      <c r="BH59" s="59">
        <f>IFERROR(__xludf.DUMMYFUNCTION("IMPORTRANGE(""14M5jXuQsrQnNmVEk4qaGhkFZmAEG0r9kxepMstmBo44"",""2026-27!AC4"")"),0.0)</f>
        <v>0</v>
      </c>
      <c r="BI59" s="59">
        <f>IFERROR(__xludf.DUMMYFUNCTION("IMPORTRANGE(""14M5jXuQsrQnNmVEk4qaGhkFZmAEG0r9kxepMstmBo44"",""2026-27!AC3"")"),0.0)</f>
        <v>0</v>
      </c>
      <c r="BJ59" s="63" t="str">
        <f t="shared" si="87"/>
        <v/>
      </c>
      <c r="BK59" s="59">
        <f>IFERROR(__xludf.DUMMYFUNCTION("IMPORTRANGE(""14M5jXuQsrQnNmVEk4qaGhkFZmAEG0r9kxepMstmBo44"",""2026-27!AD4"")"),0.0)</f>
        <v>0</v>
      </c>
      <c r="BL59" s="59">
        <f>IFERROR(__xludf.DUMMYFUNCTION("IMPORTRANGE(""14M5jXuQsrQnNmVEk4qaGhkFZmAEG0r9kxepMstmBo44"",""2026-27!AD3"")"),0.0)</f>
        <v>0</v>
      </c>
      <c r="BM59" s="59">
        <f>IFERROR(__xludf.DUMMYFUNCTION("IMPORTRANGE(""14M5jXuQsrQnNmVEk4qaGhkFZmAEG0r9kxepMstmBo44"",""2026-27!AE4"")"),0.0)</f>
        <v>0</v>
      </c>
      <c r="BN59" s="59">
        <f>IFERROR(__xludf.DUMMYFUNCTION("IMPORTRANGE(""14M5jXuQsrQnNmVEk4qaGhkFZmAEG0r9kxepMstmBo44"",""2026-27!AE3"")"),0.0)</f>
        <v>0</v>
      </c>
      <c r="BO59" s="59">
        <f>IFERROR(__xludf.DUMMYFUNCTION("IMPORTRANGE(""14M5jXuQsrQnNmVEk4qaGhkFZmAEG0r9kxepMstmBo44"",""2026-27!AF4"")"),0.0)</f>
        <v>0</v>
      </c>
      <c r="BP59" s="59">
        <f>IFERROR(__xludf.DUMMYFUNCTION("IMPORTRANGE(""14M5jXuQsrQnNmVEk4qaGhkFZmAEG0r9kxepMstmBo44"",""2026-27!AF3"")"),0.0)</f>
        <v>0</v>
      </c>
      <c r="BQ59" s="63" t="str">
        <f t="shared" si="88"/>
        <v/>
      </c>
      <c r="BR59" s="59">
        <f>IFERROR(__xludf.DUMMYFUNCTION("IMPORTRANGE(""14M5jXuQsrQnNmVEk4qaGhkFZmAEG0r9kxepMstmBo44"",""2026-27!AG4"")"),0.0)</f>
        <v>0</v>
      </c>
      <c r="BS59" s="59">
        <f>IFERROR(__xludf.DUMMYFUNCTION("IMPORTRANGE(""14M5jXuQsrQnNmVEk4qaGhkFZmAEG0r9kxepMstmBo44"",""2026-27!AG3"")"),0.0)</f>
        <v>0</v>
      </c>
      <c r="BT59" s="59">
        <f>IFERROR(__xludf.DUMMYFUNCTION("IMPORTRANGE(""14M5jXuQsrQnNmVEk4qaGhkFZmAEG0r9kxepMstmBo44"",""2026-27!AH4"")"),0.0)</f>
        <v>0</v>
      </c>
      <c r="BU59" s="59">
        <f>IFERROR(__xludf.DUMMYFUNCTION("IMPORTRANGE(""14M5jXuQsrQnNmVEk4qaGhkFZmAEG0r9kxepMstmBo44"",""2026-27!AH3"")"),0.0)</f>
        <v>0</v>
      </c>
      <c r="BV59" s="59">
        <f>IFERROR(__xludf.DUMMYFUNCTION("IMPORTRANGE(""14M5jXuQsrQnNmVEk4qaGhkFZmAEG0r9kxepMstmBo44"",""2026-27!AI4"")"),0.0)</f>
        <v>0</v>
      </c>
      <c r="BW59" s="59">
        <f>IFERROR(__xludf.DUMMYFUNCTION("IMPORTRANGE(""14M5jXuQsrQnNmVEk4qaGhkFZmAEG0r9kxepMstmBo44"",""2026-27!AI3"")"),0.0)</f>
        <v>0</v>
      </c>
      <c r="BX59" s="63" t="str">
        <f t="shared" si="89"/>
        <v/>
      </c>
      <c r="BY59" s="59">
        <f>IFERROR(__xludf.DUMMYFUNCTION("IMPORTRANGE(""14M5jXuQsrQnNmVEk4qaGhkFZmAEG0r9kxepMstmBo44"",""2026-27!AJ4"")"),0.0)</f>
        <v>0</v>
      </c>
      <c r="BZ59" s="59">
        <f>IFERROR(__xludf.DUMMYFUNCTION("IMPORTRANGE(""14M5jXuQsrQnNmVEk4qaGhkFZmAEG0r9kxepMstmBo44"",""2026-27!AJ3"")"),0.0)</f>
        <v>0</v>
      </c>
      <c r="CA59" s="59">
        <f>IFERROR(__xludf.DUMMYFUNCTION("IMPORTRANGE(""14M5jXuQsrQnNmVEk4qaGhkFZmAEG0r9kxepMstmBo44"",""2026-27!AK4"")"),0.0)</f>
        <v>0</v>
      </c>
      <c r="CB59" s="59">
        <f>IFERROR(__xludf.DUMMYFUNCTION("IMPORTRANGE(""14M5jXuQsrQnNmVEk4qaGhkFZmAEG0r9kxepMstmBo44"",""2026-27!AK3"")"),0.0)</f>
        <v>0</v>
      </c>
      <c r="CC59" s="59">
        <f>IFERROR(__xludf.DUMMYFUNCTION("IMPORTRANGE(""14M5jXuQsrQnNmVEk4qaGhkFZmAEG0r9kxepMstmBo44"",""2026-27!AL4"")"),0.0)</f>
        <v>0</v>
      </c>
      <c r="CD59" s="59">
        <f>IFERROR(__xludf.DUMMYFUNCTION("IMPORTRANGE(""14M5jXuQsrQnNmVEk4qaGhkFZmAEG0r9kxepMstmBo44"",""2026-27!AL3"")"),0.0)</f>
        <v>0</v>
      </c>
      <c r="CE59" s="63" t="str">
        <f t="shared" si="90"/>
        <v/>
      </c>
      <c r="CF59" s="59">
        <f>IFERROR(__xludf.DUMMYFUNCTION("IMPORTRANGE(""14M5jXuQsrQnNmVEk4qaGhkFZmAEG0r9kxepMstmBo44"",""2026-27!AM4"")"),0.0)</f>
        <v>0</v>
      </c>
      <c r="CG59" s="59">
        <f>IFERROR(__xludf.DUMMYFUNCTION("IMPORTRANGE(""14M5jXuQsrQnNmVEk4qaGhkFZmAEG0r9kxepMstmBo44"",""2026-27!AM3"")"),0.0)</f>
        <v>0</v>
      </c>
      <c r="CH59" s="59">
        <f>IFERROR(__xludf.DUMMYFUNCTION("IMPORTRANGE(""14M5jXuQsrQnNmVEk4qaGhkFZmAEG0r9kxepMstmBo44"",""2026-27!AN4"")"),0.0)</f>
        <v>0</v>
      </c>
      <c r="CI59" s="59">
        <f>IFERROR(__xludf.DUMMYFUNCTION("IMPORTRANGE(""14M5jXuQsrQnNmVEk4qaGhkFZmAEG0r9kxepMstmBo44"",""2026-27!AN3"")"),0.0)</f>
        <v>0</v>
      </c>
      <c r="CJ59" s="59">
        <f>IFERROR(__xludf.DUMMYFUNCTION("IMPORTRANGE(""14M5jXuQsrQnNmVEk4qaGhkFZmAEG0r9kxepMstmBo44"",""2026-27!AO4"")"),0.0)</f>
        <v>0</v>
      </c>
      <c r="CK59" s="59">
        <f>IFERROR(__xludf.DUMMYFUNCTION("IMPORTRANGE(""14M5jXuQsrQnNmVEk4qaGhkFZmAEG0r9kxepMstmBo44"",""2026-27!AO3"")"),0.0)</f>
        <v>0</v>
      </c>
      <c r="CL59" s="63" t="str">
        <f t="shared" si="91"/>
        <v/>
      </c>
      <c r="CM59" s="59">
        <f>IFERROR(__xludf.DUMMYFUNCTION("IMPORTRANGE(""14M5jXuQsrQnNmVEk4qaGhkFZmAEG0r9kxepMstmBo44"",""2026-27!AP4"")"),0.0)</f>
        <v>0</v>
      </c>
      <c r="CN59" s="59">
        <f>IFERROR(__xludf.DUMMYFUNCTION("IMPORTRANGE(""14M5jXuQsrQnNmVEk4qaGhkFZmAEG0r9kxepMstmBo44"",""2026-27!AP3"")"),0.0)</f>
        <v>0</v>
      </c>
      <c r="CO59" s="59">
        <f>IFERROR(__xludf.DUMMYFUNCTION("IMPORTRANGE(""14M5jXuQsrQnNmVEk4qaGhkFZmAEG0r9kxepMstmBo44"",""2026-27!AQ4"")"),0.0)</f>
        <v>0</v>
      </c>
      <c r="CP59" s="59">
        <f>IFERROR(__xludf.DUMMYFUNCTION("IMPORTRANGE(""14M5jXuQsrQnNmVEk4qaGhkFZmAEG0r9kxepMstmBo44"",""2026-27!AQ3"")"),0.0)</f>
        <v>0</v>
      </c>
      <c r="CQ59" s="59">
        <f>IFERROR(__xludf.DUMMYFUNCTION("IMPORTRANGE(""14M5jXuQsrQnNmVEk4qaGhkFZmAEG0r9kxepMstmBo44"",""2026-27!AR4"")"),0.0)</f>
        <v>0</v>
      </c>
      <c r="CR59" s="59">
        <f>IFERROR(__xludf.DUMMYFUNCTION("IMPORTRANGE(""14M5jXuQsrQnNmVEk4qaGhkFZmAEG0r9kxepMstmBo44"",""2026-27!AR3"")"),0.0)</f>
        <v>0</v>
      </c>
      <c r="CS59" s="63" t="str">
        <f t="shared" si="92"/>
        <v/>
      </c>
      <c r="CT59" s="59">
        <f>IFERROR(__xludf.DUMMYFUNCTION("IMPORTRANGE(""14M5jXuQsrQnNmVEk4qaGhkFZmAEG0r9kxepMstmBo44"",""2026-27!AS4"")"),0.0)</f>
        <v>0</v>
      </c>
      <c r="CU59" s="59">
        <f>IFERROR(__xludf.DUMMYFUNCTION("IMPORTRANGE(""14M5jXuQsrQnNmVEk4qaGhkFZmAEG0r9kxepMstmBo44"",""2026-27!AS3"")"),0.0)</f>
        <v>0</v>
      </c>
      <c r="CV59" s="64"/>
    </row>
    <row r="60">
      <c r="A60" s="1" t="s">
        <v>103</v>
      </c>
      <c r="B60" s="41"/>
      <c r="C60" s="96" t="s">
        <v>131</v>
      </c>
      <c r="D60" s="54" t="s">
        <v>132</v>
      </c>
      <c r="E60" s="54">
        <v>8.087808089E9</v>
      </c>
      <c r="F60" s="80">
        <v>45124.0</v>
      </c>
      <c r="G60" s="66"/>
      <c r="H60" s="66"/>
      <c r="I60" s="57">
        <v>26500.0</v>
      </c>
      <c r="J60" s="58">
        <v>1947000.0</v>
      </c>
      <c r="K60" s="61">
        <f>IFERROR(__xludf.DUMMYFUNCTION("IMPORTRANGE(""https://docs.google.com/spreadsheets/d/1KQTVmJDcGi8nV3_t1mE9kcnETLPWhuSu5rpSaRf3Hf4/edit#gid=997576875"",""2026-27!A3"")"),42.0)</f>
        <v>42</v>
      </c>
      <c r="L60" s="61">
        <f>IFERROR(__xludf.DUMMYFUNCTION("IMPORTRANGE(""https://docs.google.com/spreadsheets/d/1KQTVmJDcGi8nV3_t1mE9kcnETLPWhuSu5rpSaRf3Hf4/edit#gid=997576875"",""2026-27!G4"")"),1.149E7)</f>
        <v>11490000</v>
      </c>
      <c r="M60" s="61">
        <f>SUM(R60+Y60+AF60+AM60+AT60+BA60+BH60+BO60+BV60+CC60+CJ60+CQ60)</f>
        <v>2088072.8</v>
      </c>
      <c r="N60" s="60">
        <f t="shared" si="79"/>
        <v>0.08730417755</v>
      </c>
      <c r="O60" s="61">
        <f>SUM(U60,AB60,AI60,AP60,AW60,BD60,BK60,BR60,BY60,CF60,CM60,CT60)</f>
        <v>1003125</v>
      </c>
      <c r="P60" s="59">
        <f>IFERROR(__xludf.DUMMYFUNCTION("IMPORTRANGE(""https://docs.google.com/spreadsheets/d/1KQTVmJDcGi8nV3_t1mE9kcnETLPWhuSu5rpSaRf3Hf4/edit#gid=997576875"",""2026-27!J4"")"),732500.0)</f>
        <v>732500</v>
      </c>
      <c r="Q60" s="59">
        <f>IFERROR(__xludf.DUMMYFUNCTION("IMPORTRANGE(""https://docs.google.com/spreadsheets/d/1KQTVmJDcGi8nV3_t1mE9kcnETLPWhuSu5rpSaRf3Hf4/edit#gid=997576875"",""2026-27!J3"")"),30.0)</f>
        <v>30</v>
      </c>
      <c r="R60" s="59">
        <f>IFERROR(__xludf.DUMMYFUNCTION("IMPORTRANGE(""https://docs.google.com/spreadsheets/d/1KQTVmJDcGi8nV3_t1mE9kcnETLPWhuSu5rpSaRf3Hf4/edit#gid=997576875"",""2026-27!K4"")"),695288.7)</f>
        <v>695288.7</v>
      </c>
      <c r="S60" s="59">
        <f>IFERROR(__xludf.DUMMYFUNCTION("IMPORTRANGE(""https://docs.google.com/spreadsheets/d/1KQTVmJDcGi8nV3_t1mE9kcnETLPWhuSu5rpSaRf3Hf4/edit#gid=997576875"",""2026-27!K3"")"),17.0)</f>
        <v>17</v>
      </c>
      <c r="T60" s="62">
        <f t="shared" si="81"/>
        <v>0.5129406143</v>
      </c>
      <c r="U60" s="59">
        <f>IFERROR(__xludf.DUMMYFUNCTION("IMPORTRANGE(""https://docs.google.com/spreadsheets/d/1KQTVmJDcGi8nV3_t1mE9kcnETLPWhuSu5rpSaRf3Hf4/edit#gid=997576875"",""2026-27!L4"")"),375729.0)</f>
        <v>375729</v>
      </c>
      <c r="V60" s="85">
        <f>IFERROR(__xludf.DUMMYFUNCTION("IMPORTRANGE(""https://docs.google.com/spreadsheets/d/1KQTVmJDcGi8nV3_t1mE9kcnETLPWhuSu5rpSaRf3Hf4/edit#gid=997576875"",""2026-27!L3"")"),13.0)</f>
        <v>13</v>
      </c>
      <c r="W60" s="59">
        <f>IFERROR(__xludf.DUMMYFUNCTION("IMPORTRANGE(""https://docs.google.com/spreadsheets/d/1KQTVmJDcGi8nV3_t1mE9kcnETLPWhuSu5rpSaRf3Hf4/edit#gid=997576875"",""2026-27!M4"")"),783500.0)</f>
        <v>783500</v>
      </c>
      <c r="X60" s="85">
        <f>IFERROR(__xludf.DUMMYFUNCTION("IMPORTRANGE(""https://docs.google.com/spreadsheets/d/1KQTVmJDcGi8nV3_t1mE9kcnETLPWhuSu5rpSaRf3Hf4/edit#gid=997576875"",""2026-27!M3"")"),30.0)</f>
        <v>30</v>
      </c>
      <c r="Y60" s="59">
        <f>IFERROR(__xludf.DUMMYFUNCTION("importrange(""https://docs.google.com/spreadsheets/d/1KQTVmJDcGi8nV3_t1mE9kcnETLPWhuSu5rpSaRf3Hf4/edit#gid=997576875"",""2026-27!n4"")"),583835.0)</f>
        <v>583835</v>
      </c>
      <c r="Z60" s="59">
        <f>IFERROR(__xludf.DUMMYFUNCTION("importrange(""https://docs.google.com/spreadsheets/d/1KQTVmJDcGi8nV3_t1mE9kcnETLPWhuSu5rpSaRf3Hf4/edit#gid=997576875"",""2026-27!n3"")"),15.0)</f>
        <v>15</v>
      </c>
      <c r="AA60" s="62">
        <f t="shared" si="82"/>
        <v>0.8007606892</v>
      </c>
      <c r="AB60" s="59">
        <f>IFERROR(__xludf.DUMMYFUNCTION("importrange(""https://docs.google.com/spreadsheets/d/1KQTVmJDcGi8nV3_t1mE9kcnETLPWhuSu5rpSaRf3Hf4/edit#gid=997576875"",""2026-27!o4"")"),627396.0)</f>
        <v>627396</v>
      </c>
      <c r="AC60" s="59">
        <f>IFERROR(__xludf.DUMMYFUNCTION("importrange(""https://docs.google.com/spreadsheets/d/1KQTVmJDcGi8nV3_t1mE9kcnETLPWhuSu5rpSaRf3Hf4/edit#gid=997576875"",""2026-27!o3"")"),15.0)</f>
        <v>15</v>
      </c>
      <c r="AD60" s="59">
        <f>IFERROR(__xludf.DUMMYFUNCTION("importrange(""https://docs.google.com/spreadsheets/d/1KQTVmJDcGi8nV3_t1mE9kcnETLPWhuSu5rpSaRf3Hf4/edit#gid=997576875"",""2026-27!p4"")"),836500.0)</f>
        <v>836500</v>
      </c>
      <c r="AE60" s="59">
        <f>IFERROR(__xludf.DUMMYFUNCTION("importrange(""https://docs.google.com/spreadsheets/d/1KQTVmJDcGi8nV3_t1mE9kcnETLPWhuSu5rpSaRf3Hf4/edit#gid=997576875"",""2026-27!p3"")"),30.0)</f>
        <v>30</v>
      </c>
      <c r="AF60" s="59">
        <f>IFERROR(__xludf.DUMMYFUNCTION("importrange(""https://docs.google.com/spreadsheets/d/1KQTVmJDcGi8nV3_t1mE9kcnETLPWhuSu5rpSaRf3Hf4/edit#gid=997576875"",""2026-27!q4"")"),808949.1)</f>
        <v>808949.1</v>
      </c>
      <c r="AG60" s="59">
        <f>IFERROR(__xludf.DUMMYFUNCTION("importrange(""https://docs.google.com/spreadsheets/d/1KQTVmJDcGi8nV3_t1mE9kcnETLPWhuSu5rpSaRf3Hf4/edit#gid=997576875"",""2026-27!q3"")"),16.0)</f>
        <v>16</v>
      </c>
      <c r="AH60" s="62">
        <f t="shared" si="83"/>
        <v>0</v>
      </c>
      <c r="AI60" s="59">
        <f>IFERROR(__xludf.DUMMYFUNCTION("importrange(""https://docs.google.com/spreadsheets/d/1KQTVmJDcGi8nV3_t1mE9kcnETLPWhuSu5rpSaRf3Hf4/edit#gid=997576875"",""2026-27!r4"")"),0.0)</f>
        <v>0</v>
      </c>
      <c r="AJ60" s="59">
        <f>IFERROR(__xludf.DUMMYFUNCTION("importrange(""https://docs.google.com/spreadsheets/d/1KQTVmJDcGi8nV3_t1mE9kcnETLPWhuSu5rpSaRf3Hf4/edit#gid=997576875"",""2026-27!r3"")"),0.0)</f>
        <v>0</v>
      </c>
      <c r="AK60" s="59">
        <f>IFERROR(__xludf.DUMMYFUNCTION("importrange(""https://docs.google.com/spreadsheets/d/1KQTVmJDcGi8nV3_t1mE9kcnETLPWhuSu5rpSaRf3Hf4/edit#gid=997576875"",""2026-27!s4"")"),872500.0)</f>
        <v>872500</v>
      </c>
      <c r="AL60" s="59">
        <f>IFERROR(__xludf.DUMMYFUNCTION("importrange(""https://docs.google.com/spreadsheets/d/1KQTVmJDcGi8nV3_t1mE9kcnETLPWhuSu5rpSaRf3Hf4/edit#gid=997576875"",""2026-27!s3"")"),30.0)</f>
        <v>30</v>
      </c>
      <c r="AM60" s="61">
        <f>IFERROR(__xludf.DUMMYFUNCTION("importrange(""https://docs.google.com/spreadsheets/d/1KQTVmJDcGi8nV3_t1mE9kcnETLPWhuSu5rpSaRf3Hf4/edit#gid=997576875"",""2026-27!t4"")"),0.0)</f>
        <v>0</v>
      </c>
      <c r="AN60" s="59">
        <f>IFERROR(__xludf.DUMMYFUNCTION("importrange(""https://docs.google.com/spreadsheets/d/1KQTVmJDcGi8nV3_t1mE9kcnETLPWhuSu5rpSaRf3Hf4/edit#gid=997576875"",""2026-27!t3"")"),0.0)</f>
        <v>0</v>
      </c>
      <c r="AO60" s="62">
        <f t="shared" si="84"/>
        <v>0</v>
      </c>
      <c r="AP60" s="59">
        <f>IFERROR(__xludf.DUMMYFUNCTION("importrange(""https://docs.google.com/spreadsheets/d/1KQTVmJDcGi8nV3_t1mE9kcnETLPWhuSu5rpSaRf3Hf4/edit#gid=997576875"",""2026-27!u4"")"),0.0)</f>
        <v>0</v>
      </c>
      <c r="AQ60" s="59">
        <f>IFERROR(__xludf.DUMMYFUNCTION("importrange(""https://docs.google.com/spreadsheets/d/1KQTVmJDcGi8nV3_t1mE9kcnETLPWhuSu5rpSaRf3Hf4/edit#gid=997576875"",""2026-27!u3"")"),0.0)</f>
        <v>0</v>
      </c>
      <c r="AR60" s="59">
        <f>IFERROR(__xludf.DUMMYFUNCTION("importrange(""https://docs.google.com/spreadsheets/d/1KQTVmJDcGi8nV3_t1mE9kcnETLPWhuSu5rpSaRf3Hf4/edit#gid=997576875"",""2026-27!v4"")"),923500.0)</f>
        <v>923500</v>
      </c>
      <c r="AS60" s="59">
        <f>IFERROR(__xludf.DUMMYFUNCTION("importrange(""https://docs.google.com/spreadsheets/d/1KQTVmJDcGi8nV3_t1mE9kcnETLPWhuSu5rpSaRf3Hf4/edit#gid=997576875"",""2026-27!v3"")"),30.0)</f>
        <v>30</v>
      </c>
      <c r="AT60" s="61">
        <f>IFERROR(__xludf.DUMMYFUNCTION("importrange(""https://docs.google.com/spreadsheets/d/1KQTVmJDcGi8nV3_t1mE9kcnETLPWhuSu5rpSaRf3Hf4/edit#gid=997576875"",""2026-27!w4"")"),0.0)</f>
        <v>0</v>
      </c>
      <c r="AU60" s="59">
        <f>IFERROR(__xludf.DUMMYFUNCTION("importrange(""https://docs.google.com/spreadsheets/d/1KQTVmJDcGi8nV3_t1mE9kcnETLPWhuSu5rpSaRf3Hf4/edit#gid=997576875"",""2026-27!w3"")"),0.0)</f>
        <v>0</v>
      </c>
      <c r="AV60" s="62">
        <f t="shared" si="85"/>
        <v>0</v>
      </c>
      <c r="AW60" s="59">
        <f>IFERROR(__xludf.DUMMYFUNCTION("importrange(""https://docs.google.com/spreadsheets/d/1KQTVmJDcGi8nV3_t1mE9kcnETLPWhuSu5rpSaRf3Hf4/edit#gid=997576875"",""2026-27!x4"")"),0.0)</f>
        <v>0</v>
      </c>
      <c r="AX60" s="59">
        <f>IFERROR(__xludf.DUMMYFUNCTION("importrange(""https://docs.google.com/spreadsheets/d/1KQTVmJDcGi8nV3_t1mE9kcnETLPWhuSu5rpSaRf3Hf4/edit#gid=997576875"",""2026-27!x3"")"),0.0)</f>
        <v>0</v>
      </c>
      <c r="AY60" s="59">
        <f>IFERROR(__xludf.DUMMYFUNCTION("importrange(""https://docs.google.com/spreadsheets/d/1KQTVmJDcGi8nV3_t1mE9kcnETLPWhuSu5rpSaRf3Hf4/edit#gid=997576875"",""2026-27!y4"")"),967500.0)</f>
        <v>967500</v>
      </c>
      <c r="AZ60" s="59">
        <f>IFERROR(__xludf.DUMMYFUNCTION("importrange(""https://docs.google.com/spreadsheets/d/1KQTVmJDcGi8nV3_t1mE9kcnETLPWhuSu5rpSaRf3Hf4/edit#gid=997576875"",""2026-27!y3"")"),30.0)</f>
        <v>30</v>
      </c>
      <c r="BA60" s="61">
        <f>IFERROR(__xludf.DUMMYFUNCTION("importrange(""https://docs.google.com/spreadsheets/d/1KQTVmJDcGi8nV3_t1mE9kcnETLPWhuSu5rpSaRf3Hf4/edit#gid=997576875"",""2026-27!z4"")"),0.0)</f>
        <v>0</v>
      </c>
      <c r="BB60" s="59">
        <f>IFERROR(__xludf.DUMMYFUNCTION("importrange(""https://docs.google.com/spreadsheets/d/1KQTVmJDcGi8nV3_t1mE9kcnETLPWhuSu5rpSaRf3Hf4/edit#gid=997576875"",""2026-27!z3"")"),0.0)</f>
        <v>0</v>
      </c>
      <c r="BC60" s="63">
        <f t="shared" si="86"/>
        <v>0</v>
      </c>
      <c r="BD60" s="59">
        <f>IFERROR(__xludf.DUMMYFUNCTION("importrange(""https://docs.google.com/spreadsheets/d/1KQTVmJDcGi8nV3_t1mE9kcnETLPWhuSu5rpSaRf3Hf4/edit#gid=997576875"",""2026-27!aa4"")"),0.0)</f>
        <v>0</v>
      </c>
      <c r="BE60" s="59">
        <f>IFERROR(__xludf.DUMMYFUNCTION("importrange(""https://docs.google.com/spreadsheets/d/1KQTVmJDcGi8nV3_t1mE9kcnETLPWhuSu5rpSaRf3Hf4/edit#gid=997576875"",""2026-27!aa3"")"),0.0)</f>
        <v>0</v>
      </c>
      <c r="BF60" s="59">
        <f>IFERROR(__xludf.DUMMYFUNCTION("importrange(""https://docs.google.com/spreadsheets/d/1KQTVmJDcGi8nV3_t1mE9kcnETLPWhuSu5rpSaRf3Hf4/edit#gid=997576875"",""2026-27!ab4"")"),1011500.0)</f>
        <v>1011500</v>
      </c>
      <c r="BG60" s="59">
        <f>IFERROR(__xludf.DUMMYFUNCTION("importrange(""https://docs.google.com/spreadsheets/d/1KQTVmJDcGi8nV3_t1mE9kcnETLPWhuSu5rpSaRf3Hf4/edit#gid=997576875"",""2026-27!ab3"")"),30.0)</f>
        <v>30</v>
      </c>
      <c r="BH60" s="59">
        <f>IFERROR(__xludf.DUMMYFUNCTION("importrange(""https://docs.google.com/spreadsheets/d/1KQTVmJDcGi8nV3_t1mE9kcnETLPWhuSu5rpSaRf3Hf4/edit#gid=997576875"",""2026-27!ac4"")"),0.0)</f>
        <v>0</v>
      </c>
      <c r="BI60" s="59">
        <f>IFERROR(__xludf.DUMMYFUNCTION("importrange(""https://docs.google.com/spreadsheets/d/1KQTVmJDcGi8nV3_t1mE9kcnETLPWhuSu5rpSaRf3Hf4/edit#gid=997576875"",""2026-27!ac3"")"),0.0)</f>
        <v>0</v>
      </c>
      <c r="BJ60" s="63">
        <f t="shared" si="87"/>
        <v>0</v>
      </c>
      <c r="BK60" s="59">
        <f>IFERROR(__xludf.DUMMYFUNCTION("importrange(""https://docs.google.com/spreadsheets/d/1KQTVmJDcGi8nV3_t1mE9kcnETLPWhuSu5rpSaRf3Hf4/edit#gid=997576875"",""2026-27!ad4"")"),0.0)</f>
        <v>0</v>
      </c>
      <c r="BL60" s="59">
        <f>IFERROR(__xludf.DUMMYFUNCTION("importrange(""https://docs.google.com/spreadsheets/d/1KQTVmJDcGi8nV3_t1mE9kcnETLPWhuSu5rpSaRf3Hf4/edit#gid=997576875"",""2026-27!ad3"")"),0.0)</f>
        <v>0</v>
      </c>
      <c r="BM60" s="59">
        <f>IFERROR(__xludf.DUMMYFUNCTION("importrange(""https://docs.google.com/spreadsheets/d/1KQTVmJDcGi8nV3_t1mE9kcnETLPWhuSu5rpSaRf3Hf4/edit#gid=997576875"",""2026-27!ae4"")"),1054500.0)</f>
        <v>1054500</v>
      </c>
      <c r="BN60" s="59">
        <f>IFERROR(__xludf.DUMMYFUNCTION("importrange(""https://docs.google.com/spreadsheets/d/1KQTVmJDcGi8nV3_t1mE9kcnETLPWhuSu5rpSaRf3Hf4/edit#gid=997576875"",""2026-27!ae3"")"),30.0)</f>
        <v>30</v>
      </c>
      <c r="BO60" s="59">
        <f>IFERROR(__xludf.DUMMYFUNCTION("importrange(""https://docs.google.com/spreadsheets/d/1KQTVmJDcGi8nV3_t1mE9kcnETLPWhuSu5rpSaRf3Hf4/edit#gid=997576875"",""2026-27!af4"")"),0.0)</f>
        <v>0</v>
      </c>
      <c r="BP60" s="59">
        <f>IFERROR(__xludf.DUMMYFUNCTION("importrange(""https://docs.google.com/spreadsheets/d/1KQTVmJDcGi8nV3_t1mE9kcnETLPWhuSu5rpSaRf3Hf4/edit#gid=997576875"",""2026-27!af3"")"),0.0)</f>
        <v>0</v>
      </c>
      <c r="BQ60" s="63">
        <f t="shared" si="88"/>
        <v>0</v>
      </c>
      <c r="BR60" s="59">
        <f>IFERROR(__xludf.DUMMYFUNCTION("importrange(""https://docs.google.com/spreadsheets/d/1KQTVmJDcGi8nV3_t1mE9kcnETLPWhuSu5rpSaRf3Hf4/edit#gid=997576875"",""2026-27!ag4"")"),0.0)</f>
        <v>0</v>
      </c>
      <c r="BS60" s="59">
        <f>IFERROR(__xludf.DUMMYFUNCTION("importrange(""https://docs.google.com/spreadsheets/d/1KQTVmJDcGi8nV3_t1mE9kcnETLPWhuSu5rpSaRf3Hf4/edit#gid=997576875"",""2026-27!ag3"")"),0.0)</f>
        <v>0</v>
      </c>
      <c r="BT60" s="59">
        <f>IFERROR(__xludf.DUMMYFUNCTION("importrange(""https://docs.google.com/spreadsheets/d/1KQTVmJDcGi8nV3_t1mE9kcnETLPWhuSu5rpSaRf3Hf4/edit#gid=997576875"",""2026-27!ah4"")"),1076500.0)</f>
        <v>1076500</v>
      </c>
      <c r="BU60" s="59">
        <f>IFERROR(__xludf.DUMMYFUNCTION("importrange(""https://docs.google.com/spreadsheets/d/1KQTVmJDcGi8nV3_t1mE9kcnETLPWhuSu5rpSaRf3Hf4/edit#gid=997576875"",""2026-27!ah3"")"),30.0)</f>
        <v>30</v>
      </c>
      <c r="BV60" s="59">
        <f>IFERROR(__xludf.DUMMYFUNCTION("importrange(""https://docs.google.com/spreadsheets/d/1KQTVmJDcGi8nV3_t1mE9kcnETLPWhuSu5rpSaRf3Hf4/edit#gid=997576875"",""2026-27!ai4"")"),0.0)</f>
        <v>0</v>
      </c>
      <c r="BW60" s="59">
        <f>IFERROR(__xludf.DUMMYFUNCTION("importrange(""https://docs.google.com/spreadsheets/d/1KQTVmJDcGi8nV3_t1mE9kcnETLPWhuSu5rpSaRf3Hf4/edit#gid=997576875"",""2026-27!ai3"")"),0.0)</f>
        <v>0</v>
      </c>
      <c r="BX60" s="63">
        <f t="shared" si="89"/>
        <v>0</v>
      </c>
      <c r="BY60" s="59">
        <f>IFERROR(__xludf.DUMMYFUNCTION("importrange(""https://docs.google.com/spreadsheets/d/1KQTVmJDcGi8nV3_t1mE9kcnETLPWhuSu5rpSaRf3Hf4/edit#gid=997576875"",""2026-27!aj4"")"),0.0)</f>
        <v>0</v>
      </c>
      <c r="BZ60" s="59">
        <f>IFERROR(__xludf.DUMMYFUNCTION("importrange(""https://docs.google.com/spreadsheets/d/1KQTVmJDcGi8nV3_t1mE9kcnETLPWhuSu5rpSaRf3Hf4/edit#gid=997576875"",""2026-27!aj3"")"),0.0)</f>
        <v>0</v>
      </c>
      <c r="CA60" s="59">
        <f>IFERROR(__xludf.DUMMYFUNCTION("importrange(""https://docs.google.com/spreadsheets/d/1KQTVmJDcGi8nV3_t1mE9kcnETLPWhuSu5rpSaRf3Hf4/edit#gid=997576875"",""2026-27!ak4"")"),1052500.0)</f>
        <v>1052500</v>
      </c>
      <c r="CB60" s="59">
        <f>IFERROR(__xludf.DUMMYFUNCTION("importrange(""https://docs.google.com/spreadsheets/d/1KQTVmJDcGi8nV3_t1mE9kcnETLPWhuSu5rpSaRf3Hf4/edit#gid=997576875"",""2026-27!ak3"")"),30.0)</f>
        <v>30</v>
      </c>
      <c r="CC60" s="59">
        <f>IFERROR(__xludf.DUMMYFUNCTION("importrange(""https://docs.google.com/spreadsheets/d/1KQTVmJDcGi8nV3_t1mE9kcnETLPWhuSu5rpSaRf3Hf4/edit#gid=997576875"",""2026-27!al4"")"),0.0)</f>
        <v>0</v>
      </c>
      <c r="CD60" s="59">
        <f>IFERROR(__xludf.DUMMYFUNCTION("importrange(""https://docs.google.com/spreadsheets/d/1KQTVmJDcGi8nV3_t1mE9kcnETLPWhuSu5rpSaRf3Hf4/edit#gid=997576875"",""2026-27!ai3"")"),0.0)</f>
        <v>0</v>
      </c>
      <c r="CE60" s="63">
        <f t="shared" si="90"/>
        <v>0</v>
      </c>
      <c r="CF60" s="59">
        <f>IFERROR(__xludf.DUMMYFUNCTION("importrange(""https://docs.google.com/spreadsheets/d/1KQTVmJDcGi8nV3_t1mE9kcnETLPWhuSu5rpSaRf3Hf4/edit#gid=997576875"",""2026-27!am4"")"),0.0)</f>
        <v>0</v>
      </c>
      <c r="CG60" s="59">
        <f>IFERROR(__xludf.DUMMYFUNCTION("importrange(""https://docs.google.com/spreadsheets/d/1KQTVmJDcGi8nV3_t1mE9kcnETLPWhuSu5rpSaRf3Hf4/edit#gid=997576875"",""2026-27!am3"")"),0.0)</f>
        <v>0</v>
      </c>
      <c r="CH60" s="59">
        <f>IFERROR(__xludf.DUMMYFUNCTION("importrange(""https://docs.google.com/spreadsheets/d/1KQTVmJDcGi8nV3_t1mE9kcnETLPWhuSu5rpSaRf3Hf4/edit#gid=997576875"",""2026-27!an4"")"),994500.0)</f>
        <v>994500</v>
      </c>
      <c r="CI60" s="59">
        <f>IFERROR(__xludf.DUMMYFUNCTION("importrange(""https://docs.google.com/spreadsheets/d/1KQTVmJDcGi8nV3_t1mE9kcnETLPWhuSu5rpSaRf3Hf4/edit#gid=997576875"",""2026-27!an3"")"),30.0)</f>
        <v>30</v>
      </c>
      <c r="CJ60" s="59">
        <f>IFERROR(__xludf.DUMMYFUNCTION("importrange(""https://docs.google.com/spreadsheets/d/1KQTVmJDcGi8nV3_t1mE9kcnETLPWhuSu5rpSaRf3Hf4/edit#gid=997576875"",""2026-27!ao4"")"),0.0)</f>
        <v>0</v>
      </c>
      <c r="CK60" s="59">
        <f>IFERROR(__xludf.DUMMYFUNCTION("importrange(""https://docs.google.com/spreadsheets/d/1KQTVmJDcGi8nV3_t1mE9kcnETLPWhuSu5rpSaRf3Hf4/edit#gid=997576875"",""2026-27!ao3"")"),0.0)</f>
        <v>0</v>
      </c>
      <c r="CL60" s="63">
        <f t="shared" si="91"/>
        <v>0</v>
      </c>
      <c r="CM60" s="59">
        <f>IFERROR(__xludf.DUMMYFUNCTION("importrange(""https://docs.google.com/spreadsheets/d/1KQTVmJDcGi8nV3_t1mE9kcnETLPWhuSu5rpSaRf3Hf4/edit#gid=997576875"",""2026-27!ap4"")"),0.0)</f>
        <v>0</v>
      </c>
      <c r="CN60" s="59">
        <f>IFERROR(__xludf.DUMMYFUNCTION("importrange(""https://docs.google.com/spreadsheets/d/1KQTVmJDcGi8nV3_t1mE9kcnETLPWhuSu5rpSaRf3Hf4/edit#gid=997576875"",""2026-27!ap3"")"),0.0)</f>
        <v>0</v>
      </c>
      <c r="CO60" s="59">
        <f>IFERROR(__xludf.DUMMYFUNCTION("importrange(""https://docs.google.com/spreadsheets/d/1KQTVmJDcGi8nV3_t1mE9kcnETLPWhuSu5rpSaRf3Hf4/edit#gid=997576875"",""2026-27!aq4"")"),1142500.0)</f>
        <v>1142500</v>
      </c>
      <c r="CP60" s="59">
        <f>IFERROR(__xludf.DUMMYFUNCTION("importrange(""https://docs.google.com/spreadsheets/d/1KQTVmJDcGi8nV3_t1mE9kcnETLPWhuSu5rpSaRf3Hf4/edit#gid=997576875"",""2026-27!aq3"")"),30.0)</f>
        <v>30</v>
      </c>
      <c r="CQ60" s="59">
        <f>IFERROR(__xludf.DUMMYFUNCTION("importrange(""https://docs.google.com/spreadsheets/d/1KQTVmJDcGi8nV3_t1mE9kcnETLPWhuSu5rpSaRf3Hf4/edit#gid=997576875"",""2026-27!ar4"")"),0.0)</f>
        <v>0</v>
      </c>
      <c r="CR60" s="59">
        <f>IFERROR(__xludf.DUMMYFUNCTION("importrange(""https://docs.google.com/spreadsheets/d/1KQTVmJDcGi8nV3_t1mE9kcnETLPWhuSu5rpSaRf3Hf4/edit#gid=997576875"",""2026-27!ar3"")"),0.0)</f>
        <v>0</v>
      </c>
      <c r="CS60" s="63">
        <f t="shared" si="92"/>
        <v>0</v>
      </c>
      <c r="CT60" s="59">
        <f>IFERROR(__xludf.DUMMYFUNCTION("importrange(""https://docs.google.com/spreadsheets/d/1KQTVmJDcGi8nV3_t1mE9kcnETLPWhuSu5rpSaRf3Hf4/edit#gid=997576875"",""2026-27!as4"")"),0.0)</f>
        <v>0</v>
      </c>
      <c r="CU60" s="59">
        <f>IFERROR(__xludf.DUMMYFUNCTION("importrange(""https://docs.google.com/spreadsheets/d/1KQTVmJDcGi8nV3_t1mE9kcnETLPWhuSu5rpSaRf3Hf4/edit#gid=997576875"",""2026-27!as3"")"),0.0)</f>
        <v>0</v>
      </c>
      <c r="CV60" s="64"/>
    </row>
    <row r="61">
      <c r="A61" s="1" t="s">
        <v>103</v>
      </c>
      <c r="B61" s="41"/>
      <c r="C61" s="86" t="s">
        <v>133</v>
      </c>
      <c r="D61" s="53" t="s">
        <v>134</v>
      </c>
      <c r="E61" s="54">
        <v>9.755719217E9</v>
      </c>
      <c r="F61" s="80">
        <v>45145.0</v>
      </c>
      <c r="G61" s="66"/>
      <c r="H61" s="66"/>
      <c r="I61" s="57">
        <v>36187.0</v>
      </c>
      <c r="J61" s="58">
        <v>2000000.0</v>
      </c>
      <c r="K61" s="59">
        <f>IFERROR(__xludf.DUMMYFUNCTION("IMPORTRANGE(""1I8z6Xfl0SZLMgBnWxBRKoVK18zG4drUtjIQybtuJzxE"",""2026-27!A3"")"),68.0)</f>
        <v>68</v>
      </c>
      <c r="L61" s="59">
        <f>IFERROR(__xludf.DUMMYFUNCTION("IMPORTRANGE(""1I8z6Xfl0SZLMgBnWxBRKoVK18zG4drUtjIQybtuJzxE"",""2026-27!G4"")"),2.2E7)</f>
        <v>22000000</v>
      </c>
      <c r="M61" s="59">
        <f t="shared" ref="M61:M76" si="95">R61+Y61+AF61+AM61+AT61+BA61+BH61+BO61+BV61+CC61+CJ61+CQ61</f>
        <v>2507320.96</v>
      </c>
      <c r="N61" s="60">
        <f t="shared" si="79"/>
        <v>0.07238520455</v>
      </c>
      <c r="O61" s="61">
        <f t="shared" ref="O61:O76" si="96">U61+AB61+AI61+AP61+AW61+BD61+BK61+BR61+BY61+CF61+CM61+CT61</f>
        <v>1592474.5</v>
      </c>
      <c r="P61" s="59">
        <f>IFERROR(__xludf.DUMMYFUNCTION("IMPORTRANGE(""1I8z6Xfl0SZLMgBnWxBRKoVK18zG4drUtjIQybtuJzxE"",""2026-27!J4"")"),1939400.0)</f>
        <v>1939400</v>
      </c>
      <c r="Q61" s="59">
        <f>IFERROR(__xludf.DUMMYFUNCTION("IMPORTRANGE(""1I8z6Xfl0SZLMgBnWxBRKoVK18zG4drUtjIQybtuJzxE"",""2026-27!J3"")"),63.0)</f>
        <v>63</v>
      </c>
      <c r="R61" s="59">
        <f>IFERROR(__xludf.DUMMYFUNCTION("IMPORTRANGE(""1I8z6Xfl0SZLMgBnWxBRKoVK18zG4drUtjIQybtuJzxE"",""2026-27!K4"")"),545722.13)</f>
        <v>545722.13</v>
      </c>
      <c r="S61" s="59">
        <f>IFERROR(__xludf.DUMMYFUNCTION("IMPORTRANGE(""1I8z6Xfl0SZLMgBnWxBRKoVK18zG4drUtjIQybtuJzxE"",""2026-27!K3"")"),21.0)</f>
        <v>21</v>
      </c>
      <c r="T61" s="62">
        <f t="shared" si="81"/>
        <v>0.2820576209</v>
      </c>
      <c r="U61" s="59">
        <f>IFERROR(__xludf.DUMMYFUNCTION("IMPORTRANGE(""1I8z6Xfl0SZLMgBnWxBRKoVK18zG4drUtjIQybtuJzxE"",""2026-27!L4"")"),547022.55)</f>
        <v>547022.55</v>
      </c>
      <c r="V61" s="59">
        <f>IFERROR(__xludf.DUMMYFUNCTION("IMPORTRANGE(""1I8z6Xfl0SZLMgBnWxBRKoVK18zG4drUtjIQybtuJzxE"",""2026-27!L3"")"),20.0)</f>
        <v>20</v>
      </c>
      <c r="W61" s="59">
        <f>IFERROR(__xludf.DUMMYFUNCTION("IMPORTRANGE(""1I8z6Xfl0SZLMgBnWxBRKoVK18zG4drUtjIQybtuJzxE"",""2026-27!m4"")"),1939400.0)</f>
        <v>1939400</v>
      </c>
      <c r="X61" s="59">
        <f>IFERROR(__xludf.DUMMYFUNCTION("IMPORTRANGE(""1I8z6Xfl0SZLMgBnWxBRKoVK18zG4drUtjIQybtuJzxE"",""2026-27!m3"")"),63.0)</f>
        <v>63</v>
      </c>
      <c r="Y61" s="59">
        <f>IFERROR(__xludf.DUMMYFUNCTION("IMPORTRANGE(""1I8z6Xfl0SZLMgBnWxBRKoVK18zG4drUtjIQybtuJzxE"",""2026-27!N4"")"),1035044.5399999997)</f>
        <v>1035044.54</v>
      </c>
      <c r="Z61" s="59">
        <f>IFERROR(__xludf.DUMMYFUNCTION("IMPORTRANGE(""1I8z6Xfl0SZLMgBnWxBRKoVK18zG4drUtjIQybtuJzxE"",""2026-27!N3"")"),23.0)</f>
        <v>23</v>
      </c>
      <c r="AA61" s="62">
        <f t="shared" si="82"/>
        <v>0.5390594772</v>
      </c>
      <c r="AB61" s="59">
        <f>IFERROR(__xludf.DUMMYFUNCTION("IMPORTRANGE(""1I8z6Xfl0SZLMgBnWxBRKoVK18zG4drUtjIQybtuJzxE"",""2026-27!O4"")"),1045451.95)</f>
        <v>1045451.95</v>
      </c>
      <c r="AC61" s="59">
        <f>IFERROR(__xludf.DUMMYFUNCTION("IMPORTRANGE(""1I8z6Xfl0SZLMgBnWxBRKoVK18zG4drUtjIQybtuJzxE"",""2026-27!O3"")"),23.0)</f>
        <v>23</v>
      </c>
      <c r="AD61" s="59">
        <f>IFERROR(__xludf.DUMMYFUNCTION("IMPORTRANGE(""1I8z6Xfl0SZLMgBnWxBRKoVK18zG4drUtjIQybtuJzxE"",""2026-27!P4"")"),1939400.0)</f>
        <v>1939400</v>
      </c>
      <c r="AE61" s="59">
        <f>IFERROR(__xludf.DUMMYFUNCTION("IMPORTRANGE(""1I8z6Xfl0SZLMgBnWxBRKoVK18zG4drUtjIQybtuJzxE"",""2026-27!P3"")"),63.0)</f>
        <v>63</v>
      </c>
      <c r="AF61" s="59">
        <f>IFERROR(__xludf.DUMMYFUNCTION("IMPORTRANGE(""1I8z6Xfl0SZLMgBnWxBRKoVK18zG4drUtjIQybtuJzxE"",""2026-27!Q4"")"),926554.29)</f>
        <v>926554.29</v>
      </c>
      <c r="AG61" s="59">
        <f>IFERROR(__xludf.DUMMYFUNCTION("IMPORTRANGE(""1I8z6Xfl0SZLMgBnWxBRKoVK18zG4drUtjIQybtuJzxE"",""2026-27!Q3"")"),21.0)</f>
        <v>21</v>
      </c>
      <c r="AH61" s="62">
        <f t="shared" si="83"/>
        <v>0</v>
      </c>
      <c r="AI61" s="59">
        <f>IFERROR(__xludf.DUMMYFUNCTION("IMPORTRANGE(""1I8z6Xfl0SZLMgBnWxBRKoVK18zG4drUtjIQybtuJzxE"",""2026-27!R4"")"),0.0)</f>
        <v>0</v>
      </c>
      <c r="AJ61" s="59">
        <f>IFERROR(__xludf.DUMMYFUNCTION("IMPORTRANGE(""1I8z6Xfl0SZLMgBnWxBRKoVK18zG4drUtjIQybtuJzxE"",""2026-27!R3"")"),0.0)</f>
        <v>0</v>
      </c>
      <c r="AK61" s="59">
        <f>IFERROR(__xludf.DUMMYFUNCTION("IMPORTRANGE(""1I8z6Xfl0SZLMgBnWxBRKoVK18zG4drUtjIQybtuJzxE"",""2026-27!S4"")"),0.0)</f>
        <v>0</v>
      </c>
      <c r="AL61" s="59">
        <f>IFERROR(__xludf.DUMMYFUNCTION("IMPORTRANGE(""1I8z6Xfl0SZLMgBnWxBRKoVK18zG4drUtjIQybtuJzxE"",""2026-27!S3"")"),0.0)</f>
        <v>0</v>
      </c>
      <c r="AM61" s="59">
        <f>IFERROR(__xludf.DUMMYFUNCTION("IMPORTRANGE(""1I8z6Xfl0SZLMgBnWxBRKoVK18zG4drUtjIQybtuJzxE"",""2026-27!T4"")"),0.0)</f>
        <v>0</v>
      </c>
      <c r="AN61" s="59">
        <f>IFERROR(__xludf.DUMMYFUNCTION("IMPORTRANGE(""1I8z6Xfl0SZLMgBnWxBRKoVK18zG4drUtjIQybtuJzxE"",""2026-27!T3"")"),0.0)</f>
        <v>0</v>
      </c>
      <c r="AO61" s="62" t="str">
        <f t="shared" si="84"/>
        <v/>
      </c>
      <c r="AP61" s="59">
        <f>IFERROR(__xludf.DUMMYFUNCTION("IMPORTRANGE(""1I8z6Xfl0SZLMgBnWxBRKoVK18zG4drUtjIQybtuJzxE"",""2026-27!U4"")"),0.0)</f>
        <v>0</v>
      </c>
      <c r="AQ61" s="59">
        <f>IFERROR(__xludf.DUMMYFUNCTION("IMPORTRANGE(""1I8z6Xfl0SZLMgBnWxBRKoVK18zG4drUtjIQybtuJzxE"",""2026-27!U3"")"),0.0)</f>
        <v>0</v>
      </c>
      <c r="AR61" s="59">
        <f>IFERROR(__xludf.DUMMYFUNCTION("IMPORTRANGE(""1I8z6Xfl0SZLMgBnWxBRKoVK18zG4drUtjIQybtuJzxE"",""2026-27!V4"")"),0.0)</f>
        <v>0</v>
      </c>
      <c r="AS61" s="59">
        <f>IFERROR(__xludf.DUMMYFUNCTION("IMPORTRANGE(""1I8z6Xfl0SZLMgBnWxBRKoVK18zG4drUtjIQybtuJzxE"",""2026-27!V3"")"),0.0)</f>
        <v>0</v>
      </c>
      <c r="AT61" s="59">
        <f>IFERROR(__xludf.DUMMYFUNCTION("IMPORTRANGE(""1I8z6Xfl0SZLMgBnWxBRKoVK18zG4drUtjIQybtuJzxE"",""2026-27!W4"")"),0.0)</f>
        <v>0</v>
      </c>
      <c r="AU61" s="59">
        <f>IFERROR(__xludf.DUMMYFUNCTION("IMPORTRANGE(""1I8z6Xfl0SZLMgBnWxBRKoVK18zG4drUtjIQybtuJzxE"",""2026-27!W3"")"),0.0)</f>
        <v>0</v>
      </c>
      <c r="AV61" s="62" t="str">
        <f t="shared" si="85"/>
        <v/>
      </c>
      <c r="AW61" s="59">
        <f>IFERROR(__xludf.DUMMYFUNCTION("IMPORTRANGE(""1I8z6Xfl0SZLMgBnWxBRKoVK18zG4drUtjIQybtuJzxE"",""2026-27!X4"")"),0.0)</f>
        <v>0</v>
      </c>
      <c r="AX61" s="59">
        <f>IFERROR(__xludf.DUMMYFUNCTION("IMPORTRANGE(""1I8z6Xfl0SZLMgBnWxBRKoVK18zG4drUtjIQybtuJzxE"",""2026-27!X3"")"),0.0)</f>
        <v>0</v>
      </c>
      <c r="AY61" s="59">
        <f>IFERROR(__xludf.DUMMYFUNCTION("IMPORTRANGE(""1I8z6Xfl0SZLMgBnWxBRKoVK18zG4drUtjIQybtuJzxE"",""2026-27!Y4"")"),0.0)</f>
        <v>0</v>
      </c>
      <c r="AZ61" s="59">
        <f>IFERROR(__xludf.DUMMYFUNCTION("IMPORTRANGE(""1I8z6Xfl0SZLMgBnWxBRKoVK18zG4drUtjIQybtuJzxE"",""2026-27!Y3"")"),0.0)</f>
        <v>0</v>
      </c>
      <c r="BA61" s="59">
        <f>IFERROR(__xludf.DUMMYFUNCTION("IMPORTRANGE(""1I8z6Xfl0SZLMgBnWxBRKoVK18zG4drUtjIQybtuJzxE"",""2026-27!Z4"")"),0.0)</f>
        <v>0</v>
      </c>
      <c r="BB61" s="59">
        <f>IFERROR(__xludf.DUMMYFUNCTION("IMPORTRANGE(""1I8z6Xfl0SZLMgBnWxBRKoVK18zG4drUtjIQybtuJzxE"",""2026-27!Z3"")"),0.0)</f>
        <v>0</v>
      </c>
      <c r="BC61" s="63" t="str">
        <f t="shared" si="86"/>
        <v/>
      </c>
      <c r="BD61" s="59">
        <f>IFERROR(__xludf.DUMMYFUNCTION("IMPORTRANGE(""1I8z6Xfl0SZLMgBnWxBRKoVK18zG4drUtjIQybtuJzxE"",""2026-27!AA4"")"),0.0)</f>
        <v>0</v>
      </c>
      <c r="BE61" s="59">
        <f>IFERROR(__xludf.DUMMYFUNCTION("IMPORTRANGE(""1I8z6Xfl0SZLMgBnWxBRKoVK18zG4drUtjIQybtuJzxE"",""2026-27!AA3"")"),0.0)</f>
        <v>0</v>
      </c>
      <c r="BF61" s="59">
        <f>IFERROR(__xludf.DUMMYFUNCTION("IMPORTRANGE(""1I8z6Xfl0SZLMgBnWxBRKoVK18zG4drUtjIQybtuJzxE"",""2026-27!AB4"")"),0.0)</f>
        <v>0</v>
      </c>
      <c r="BG61" s="59">
        <f>IFERROR(__xludf.DUMMYFUNCTION("IMPORTRANGE(""1I8z6Xfl0SZLMgBnWxBRKoVK18zG4drUtjIQybtuJzxE"",""2026-27!AB3"")"),0.0)</f>
        <v>0</v>
      </c>
      <c r="BH61" s="59">
        <f>IFERROR(__xludf.DUMMYFUNCTION("IMPORTRANGE(""1I8z6Xfl0SZLMgBnWxBRKoVK18zG4drUtjIQybtuJzxE"",""2026-27!AC4"")"),0.0)</f>
        <v>0</v>
      </c>
      <c r="BI61" s="59">
        <f>IFERROR(__xludf.DUMMYFUNCTION("IMPORTRANGE(""1I8z6Xfl0SZLMgBnWxBRKoVK18zG4drUtjIQybtuJzxE"",""2026-27!AC3"")"),0.0)</f>
        <v>0</v>
      </c>
      <c r="BJ61" s="63" t="str">
        <f t="shared" si="87"/>
        <v/>
      </c>
      <c r="BK61" s="59">
        <f>IFERROR(__xludf.DUMMYFUNCTION("IMPORTRANGE(""1I8z6Xfl0SZLMgBnWxBRKoVK18zG4drUtjIQybtuJzxE"",""2026-27!AD4"")"),0.0)</f>
        <v>0</v>
      </c>
      <c r="BL61" s="59">
        <f>IFERROR(__xludf.DUMMYFUNCTION("IMPORTRANGE(""1I8z6Xfl0SZLMgBnWxBRKoVK18zG4drUtjIQybtuJzxE"",""2026-27!AD3"")"),0.0)</f>
        <v>0</v>
      </c>
      <c r="BM61" s="59">
        <f>IFERROR(__xludf.DUMMYFUNCTION("IMPORTRANGE(""1I8z6Xfl0SZLMgBnWxBRKoVK18zG4drUtjIQybtuJzxE"",""2026-27!AE4"")"),0.0)</f>
        <v>0</v>
      </c>
      <c r="BN61" s="59">
        <f>IFERROR(__xludf.DUMMYFUNCTION("IMPORTRANGE(""1I8z6Xfl0SZLMgBnWxBRKoVK18zG4drUtjIQybtuJzxE"",""2026-27!AE3"")"),0.0)</f>
        <v>0</v>
      </c>
      <c r="BO61" s="59">
        <f>IFERROR(__xludf.DUMMYFUNCTION("IMPORTRANGE(""1I8z6Xfl0SZLMgBnWxBRKoVK18zG4drUtjIQybtuJzxE"",""2026-27!AF4"")"),0.0)</f>
        <v>0</v>
      </c>
      <c r="BP61" s="59">
        <f>IFERROR(__xludf.DUMMYFUNCTION("IMPORTRANGE(""1I8z6Xfl0SZLMgBnWxBRKoVK18zG4drUtjIQybtuJzxE"",""2026-27!AF3"")"),0.0)</f>
        <v>0</v>
      </c>
      <c r="BQ61" s="63" t="str">
        <f t="shared" si="88"/>
        <v/>
      </c>
      <c r="BR61" s="59">
        <f>IFERROR(__xludf.DUMMYFUNCTION("IMPORTRANGE(""1I8z6Xfl0SZLMgBnWxBRKoVK18zG4drUtjIQybtuJzxE"",""2026-27!AG4"")"),0.0)</f>
        <v>0</v>
      </c>
      <c r="BS61" s="59">
        <f>IFERROR(__xludf.DUMMYFUNCTION("IMPORTRANGE(""1I8z6Xfl0SZLMgBnWxBRKoVK18zG4drUtjIQybtuJzxE"",""2026-27!AG3"")"),0.0)</f>
        <v>0</v>
      </c>
      <c r="BT61" s="59">
        <f>IFERROR(__xludf.DUMMYFUNCTION("IMPORTRANGE(""1I8z6Xfl0SZLMgBnWxBRKoVK18zG4drUtjIQybtuJzxE"",""2026-27!AH4"")"),0.0)</f>
        <v>0</v>
      </c>
      <c r="BU61" s="59">
        <f>IFERROR(__xludf.DUMMYFUNCTION("IMPORTRANGE(""1I8z6Xfl0SZLMgBnWxBRKoVK18zG4drUtjIQybtuJzxE"",""2026-27!AH3"")"),0.0)</f>
        <v>0</v>
      </c>
      <c r="BV61" s="59">
        <f>IFERROR(__xludf.DUMMYFUNCTION("IMPORTRANGE(""1I8z6Xfl0SZLMgBnWxBRKoVK18zG4drUtjIQybtuJzxE"",""2026-27!AI4"")"),0.0)</f>
        <v>0</v>
      </c>
      <c r="BW61" s="59">
        <f>IFERROR(__xludf.DUMMYFUNCTION("IMPORTRANGE(""1I8z6Xfl0SZLMgBnWxBRKoVK18zG4drUtjIQybtuJzxE"",""2026-27!AI3"")"),0.0)</f>
        <v>0</v>
      </c>
      <c r="BX61" s="63" t="str">
        <f t="shared" si="89"/>
        <v/>
      </c>
      <c r="BY61" s="59">
        <f>IFERROR(__xludf.DUMMYFUNCTION("IMPORTRANGE(""1I8z6Xfl0SZLMgBnWxBRKoVK18zG4drUtjIQybtuJzxE"",""2026-27!AJ4"")"),0.0)</f>
        <v>0</v>
      </c>
      <c r="BZ61" s="59">
        <f>IFERROR(__xludf.DUMMYFUNCTION("IMPORTRANGE(""1I8z6Xfl0SZLMgBnWxBRKoVK18zG4drUtjIQybtuJzxE"",""2026-27!AJ3"")"),0.0)</f>
        <v>0</v>
      </c>
      <c r="CA61" s="59">
        <f>IFERROR(__xludf.DUMMYFUNCTION("IMPORTRANGE(""1I8z6Xfl0SZLMgBnWxBRKoVK18zG4drUtjIQybtuJzxE"",""2026-27!AK4"")"),0.0)</f>
        <v>0</v>
      </c>
      <c r="CB61" s="59">
        <f>IFERROR(__xludf.DUMMYFUNCTION("IMPORTRANGE(""1I8z6Xfl0SZLMgBnWxBRKoVK18zG4drUtjIQybtuJzxE"",""2026-27!AK3"")"),0.0)</f>
        <v>0</v>
      </c>
      <c r="CC61" s="59">
        <f>IFERROR(__xludf.DUMMYFUNCTION("IMPORTRANGE(""1I8z6Xfl0SZLMgBnWxBRKoVK18zG4drUtjIQybtuJzxE"",""2026-27!AL4"")"),0.0)</f>
        <v>0</v>
      </c>
      <c r="CD61" s="59">
        <f>IFERROR(__xludf.DUMMYFUNCTION("IMPORTRANGE(""1I8z6Xfl0SZLMgBnWxBRKoVK18zG4drUtjIQybtuJzxE"",""2026-27!AL3"")"),0.0)</f>
        <v>0</v>
      </c>
      <c r="CE61" s="63" t="str">
        <f t="shared" si="90"/>
        <v/>
      </c>
      <c r="CF61" s="59">
        <f>IFERROR(__xludf.DUMMYFUNCTION("IMPORTRANGE(""1I8z6Xfl0SZLMgBnWxBRKoVK18zG4drUtjIQybtuJzxE"",""2026-27!AM4"")"),0.0)</f>
        <v>0</v>
      </c>
      <c r="CG61" s="59">
        <f>IFERROR(__xludf.DUMMYFUNCTION("IMPORTRANGE(""1I8z6Xfl0SZLMgBnWxBRKoVK18zG4drUtjIQybtuJzxE"",""2026-27!AM3"")"),0.0)</f>
        <v>0</v>
      </c>
      <c r="CH61" s="59">
        <f>IFERROR(__xludf.DUMMYFUNCTION("IMPORTRANGE(""1I8z6Xfl0SZLMgBnWxBRKoVK18zG4drUtjIQybtuJzxE"",""2026-27!AN4"")"),0.0)</f>
        <v>0</v>
      </c>
      <c r="CI61" s="59">
        <f>IFERROR(__xludf.DUMMYFUNCTION("IMPORTRANGE(""1I8z6Xfl0SZLMgBnWxBRKoVK18zG4drUtjIQybtuJzxE"",""2026-27!AN3"")"),0.0)</f>
        <v>0</v>
      </c>
      <c r="CJ61" s="59">
        <f>IFERROR(__xludf.DUMMYFUNCTION("IMPORTRANGE(""1I8z6Xfl0SZLMgBnWxBRKoVK18zG4drUtjIQybtuJzxE"",""2026-27!AO4"")"),0.0)</f>
        <v>0</v>
      </c>
      <c r="CK61" s="59">
        <f>IFERROR(__xludf.DUMMYFUNCTION("IMPORTRANGE(""1I8z6Xfl0SZLMgBnWxBRKoVK18zG4drUtjIQybtuJzxE"",""2026-27!AO3"")"),0.0)</f>
        <v>0</v>
      </c>
      <c r="CL61" s="63" t="str">
        <f t="shared" si="91"/>
        <v/>
      </c>
      <c r="CM61" s="59">
        <f>IFERROR(__xludf.DUMMYFUNCTION("IMPORTRANGE(""1I8z6Xfl0SZLMgBnWxBRKoVK18zG4drUtjIQybtuJzxE"",""2026-27!AP4"")"),0.0)</f>
        <v>0</v>
      </c>
      <c r="CN61" s="59">
        <f>IFERROR(__xludf.DUMMYFUNCTION("IMPORTRANGE(""1I8z6Xfl0SZLMgBnWxBRKoVK18zG4drUtjIQybtuJzxE"",""2026-27!AP3"")"),0.0)</f>
        <v>0</v>
      </c>
      <c r="CO61" s="59">
        <f>IFERROR(__xludf.DUMMYFUNCTION("IMPORTRANGE(""1I8z6Xfl0SZLMgBnWxBRKoVK18zG4drUtjIQybtuJzxE"",""2026-27!AQ4"")"),0.0)</f>
        <v>0</v>
      </c>
      <c r="CP61" s="59">
        <f>IFERROR(__xludf.DUMMYFUNCTION("IMPORTRANGE(""1I8z6Xfl0SZLMgBnWxBRKoVK18zG4drUtjIQybtuJzxE"",""2026-27!AQ3"")"),0.0)</f>
        <v>0</v>
      </c>
      <c r="CQ61" s="59">
        <f>IFERROR(__xludf.DUMMYFUNCTION("IMPORTRANGE(""1I8z6Xfl0SZLMgBnWxBRKoVK18zG4drUtjIQybtuJzxE"",""2026-27!AR4"")"),0.0)</f>
        <v>0</v>
      </c>
      <c r="CR61" s="59">
        <f>IFERROR(__xludf.DUMMYFUNCTION("IMPORTRANGE(""1I8z6Xfl0SZLMgBnWxBRKoVK18zG4drUtjIQybtuJzxE"",""2026-27!AR3"")"),0.0)</f>
        <v>0</v>
      </c>
      <c r="CS61" s="63" t="str">
        <f t="shared" si="92"/>
        <v/>
      </c>
      <c r="CT61" s="59">
        <f>IFERROR(__xludf.DUMMYFUNCTION("IMPORTRANGE(""1I8z6Xfl0SZLMgBnWxBRKoVK18zG4drUtjIQybtuJzxE"",""2026-27!AS4"")"),0.0)</f>
        <v>0</v>
      </c>
      <c r="CU61" s="59">
        <f>IFERROR(__xludf.DUMMYFUNCTION("IMPORTRANGE(""1I8z6Xfl0SZLMgBnWxBRKoVK18zG4drUtjIQybtuJzxE"",""2026-27!AS3"")"),0.0)</f>
        <v>0</v>
      </c>
      <c r="CV61" s="64"/>
    </row>
    <row r="62">
      <c r="A62" s="1" t="s">
        <v>103</v>
      </c>
      <c r="B62" s="41"/>
      <c r="C62" s="86" t="s">
        <v>135</v>
      </c>
      <c r="D62" s="53" t="s">
        <v>110</v>
      </c>
      <c r="E62" s="54">
        <v>8.60201435E9</v>
      </c>
      <c r="F62" s="80">
        <v>45152.0</v>
      </c>
      <c r="G62" s="66"/>
      <c r="H62" s="66"/>
      <c r="I62" s="57">
        <v>43314.0</v>
      </c>
      <c r="J62" s="58">
        <v>2775000.0</v>
      </c>
      <c r="K62" s="59">
        <f>IFERROR(__xludf.DUMMYFUNCTION("IMPORTRANGE(""152AECjMPz2mnH4mgBJ75E4ggGRK2pwMrpTycQwGhS9o"",""2026-27!A3"")"),108.0)</f>
        <v>108</v>
      </c>
      <c r="L62" s="59">
        <f>IFERROR(__xludf.DUMMYFUNCTION("IMPORTRANGE(""152AECjMPz2mnH4mgBJ75E4ggGRK2pwMrpTycQwGhS9o"",""2026-27!G4"")"),3.448E7)</f>
        <v>34480000</v>
      </c>
      <c r="M62" s="59">
        <f t="shared" si="95"/>
        <v>6610256.85</v>
      </c>
      <c r="N62" s="60">
        <f t="shared" si="79"/>
        <v>0.1657985209</v>
      </c>
      <c r="O62" s="61">
        <f t="shared" si="96"/>
        <v>5716733</v>
      </c>
      <c r="P62" s="59">
        <f>IFERROR(__xludf.DUMMYFUNCTION("IMPORTRANGE(""152AECjMPz2mnH4mgBJ75E4ggGRK2pwMrpTycQwGhS9o"",""2026-27!J4"")"),0.0)</f>
        <v>0</v>
      </c>
      <c r="Q62" s="59">
        <f>IFERROR(__xludf.DUMMYFUNCTION("IMPORTRANGE(""152AECjMPz2mnH4mgBJ75E4ggGRK2pwMrpTycQwGhS9o"",""2026-27!J3"")"),0.0)</f>
        <v>0</v>
      </c>
      <c r="R62" s="59">
        <f>IFERROR(__xludf.DUMMYFUNCTION("IMPORTRANGE(""152AECjMPz2mnH4mgBJ75E4ggGRK2pwMrpTycQwGhS9o"",""2026-27!K4"")"),1632035.3200000005)</f>
        <v>1632035.32</v>
      </c>
      <c r="S62" s="59">
        <f>IFERROR(__xludf.DUMMYFUNCTION("IMPORTRANGE(""152AECjMPz2mnH4mgBJ75E4ggGRK2pwMrpTycQwGhS9o"",""2026-27!K3"")"),49.0)</f>
        <v>49</v>
      </c>
      <c r="T62" s="62" t="str">
        <f t="shared" si="81"/>
        <v/>
      </c>
      <c r="U62" s="59">
        <f>IFERROR(__xludf.DUMMYFUNCTION("IMPORTRANGE(""152AECjMPz2mnH4mgBJ75E4ggGRK2pwMrpTycQwGhS9o"",""2026-27!L4"")"),1398562.0)</f>
        <v>1398562</v>
      </c>
      <c r="V62" s="59">
        <f>IFERROR(__xludf.DUMMYFUNCTION("IMPORTRANGE(""152AECjMPz2mnH4mgBJ75E4ggGRK2pwMrpTycQwGhS9o"",""2026-27!L3"")"),40.0)</f>
        <v>40</v>
      </c>
      <c r="W62" s="59">
        <f>IFERROR(__xludf.DUMMYFUNCTION("IMPORTRANGE(""152AECjMPz2mnH4mgBJ75E4ggGRK2pwMrpTycQwGhS9o"",""2026-27!m4"")"),3105000.0)</f>
        <v>3105000</v>
      </c>
      <c r="X62" s="59">
        <f>IFERROR(__xludf.DUMMYFUNCTION("IMPORTRANGE(""152AECjMPz2mnH4mgBJ75E4ggGRK2pwMrpTycQwGhS9o"",""2026-27!m3"")"),96.0)</f>
        <v>96</v>
      </c>
      <c r="Y62" s="59">
        <f>IFERROR(__xludf.DUMMYFUNCTION("IMPORTRANGE(""152AECjMPz2mnH4mgBJ75E4ggGRK2pwMrpTycQwGhS9o"",""2026-27!N4"")"),2602199.1499999994)</f>
        <v>2602199.15</v>
      </c>
      <c r="Z62" s="59">
        <f>IFERROR(__xludf.DUMMYFUNCTION("IMPORTRANGE(""152AECjMPz2mnH4mgBJ75E4ggGRK2pwMrpTycQwGhS9o"",""2026-27!N3"")"),43.0)</f>
        <v>43</v>
      </c>
      <c r="AA62" s="62">
        <f t="shared" si="82"/>
        <v>0.6478711755</v>
      </c>
      <c r="AB62" s="59">
        <f>IFERROR(__xludf.DUMMYFUNCTION("IMPORTRANGE(""152AECjMPz2mnH4mgBJ75E4ggGRK2pwMrpTycQwGhS9o"",""2026-27!O4"")"),2011640.0)</f>
        <v>2011640</v>
      </c>
      <c r="AC62" s="59">
        <f>IFERROR(__xludf.DUMMYFUNCTION("IMPORTRANGE(""152AECjMPz2mnH4mgBJ75E4ggGRK2pwMrpTycQwGhS9o"",""2026-27!O3"")"),38.0)</f>
        <v>38</v>
      </c>
      <c r="AD62" s="59">
        <f>IFERROR(__xludf.DUMMYFUNCTION("IMPORTRANGE(""152AECjMPz2mnH4mgBJ75E4ggGRK2pwMrpTycQwGhS9o"",""2026-27!P4"")"),3285000.0)</f>
        <v>3285000</v>
      </c>
      <c r="AE62" s="59">
        <f>IFERROR(__xludf.DUMMYFUNCTION("IMPORTRANGE(""152AECjMPz2mnH4mgBJ75E4ggGRK2pwMrpTycQwGhS9o"",""2026-27!P3"")"),96.0)</f>
        <v>96</v>
      </c>
      <c r="AF62" s="59">
        <f>IFERROR(__xludf.DUMMYFUNCTION("IMPORTRANGE(""152AECjMPz2mnH4mgBJ75E4ggGRK2pwMrpTycQwGhS9o"",""2026-27!Q4"")"),2376022.3799999994)</f>
        <v>2376022.38</v>
      </c>
      <c r="AG62" s="59">
        <f>IFERROR(__xludf.DUMMYFUNCTION("IMPORTRANGE(""152AECjMPz2mnH4mgBJ75E4ggGRK2pwMrpTycQwGhS9o"",""2026-27!Q3"")"),46.0)</f>
        <v>46</v>
      </c>
      <c r="AH62" s="62">
        <f t="shared" si="83"/>
        <v>0.7021403349</v>
      </c>
      <c r="AI62" s="59">
        <f>IFERROR(__xludf.DUMMYFUNCTION("IMPORTRANGE(""152AECjMPz2mnH4mgBJ75E4ggGRK2pwMrpTycQwGhS9o"",""2026-27!R4"")"),2306531.0)</f>
        <v>2306531</v>
      </c>
      <c r="AJ62" s="59">
        <f>IFERROR(__xludf.DUMMYFUNCTION("IMPORTRANGE(""152AECjMPz2mnH4mgBJ75E4ggGRK2pwMrpTycQwGhS9o"",""2026-27!R3"")"),45.0)</f>
        <v>45</v>
      </c>
      <c r="AK62" s="59">
        <f>IFERROR(__xludf.DUMMYFUNCTION("IMPORTRANGE(""152AECjMPz2mnH4mgBJ75E4ggGRK2pwMrpTycQwGhS9o"",""2026-27!S4"")"),0.0)</f>
        <v>0</v>
      </c>
      <c r="AL62" s="59">
        <f>IFERROR(__xludf.DUMMYFUNCTION("IMPORTRANGE(""152AECjMPz2mnH4mgBJ75E4ggGRK2pwMrpTycQwGhS9o"",""2026-27!S3"")"),0.0)</f>
        <v>0</v>
      </c>
      <c r="AM62" s="59">
        <f>IFERROR(__xludf.DUMMYFUNCTION("IMPORTRANGE(""152AECjMPz2mnH4mgBJ75E4ggGRK2pwMrpTycQwGhS9o"",""2026-27!T4"")"),0.0)</f>
        <v>0</v>
      </c>
      <c r="AN62" s="59">
        <f>IFERROR(__xludf.DUMMYFUNCTION("IMPORTRANGE(""152AECjMPz2mnH4mgBJ75E4ggGRK2pwMrpTycQwGhS9o"",""2026-27!T3"")"),0.0)</f>
        <v>0</v>
      </c>
      <c r="AO62" s="62" t="str">
        <f t="shared" si="84"/>
        <v/>
      </c>
      <c r="AP62" s="59">
        <f>IFERROR(__xludf.DUMMYFUNCTION("IMPORTRANGE(""152AECjMPz2mnH4mgBJ75E4ggGRK2pwMrpTycQwGhS9o"",""2026-27!U4"")"),0.0)</f>
        <v>0</v>
      </c>
      <c r="AQ62" s="59">
        <f>IFERROR(__xludf.DUMMYFUNCTION("IMPORTRANGE(""152AECjMPz2mnH4mgBJ75E4ggGRK2pwMrpTycQwGhS9o"",""2026-27!U3"")"),0.0)</f>
        <v>0</v>
      </c>
      <c r="AR62" s="59">
        <f>IFERROR(__xludf.DUMMYFUNCTION("IMPORTRANGE(""152AECjMPz2mnH4mgBJ75E4ggGRK2pwMrpTycQwGhS9o"",""2026-27!V4"")"),0.0)</f>
        <v>0</v>
      </c>
      <c r="AS62" s="59">
        <f>IFERROR(__xludf.DUMMYFUNCTION("IMPORTRANGE(""152AECjMPz2mnH4mgBJ75E4ggGRK2pwMrpTycQwGhS9o"",""2026-27!V3"")"),0.0)</f>
        <v>0</v>
      </c>
      <c r="AT62" s="59">
        <f>IFERROR(__xludf.DUMMYFUNCTION("IMPORTRANGE(""152AECjMPz2mnH4mgBJ75E4ggGRK2pwMrpTycQwGhS9o"",""2026-27!W4"")"),0.0)</f>
        <v>0</v>
      </c>
      <c r="AU62" s="59">
        <f>IFERROR(__xludf.DUMMYFUNCTION("IMPORTRANGE(""152AECjMPz2mnH4mgBJ75E4ggGRK2pwMrpTycQwGhS9o"",""2026-27!W3"")"),0.0)</f>
        <v>0</v>
      </c>
      <c r="AV62" s="62" t="str">
        <f t="shared" si="85"/>
        <v/>
      </c>
      <c r="AW62" s="59">
        <f>IFERROR(__xludf.DUMMYFUNCTION("IMPORTRANGE(""152AECjMPz2mnH4mgBJ75E4ggGRK2pwMrpTycQwGhS9o"",""2026-27!X4"")"),0.0)</f>
        <v>0</v>
      </c>
      <c r="AX62" s="59">
        <f>IFERROR(__xludf.DUMMYFUNCTION("IMPORTRANGE(""152AECjMPz2mnH4mgBJ75E4ggGRK2pwMrpTycQwGhS9o"",""2026-27!X3"")"),0.0)</f>
        <v>0</v>
      </c>
      <c r="AY62" s="59">
        <f>IFERROR(__xludf.DUMMYFUNCTION("IMPORTRANGE(""152AECjMPz2mnH4mgBJ75E4ggGRK2pwMrpTycQwGhS9o"",""2026-27!Y4"")"),0.0)</f>
        <v>0</v>
      </c>
      <c r="AZ62" s="59">
        <f>IFERROR(__xludf.DUMMYFUNCTION("IMPORTRANGE(""152AECjMPz2mnH4mgBJ75E4ggGRK2pwMrpTycQwGhS9o"",""2026-27!Y3"")"),0.0)</f>
        <v>0</v>
      </c>
      <c r="BA62" s="59">
        <f>IFERROR(__xludf.DUMMYFUNCTION("IMPORTRANGE(""152AECjMPz2mnH4mgBJ75E4ggGRK2pwMrpTycQwGhS9o"",""2026-27!Z4"")"),0.0)</f>
        <v>0</v>
      </c>
      <c r="BB62" s="59">
        <f>IFERROR(__xludf.DUMMYFUNCTION("IMPORTRANGE(""152AECjMPz2mnH4mgBJ75E4ggGRK2pwMrpTycQwGhS9o"",""2026-27!Z3"")"),0.0)</f>
        <v>0</v>
      </c>
      <c r="BC62" s="63" t="str">
        <f t="shared" si="86"/>
        <v/>
      </c>
      <c r="BD62" s="59">
        <f>IFERROR(__xludf.DUMMYFUNCTION("IMPORTRANGE(""152AECjMPz2mnH4mgBJ75E4ggGRK2pwMrpTycQwGhS9o"",""2026-27!AA4"")"),0.0)</f>
        <v>0</v>
      </c>
      <c r="BE62" s="59">
        <f>IFERROR(__xludf.DUMMYFUNCTION("IMPORTRANGE(""152AECjMPz2mnH4mgBJ75E4ggGRK2pwMrpTycQwGhS9o"",""2026-27!AA3"")"),0.0)</f>
        <v>0</v>
      </c>
      <c r="BF62" s="59">
        <f>IFERROR(__xludf.DUMMYFUNCTION("IMPORTRANGE(""152AECjMPz2mnH4mgBJ75E4ggGRK2pwMrpTycQwGhS9o"",""2026-27!AB4"")"),0.0)</f>
        <v>0</v>
      </c>
      <c r="BG62" s="59">
        <f>IFERROR(__xludf.DUMMYFUNCTION("IMPORTRANGE(""152AECjMPz2mnH4mgBJ75E4ggGRK2pwMrpTycQwGhS9o"",""2026-27!AB3"")"),0.0)</f>
        <v>0</v>
      </c>
      <c r="BH62" s="59">
        <f>IFERROR(__xludf.DUMMYFUNCTION("IMPORTRANGE(""152AECjMPz2mnH4mgBJ75E4ggGRK2pwMrpTycQwGhS9o"",""2026-27!AC4"")"),0.0)</f>
        <v>0</v>
      </c>
      <c r="BI62" s="59">
        <f>IFERROR(__xludf.DUMMYFUNCTION("IMPORTRANGE(""152AECjMPz2mnH4mgBJ75E4ggGRK2pwMrpTycQwGhS9o"",""2026-27!AC3"")"),0.0)</f>
        <v>0</v>
      </c>
      <c r="BJ62" s="63" t="str">
        <f t="shared" si="87"/>
        <v/>
      </c>
      <c r="BK62" s="59">
        <f>IFERROR(__xludf.DUMMYFUNCTION("IMPORTRANGE(""152AECjMPz2mnH4mgBJ75E4ggGRK2pwMrpTycQwGhS9o"",""2026-27!AD4"")"),0.0)</f>
        <v>0</v>
      </c>
      <c r="BL62" s="59">
        <f>IFERROR(__xludf.DUMMYFUNCTION("IMPORTRANGE(""152AECjMPz2mnH4mgBJ75E4ggGRK2pwMrpTycQwGhS9o"",""2026-27!AD3"")"),0.0)</f>
        <v>0</v>
      </c>
      <c r="BM62" s="59">
        <f>IFERROR(__xludf.DUMMYFUNCTION("IMPORTRANGE(""152AECjMPz2mnH4mgBJ75E4ggGRK2pwMrpTycQwGhS9o"",""2026-27!AE4"")"),0.0)</f>
        <v>0</v>
      </c>
      <c r="BN62" s="59">
        <f>IFERROR(__xludf.DUMMYFUNCTION("IMPORTRANGE(""152AECjMPz2mnH4mgBJ75E4ggGRK2pwMrpTycQwGhS9o"",""2026-27!AE3"")"),0.0)</f>
        <v>0</v>
      </c>
      <c r="BO62" s="59">
        <f>IFERROR(__xludf.DUMMYFUNCTION("IMPORTRANGE(""152AECjMPz2mnH4mgBJ75E4ggGRK2pwMrpTycQwGhS9o"",""2026-27!AF4"")"),0.0)</f>
        <v>0</v>
      </c>
      <c r="BP62" s="59">
        <f>IFERROR(__xludf.DUMMYFUNCTION("IMPORTRANGE(""152AECjMPz2mnH4mgBJ75E4ggGRK2pwMrpTycQwGhS9o"",""2026-27!AF3"")"),0.0)</f>
        <v>0</v>
      </c>
      <c r="BQ62" s="63" t="str">
        <f t="shared" si="88"/>
        <v/>
      </c>
      <c r="BR62" s="59">
        <f>IFERROR(__xludf.DUMMYFUNCTION("IMPORTRANGE(""152AECjMPz2mnH4mgBJ75E4ggGRK2pwMrpTycQwGhS9o"",""2026-27!AG4"")"),0.0)</f>
        <v>0</v>
      </c>
      <c r="BS62" s="59">
        <f>IFERROR(__xludf.DUMMYFUNCTION("IMPORTRANGE(""152AECjMPz2mnH4mgBJ75E4ggGRK2pwMrpTycQwGhS9o"",""2026-27!AG3"")"),0.0)</f>
        <v>0</v>
      </c>
      <c r="BT62" s="59">
        <f>IFERROR(__xludf.DUMMYFUNCTION("IMPORTRANGE(""152AECjMPz2mnH4mgBJ75E4ggGRK2pwMrpTycQwGhS9o"",""2026-27!AH4"")"),0.0)</f>
        <v>0</v>
      </c>
      <c r="BU62" s="59">
        <f>IFERROR(__xludf.DUMMYFUNCTION("IMPORTRANGE(""152AECjMPz2mnH4mgBJ75E4ggGRK2pwMrpTycQwGhS9o"",""2026-27!AH3"")"),0.0)</f>
        <v>0</v>
      </c>
      <c r="BV62" s="59">
        <f>IFERROR(__xludf.DUMMYFUNCTION("IMPORTRANGE(""152AECjMPz2mnH4mgBJ75E4ggGRK2pwMrpTycQwGhS9o"",""2026-27!AI4"")"),0.0)</f>
        <v>0</v>
      </c>
      <c r="BW62" s="59">
        <f>IFERROR(__xludf.DUMMYFUNCTION("IMPORTRANGE(""152AECjMPz2mnH4mgBJ75E4ggGRK2pwMrpTycQwGhS9o"",""2026-27!AI3"")"),0.0)</f>
        <v>0</v>
      </c>
      <c r="BX62" s="63" t="str">
        <f t="shared" si="89"/>
        <v/>
      </c>
      <c r="BY62" s="59">
        <f>IFERROR(__xludf.DUMMYFUNCTION("IMPORTRANGE(""152AECjMPz2mnH4mgBJ75E4ggGRK2pwMrpTycQwGhS9o"",""2026-27!AJ4"")"),0.0)</f>
        <v>0</v>
      </c>
      <c r="BZ62" s="59">
        <f>IFERROR(__xludf.DUMMYFUNCTION("IMPORTRANGE(""152AECjMPz2mnH4mgBJ75E4ggGRK2pwMrpTycQwGhS9o"",""2026-27!AJ3"")"),0.0)</f>
        <v>0</v>
      </c>
      <c r="CA62" s="59">
        <f>IFERROR(__xludf.DUMMYFUNCTION("IMPORTRANGE(""152AECjMPz2mnH4mgBJ75E4ggGRK2pwMrpTycQwGhS9o"",""2026-27!AK4"")"),0.0)</f>
        <v>0</v>
      </c>
      <c r="CB62" s="59">
        <f>IFERROR(__xludf.DUMMYFUNCTION("IMPORTRANGE(""152AECjMPz2mnH4mgBJ75E4ggGRK2pwMrpTycQwGhS9o"",""2026-27!AK3"")"),0.0)</f>
        <v>0</v>
      </c>
      <c r="CC62" s="59">
        <f>IFERROR(__xludf.DUMMYFUNCTION("IMPORTRANGE(""152AECjMPz2mnH4mgBJ75E4ggGRK2pwMrpTycQwGhS9o"",""2026-27!AL4"")"),0.0)</f>
        <v>0</v>
      </c>
      <c r="CD62" s="59">
        <f>IFERROR(__xludf.DUMMYFUNCTION("IMPORTRANGE(""152AECjMPz2mnH4mgBJ75E4ggGRK2pwMrpTycQwGhS9o"",""2026-27!AL3"")"),0.0)</f>
        <v>0</v>
      </c>
      <c r="CE62" s="63" t="str">
        <f t="shared" si="90"/>
        <v/>
      </c>
      <c r="CF62" s="59">
        <f>IFERROR(__xludf.DUMMYFUNCTION("IMPORTRANGE(""152AECjMPz2mnH4mgBJ75E4ggGRK2pwMrpTycQwGhS9o"",""2026-27!AM4"")"),0.0)</f>
        <v>0</v>
      </c>
      <c r="CG62" s="59">
        <f>IFERROR(__xludf.DUMMYFUNCTION("IMPORTRANGE(""152AECjMPz2mnH4mgBJ75E4ggGRK2pwMrpTycQwGhS9o"",""2026-27!AM3"")"),0.0)</f>
        <v>0</v>
      </c>
      <c r="CH62" s="59">
        <f>IFERROR(__xludf.DUMMYFUNCTION("IMPORTRANGE(""152AECjMPz2mnH4mgBJ75E4ggGRK2pwMrpTycQwGhS9o"",""2026-27!AN4"")"),0.0)</f>
        <v>0</v>
      </c>
      <c r="CI62" s="59">
        <f>IFERROR(__xludf.DUMMYFUNCTION("IMPORTRANGE(""152AECjMPz2mnH4mgBJ75E4ggGRK2pwMrpTycQwGhS9o"",""2026-27!AN3"")"),0.0)</f>
        <v>0</v>
      </c>
      <c r="CJ62" s="59">
        <f>IFERROR(__xludf.DUMMYFUNCTION("IMPORTRANGE(""152AECjMPz2mnH4mgBJ75E4ggGRK2pwMrpTycQwGhS9o"",""2026-27!AO4"")"),0.0)</f>
        <v>0</v>
      </c>
      <c r="CK62" s="59">
        <f>IFERROR(__xludf.DUMMYFUNCTION("IMPORTRANGE(""152AECjMPz2mnH4mgBJ75E4ggGRK2pwMrpTycQwGhS9o"",""2026-27!AO3"")"),0.0)</f>
        <v>0</v>
      </c>
      <c r="CL62" s="63" t="str">
        <f t="shared" si="91"/>
        <v/>
      </c>
      <c r="CM62" s="59">
        <f>IFERROR(__xludf.DUMMYFUNCTION("IMPORTRANGE(""152AECjMPz2mnH4mgBJ75E4ggGRK2pwMrpTycQwGhS9o"",""2026-27!AP4"")"),0.0)</f>
        <v>0</v>
      </c>
      <c r="CN62" s="59">
        <f>IFERROR(__xludf.DUMMYFUNCTION("IMPORTRANGE(""152AECjMPz2mnH4mgBJ75E4ggGRK2pwMrpTycQwGhS9o"",""2026-27!AP3"")"),0.0)</f>
        <v>0</v>
      </c>
      <c r="CO62" s="59">
        <f>IFERROR(__xludf.DUMMYFUNCTION("IMPORTRANGE(""152AECjMPz2mnH4mgBJ75E4ggGRK2pwMrpTycQwGhS9o"",""2026-27!AQ4"")"),0.0)</f>
        <v>0</v>
      </c>
      <c r="CP62" s="59">
        <f>IFERROR(__xludf.DUMMYFUNCTION("IMPORTRANGE(""152AECjMPz2mnH4mgBJ75E4ggGRK2pwMrpTycQwGhS9o"",""2026-27!AQ3"")"),0.0)</f>
        <v>0</v>
      </c>
      <c r="CQ62" s="59">
        <f>IFERROR(__xludf.DUMMYFUNCTION("IMPORTRANGE(""152AECjMPz2mnH4mgBJ75E4ggGRK2pwMrpTycQwGhS9o"",""2026-27!AR4"")"),0.0)</f>
        <v>0</v>
      </c>
      <c r="CR62" s="59">
        <f>IFERROR(__xludf.DUMMYFUNCTION("IMPORTRANGE(""152AECjMPz2mnH4mgBJ75E4ggGRK2pwMrpTycQwGhS9o"",""2026-27!AR3"")"),0.0)</f>
        <v>0</v>
      </c>
      <c r="CS62" s="63" t="str">
        <f t="shared" si="92"/>
        <v/>
      </c>
      <c r="CT62" s="59">
        <f>IFERROR(__xludf.DUMMYFUNCTION("IMPORTRANGE(""152AECjMPz2mnH4mgBJ75E4ggGRK2pwMrpTycQwGhS9o"",""2026-27!AS4"")"),0.0)</f>
        <v>0</v>
      </c>
      <c r="CU62" s="59">
        <f>IFERROR(__xludf.DUMMYFUNCTION("IMPORTRANGE(""152AECjMPz2mnH4mgBJ75E4ggGRK2pwMrpTycQwGhS9o"",""2026-27!AS3"")"),0.0)</f>
        <v>0</v>
      </c>
      <c r="CV62" s="64"/>
    </row>
    <row r="63">
      <c r="A63" s="1" t="s">
        <v>103</v>
      </c>
      <c r="B63" s="41"/>
      <c r="C63" s="105" t="s">
        <v>136</v>
      </c>
      <c r="D63" s="53" t="s">
        <v>124</v>
      </c>
      <c r="E63" s="54">
        <v>7.668110084E9</v>
      </c>
      <c r="F63" s="80">
        <v>45187.0</v>
      </c>
      <c r="G63" s="66"/>
      <c r="H63" s="66"/>
      <c r="I63" s="57">
        <v>47925.0</v>
      </c>
      <c r="J63" s="58">
        <v>2163333.0</v>
      </c>
      <c r="K63" s="59">
        <f>IFERROR(__xludf.DUMMYFUNCTION("IMPORTRANGE(""1jmBFvxVGKQdmVHp9imrnhkW5r-SmJ28k6LqBFIGDm6A"",""2026-27!A3"")"),113.0)</f>
        <v>113</v>
      </c>
      <c r="L63" s="59">
        <f>IFERROR(__xludf.DUMMYFUNCTION("IMPORTRANGE(""1jmBFvxVGKQdmVHp9imrnhkW5r-SmJ28k6LqBFIGDm6A"",""2026-27!G4"")"),2.26E7)</f>
        <v>22600000</v>
      </c>
      <c r="M63" s="59">
        <f t="shared" si="95"/>
        <v>3455605.68</v>
      </c>
      <c r="N63" s="60">
        <f t="shared" si="79"/>
        <v>0.1083454425</v>
      </c>
      <c r="O63" s="61">
        <f t="shared" si="96"/>
        <v>2448607</v>
      </c>
      <c r="P63" s="59">
        <f>IFERROR(__xludf.DUMMYFUNCTION("IMPORTRANGE(""1jmBFvxVGKQdmVHp9imrnhkW5r-SmJ28k6LqBFIGDm6A"",""2026-27!J4"")"),1890000.0)</f>
        <v>1890000</v>
      </c>
      <c r="Q63" s="59">
        <f>IFERROR(__xludf.DUMMYFUNCTION("IMPORTRANGE(""1jmBFvxVGKQdmVHp9imrnhkW5r-SmJ28k6LqBFIGDm6A"",""2026-27!J3"")"),108.0)</f>
        <v>108</v>
      </c>
      <c r="R63" s="59">
        <f>IFERROR(__xludf.DUMMYFUNCTION("IMPORTRANGE(""1jmBFvxVGKQdmVHp9imrnhkW5r-SmJ28k6LqBFIGDm6A"",""2026-27!K4"")"),730721.6000000001)</f>
        <v>730721.6</v>
      </c>
      <c r="S63" s="59">
        <f>IFERROR(__xludf.DUMMYFUNCTION("IMPORTRANGE(""1jmBFvxVGKQdmVHp9imrnhkW5r-SmJ28k6LqBFIGDm6A"",""2026-27!K3"")"),28.0)</f>
        <v>28</v>
      </c>
      <c r="T63" s="62">
        <f t="shared" si="81"/>
        <v>0.3858142857</v>
      </c>
      <c r="U63" s="59">
        <f>IFERROR(__xludf.DUMMYFUNCTION("IMPORTRANGE(""1jmBFvxVGKQdmVHp9imrnhkW5r-SmJ28k6LqBFIGDm6A"",""2026-27!L4"")"),729189.0)</f>
        <v>729189</v>
      </c>
      <c r="V63" s="59">
        <f>IFERROR(__xludf.DUMMYFUNCTION("IMPORTRANGE(""1jmBFvxVGKQdmVHp9imrnhkW5r-SmJ28k6LqBFIGDm6A"",""2026-27!L3"")"),28.0)</f>
        <v>28</v>
      </c>
      <c r="W63" s="59">
        <f>IFERROR(__xludf.DUMMYFUNCTION("IMPORTRANGE(""1jmBFvxVGKQdmVHp9imrnhkW5r-SmJ28k6LqBFIGDm6A"",""2026-27!m4"")"),1893000.0)</f>
        <v>1893000</v>
      </c>
      <c r="X63" s="59">
        <f>IFERROR(__xludf.DUMMYFUNCTION("IMPORTRANGE(""1jmBFvxVGKQdmVHp9imrnhkW5r-SmJ28k6LqBFIGDm6A"",""2026-27!m3"")"),108.0)</f>
        <v>108</v>
      </c>
      <c r="Y63" s="59">
        <f>IFERROR(__xludf.DUMMYFUNCTION("IMPORTRANGE(""1jmBFvxVGKQdmVHp9imrnhkW5r-SmJ28k6LqBFIGDm6A"",""2026-27!N4"")"),1722278.02)</f>
        <v>1722278.02</v>
      </c>
      <c r="Z63" s="59">
        <f>IFERROR(__xludf.DUMMYFUNCTION("IMPORTRANGE(""1jmBFvxVGKQdmVHp9imrnhkW5r-SmJ28k6LqBFIGDm6A"",""2026-27!N3"")"),35.0)</f>
        <v>35</v>
      </c>
      <c r="AA63" s="62">
        <f t="shared" si="82"/>
        <v>0.9083032224</v>
      </c>
      <c r="AB63" s="59">
        <f>IFERROR(__xludf.DUMMYFUNCTION("IMPORTRANGE(""1jmBFvxVGKQdmVHp9imrnhkW5r-SmJ28k6LqBFIGDm6A"",""2026-27!O4"")"),1719418.0)</f>
        <v>1719418</v>
      </c>
      <c r="AC63" s="59">
        <f>IFERROR(__xludf.DUMMYFUNCTION("IMPORTRANGE(""1jmBFvxVGKQdmVHp9imrnhkW5r-SmJ28k6LqBFIGDm6A"",""2026-27!O3"")"),35.0)</f>
        <v>35</v>
      </c>
      <c r="AD63" s="59">
        <f>IFERROR(__xludf.DUMMYFUNCTION("IMPORTRANGE(""1jmBFvxVGKQdmVHp9imrnhkW5r-SmJ28k6LqBFIGDm6A"",""2026-27!P4"")"),1889000.0)</f>
        <v>1889000</v>
      </c>
      <c r="AE63" s="59">
        <f>IFERROR(__xludf.DUMMYFUNCTION("IMPORTRANGE(""1jmBFvxVGKQdmVHp9imrnhkW5r-SmJ28k6LqBFIGDm6A"",""2026-27!P3"")"),108.0)</f>
        <v>108</v>
      </c>
      <c r="AF63" s="59">
        <f>IFERROR(__xludf.DUMMYFUNCTION("IMPORTRANGE(""1jmBFvxVGKQdmVHp9imrnhkW5r-SmJ28k6LqBFIGDm6A"",""2026-27!Q4"")"),1002606.0599999998)</f>
        <v>1002606.06</v>
      </c>
      <c r="AG63" s="59">
        <f>IFERROR(__xludf.DUMMYFUNCTION("IMPORTRANGE(""1jmBFvxVGKQdmVHp9imrnhkW5r-SmJ28k6LqBFIGDm6A"",""2026-27!Q3"")"),31.0)</f>
        <v>31</v>
      </c>
      <c r="AH63" s="62">
        <f t="shared" si="83"/>
        <v>0</v>
      </c>
      <c r="AI63" s="59">
        <f>IFERROR(__xludf.DUMMYFUNCTION("IMPORTRANGE(""1jmBFvxVGKQdmVHp9imrnhkW5r-SmJ28k6LqBFIGDm6A"",""2026-27!R4"")"),0.0)</f>
        <v>0</v>
      </c>
      <c r="AJ63" s="59">
        <f>IFERROR(__xludf.DUMMYFUNCTION("IMPORTRANGE(""1jmBFvxVGKQdmVHp9imrnhkW5r-SmJ28k6LqBFIGDm6A"",""2026-27!R3"")"),0.0)</f>
        <v>0</v>
      </c>
      <c r="AK63" s="59">
        <f>IFERROR(__xludf.DUMMYFUNCTION("IMPORTRANGE(""1jmBFvxVGKQdmVHp9imrnhkW5r-SmJ28k6LqBFIGDm6A"",""2026-27!S4"")"),0.0)</f>
        <v>0</v>
      </c>
      <c r="AL63" s="59">
        <f>IFERROR(__xludf.DUMMYFUNCTION("IMPORTRANGE(""1jmBFvxVGKQdmVHp9imrnhkW5r-SmJ28k6LqBFIGDm6A"",""2026-27!S3"")"),0.0)</f>
        <v>0</v>
      </c>
      <c r="AM63" s="59">
        <f>IFERROR(__xludf.DUMMYFUNCTION("IMPORTRANGE(""1jmBFvxVGKQdmVHp9imrnhkW5r-SmJ28k6LqBFIGDm6A"",""2026-27!T4"")"),0.0)</f>
        <v>0</v>
      </c>
      <c r="AN63" s="59">
        <f>IFERROR(__xludf.DUMMYFUNCTION("IMPORTRANGE(""1jmBFvxVGKQdmVHp9imrnhkW5r-SmJ28k6LqBFIGDm6A"",""2026-27!T3"")"),0.0)</f>
        <v>0</v>
      </c>
      <c r="AO63" s="62" t="str">
        <f t="shared" si="84"/>
        <v/>
      </c>
      <c r="AP63" s="59">
        <f>IFERROR(__xludf.DUMMYFUNCTION("IMPORTRANGE(""1jmBFvxVGKQdmVHp9imrnhkW5r-SmJ28k6LqBFIGDm6A"",""2026-27!U4"")"),0.0)</f>
        <v>0</v>
      </c>
      <c r="AQ63" s="59">
        <f>IFERROR(__xludf.DUMMYFUNCTION("IMPORTRANGE(""1jmBFvxVGKQdmVHp9imrnhkW5r-SmJ28k6LqBFIGDm6A"",""2026-27!U3"")"),0.0)</f>
        <v>0</v>
      </c>
      <c r="AR63" s="59">
        <f>IFERROR(__xludf.DUMMYFUNCTION("IMPORTRANGE(""1jmBFvxVGKQdmVHp9imrnhkW5r-SmJ28k6LqBFIGDm6A"",""2026-27!V4"")"),0.0)</f>
        <v>0</v>
      </c>
      <c r="AS63" s="59">
        <f>IFERROR(__xludf.DUMMYFUNCTION("IMPORTRANGE(""1jmBFvxVGKQdmVHp9imrnhkW5r-SmJ28k6LqBFIGDm6A"",""2026-27!V3"")"),0.0)</f>
        <v>0</v>
      </c>
      <c r="AT63" s="59">
        <f>IFERROR(__xludf.DUMMYFUNCTION("IMPORTRANGE(""1jmBFvxVGKQdmVHp9imrnhkW5r-SmJ28k6LqBFIGDm6A"",""2026-27!W4"")"),0.0)</f>
        <v>0</v>
      </c>
      <c r="AU63" s="59">
        <f>IFERROR(__xludf.DUMMYFUNCTION("IMPORTRANGE(""1jmBFvxVGKQdmVHp9imrnhkW5r-SmJ28k6LqBFIGDm6A"",""2026-27!W3"")"),0.0)</f>
        <v>0</v>
      </c>
      <c r="AV63" s="62" t="str">
        <f t="shared" si="85"/>
        <v/>
      </c>
      <c r="AW63" s="59">
        <f>IFERROR(__xludf.DUMMYFUNCTION("IMPORTRANGE(""1jmBFvxVGKQdmVHp9imrnhkW5r-SmJ28k6LqBFIGDm6A"",""2026-27!X4"")"),0.0)</f>
        <v>0</v>
      </c>
      <c r="AX63" s="59">
        <f>IFERROR(__xludf.DUMMYFUNCTION("IMPORTRANGE(""1jmBFvxVGKQdmVHp9imrnhkW5r-SmJ28k6LqBFIGDm6A"",""2026-27!X3"")"),0.0)</f>
        <v>0</v>
      </c>
      <c r="AY63" s="59">
        <f>IFERROR(__xludf.DUMMYFUNCTION("IMPORTRANGE(""1jmBFvxVGKQdmVHp9imrnhkW5r-SmJ28k6LqBFIGDm6A"",""2026-27!Y4"")"),0.0)</f>
        <v>0</v>
      </c>
      <c r="AZ63" s="59">
        <f>IFERROR(__xludf.DUMMYFUNCTION("IMPORTRANGE(""1jmBFvxVGKQdmVHp9imrnhkW5r-SmJ28k6LqBFIGDm6A"",""2026-27!Y3"")"),0.0)</f>
        <v>0</v>
      </c>
      <c r="BA63" s="59">
        <f>IFERROR(__xludf.DUMMYFUNCTION("IMPORTRANGE(""1jmBFvxVGKQdmVHp9imrnhkW5r-SmJ28k6LqBFIGDm6A"",""2026-27!Z4"")"),0.0)</f>
        <v>0</v>
      </c>
      <c r="BB63" s="59">
        <f>IFERROR(__xludf.DUMMYFUNCTION("IMPORTRANGE(""1jmBFvxVGKQdmVHp9imrnhkW5r-SmJ28k6LqBFIGDm6A"",""2026-27!Z3"")"),0.0)</f>
        <v>0</v>
      </c>
      <c r="BC63" s="63" t="str">
        <f t="shared" si="86"/>
        <v/>
      </c>
      <c r="BD63" s="59">
        <f>IFERROR(__xludf.DUMMYFUNCTION("IMPORTRANGE(""1jmBFvxVGKQdmVHp9imrnhkW5r-SmJ28k6LqBFIGDm6A"",""2026-27!AA4"")"),0.0)</f>
        <v>0</v>
      </c>
      <c r="BE63" s="59">
        <f>IFERROR(__xludf.DUMMYFUNCTION("IMPORTRANGE(""1jmBFvxVGKQdmVHp9imrnhkW5r-SmJ28k6LqBFIGDm6A"",""2026-27!AA3"")"),0.0)</f>
        <v>0</v>
      </c>
      <c r="BF63" s="59">
        <f>IFERROR(__xludf.DUMMYFUNCTION("IMPORTRANGE(""1jmBFvxVGKQdmVHp9imrnhkW5r-SmJ28k6LqBFIGDm6A"",""2026-27!AB4"")"),0.0)</f>
        <v>0</v>
      </c>
      <c r="BG63" s="59">
        <f>IFERROR(__xludf.DUMMYFUNCTION("IMPORTRANGE(""1jmBFvxVGKQdmVHp9imrnhkW5r-SmJ28k6LqBFIGDm6A"",""2026-27!AB3"")"),0.0)</f>
        <v>0</v>
      </c>
      <c r="BH63" s="59">
        <f>IFERROR(__xludf.DUMMYFUNCTION("IMPORTRANGE(""1jmBFvxVGKQdmVHp9imrnhkW5r-SmJ28k6LqBFIGDm6A"",""2026-27!AC4"")"),0.0)</f>
        <v>0</v>
      </c>
      <c r="BI63" s="59">
        <f>IFERROR(__xludf.DUMMYFUNCTION("IMPORTRANGE(""1jmBFvxVGKQdmVHp9imrnhkW5r-SmJ28k6LqBFIGDm6A"",""2026-27!AC3"")"),0.0)</f>
        <v>0</v>
      </c>
      <c r="BJ63" s="63" t="str">
        <f t="shared" si="87"/>
        <v/>
      </c>
      <c r="BK63" s="59">
        <f>IFERROR(__xludf.DUMMYFUNCTION("IMPORTRANGE(""1jmBFvxVGKQdmVHp9imrnhkW5r-SmJ28k6LqBFIGDm6A"",""2026-27!AD4"")"),0.0)</f>
        <v>0</v>
      </c>
      <c r="BL63" s="59">
        <f>IFERROR(__xludf.DUMMYFUNCTION("IMPORTRANGE(""1jmBFvxVGKQdmVHp9imrnhkW5r-SmJ28k6LqBFIGDm6A"",""2026-27!AD3"")"),0.0)</f>
        <v>0</v>
      </c>
      <c r="BM63" s="59">
        <f>IFERROR(__xludf.DUMMYFUNCTION("IMPORTRANGE(""1jmBFvxVGKQdmVHp9imrnhkW5r-SmJ28k6LqBFIGDm6A"",""2026-27!AE4"")"),0.0)</f>
        <v>0</v>
      </c>
      <c r="BN63" s="59">
        <f>IFERROR(__xludf.DUMMYFUNCTION("IMPORTRANGE(""1jmBFvxVGKQdmVHp9imrnhkW5r-SmJ28k6LqBFIGDm6A"",""2026-27!AE3"")"),0.0)</f>
        <v>0</v>
      </c>
      <c r="BO63" s="59">
        <f>IFERROR(__xludf.DUMMYFUNCTION("IMPORTRANGE(""1jmBFvxVGKQdmVHp9imrnhkW5r-SmJ28k6LqBFIGDm6A"",""2026-27!AF4"")"),0.0)</f>
        <v>0</v>
      </c>
      <c r="BP63" s="59">
        <f>IFERROR(__xludf.DUMMYFUNCTION("IMPORTRANGE(""1jmBFvxVGKQdmVHp9imrnhkW5r-SmJ28k6LqBFIGDm6A"",""2026-27!AF3"")"),0.0)</f>
        <v>0</v>
      </c>
      <c r="BQ63" s="63" t="str">
        <f t="shared" si="88"/>
        <v/>
      </c>
      <c r="BR63" s="59">
        <f>IFERROR(__xludf.DUMMYFUNCTION("IMPORTRANGE(""1jmBFvxVGKQdmVHp9imrnhkW5r-SmJ28k6LqBFIGDm6A"",""2026-27!AG4"")"),0.0)</f>
        <v>0</v>
      </c>
      <c r="BS63" s="59">
        <f>IFERROR(__xludf.DUMMYFUNCTION("IMPORTRANGE(""1jmBFvxVGKQdmVHp9imrnhkW5r-SmJ28k6LqBFIGDm6A"",""2026-27!AG3"")"),0.0)</f>
        <v>0</v>
      </c>
      <c r="BT63" s="59">
        <f>IFERROR(__xludf.DUMMYFUNCTION("IMPORTRANGE(""1jmBFvxVGKQdmVHp9imrnhkW5r-SmJ28k6LqBFIGDm6A"",""2026-27!AH4"")"),0.0)</f>
        <v>0</v>
      </c>
      <c r="BU63" s="59">
        <f>IFERROR(__xludf.DUMMYFUNCTION("IMPORTRANGE(""1jmBFvxVGKQdmVHp9imrnhkW5r-SmJ28k6LqBFIGDm6A"",""2026-27!AH3"")"),0.0)</f>
        <v>0</v>
      </c>
      <c r="BV63" s="59">
        <f>IFERROR(__xludf.DUMMYFUNCTION("IMPORTRANGE(""1jmBFvxVGKQdmVHp9imrnhkW5r-SmJ28k6LqBFIGDm6A"",""2026-27!AI4"")"),0.0)</f>
        <v>0</v>
      </c>
      <c r="BW63" s="59">
        <f>IFERROR(__xludf.DUMMYFUNCTION("IMPORTRANGE(""1jmBFvxVGKQdmVHp9imrnhkW5r-SmJ28k6LqBFIGDm6A"",""2026-27!AI3"")"),0.0)</f>
        <v>0</v>
      </c>
      <c r="BX63" s="63" t="str">
        <f t="shared" si="89"/>
        <v/>
      </c>
      <c r="BY63" s="59">
        <f>IFERROR(__xludf.DUMMYFUNCTION("IMPORTRANGE(""1jmBFvxVGKQdmVHp9imrnhkW5r-SmJ28k6LqBFIGDm6A"",""2026-27!AJ4"")"),0.0)</f>
        <v>0</v>
      </c>
      <c r="BZ63" s="59">
        <f>IFERROR(__xludf.DUMMYFUNCTION("IMPORTRANGE(""1jmBFvxVGKQdmVHp9imrnhkW5r-SmJ28k6LqBFIGDm6A"",""2026-27!AJ3"")"),0.0)</f>
        <v>0</v>
      </c>
      <c r="CA63" s="59">
        <f>IFERROR(__xludf.DUMMYFUNCTION("IMPORTRANGE(""1jmBFvxVGKQdmVHp9imrnhkW5r-SmJ28k6LqBFIGDm6A"",""2026-27!AK4"")"),0.0)</f>
        <v>0</v>
      </c>
      <c r="CB63" s="59">
        <f>IFERROR(__xludf.DUMMYFUNCTION("IMPORTRANGE(""1jmBFvxVGKQdmVHp9imrnhkW5r-SmJ28k6LqBFIGDm6A"",""2026-27!AK3"")"),0.0)</f>
        <v>0</v>
      </c>
      <c r="CC63" s="59">
        <f>IFERROR(__xludf.DUMMYFUNCTION("IMPORTRANGE(""1jmBFvxVGKQdmVHp9imrnhkW5r-SmJ28k6LqBFIGDm6A"",""2026-27!AL4"")"),0.0)</f>
        <v>0</v>
      </c>
      <c r="CD63" s="59">
        <f>IFERROR(__xludf.DUMMYFUNCTION("IMPORTRANGE(""1jmBFvxVGKQdmVHp9imrnhkW5r-SmJ28k6LqBFIGDm6A"",""2026-27!AL3"")"),0.0)</f>
        <v>0</v>
      </c>
      <c r="CE63" s="63" t="str">
        <f t="shared" si="90"/>
        <v/>
      </c>
      <c r="CF63" s="59">
        <f>IFERROR(__xludf.DUMMYFUNCTION("IMPORTRANGE(""1jmBFvxVGKQdmVHp9imrnhkW5r-SmJ28k6LqBFIGDm6A"",""2026-27!AM4"")"),0.0)</f>
        <v>0</v>
      </c>
      <c r="CG63" s="59">
        <f>IFERROR(__xludf.DUMMYFUNCTION("IMPORTRANGE(""1jmBFvxVGKQdmVHp9imrnhkW5r-SmJ28k6LqBFIGDm6A"",""2026-27!AM3"")"),0.0)</f>
        <v>0</v>
      </c>
      <c r="CH63" s="59">
        <f>IFERROR(__xludf.DUMMYFUNCTION("IMPORTRANGE(""1jmBFvxVGKQdmVHp9imrnhkW5r-SmJ28k6LqBFIGDm6A"",""2026-27!AN4"")"),0.0)</f>
        <v>0</v>
      </c>
      <c r="CI63" s="59">
        <f>IFERROR(__xludf.DUMMYFUNCTION("IMPORTRANGE(""1jmBFvxVGKQdmVHp9imrnhkW5r-SmJ28k6LqBFIGDm6A"",""2026-27!AN3"")"),0.0)</f>
        <v>0</v>
      </c>
      <c r="CJ63" s="59">
        <f>IFERROR(__xludf.DUMMYFUNCTION("IMPORTRANGE(""1jmBFvxVGKQdmVHp9imrnhkW5r-SmJ28k6LqBFIGDm6A"",""2026-27!AO4"")"),0.0)</f>
        <v>0</v>
      </c>
      <c r="CK63" s="59">
        <f>IFERROR(__xludf.DUMMYFUNCTION("IMPORTRANGE(""1jmBFvxVGKQdmVHp9imrnhkW5r-SmJ28k6LqBFIGDm6A"",""2026-27!AO3"")"),0.0)</f>
        <v>0</v>
      </c>
      <c r="CL63" s="63" t="str">
        <f t="shared" si="91"/>
        <v/>
      </c>
      <c r="CM63" s="59">
        <f>IFERROR(__xludf.DUMMYFUNCTION("IMPORTRANGE(""1jmBFvxVGKQdmVHp9imrnhkW5r-SmJ28k6LqBFIGDm6A"",""2026-27!AP4"")"),0.0)</f>
        <v>0</v>
      </c>
      <c r="CN63" s="59">
        <f>IFERROR(__xludf.DUMMYFUNCTION("IMPORTRANGE(""1jmBFvxVGKQdmVHp9imrnhkW5r-SmJ28k6LqBFIGDm6A"",""2026-27!AP3"")"),0.0)</f>
        <v>0</v>
      </c>
      <c r="CO63" s="59">
        <f>IFERROR(__xludf.DUMMYFUNCTION("IMPORTRANGE(""1jmBFvxVGKQdmVHp9imrnhkW5r-SmJ28k6LqBFIGDm6A"",""2026-27!AQ4"")"),0.0)</f>
        <v>0</v>
      </c>
      <c r="CP63" s="59">
        <f>IFERROR(__xludf.DUMMYFUNCTION("IMPORTRANGE(""1jmBFvxVGKQdmVHp9imrnhkW5r-SmJ28k6LqBFIGDm6A"",""2026-27!AQ3"")"),0.0)</f>
        <v>0</v>
      </c>
      <c r="CQ63" s="59">
        <f>IFERROR(__xludf.DUMMYFUNCTION("IMPORTRANGE(""1jmBFvxVGKQdmVHp9imrnhkW5r-SmJ28k6LqBFIGDm6A"",""2026-27!AR4"")"),0.0)</f>
        <v>0</v>
      </c>
      <c r="CR63" s="59">
        <f>IFERROR(__xludf.DUMMYFUNCTION("IMPORTRANGE(""1jmBFvxVGKQdmVHp9imrnhkW5r-SmJ28k6LqBFIGDm6A"",""2026-27!AR3"")"),0.0)</f>
        <v>0</v>
      </c>
      <c r="CS63" s="63" t="str">
        <f t="shared" si="92"/>
        <v/>
      </c>
      <c r="CT63" s="59">
        <f>IFERROR(__xludf.DUMMYFUNCTION("IMPORTRANGE(""1jmBFvxVGKQdmVHp9imrnhkW5r-SmJ28k6LqBFIGDm6A"",""2026-27!AS4"")"),0.0)</f>
        <v>0</v>
      </c>
      <c r="CU63" s="59">
        <f>IFERROR(__xludf.DUMMYFUNCTION("IMPORTRANGE(""1jmBFvxVGKQdmVHp9imrnhkW5r-SmJ28k6LqBFIGDm6A"",""2026-27!AS3"")"),0.0)</f>
        <v>0</v>
      </c>
      <c r="CV63" s="64"/>
    </row>
    <row r="64">
      <c r="A64" s="1" t="s">
        <v>103</v>
      </c>
      <c r="B64" s="41"/>
      <c r="C64" s="105" t="s">
        <v>137</v>
      </c>
      <c r="D64" s="53" t="s">
        <v>126</v>
      </c>
      <c r="E64" s="54">
        <v>9.839706875E9</v>
      </c>
      <c r="F64" s="80">
        <v>45323.0</v>
      </c>
      <c r="G64" s="66"/>
      <c r="H64" s="66"/>
      <c r="I64" s="57">
        <v>56000.0</v>
      </c>
      <c r="J64" s="58">
        <v>2950000.0</v>
      </c>
      <c r="K64" s="59">
        <f>IFERROR(__xludf.DUMMYFUNCTION("IMPORTRANGE(""1eZTb0NOMQD308IrvgRFKi0-gbtKGrUXc1Qg96NLMbgk"",""2026-27!A3"")"),111.0)</f>
        <v>111</v>
      </c>
      <c r="L64" s="59">
        <f>IFERROR(__xludf.DUMMYFUNCTION("IMPORTRANGE(""1eZTb0NOMQD308IrvgRFKi0-gbtKGrUXc1Qg96NLMbgk"",""2026-27!G4"")"),3.5475E7)</f>
        <v>35475000</v>
      </c>
      <c r="M64" s="59">
        <f t="shared" si="95"/>
        <v>2913029.72</v>
      </c>
      <c r="N64" s="60">
        <f t="shared" si="79"/>
        <v>0.07072668076</v>
      </c>
      <c r="O64" s="61">
        <f t="shared" si="96"/>
        <v>2509029</v>
      </c>
      <c r="P64" s="59">
        <f>IFERROR(__xludf.DUMMYFUNCTION("IMPORTRANGE(""1eZTb0NOMQD308IrvgRFKi0-gbtKGrUXc1Qg96NLMbgk"",""2026-27!J4"")"),250000.0)</f>
        <v>250000</v>
      </c>
      <c r="Q64" s="59">
        <f>IFERROR(__xludf.DUMMYFUNCTION("IMPORTRANGE(""1eZTb0NOMQD308IrvgRFKi0-gbtKGrUXc1Qg96NLMbgk"",""2026-27!J3"")"),8.0)</f>
        <v>8</v>
      </c>
      <c r="R64" s="59">
        <f>IFERROR(__xludf.DUMMYFUNCTION("IMPORTRANGE(""1eZTb0NOMQD308IrvgRFKi0-gbtKGrUXc1Qg96NLMbgk"",""2026-27!K4"")"),410174.88000000006)</f>
        <v>410174.88</v>
      </c>
      <c r="S64" s="59">
        <f>IFERROR(__xludf.DUMMYFUNCTION("IMPORTRANGE(""1eZTb0NOMQD308IrvgRFKi0-gbtKGrUXc1Qg96NLMbgk"",""2026-27!K3"")"),15.0)</f>
        <v>15</v>
      </c>
      <c r="T64" s="62">
        <f t="shared" si="81"/>
        <v>1.570196</v>
      </c>
      <c r="U64" s="59">
        <f>IFERROR(__xludf.DUMMYFUNCTION("IMPORTRANGE(""1eZTb0NOMQD308IrvgRFKi0-gbtKGrUXc1Qg96NLMbgk"",""2026-27!L4"")"),392549.0)</f>
        <v>392549</v>
      </c>
      <c r="V64" s="59">
        <f>IFERROR(__xludf.DUMMYFUNCTION("IMPORTRANGE(""1eZTb0NOMQD308IrvgRFKi0-gbtKGrUXc1Qg96NLMbgk"",""2026-27!L3"")"),15.0)</f>
        <v>15</v>
      </c>
      <c r="W64" s="59">
        <f>IFERROR(__xludf.DUMMYFUNCTION("IMPORTRANGE(""1eZTb0NOMQD308IrvgRFKi0-gbtKGrUXc1Qg96NLMbgk"",""2026-27!m4"")"),1910000.0)</f>
        <v>1910000</v>
      </c>
      <c r="X64" s="59">
        <f>IFERROR(__xludf.DUMMYFUNCTION("IMPORTRANGE(""1eZTb0NOMQD308IrvgRFKi0-gbtKGrUXc1Qg96NLMbgk"",""2026-27!m3"")"),93.0)</f>
        <v>93</v>
      </c>
      <c r="Y64" s="59">
        <f>IFERROR(__xludf.DUMMYFUNCTION("IMPORTRANGE(""1eZTb0NOMQD308IrvgRFKi0-gbtKGrUXc1Qg96NLMbgk"",""2026-27!N4"")"),834490.8399999999)</f>
        <v>834490.84</v>
      </c>
      <c r="Z64" s="59">
        <f>IFERROR(__xludf.DUMMYFUNCTION("IMPORTRANGE(""1eZTb0NOMQD308IrvgRFKi0-gbtKGrUXc1Qg96NLMbgk"",""2026-27!N3"")"),27.0)</f>
        <v>27</v>
      </c>
      <c r="AA64" s="62">
        <f t="shared" si="82"/>
        <v>0.4409015707</v>
      </c>
      <c r="AB64" s="59">
        <f>IFERROR(__xludf.DUMMYFUNCTION("IMPORTRANGE(""1eZTb0NOMQD308IrvgRFKi0-gbtKGrUXc1Qg96NLMbgk"",""2026-27!O4"")"),842122.0)</f>
        <v>842122</v>
      </c>
      <c r="AC64" s="59">
        <f>IFERROR(__xludf.DUMMYFUNCTION("IMPORTRANGE(""1eZTb0NOMQD308IrvgRFKi0-gbtKGrUXc1Qg96NLMbgk"",""2026-27!O3"")"),30.0)</f>
        <v>30</v>
      </c>
      <c r="AD64" s="59">
        <f>IFERROR(__xludf.DUMMYFUNCTION("IMPORTRANGE(""1eZTb0NOMQD308IrvgRFKi0-gbtKGrUXc1Qg96NLMbgk"",""2026-27!P4"")"),1580000.0)</f>
        <v>1580000</v>
      </c>
      <c r="AE64" s="59">
        <f>IFERROR(__xludf.DUMMYFUNCTION("IMPORTRANGE(""1eZTb0NOMQD308IrvgRFKi0-gbtKGrUXc1Qg96NLMbgk"",""2026-27!P3"")"),89.0)</f>
        <v>89</v>
      </c>
      <c r="AF64" s="59">
        <f>IFERROR(__xludf.DUMMYFUNCTION("IMPORTRANGE(""1eZTb0NOMQD308IrvgRFKi0-gbtKGrUXc1Qg96NLMbgk"",""2026-27!Q4"")"),1668364.0000000002)</f>
        <v>1668364</v>
      </c>
      <c r="AG64" s="59">
        <f>IFERROR(__xludf.DUMMYFUNCTION("IMPORTRANGE(""1eZTb0NOMQD308IrvgRFKi0-gbtKGrUXc1Qg96NLMbgk"",""2026-27!Q3"")"),42.0)</f>
        <v>42</v>
      </c>
      <c r="AH64" s="62">
        <f t="shared" si="83"/>
        <v>0.792343038</v>
      </c>
      <c r="AI64" s="59">
        <f>IFERROR(__xludf.DUMMYFUNCTION("IMPORTRANGE(""1eZTb0NOMQD308IrvgRFKi0-gbtKGrUXc1Qg96NLMbgk"",""2026-27!R4"")"),1251902.0)</f>
        <v>1251902</v>
      </c>
      <c r="AJ64" s="59">
        <f>IFERROR(__xludf.DUMMYFUNCTION("IMPORTRANGE(""1eZTb0NOMQD308IrvgRFKi0-gbtKGrUXc1Qg96NLMbgk"",""2026-27!R3"")"),41.0)</f>
        <v>41</v>
      </c>
      <c r="AK64" s="59">
        <f>IFERROR(__xludf.DUMMYFUNCTION("IMPORTRANGE(""1eZTb0NOMQD308IrvgRFKi0-gbtKGrUXc1Qg96NLMbgk"",""2026-27!S4"")"),1350000.0)</f>
        <v>1350000</v>
      </c>
      <c r="AL64" s="59">
        <f>IFERROR(__xludf.DUMMYFUNCTION("IMPORTRANGE(""1eZTb0NOMQD308IrvgRFKi0-gbtKGrUXc1Qg96NLMbgk"",""2026-27!S3"")"),76.0)</f>
        <v>76</v>
      </c>
      <c r="AM64" s="59">
        <f>IFERROR(__xludf.DUMMYFUNCTION("IMPORTRANGE(""1eZTb0NOMQD308IrvgRFKi0-gbtKGrUXc1Qg96NLMbgk"",""2026-27!T4"")"),0.0)</f>
        <v>0</v>
      </c>
      <c r="AN64" s="59">
        <f>IFERROR(__xludf.DUMMYFUNCTION("IMPORTRANGE(""1eZTb0NOMQD308IrvgRFKi0-gbtKGrUXc1Qg96NLMbgk"",""2026-27!T3"")"),0.0)</f>
        <v>0</v>
      </c>
      <c r="AO64" s="62">
        <f t="shared" si="84"/>
        <v>0.01663407407</v>
      </c>
      <c r="AP64" s="59">
        <f>IFERROR(__xludf.DUMMYFUNCTION("IMPORTRANGE(""1eZTb0NOMQD308IrvgRFKi0-gbtKGrUXc1Qg96NLMbgk"",""2026-27!U4"")"),22456.0)</f>
        <v>22456</v>
      </c>
      <c r="AQ64" s="59">
        <f>IFERROR(__xludf.DUMMYFUNCTION("IMPORTRANGE(""1eZTb0NOMQD308IrvgRFKi0-gbtKGrUXc1Qg96NLMbgk"",""2026-27!U3"")"),1.0)</f>
        <v>1</v>
      </c>
      <c r="AR64" s="59">
        <f>IFERROR(__xludf.DUMMYFUNCTION("IMPORTRANGE(""1eZTb0NOMQD308IrvgRFKi0-gbtKGrUXc1Qg96NLMbgk"",""2026-27!V4"")"),1240000.0)</f>
        <v>1240000</v>
      </c>
      <c r="AS64" s="59">
        <f>IFERROR(__xludf.DUMMYFUNCTION("IMPORTRANGE(""1eZTb0NOMQD308IrvgRFKi0-gbtKGrUXc1Qg96NLMbgk"",""2026-27!V3"")"),74.0)</f>
        <v>74</v>
      </c>
      <c r="AT64" s="59">
        <f>IFERROR(__xludf.DUMMYFUNCTION("IMPORTRANGE(""1eZTb0NOMQD308IrvgRFKi0-gbtKGrUXc1Qg96NLMbgk"",""2026-27!W4"")"),0.0)</f>
        <v>0</v>
      </c>
      <c r="AU64" s="59">
        <f>IFERROR(__xludf.DUMMYFUNCTION("IMPORTRANGE(""1eZTb0NOMQD308IrvgRFKi0-gbtKGrUXc1Qg96NLMbgk"",""2026-27!W3"")"),0.0)</f>
        <v>0</v>
      </c>
      <c r="AV64" s="62">
        <f t="shared" si="85"/>
        <v>0</v>
      </c>
      <c r="AW64" s="59">
        <f>IFERROR(__xludf.DUMMYFUNCTION("IMPORTRANGE(""1eZTb0NOMQD308IrvgRFKi0-gbtKGrUXc1Qg96NLMbgk"",""2026-27!X4"")"),0.0)</f>
        <v>0</v>
      </c>
      <c r="AX64" s="59">
        <f>IFERROR(__xludf.DUMMYFUNCTION("IMPORTRANGE(""1eZTb0NOMQD308IrvgRFKi0-gbtKGrUXc1Qg96NLMbgk"",""2026-27!X3"")"),0.0)</f>
        <v>0</v>
      </c>
      <c r="AY64" s="59">
        <f>IFERROR(__xludf.DUMMYFUNCTION("IMPORTRANGE(""1eZTb0NOMQD308IrvgRFKi0-gbtKGrUXc1Qg96NLMbgk"",""2026-27!Y4"")"),0.0)</f>
        <v>0</v>
      </c>
      <c r="AZ64" s="59">
        <f>IFERROR(__xludf.DUMMYFUNCTION("IMPORTRANGE(""1eZTb0NOMQD308IrvgRFKi0-gbtKGrUXc1Qg96NLMbgk"",""2026-27!Y3"")"),0.0)</f>
        <v>0</v>
      </c>
      <c r="BA64" s="59">
        <f>IFERROR(__xludf.DUMMYFUNCTION("IMPORTRANGE(""1eZTb0NOMQD308IrvgRFKi0-gbtKGrUXc1Qg96NLMbgk"",""2026-27!Z4"")"),0.0)</f>
        <v>0</v>
      </c>
      <c r="BB64" s="59">
        <f>IFERROR(__xludf.DUMMYFUNCTION("IMPORTRANGE(""1eZTb0NOMQD308IrvgRFKi0-gbtKGrUXc1Qg96NLMbgk"",""2026-27!Z3"")"),0.0)</f>
        <v>0</v>
      </c>
      <c r="BC64" s="63" t="str">
        <f t="shared" si="86"/>
        <v/>
      </c>
      <c r="BD64" s="59">
        <f>IFERROR(__xludf.DUMMYFUNCTION("IMPORTRANGE(""1eZTb0NOMQD308IrvgRFKi0-gbtKGrUXc1Qg96NLMbgk"",""2026-27!AA4"")"),0.0)</f>
        <v>0</v>
      </c>
      <c r="BE64" s="59">
        <f>IFERROR(__xludf.DUMMYFUNCTION("IMPORTRANGE(""1eZTb0NOMQD308IrvgRFKi0-gbtKGrUXc1Qg96NLMbgk"",""2026-27!AA3"")"),0.0)</f>
        <v>0</v>
      </c>
      <c r="BF64" s="59">
        <f>IFERROR(__xludf.DUMMYFUNCTION("IMPORTRANGE(""1eZTb0NOMQD308IrvgRFKi0-gbtKGrUXc1Qg96NLMbgk"",""2026-27!AB4"")"),0.0)</f>
        <v>0</v>
      </c>
      <c r="BG64" s="59">
        <f>IFERROR(__xludf.DUMMYFUNCTION("IMPORTRANGE(""1eZTb0NOMQD308IrvgRFKi0-gbtKGrUXc1Qg96NLMbgk"",""2026-27!AB3"")"),0.0)</f>
        <v>0</v>
      </c>
      <c r="BH64" s="59">
        <f>IFERROR(__xludf.DUMMYFUNCTION("IMPORTRANGE(""1eZTb0NOMQD308IrvgRFKi0-gbtKGrUXc1Qg96NLMbgk"",""2026-27!AC4"")"),0.0)</f>
        <v>0</v>
      </c>
      <c r="BI64" s="59">
        <f>IFERROR(__xludf.DUMMYFUNCTION("IMPORTRANGE(""1eZTb0NOMQD308IrvgRFKi0-gbtKGrUXc1Qg96NLMbgk"",""2026-27!AC3"")"),0.0)</f>
        <v>0</v>
      </c>
      <c r="BJ64" s="63" t="str">
        <f t="shared" si="87"/>
        <v/>
      </c>
      <c r="BK64" s="59">
        <f>IFERROR(__xludf.DUMMYFUNCTION("IMPORTRANGE(""1eZTb0NOMQD308IrvgRFKi0-gbtKGrUXc1Qg96NLMbgk"",""2026-27!AD4"")"),0.0)</f>
        <v>0</v>
      </c>
      <c r="BL64" s="59">
        <f>IFERROR(__xludf.DUMMYFUNCTION("IMPORTRANGE(""1eZTb0NOMQD308IrvgRFKi0-gbtKGrUXc1Qg96NLMbgk"",""2026-27!AD3"")"),0.0)</f>
        <v>0</v>
      </c>
      <c r="BM64" s="59">
        <f>IFERROR(__xludf.DUMMYFUNCTION("IMPORTRANGE(""1eZTb0NOMQD308IrvgRFKi0-gbtKGrUXc1Qg96NLMbgk"",""2026-27!AE4"")"),0.0)</f>
        <v>0</v>
      </c>
      <c r="BN64" s="59">
        <f>IFERROR(__xludf.DUMMYFUNCTION("IMPORTRANGE(""1eZTb0NOMQD308IrvgRFKi0-gbtKGrUXc1Qg96NLMbgk"",""2026-27!AE3"")"),0.0)</f>
        <v>0</v>
      </c>
      <c r="BO64" s="59">
        <f>IFERROR(__xludf.DUMMYFUNCTION("IMPORTRANGE(""1eZTb0NOMQD308IrvgRFKi0-gbtKGrUXc1Qg96NLMbgk"",""2026-27!AF4"")"),0.0)</f>
        <v>0</v>
      </c>
      <c r="BP64" s="59">
        <f>IFERROR(__xludf.DUMMYFUNCTION("IMPORTRANGE(""1eZTb0NOMQD308IrvgRFKi0-gbtKGrUXc1Qg96NLMbgk"",""2026-27!AF3"")"),0.0)</f>
        <v>0</v>
      </c>
      <c r="BQ64" s="63" t="str">
        <f t="shared" si="88"/>
        <v/>
      </c>
      <c r="BR64" s="59">
        <f>IFERROR(__xludf.DUMMYFUNCTION("IMPORTRANGE(""1eZTb0NOMQD308IrvgRFKi0-gbtKGrUXc1Qg96NLMbgk"",""2026-27!AG4"")"),0.0)</f>
        <v>0</v>
      </c>
      <c r="BS64" s="59">
        <f>IFERROR(__xludf.DUMMYFUNCTION("IMPORTRANGE(""1eZTb0NOMQD308IrvgRFKi0-gbtKGrUXc1Qg96NLMbgk"",""2026-27!AG3"")"),0.0)</f>
        <v>0</v>
      </c>
      <c r="BT64" s="59">
        <f>IFERROR(__xludf.DUMMYFUNCTION("IMPORTRANGE(""1eZTb0NOMQD308IrvgRFKi0-gbtKGrUXc1Qg96NLMbgk"",""2026-27!AH4"")"),0.0)</f>
        <v>0</v>
      </c>
      <c r="BU64" s="59">
        <f>IFERROR(__xludf.DUMMYFUNCTION("IMPORTRANGE(""1eZTb0NOMQD308IrvgRFKi0-gbtKGrUXc1Qg96NLMbgk"",""2026-27!AH3"")"),0.0)</f>
        <v>0</v>
      </c>
      <c r="BV64" s="59">
        <f>IFERROR(__xludf.DUMMYFUNCTION("IMPORTRANGE(""1eZTb0NOMQD308IrvgRFKi0-gbtKGrUXc1Qg96NLMbgk"",""2026-27!AI4"")"),0.0)</f>
        <v>0</v>
      </c>
      <c r="BW64" s="59">
        <f>IFERROR(__xludf.DUMMYFUNCTION("IMPORTRANGE(""1eZTb0NOMQD308IrvgRFKi0-gbtKGrUXc1Qg96NLMbgk"",""2026-27!AI3"")"),0.0)</f>
        <v>0</v>
      </c>
      <c r="BX64" s="63" t="str">
        <f t="shared" si="89"/>
        <v/>
      </c>
      <c r="BY64" s="59">
        <f>IFERROR(__xludf.DUMMYFUNCTION("IMPORTRANGE(""1eZTb0NOMQD308IrvgRFKi0-gbtKGrUXc1Qg96NLMbgk"",""2026-27!AJ4"")"),0.0)</f>
        <v>0</v>
      </c>
      <c r="BZ64" s="59">
        <f>IFERROR(__xludf.DUMMYFUNCTION("IMPORTRANGE(""1eZTb0NOMQD308IrvgRFKi0-gbtKGrUXc1Qg96NLMbgk"",""2026-27!AJ3"")"),0.0)</f>
        <v>0</v>
      </c>
      <c r="CA64" s="59">
        <f>IFERROR(__xludf.DUMMYFUNCTION("IMPORTRANGE(""1eZTb0NOMQD308IrvgRFKi0-gbtKGrUXc1Qg96NLMbgk"",""2026-27!AK4"")"),0.0)</f>
        <v>0</v>
      </c>
      <c r="CB64" s="59">
        <f>IFERROR(__xludf.DUMMYFUNCTION("IMPORTRANGE(""1eZTb0NOMQD308IrvgRFKi0-gbtKGrUXc1Qg96NLMbgk"",""2026-27!AK3"")"),0.0)</f>
        <v>0</v>
      </c>
      <c r="CC64" s="59">
        <f>IFERROR(__xludf.DUMMYFUNCTION("IMPORTRANGE(""1eZTb0NOMQD308IrvgRFKi0-gbtKGrUXc1Qg96NLMbgk"",""2026-27!AL4"")"),0.0)</f>
        <v>0</v>
      </c>
      <c r="CD64" s="59">
        <f>IFERROR(__xludf.DUMMYFUNCTION("IMPORTRANGE(""1eZTb0NOMQD308IrvgRFKi0-gbtKGrUXc1Qg96NLMbgk"",""2026-27!AL3"")"),0.0)</f>
        <v>0</v>
      </c>
      <c r="CE64" s="63" t="str">
        <f t="shared" si="90"/>
        <v/>
      </c>
      <c r="CF64" s="59">
        <f>IFERROR(__xludf.DUMMYFUNCTION("IMPORTRANGE(""1eZTb0NOMQD308IrvgRFKi0-gbtKGrUXc1Qg96NLMbgk"",""2026-27!AM4"")"),0.0)</f>
        <v>0</v>
      </c>
      <c r="CG64" s="59">
        <f>IFERROR(__xludf.DUMMYFUNCTION("IMPORTRANGE(""1eZTb0NOMQD308IrvgRFKi0-gbtKGrUXc1Qg96NLMbgk"",""2026-27!AM3"")"),0.0)</f>
        <v>0</v>
      </c>
      <c r="CH64" s="59">
        <f>IFERROR(__xludf.DUMMYFUNCTION("IMPORTRANGE(""1eZTb0NOMQD308IrvgRFKi0-gbtKGrUXc1Qg96NLMbgk"",""2026-27!AN4"")"),0.0)</f>
        <v>0</v>
      </c>
      <c r="CI64" s="59">
        <f>IFERROR(__xludf.DUMMYFUNCTION("IMPORTRANGE(""1eZTb0NOMQD308IrvgRFKi0-gbtKGrUXc1Qg96NLMbgk"",""2026-27!AN3"")"),0.0)</f>
        <v>0</v>
      </c>
      <c r="CJ64" s="59">
        <f>IFERROR(__xludf.DUMMYFUNCTION("IMPORTRANGE(""1eZTb0NOMQD308IrvgRFKi0-gbtKGrUXc1Qg96NLMbgk"",""2026-27!AO4"")"),0.0)</f>
        <v>0</v>
      </c>
      <c r="CK64" s="59">
        <f>IFERROR(__xludf.DUMMYFUNCTION("IMPORTRANGE(""1eZTb0NOMQD308IrvgRFKi0-gbtKGrUXc1Qg96NLMbgk"",""2026-27!AO3"")"),0.0)</f>
        <v>0</v>
      </c>
      <c r="CL64" s="63" t="str">
        <f t="shared" si="91"/>
        <v/>
      </c>
      <c r="CM64" s="59">
        <f>IFERROR(__xludf.DUMMYFUNCTION("IMPORTRANGE(""1eZTb0NOMQD308IrvgRFKi0-gbtKGrUXc1Qg96NLMbgk"",""2026-27!AP4"")"),0.0)</f>
        <v>0</v>
      </c>
      <c r="CN64" s="59">
        <f>IFERROR(__xludf.DUMMYFUNCTION("IMPORTRANGE(""1eZTb0NOMQD308IrvgRFKi0-gbtKGrUXc1Qg96NLMbgk"",""2026-27!AP3"")"),0.0)</f>
        <v>0</v>
      </c>
      <c r="CO64" s="59">
        <f>IFERROR(__xludf.DUMMYFUNCTION("IMPORTRANGE(""1eZTb0NOMQD308IrvgRFKi0-gbtKGrUXc1Qg96NLMbgk"",""2026-27!AQ4"")"),0.0)</f>
        <v>0</v>
      </c>
      <c r="CP64" s="59">
        <f>IFERROR(__xludf.DUMMYFUNCTION("IMPORTRANGE(""1eZTb0NOMQD308IrvgRFKi0-gbtKGrUXc1Qg96NLMbgk"",""2026-27!AQ3"")"),0.0)</f>
        <v>0</v>
      </c>
      <c r="CQ64" s="59">
        <f>IFERROR(__xludf.DUMMYFUNCTION("IMPORTRANGE(""1eZTb0NOMQD308IrvgRFKi0-gbtKGrUXc1Qg96NLMbgk"",""2026-27!AR4"")"),0.0)</f>
        <v>0</v>
      </c>
      <c r="CR64" s="59">
        <f>IFERROR(__xludf.DUMMYFUNCTION("IMPORTRANGE(""1eZTb0NOMQD308IrvgRFKi0-gbtKGrUXc1Qg96NLMbgk"",""2026-27!AR3"")"),0.0)</f>
        <v>0</v>
      </c>
      <c r="CS64" s="63" t="str">
        <f t="shared" si="92"/>
        <v/>
      </c>
      <c r="CT64" s="59">
        <f>IFERROR(__xludf.DUMMYFUNCTION("IMPORTRANGE(""1eZTb0NOMQD308IrvgRFKi0-gbtKGrUXc1Qg96NLMbgk"",""2026-27!AS4"")"),0.0)</f>
        <v>0</v>
      </c>
      <c r="CU64" s="59">
        <f>IFERROR(__xludf.DUMMYFUNCTION("IMPORTRANGE(""1eZTb0NOMQD308IrvgRFKi0-gbtKGrUXc1Qg96NLMbgk"",""2026-27!AS3"")"),0.0)</f>
        <v>0</v>
      </c>
      <c r="CV64" s="64"/>
    </row>
    <row r="65">
      <c r="A65" s="1" t="s">
        <v>103</v>
      </c>
      <c r="B65" s="41"/>
      <c r="C65" s="106" t="s">
        <v>138</v>
      </c>
      <c r="D65" s="53" t="s">
        <v>139</v>
      </c>
      <c r="E65" s="54">
        <v>6.386698666E9</v>
      </c>
      <c r="F65" s="107">
        <v>45482.0</v>
      </c>
      <c r="G65" s="66"/>
      <c r="H65" s="66"/>
      <c r="I65" s="57">
        <v>28940.0</v>
      </c>
      <c r="J65" s="58">
        <v>1900000.0</v>
      </c>
      <c r="K65" s="59">
        <f>IFERROR(__xludf.DUMMYFUNCTION("IMPORTRANGE(""1pcIpQIFPR-YUVv9ATwQfIVPOInmgM9-9wy6F6PXI-Q8"",""2026-27!A3"")"),60.0)</f>
        <v>60</v>
      </c>
      <c r="L65" s="59">
        <f>IFERROR(__xludf.DUMMYFUNCTION("IMPORTRANGE(""1pcIpQIFPR-YUVv9ATwQfIVPOInmgM9-9wy6F6PXI-Q8"",""2026-27!G4"")"),1.056E7)</f>
        <v>10560000</v>
      </c>
      <c r="M65" s="59">
        <f t="shared" si="95"/>
        <v>3773258.68</v>
      </c>
      <c r="N65" s="60">
        <f t="shared" si="79"/>
        <v>0.2593669508</v>
      </c>
      <c r="O65" s="61">
        <f t="shared" si="96"/>
        <v>2738915</v>
      </c>
      <c r="P65" s="59">
        <f>IFERROR(__xludf.DUMMYFUNCTION("IMPORTRANGE(""1pcIpQIFPR-YUVv9ATwQfIVPOInmgM9-9wy6F6PXI-Q8"",""2026-27!J4"")"),943000.0)</f>
        <v>943000</v>
      </c>
      <c r="Q65" s="59">
        <f>IFERROR(__xludf.DUMMYFUNCTION("IMPORTRANGE(""1pcIpQIFPR-YUVv9ATwQfIVPOInmgM9-9wy6F6PXI-Q8"",""2026-27!J3"")"),57.0)</f>
        <v>57</v>
      </c>
      <c r="R65" s="59">
        <f>IFERROR(__xludf.DUMMYFUNCTION("IMPORTRANGE(""1pcIpQIFPR-YUVv9ATwQfIVPOInmgM9-9wy6F6PXI-Q8"",""2026-27!K4"")"),1595978.8599999996)</f>
        <v>1595978.86</v>
      </c>
      <c r="S65" s="59">
        <f>IFERROR(__xludf.DUMMYFUNCTION("IMPORTRANGE(""1pcIpQIFPR-YUVv9ATwQfIVPOInmgM9-9wy6F6PXI-Q8"",""2026-27!K3"")"),15.0)</f>
        <v>15</v>
      </c>
      <c r="T65" s="62">
        <f t="shared" si="81"/>
        <v>1.692083775</v>
      </c>
      <c r="U65" s="59">
        <f>IFERROR(__xludf.DUMMYFUNCTION("IMPORTRANGE(""1pcIpQIFPR-YUVv9ATwQfIVPOInmgM9-9wy6F6PXI-Q8"",""2026-27!L4"")"),1595635.0)</f>
        <v>1595635</v>
      </c>
      <c r="V65" s="59">
        <f>IFERROR(__xludf.DUMMYFUNCTION("IMPORTRANGE(""1pcIpQIFPR-YUVv9ATwQfIVPOInmgM9-9wy6F6PXI-Q8"",""2026-27!L3"")"),15.0)</f>
        <v>15</v>
      </c>
      <c r="W65" s="59">
        <f>IFERROR(__xludf.DUMMYFUNCTION("IMPORTRANGE(""1pcIpQIFPR-YUVv9ATwQfIVPOInmgM9-9wy6F6PXI-Q8"",""2026-27!m4"")"),956000.0)</f>
        <v>956000</v>
      </c>
      <c r="X65" s="59">
        <f>IFERROR(__xludf.DUMMYFUNCTION("IMPORTRANGE(""1pcIpQIFPR-YUVv9ATwQfIVPOInmgM9-9wy6F6PXI-Q8"",""2026-27!m3"")"),57.0)</f>
        <v>57</v>
      </c>
      <c r="Y65" s="59">
        <f>IFERROR(__xludf.DUMMYFUNCTION("IMPORTRANGE(""1pcIpQIFPR-YUVv9ATwQfIVPOInmgM9-9wy6F6PXI-Q8"",""2026-27!N4"")"),1104501.01)</f>
        <v>1104501.01</v>
      </c>
      <c r="Z65" s="59">
        <f>IFERROR(__xludf.DUMMYFUNCTION("IMPORTRANGE(""1pcIpQIFPR-YUVv9ATwQfIVPOInmgM9-9wy6F6PXI-Q8"",""2026-27!N3"")"),17.0)</f>
        <v>17</v>
      </c>
      <c r="AA65" s="62">
        <f t="shared" si="82"/>
        <v>1.195899582</v>
      </c>
      <c r="AB65" s="59">
        <f>IFERROR(__xludf.DUMMYFUNCTION("IMPORTRANGE(""1pcIpQIFPR-YUVv9ATwQfIVPOInmgM9-9wy6F6PXI-Q8"",""2026-27!O4"")"),1143280.0)</f>
        <v>1143280</v>
      </c>
      <c r="AC65" s="59">
        <f>IFERROR(__xludf.DUMMYFUNCTION("IMPORTRANGE(""1pcIpQIFPR-YUVv9ATwQfIVPOInmgM9-9wy6F6PXI-Q8"",""2026-27!O3"")"),17.0)</f>
        <v>17</v>
      </c>
      <c r="AD65" s="59">
        <f>IFERROR(__xludf.DUMMYFUNCTION("IMPORTRANGE(""1pcIpQIFPR-YUVv9ATwQfIVPOInmgM9-9wy6F6PXI-Q8"",""2026-27!P4"")"),968000.0)</f>
        <v>968000</v>
      </c>
      <c r="AE65" s="59">
        <f>IFERROR(__xludf.DUMMYFUNCTION("IMPORTRANGE(""1pcIpQIFPR-YUVv9ATwQfIVPOInmgM9-9wy6F6PXI-Q8"",""2026-27!P3"")"),57.0)</f>
        <v>57</v>
      </c>
      <c r="AF65" s="59">
        <f>IFERROR(__xludf.DUMMYFUNCTION("IMPORTRANGE(""1pcIpQIFPR-YUVv9ATwQfIVPOInmgM9-9wy6F6PXI-Q8"",""2026-27!Q4"")"),1072778.8099999998)</f>
        <v>1072778.81</v>
      </c>
      <c r="AG65" s="59">
        <f>IFERROR(__xludf.DUMMYFUNCTION("IMPORTRANGE(""1pcIpQIFPR-YUVv9ATwQfIVPOInmgM9-9wy6F6PXI-Q8"",""2026-27!Q3"")"),25.0)</f>
        <v>25</v>
      </c>
      <c r="AH65" s="62">
        <f t="shared" si="83"/>
        <v>0</v>
      </c>
      <c r="AI65" s="59">
        <f>IFERROR(__xludf.DUMMYFUNCTION("IMPORTRANGE(""1pcIpQIFPR-YUVv9ATwQfIVPOInmgM9-9wy6F6PXI-Q8"",""2026-27!R4"")"),0.0)</f>
        <v>0</v>
      </c>
      <c r="AJ65" s="59">
        <f>IFERROR(__xludf.DUMMYFUNCTION("IMPORTRANGE(""1pcIpQIFPR-YUVv9ATwQfIVPOInmgM9-9wy6F6PXI-Q8"",""2026-27!R3"")"),0.0)</f>
        <v>0</v>
      </c>
      <c r="AK65" s="59">
        <f>IFERROR(__xludf.DUMMYFUNCTION("IMPORTRANGE(""1pcIpQIFPR-YUVv9ATwQfIVPOInmgM9-9wy6F6PXI-Q8"",""2026-27!S4"")"),0.0)</f>
        <v>0</v>
      </c>
      <c r="AL65" s="59">
        <f>IFERROR(__xludf.DUMMYFUNCTION("IMPORTRANGE(""1pcIpQIFPR-YUVv9ATwQfIVPOInmgM9-9wy6F6PXI-Q8"",""2026-27!S3"")"),0.0)</f>
        <v>0</v>
      </c>
      <c r="AM65" s="59">
        <f>IFERROR(__xludf.DUMMYFUNCTION("IMPORTRANGE(""1pcIpQIFPR-YUVv9ATwQfIVPOInmgM9-9wy6F6PXI-Q8"",""2026-27!T4"")"),0.0)</f>
        <v>0</v>
      </c>
      <c r="AN65" s="59">
        <f>IFERROR(__xludf.DUMMYFUNCTION("IMPORTRANGE(""1pcIpQIFPR-YUVv9ATwQfIVPOInmgM9-9wy6F6PXI-Q8"",""2026-27!T3"")"),0.0)</f>
        <v>0</v>
      </c>
      <c r="AO65" s="62" t="str">
        <f t="shared" si="84"/>
        <v/>
      </c>
      <c r="AP65" s="59">
        <f>IFERROR(__xludf.DUMMYFUNCTION("IMPORTRANGE(""1pcIpQIFPR-YUVv9ATwQfIVPOInmgM9-9wy6F6PXI-Q8"",""2026-27!U4"")"),0.0)</f>
        <v>0</v>
      </c>
      <c r="AQ65" s="59">
        <f>IFERROR(__xludf.DUMMYFUNCTION("IMPORTRANGE(""1pcIpQIFPR-YUVv9ATwQfIVPOInmgM9-9wy6F6PXI-Q8"",""2026-27!U3"")"),0.0)</f>
        <v>0</v>
      </c>
      <c r="AR65" s="59">
        <f>IFERROR(__xludf.DUMMYFUNCTION("IMPORTRANGE(""1pcIpQIFPR-YUVv9ATwQfIVPOInmgM9-9wy6F6PXI-Q8"",""2026-27!V4"")"),0.0)</f>
        <v>0</v>
      </c>
      <c r="AS65" s="59">
        <f>IFERROR(__xludf.DUMMYFUNCTION("IMPORTRANGE(""1pcIpQIFPR-YUVv9ATwQfIVPOInmgM9-9wy6F6PXI-Q8"",""2026-27!V3"")"),0.0)</f>
        <v>0</v>
      </c>
      <c r="AT65" s="59">
        <f>IFERROR(__xludf.DUMMYFUNCTION("IMPORTRANGE(""1pcIpQIFPR-YUVv9ATwQfIVPOInmgM9-9wy6F6PXI-Q8"",""2026-27!W4"")"),0.0)</f>
        <v>0</v>
      </c>
      <c r="AU65" s="59">
        <f>IFERROR(__xludf.DUMMYFUNCTION("IMPORTRANGE(""1pcIpQIFPR-YUVv9ATwQfIVPOInmgM9-9wy6F6PXI-Q8"",""2026-27!W3"")"),0.0)</f>
        <v>0</v>
      </c>
      <c r="AV65" s="62" t="str">
        <f t="shared" si="85"/>
        <v/>
      </c>
      <c r="AW65" s="59">
        <f>IFERROR(__xludf.DUMMYFUNCTION("IMPORTRANGE(""1pcIpQIFPR-YUVv9ATwQfIVPOInmgM9-9wy6F6PXI-Q8"",""2026-27!X4"")"),0.0)</f>
        <v>0</v>
      </c>
      <c r="AX65" s="59">
        <f>IFERROR(__xludf.DUMMYFUNCTION("IMPORTRANGE(""1pcIpQIFPR-YUVv9ATwQfIVPOInmgM9-9wy6F6PXI-Q8"",""2026-27!X3"")"),0.0)</f>
        <v>0</v>
      </c>
      <c r="AY65" s="59">
        <f>IFERROR(__xludf.DUMMYFUNCTION("IMPORTRANGE(""1pcIpQIFPR-YUVv9ATwQfIVPOInmgM9-9wy6F6PXI-Q8"",""2026-27!Y4"")"),0.0)</f>
        <v>0</v>
      </c>
      <c r="AZ65" s="59">
        <f>IFERROR(__xludf.DUMMYFUNCTION("IMPORTRANGE(""1pcIpQIFPR-YUVv9ATwQfIVPOInmgM9-9wy6F6PXI-Q8"",""2026-27!Y3"")"),0.0)</f>
        <v>0</v>
      </c>
      <c r="BA65" s="59">
        <f>IFERROR(__xludf.DUMMYFUNCTION("IMPORTRANGE(""1pcIpQIFPR-YUVv9ATwQfIVPOInmgM9-9wy6F6PXI-Q8"",""2026-27!Z4"")"),0.0)</f>
        <v>0</v>
      </c>
      <c r="BB65" s="59">
        <f>IFERROR(__xludf.DUMMYFUNCTION("IMPORTRANGE(""1pcIpQIFPR-YUVv9ATwQfIVPOInmgM9-9wy6F6PXI-Q8"",""2026-27!Z3"")"),0.0)</f>
        <v>0</v>
      </c>
      <c r="BC65" s="63" t="str">
        <f t="shared" si="86"/>
        <v/>
      </c>
      <c r="BD65" s="59">
        <f>IFERROR(__xludf.DUMMYFUNCTION("IMPORTRANGE(""1pcIpQIFPR-YUVv9ATwQfIVPOInmgM9-9wy6F6PXI-Q8"",""2026-27!AA4"")"),0.0)</f>
        <v>0</v>
      </c>
      <c r="BE65" s="59">
        <f>IFERROR(__xludf.DUMMYFUNCTION("IMPORTRANGE(""1pcIpQIFPR-YUVv9ATwQfIVPOInmgM9-9wy6F6PXI-Q8"",""2026-27!AA3"")"),0.0)</f>
        <v>0</v>
      </c>
      <c r="BF65" s="59">
        <f>IFERROR(__xludf.DUMMYFUNCTION("IMPORTRANGE(""1pcIpQIFPR-YUVv9ATwQfIVPOInmgM9-9wy6F6PXI-Q8"",""2026-27!AB4"")"),0.0)</f>
        <v>0</v>
      </c>
      <c r="BG65" s="59">
        <f>IFERROR(__xludf.DUMMYFUNCTION("IMPORTRANGE(""1pcIpQIFPR-YUVv9ATwQfIVPOInmgM9-9wy6F6PXI-Q8"",""2026-27!AB3"")"),0.0)</f>
        <v>0</v>
      </c>
      <c r="BH65" s="59">
        <f>IFERROR(__xludf.DUMMYFUNCTION("IMPORTRANGE(""1pcIpQIFPR-YUVv9ATwQfIVPOInmgM9-9wy6F6PXI-Q8"",""2026-27!AC4"")"),0.0)</f>
        <v>0</v>
      </c>
      <c r="BI65" s="59">
        <f>IFERROR(__xludf.DUMMYFUNCTION("IMPORTRANGE(""1pcIpQIFPR-YUVv9ATwQfIVPOInmgM9-9wy6F6PXI-Q8"",""2026-27!AC3"")"),0.0)</f>
        <v>0</v>
      </c>
      <c r="BJ65" s="63" t="str">
        <f t="shared" si="87"/>
        <v/>
      </c>
      <c r="BK65" s="59">
        <f>IFERROR(__xludf.DUMMYFUNCTION("IMPORTRANGE(""1pcIpQIFPR-YUVv9ATwQfIVPOInmgM9-9wy6F6PXI-Q8"",""2026-27!AD4"")"),0.0)</f>
        <v>0</v>
      </c>
      <c r="BL65" s="59">
        <f>IFERROR(__xludf.DUMMYFUNCTION("IMPORTRANGE(""1pcIpQIFPR-YUVv9ATwQfIVPOInmgM9-9wy6F6PXI-Q8"",""2026-27!AD3"")"),0.0)</f>
        <v>0</v>
      </c>
      <c r="BM65" s="59">
        <f>IFERROR(__xludf.DUMMYFUNCTION("IMPORTRANGE(""1pcIpQIFPR-YUVv9ATwQfIVPOInmgM9-9wy6F6PXI-Q8"",""2026-27!AE4"")"),0.0)</f>
        <v>0</v>
      </c>
      <c r="BN65" s="59">
        <f>IFERROR(__xludf.DUMMYFUNCTION("IMPORTRANGE(""1pcIpQIFPR-YUVv9ATwQfIVPOInmgM9-9wy6F6PXI-Q8"",""2026-27!AE3"")"),0.0)</f>
        <v>0</v>
      </c>
      <c r="BO65" s="59">
        <f>IFERROR(__xludf.DUMMYFUNCTION("IMPORTRANGE(""1pcIpQIFPR-YUVv9ATwQfIVPOInmgM9-9wy6F6PXI-Q8"",""2026-27!AF4"")"),0.0)</f>
        <v>0</v>
      </c>
      <c r="BP65" s="59">
        <f>IFERROR(__xludf.DUMMYFUNCTION("IMPORTRANGE(""1pcIpQIFPR-YUVv9ATwQfIVPOInmgM9-9wy6F6PXI-Q8"",""2026-27!AF3"")"),0.0)</f>
        <v>0</v>
      </c>
      <c r="BQ65" s="63" t="str">
        <f t="shared" si="88"/>
        <v/>
      </c>
      <c r="BR65" s="59">
        <f>IFERROR(__xludf.DUMMYFUNCTION("IMPORTRANGE(""1pcIpQIFPR-YUVv9ATwQfIVPOInmgM9-9wy6F6PXI-Q8"",""2026-27!AG4"")"),0.0)</f>
        <v>0</v>
      </c>
      <c r="BS65" s="59">
        <f>IFERROR(__xludf.DUMMYFUNCTION("IMPORTRANGE(""1pcIpQIFPR-YUVv9ATwQfIVPOInmgM9-9wy6F6PXI-Q8"",""2026-27!AG3"")"),0.0)</f>
        <v>0</v>
      </c>
      <c r="BT65" s="59">
        <f>IFERROR(__xludf.DUMMYFUNCTION("IMPORTRANGE(""1pcIpQIFPR-YUVv9ATwQfIVPOInmgM9-9wy6F6PXI-Q8"",""2026-27!AH4"")"),0.0)</f>
        <v>0</v>
      </c>
      <c r="BU65" s="59">
        <f>IFERROR(__xludf.DUMMYFUNCTION("IMPORTRANGE(""1pcIpQIFPR-YUVv9ATwQfIVPOInmgM9-9wy6F6PXI-Q8"",""2026-27!AH3"")"),0.0)</f>
        <v>0</v>
      </c>
      <c r="BV65" s="59">
        <f>IFERROR(__xludf.DUMMYFUNCTION("IMPORTRANGE(""1pcIpQIFPR-YUVv9ATwQfIVPOInmgM9-9wy6F6PXI-Q8"",""2026-27!AI4"")"),0.0)</f>
        <v>0</v>
      </c>
      <c r="BW65" s="59">
        <f>IFERROR(__xludf.DUMMYFUNCTION("IMPORTRANGE(""1pcIpQIFPR-YUVv9ATwQfIVPOInmgM9-9wy6F6PXI-Q8"",""2026-27!AI3"")"),0.0)</f>
        <v>0</v>
      </c>
      <c r="BX65" s="63" t="str">
        <f t="shared" si="89"/>
        <v/>
      </c>
      <c r="BY65" s="59">
        <f>IFERROR(__xludf.DUMMYFUNCTION("IMPORTRANGE(""1pcIpQIFPR-YUVv9ATwQfIVPOInmgM9-9wy6F6PXI-Q8"",""2026-27!AJ4"")"),0.0)</f>
        <v>0</v>
      </c>
      <c r="BZ65" s="59">
        <f>IFERROR(__xludf.DUMMYFUNCTION("IMPORTRANGE(""1pcIpQIFPR-YUVv9ATwQfIVPOInmgM9-9wy6F6PXI-Q8"",""2026-27!AJ3"")"),0.0)</f>
        <v>0</v>
      </c>
      <c r="CA65" s="59">
        <f>IFERROR(__xludf.DUMMYFUNCTION("IMPORTRANGE(""1pcIpQIFPR-YUVv9ATwQfIVPOInmgM9-9wy6F6PXI-Q8"",""2026-27!AK4"")"),0.0)</f>
        <v>0</v>
      </c>
      <c r="CB65" s="59">
        <f>IFERROR(__xludf.DUMMYFUNCTION("IMPORTRANGE(""1pcIpQIFPR-YUVv9ATwQfIVPOInmgM9-9wy6F6PXI-Q8"",""2026-27!AK3"")"),0.0)</f>
        <v>0</v>
      </c>
      <c r="CC65" s="59">
        <f>IFERROR(__xludf.DUMMYFUNCTION("IMPORTRANGE(""1pcIpQIFPR-YUVv9ATwQfIVPOInmgM9-9wy6F6PXI-Q8"",""2026-27!AL4"")"),0.0)</f>
        <v>0</v>
      </c>
      <c r="CD65" s="59">
        <f>IFERROR(__xludf.DUMMYFUNCTION("IMPORTRANGE(""1pcIpQIFPR-YUVv9ATwQfIVPOInmgM9-9wy6F6PXI-Q8"",""2026-27!AL3"")"),0.0)</f>
        <v>0</v>
      </c>
      <c r="CE65" s="63" t="str">
        <f t="shared" si="90"/>
        <v/>
      </c>
      <c r="CF65" s="59">
        <f>IFERROR(__xludf.DUMMYFUNCTION("IMPORTRANGE(""1pcIpQIFPR-YUVv9ATwQfIVPOInmgM9-9wy6F6PXI-Q8"",""2026-27!AM4"")"),0.0)</f>
        <v>0</v>
      </c>
      <c r="CG65" s="59">
        <f>IFERROR(__xludf.DUMMYFUNCTION("IMPORTRANGE(""1pcIpQIFPR-YUVv9ATwQfIVPOInmgM9-9wy6F6PXI-Q8"",""2026-27!AM3"")"),0.0)</f>
        <v>0</v>
      </c>
      <c r="CH65" s="59">
        <f>IFERROR(__xludf.DUMMYFUNCTION("IMPORTRANGE(""1pcIpQIFPR-YUVv9ATwQfIVPOInmgM9-9wy6F6PXI-Q8"",""2026-27!AN4"")"),0.0)</f>
        <v>0</v>
      </c>
      <c r="CI65" s="59">
        <f>IFERROR(__xludf.DUMMYFUNCTION("IMPORTRANGE(""1pcIpQIFPR-YUVv9ATwQfIVPOInmgM9-9wy6F6PXI-Q8"",""2026-27!AN3"")"),0.0)</f>
        <v>0</v>
      </c>
      <c r="CJ65" s="59">
        <f>IFERROR(__xludf.DUMMYFUNCTION("IMPORTRANGE(""1pcIpQIFPR-YUVv9ATwQfIVPOInmgM9-9wy6F6PXI-Q8"",""2026-27!AO4"")"),0.0)</f>
        <v>0</v>
      </c>
      <c r="CK65" s="59">
        <f>IFERROR(__xludf.DUMMYFUNCTION("IMPORTRANGE(""1pcIpQIFPR-YUVv9ATwQfIVPOInmgM9-9wy6F6PXI-Q8"",""2026-27!AO3"")"),0.0)</f>
        <v>0</v>
      </c>
      <c r="CL65" s="63" t="str">
        <f t="shared" si="91"/>
        <v/>
      </c>
      <c r="CM65" s="59">
        <f>IFERROR(__xludf.DUMMYFUNCTION("IMPORTRANGE(""1pcIpQIFPR-YUVv9ATwQfIVPOInmgM9-9wy6F6PXI-Q8"",""2026-27!AP4"")"),0.0)</f>
        <v>0</v>
      </c>
      <c r="CN65" s="59">
        <f>IFERROR(__xludf.DUMMYFUNCTION("IMPORTRANGE(""1pcIpQIFPR-YUVv9ATwQfIVPOInmgM9-9wy6F6PXI-Q8"",""2026-27!AP3"")"),0.0)</f>
        <v>0</v>
      </c>
      <c r="CO65" s="59">
        <f>IFERROR(__xludf.DUMMYFUNCTION("IMPORTRANGE(""1pcIpQIFPR-YUVv9ATwQfIVPOInmgM9-9wy6F6PXI-Q8"",""2026-27!AQ4"")"),0.0)</f>
        <v>0</v>
      </c>
      <c r="CP65" s="59">
        <f>IFERROR(__xludf.DUMMYFUNCTION("IMPORTRANGE(""1pcIpQIFPR-YUVv9ATwQfIVPOInmgM9-9wy6F6PXI-Q8"",""2026-27!AQ3"")"),0.0)</f>
        <v>0</v>
      </c>
      <c r="CQ65" s="59">
        <f>IFERROR(__xludf.DUMMYFUNCTION("IMPORTRANGE(""1pcIpQIFPR-YUVv9ATwQfIVPOInmgM9-9wy6F6PXI-Q8"",""2026-27!AR4"")"),0.0)</f>
        <v>0</v>
      </c>
      <c r="CR65" s="59">
        <f>IFERROR(__xludf.DUMMYFUNCTION("IMPORTRANGE(""1pcIpQIFPR-YUVv9ATwQfIVPOInmgM9-9wy6F6PXI-Q8"",""2026-27!AR3"")"),0.0)</f>
        <v>0</v>
      </c>
      <c r="CS65" s="63" t="str">
        <f t="shared" si="92"/>
        <v/>
      </c>
      <c r="CT65" s="59">
        <f>IFERROR(__xludf.DUMMYFUNCTION("IMPORTRANGE(""1pcIpQIFPR-YUVv9ATwQfIVPOInmgM9-9wy6F6PXI-Q8"",""2026-27!AS4"")"),0.0)</f>
        <v>0</v>
      </c>
      <c r="CU65" s="59">
        <f>IFERROR(__xludf.DUMMYFUNCTION("IMPORTRANGE(""1pcIpQIFPR-YUVv9ATwQfIVPOInmgM9-9wy6F6PXI-Q8"",""2026-27!AS3"")"),0.0)</f>
        <v>0</v>
      </c>
      <c r="CV65" s="64"/>
    </row>
    <row r="66">
      <c r="A66" s="1" t="s">
        <v>103</v>
      </c>
      <c r="B66" s="41"/>
      <c r="C66" s="71" t="s">
        <v>140</v>
      </c>
      <c r="D66" s="53" t="s">
        <v>141</v>
      </c>
      <c r="E66" s="54">
        <v>8.806812158E9</v>
      </c>
      <c r="F66" s="84">
        <v>45331.0</v>
      </c>
      <c r="G66" s="66"/>
      <c r="H66" s="66"/>
      <c r="I66" s="57">
        <v>24425.0</v>
      </c>
      <c r="J66" s="58">
        <v>1357000.0</v>
      </c>
      <c r="K66" s="59">
        <f>IFERROR(__xludf.DUMMYFUNCTION("IMPORTRANGE(""https://docs.google.com/spreadsheets/d/1MWp85DrwBNK7tQ1tlVLrCDUimILFTDnvvv6FtNhbiEA/edit?gid=1397978039#gid=1397978039"",""2026-27!A3"")"),35.0)</f>
        <v>35</v>
      </c>
      <c r="L66" s="59">
        <f>IFERROR(__xludf.DUMMYFUNCTION("IMPORTRANGE(""https://docs.google.com/spreadsheets/d/1MWp85DrwBNK7tQ1tlVLrCDUimILFTDnvvv6FtNhbiEA/edit?gid=1397978039#gid=1397978039"",""2026-27!G4"")"),1.115E7)</f>
        <v>11150000</v>
      </c>
      <c r="M66" s="59">
        <f t="shared" si="95"/>
        <v>1964915.66</v>
      </c>
      <c r="N66" s="60">
        <f t="shared" si="79"/>
        <v>0.06495103139</v>
      </c>
      <c r="O66" s="61">
        <f t="shared" si="96"/>
        <v>724204</v>
      </c>
      <c r="P66" s="59">
        <f>IFERROR(__xludf.DUMMYFUNCTION("IMPORTRANGE(""1pcIpQIFPR-YUVv9ATwQfIVPOInmgM9-9wy6F6PXI-Q8"",""2026-27!J4"")"),943000.0)</f>
        <v>943000</v>
      </c>
      <c r="Q66" s="59">
        <f>IFERROR(__xludf.DUMMYFUNCTION("IMPORTRANGE(""https://docs.google.com/spreadsheets/d/1MWp85DrwBNK7tQ1tlVLrCDUimILFTDnvvv6FtNhbiEA/edit?gid=1397978039#gid=1397978039"",""2026-27!J3"")"),29.0)</f>
        <v>29</v>
      </c>
      <c r="R66" s="59">
        <f>IFERROR(__xludf.DUMMYFUNCTION("IMPORTRANGE(""https://docs.google.com/spreadsheets/d/1MWp85DrwBNK7tQ1tlVLrCDUimILFTDnvvv6FtNhbiEA/edit?gid=1397978039#gid=1397978039"",""2026-27!K4"")"),531527.54)</f>
        <v>531527.54</v>
      </c>
      <c r="S66" s="59">
        <f>IFERROR(__xludf.DUMMYFUNCTION("IMPORTRANGE(""https://docs.google.com/spreadsheets/d/1MWp85DrwBNK7tQ1tlVLrCDUimILFTDnvvv6FtNhbiEA/edit?gid=1397978039#gid=1397978039"",""2026-27!K3"")"),7.0)</f>
        <v>7</v>
      </c>
      <c r="T66" s="62">
        <f t="shared" si="81"/>
        <v>0.3989597031</v>
      </c>
      <c r="U66" s="59">
        <f>IFERROR(__xludf.DUMMYFUNCTION("IMPORTRANGE(""https://docs.google.com/spreadsheets/d/1MWp85DrwBNK7tQ1tlVLrCDUimILFTDnvvv6FtNhbiEA/edit?gid=1397978039#gid=1397978039"",""2026-27!L4"")"),376219.0)</f>
        <v>376219</v>
      </c>
      <c r="V66" s="59">
        <f>IFERROR(__xludf.DUMMYFUNCTION("IMPORTRANGE(""https://docs.google.com/spreadsheets/d/1MWp85DrwBNK7tQ1tlVLrCDUimILFTDnvvv6FtNhbiEA/edit?gid=1397978039#gid=1397978039"",""2026-27!L3"")"),13.0)</f>
        <v>13</v>
      </c>
      <c r="W66" s="59">
        <f>IFERROR(__xludf.DUMMYFUNCTION("IMPORTRANGE(""https://docs.google.com/spreadsheets/d/1MWp85DrwBNK7tQ1tlVLrCDUimILFTDnvvv6FtNhbiEA/edit?gid=1397978039#gid=1397978039"",""2026-27!m4"")"),870828.0)</f>
        <v>870828</v>
      </c>
      <c r="X66" s="59">
        <f>IFERROR(__xludf.DUMMYFUNCTION("IMPORTRANGE(""https://docs.google.com/spreadsheets/d/1MWp85DrwBNK7tQ1tlVLrCDUimILFTDnvvv6FtNhbiEA/edit?gid=1397978039#gid=1397978039"",""2026-27!m3"")"),29.0)</f>
        <v>29</v>
      </c>
      <c r="Y66" s="59">
        <f>IFERROR(__xludf.DUMMYFUNCTION("IMPORTRANGE(""https://docs.google.com/spreadsheets/d/1MWp85DrwBNK7tQ1tlVLrCDUimILFTDnvvv6FtNhbiEA/edit?gid=1397978039#gid=1397978039"",""2026-27!N4"")"),857075.03)</f>
        <v>857075.03</v>
      </c>
      <c r="Z66" s="59">
        <f>IFERROR(__xludf.DUMMYFUNCTION("IMPORTRANGE(""https://docs.google.com/spreadsheets/d/1MWp85DrwBNK7tQ1tlVLrCDUimILFTDnvvv6FtNhbiEA/edit?gid=1397978039#gid=1397978039"",""2026-27!N3"")"),13.0)</f>
        <v>13</v>
      </c>
      <c r="AA66" s="62">
        <f t="shared" si="82"/>
        <v>0.3996024473</v>
      </c>
      <c r="AB66" s="59">
        <f>IFERROR(__xludf.DUMMYFUNCTION("IMPORTRANGE(""https://docs.google.com/spreadsheets/d/1MWp85DrwBNK7tQ1tlVLrCDUimILFTDnvvv6FtNhbiEA/edit?gid=1397978039#gid=1397978039"",""2026-27!O4"")"),347985.0)</f>
        <v>347985</v>
      </c>
      <c r="AC66" s="59">
        <f>IFERROR(__xludf.DUMMYFUNCTION("IMPORTRANGE(""https://docs.google.com/spreadsheets/d/1MWp85DrwBNK7tQ1tlVLrCDUimILFTDnvvv6FtNhbiEA/edit?gid=1397978039#gid=1397978039"",""2026-27!O3"")"),3.0)</f>
        <v>3</v>
      </c>
      <c r="AD66" s="59">
        <f>IFERROR(__xludf.DUMMYFUNCTION("IMPORTRANGE(""https://docs.google.com/spreadsheets/d/1MWp85DrwBNK7tQ1tlVLrCDUimILFTDnvvv6FtNhbiEA/edit?gid=1397978039#gid=1397978039"",""2026-27!P4"")"),870828.0)</f>
        <v>870828</v>
      </c>
      <c r="AE66" s="59">
        <f>IFERROR(__xludf.DUMMYFUNCTION("IMPORTRANGE(""https://docs.google.com/spreadsheets/d/1MWp85DrwBNK7tQ1tlVLrCDUimILFTDnvvv6FtNhbiEA/edit?gid=1397978039#gid=1397978039"",""2026-27!P3"")"),29.0)</f>
        <v>29</v>
      </c>
      <c r="AF66" s="59">
        <f>IFERROR(__xludf.DUMMYFUNCTION("IMPORTRANGE(""https://docs.google.com/spreadsheets/d/1MWp85DrwBNK7tQ1tlVLrCDUimILFTDnvvv6FtNhbiEA/edit?gid=1397978039#gid=1397978039"",""2026-27!Q4"")"),576313.09)</f>
        <v>576313.09</v>
      </c>
      <c r="AG66" s="59">
        <f>IFERROR(__xludf.DUMMYFUNCTION("IMPORTRANGE(""https://docs.google.com/spreadsheets/d/1MWp85DrwBNK7tQ1tlVLrCDUimILFTDnvvv6FtNhbiEA/edit?gid=1397978039#gid=1397978039"",""2026-27!Q3"")"),16.0)</f>
        <v>16</v>
      </c>
      <c r="AH66" s="62">
        <f t="shared" si="83"/>
        <v>0</v>
      </c>
      <c r="AI66" s="59">
        <f>IFERROR(__xludf.DUMMYFUNCTION("IMPORTRANGE(""https://docs.google.com/spreadsheets/d/1MWp85DrwBNK7tQ1tlVLrCDUimILFTDnvvv6FtNhbiEA/edit?gid=1397978039#gid=1397978039"",""2026-27!R4"")"),0.0)</f>
        <v>0</v>
      </c>
      <c r="AJ66" s="59">
        <f>IFERROR(__xludf.DUMMYFUNCTION("IMPORTRANGE(""https://docs.google.com/spreadsheets/d/1MWp85DrwBNK7tQ1tlVLrCDUimILFTDnvvv6FtNhbiEA/edit?gid=1397978039#gid=1397978039"",""2026-27!R3"")"),0.0)</f>
        <v>0</v>
      </c>
      <c r="AK66" s="59">
        <f>IFERROR(__xludf.DUMMYFUNCTION("IMPORTRANGE(""https://docs.google.com/spreadsheets/d/1MWp85DrwBNK7tQ1tlVLrCDUimILFTDnvvv6FtNhbiEA/edit?gid=1397978039#gid=1397978039"",""2026-27!S4"")"),904161.0)</f>
        <v>904161</v>
      </c>
      <c r="AL66" s="59">
        <f>IFERROR(__xludf.DUMMYFUNCTION("IMPORTRANGE(""https://docs.google.com/spreadsheets/d/1MWp85DrwBNK7tQ1tlVLrCDUimILFTDnvvv6FtNhbiEA/edit?gid=1397978039#gid=1397978039"",""2026-27!S3"")"),29.0)</f>
        <v>29</v>
      </c>
      <c r="AM66" s="59">
        <f>IFERROR(__xludf.DUMMYFUNCTION("IMPORTRANGE(""https://docs.google.com/spreadsheets/d/1MWp85DrwBNK7tQ1tlVLrCDUimILFTDnvvv6FtNhbiEA/edit?gid=1397978039#gid=1397978039"",""2026-27!T4"")"),0.0)</f>
        <v>0</v>
      </c>
      <c r="AN66" s="59">
        <f>IFERROR(__xludf.DUMMYFUNCTION("IMPORTRANGE(""https://docs.google.com/spreadsheets/d/1MWp85DrwBNK7tQ1tlVLrCDUimILFTDnvvv6FtNhbiEA/edit?gid=1397978039#gid=1397978039"",""2026-27!T3"")"),0.0)</f>
        <v>0</v>
      </c>
      <c r="AO66" s="62">
        <f t="shared" si="84"/>
        <v>0</v>
      </c>
      <c r="AP66" s="59">
        <f>IFERROR(__xludf.DUMMYFUNCTION("IMPORTRANGE(""https://docs.google.com/spreadsheets/d/1MWp85DrwBNK7tQ1tlVLrCDUimILFTDnvvv6FtNhbiEA/edit?gid=1397978039#gid=1397978039"",""2026-27!U4"")"),0.0)</f>
        <v>0</v>
      </c>
      <c r="AQ66" s="59">
        <f>IFERROR(__xludf.DUMMYFUNCTION("IMPORTRANGE(""https://docs.google.com/spreadsheets/d/1MWp85DrwBNK7tQ1tlVLrCDUimILFTDnvvv6FtNhbiEA/edit?gid=1397978039#gid=1397978039"",""2026-27!U3"")"),0.0)</f>
        <v>0</v>
      </c>
      <c r="AR66" s="59">
        <f>IFERROR(__xludf.DUMMYFUNCTION("IMPORTRANGE(""https://docs.google.com/spreadsheets/d/1MWp85DrwBNK7tQ1tlVLrCDUimILFTDnvvv6FtNhbiEA/edit?gid=1397978039#gid=1397978039"",""2026-27!V4"")"),904161.0)</f>
        <v>904161</v>
      </c>
      <c r="AS66" s="59">
        <f>IFERROR(__xludf.DUMMYFUNCTION("IMPORTRANGE(""https://docs.google.com/spreadsheets/d/1MWp85DrwBNK7tQ1tlVLrCDUimILFTDnvvv6FtNhbiEA/edit?gid=1397978039#gid=1397978039"",""2026-27!V3"")"),29.0)</f>
        <v>29</v>
      </c>
      <c r="AT66" s="59">
        <f>IFERROR(__xludf.DUMMYFUNCTION("IMPORTRANGE(""https://docs.google.com/spreadsheets/d/1MWp85DrwBNK7tQ1tlVLrCDUimILFTDnvvv6FtNhbiEA/edit?gid=1397978039#gid=1397978039"",""2026-27!W4"")"),0.0)</f>
        <v>0</v>
      </c>
      <c r="AU66" s="59">
        <f>IFERROR(__xludf.DUMMYFUNCTION("IMPORTRANGE(""https://docs.google.com/spreadsheets/d/1MWp85DrwBNK7tQ1tlVLrCDUimILFTDnvvv6FtNhbiEA/edit?gid=1397978039#gid=1397978039"",""2026-27!W3"")"),0.0)</f>
        <v>0</v>
      </c>
      <c r="AV66" s="62">
        <f t="shared" si="85"/>
        <v>0</v>
      </c>
      <c r="AW66" s="59">
        <f>IFERROR(__xludf.DUMMYFUNCTION("IMPORTRANGE(""https://docs.google.com/spreadsheets/d/1MWp85DrwBNK7tQ1tlVLrCDUimILFTDnvvv6FtNhbiEA/edit?gid=1397978039#gid=1397978039"",""2026-27!X4"")"),0.0)</f>
        <v>0</v>
      </c>
      <c r="AX66" s="59">
        <f>IFERROR(__xludf.DUMMYFUNCTION("IMPORTRANGE(""https://docs.google.com/spreadsheets/d/1MWp85DrwBNK7tQ1tlVLrCDUimILFTDnvvv6FtNhbiEA/edit?gid=1397978039#gid=1397978039"",""2026-27!X3"")"),0.0)</f>
        <v>0</v>
      </c>
      <c r="AY66" s="59">
        <f>IFERROR(__xludf.DUMMYFUNCTION("IMPORTRANGE(""https://docs.google.com/spreadsheets/d/1MWp85DrwBNK7tQ1tlVLrCDUimILFTDnvvv6FtNhbiEA/edit?gid=1397978039#gid=1397978039"",""2026-27!Y4"")"),904161.0)</f>
        <v>904161</v>
      </c>
      <c r="AZ66" s="59">
        <f>IFERROR(__xludf.DUMMYFUNCTION("IMPORTRANGE(""https://docs.google.com/spreadsheets/d/1MWp85DrwBNK7tQ1tlVLrCDUimILFTDnvvv6FtNhbiEA/edit?gid=1397978039#gid=1397978039"",""2026-27!Y3"")"),29.0)</f>
        <v>29</v>
      </c>
      <c r="BA66" s="59">
        <f>IFERROR(__xludf.DUMMYFUNCTION("IMPORTRANGE(""https://docs.google.com/spreadsheets/d/1MWp85DrwBNK7tQ1tlVLrCDUimILFTDnvvv6FtNhbiEA/edit?gid=1397978039#gid=1397978039"",""2026-27!Z4"")"),0.0)</f>
        <v>0</v>
      </c>
      <c r="BB66" s="59">
        <f>IFERROR(__xludf.DUMMYFUNCTION("IMPORTRANGE(""https://docs.google.com/spreadsheets/d/1MWp85DrwBNK7tQ1tlVLrCDUimILFTDnvvv6FtNhbiEA/edit?gid=1397978039#gid=1397978039"",""2026-27!Z3"")"),0.0)</f>
        <v>0</v>
      </c>
      <c r="BC66" s="63">
        <f t="shared" si="86"/>
        <v>0</v>
      </c>
      <c r="BD66" s="59">
        <f>IFERROR(__xludf.DUMMYFUNCTION("IMPORTRANGE(""https://docs.google.com/spreadsheets/d/1MWp85DrwBNK7tQ1tlVLrCDUimILFTDnvvv6FtNhbiEA/edit?gid=1397978039#gid=1397978039"",""2026-27!AA4"")"),0.0)</f>
        <v>0</v>
      </c>
      <c r="BE66" s="59">
        <f>IFERROR(__xludf.DUMMYFUNCTION("IMPORTRANGE(""https://docs.google.com/spreadsheets/d/1MWp85DrwBNK7tQ1tlVLrCDUimILFTDnvvv6FtNhbiEA/edit?gid=1397978039#gid=1397978039"",""2026-27!AA3"")"),0.0)</f>
        <v>0</v>
      </c>
      <c r="BF66" s="59">
        <f>IFERROR(__xludf.DUMMYFUNCTION("IMPORTRANGE(""https://docs.google.com/spreadsheets/d/1MWp85DrwBNK7tQ1tlVLrCDUimILFTDnvvv6FtNhbiEA/edit?gid=1397978039#gid=1397978039"",""2026-27!AB4"")"),870828.0)</f>
        <v>870828</v>
      </c>
      <c r="BG66" s="59">
        <f>IFERROR(__xludf.DUMMYFUNCTION("IMPORTRANGE(""https://docs.google.com/spreadsheets/d/1MWp85DrwBNK7tQ1tlVLrCDUimILFTDnvvv6FtNhbiEA/edit?gid=1397978039#gid=1397978039"",""2026-27!AB3"")"),29.0)</f>
        <v>29</v>
      </c>
      <c r="BH66" s="59">
        <f>IFERROR(__xludf.DUMMYFUNCTION("IMPORTRANGE(""https://docs.google.com/spreadsheets/d/1MWp85DrwBNK7tQ1tlVLrCDUimILFTDnvvv6FtNhbiEA/edit?gid=1397978039#gid=1397978039"",""2026-27!AC4"")"),0.0)</f>
        <v>0</v>
      </c>
      <c r="BI66" s="59">
        <f>IFERROR(__xludf.DUMMYFUNCTION("IMPORTRANGE(""https://docs.google.com/spreadsheets/d/1MWp85DrwBNK7tQ1tlVLrCDUimILFTDnvvv6FtNhbiEA/edit?gid=1397978039#gid=1397978039"",""2026-27!AC3"")"),0.0)</f>
        <v>0</v>
      </c>
      <c r="BJ66" s="63">
        <f t="shared" si="87"/>
        <v>0</v>
      </c>
      <c r="BK66" s="59">
        <f>IFERROR(__xludf.DUMMYFUNCTION("IMPORTRANGE(""https://docs.google.com/spreadsheets/d/1MWp85DrwBNK7tQ1tlVLrCDUimILFTDnvvv6FtNhbiEA/edit?gid=1397978039#gid=1397978039"",""2026-27!AD4"")"),0.0)</f>
        <v>0</v>
      </c>
      <c r="BL66" s="59">
        <f>IFERROR(__xludf.DUMMYFUNCTION("IMPORTRANGE(""https://docs.google.com/spreadsheets/d/1MWp85DrwBNK7tQ1tlVLrCDUimILFTDnvvv6FtNhbiEA/edit?gid=1397978039#gid=1397978039"",""2026-27!AD3"")"),0.0)</f>
        <v>0</v>
      </c>
      <c r="BM66" s="59">
        <f>IFERROR(__xludf.DUMMYFUNCTION("IMPORTRANGE(""https://docs.google.com/spreadsheets/d/1MWp85DrwBNK7tQ1tlVLrCDUimILFTDnvvv6FtNhbiEA/edit?gid=1397978039#gid=1397978039"",""2026-27!AE4"")"),870828.0)</f>
        <v>870828</v>
      </c>
      <c r="BN66" s="59">
        <f>IFERROR(__xludf.DUMMYFUNCTION("IMPORTRANGE(""https://docs.google.com/spreadsheets/d/1MWp85DrwBNK7tQ1tlVLrCDUimILFTDnvvv6FtNhbiEA/edit?gid=1397978039#gid=1397978039"",""2026-27!AE3"")"),29.0)</f>
        <v>29</v>
      </c>
      <c r="BO66" s="59">
        <f>IFERROR(__xludf.DUMMYFUNCTION("IMPORTRANGE(""https://docs.google.com/spreadsheets/d/1MWp85DrwBNK7tQ1tlVLrCDUimILFTDnvvv6FtNhbiEA/edit?gid=1397978039#gid=1397978039"",""2026-27!AF4"")"),0.0)</f>
        <v>0</v>
      </c>
      <c r="BP66" s="59">
        <f>IFERROR(__xludf.DUMMYFUNCTION("IMPORTRANGE(""https://docs.google.com/spreadsheets/d/1MWp85DrwBNK7tQ1tlVLrCDUimILFTDnvvv6FtNhbiEA/edit?gid=1397978039#gid=1397978039"",""2026-27!AF3"")"),0.0)</f>
        <v>0</v>
      </c>
      <c r="BQ66" s="63">
        <f t="shared" si="88"/>
        <v>0</v>
      </c>
      <c r="BR66" s="59">
        <f>IFERROR(__xludf.DUMMYFUNCTION("IMPORTRANGE(""https://docs.google.com/spreadsheets/d/1MWp85DrwBNK7tQ1tlVLrCDUimILFTDnvvv6FtNhbiEA/edit?gid=1397978039#gid=1397978039"",""2026-27!AG4"")"),0.0)</f>
        <v>0</v>
      </c>
      <c r="BS66" s="59">
        <f>IFERROR(__xludf.DUMMYFUNCTION("IMPORTRANGE(""https://docs.google.com/spreadsheets/d/1MWp85DrwBNK7tQ1tlVLrCDUimILFTDnvvv6FtNhbiEA/edit?gid=1397978039#gid=1397978039"",""2026-27!AG3"")"),0.0)</f>
        <v>0</v>
      </c>
      <c r="BT66" s="59">
        <f>IFERROR(__xludf.DUMMYFUNCTION("IMPORTRANGE(""https://docs.google.com/spreadsheets/d/1MWp85DrwBNK7tQ1tlVLrCDUimILFTDnvvv6FtNhbiEA/edit?gid=1397978039#gid=1397978039"",""2026-27!AH4"")"),870828.0)</f>
        <v>870828</v>
      </c>
      <c r="BU66" s="59">
        <f>IFERROR(__xludf.DUMMYFUNCTION("IMPORTRANGE(""https://docs.google.com/spreadsheets/d/1MWp85DrwBNK7tQ1tlVLrCDUimILFTDnvvv6FtNhbiEA/edit?gid=1397978039#gid=1397978039"",""2026-27!AH3"")"),29.0)</f>
        <v>29</v>
      </c>
      <c r="BV66" s="59">
        <f>IFERROR(__xludf.DUMMYFUNCTION("IMPORTRANGE(""https://docs.google.com/spreadsheets/d/1MWp85DrwBNK7tQ1tlVLrCDUimILFTDnvvv6FtNhbiEA/edit?gid=1397978039#gid=1397978039"",""2026-27!AI4"")"),0.0)</f>
        <v>0</v>
      </c>
      <c r="BW66" s="59">
        <f>IFERROR(__xludf.DUMMYFUNCTION("IMPORTRANGE(""https://docs.google.com/spreadsheets/d/1MWp85DrwBNK7tQ1tlVLrCDUimILFTDnvvv6FtNhbiEA/edit?gid=1397978039#gid=1397978039"",""2026-27!AI3"")"),0.0)</f>
        <v>0</v>
      </c>
      <c r="BX66" s="63">
        <f t="shared" si="89"/>
        <v>0</v>
      </c>
      <c r="BY66" s="59">
        <f>IFERROR(__xludf.DUMMYFUNCTION("IMPORTRANGE(""https://docs.google.com/spreadsheets/d/1MWp85DrwBNK7tQ1tlVLrCDUimILFTDnvvv6FtNhbiEA/edit?gid=1397978039#gid=1397978039"",""2026-27!AJ4"")"),0.0)</f>
        <v>0</v>
      </c>
      <c r="BZ66" s="59">
        <f>IFERROR(__xludf.DUMMYFUNCTION("IMPORTRANGE(""https://docs.google.com/spreadsheets/d/1MWp85DrwBNK7tQ1tlVLrCDUimILFTDnvvv6FtNhbiEA/edit?gid=1397978039#gid=1397978039"",""2026-27!AJ3"")"),0.0)</f>
        <v>0</v>
      </c>
      <c r="CA66" s="59">
        <f>IFERROR(__xludf.DUMMYFUNCTION("IMPORTRANGE(""https://docs.google.com/spreadsheets/d/1MWp85DrwBNK7tQ1tlVLrCDUimILFTDnvvv6FtNhbiEA/edit?gid=1397978039#gid=1397978039"",""2026-27!AK4"")"),870828.0)</f>
        <v>870828</v>
      </c>
      <c r="CB66" s="59">
        <f>IFERROR(__xludf.DUMMYFUNCTION("IMPORTRANGE(""https://docs.google.com/spreadsheets/d/1MWp85DrwBNK7tQ1tlVLrCDUimILFTDnvvv6FtNhbiEA/edit?gid=1397978039#gid=1397978039"",""2026-27!AK3"")"),29.0)</f>
        <v>29</v>
      </c>
      <c r="CC66" s="59">
        <f>IFERROR(__xludf.DUMMYFUNCTION("IMPORTRANGE(""https://docs.google.com/spreadsheets/d/1MWp85DrwBNK7tQ1tlVLrCDUimILFTDnvvv6FtNhbiEA/edit?gid=1397978039#gid=1397978039"",""2026-27!AL4"")"),0.0)</f>
        <v>0</v>
      </c>
      <c r="CD66" s="59">
        <f>IFERROR(__xludf.DUMMYFUNCTION("IMPORTRANGE(""https://docs.google.com/spreadsheets/d/1MWp85DrwBNK7tQ1tlVLrCDUimILFTDnvvv6FtNhbiEA/edit?gid=1397978039#gid=1397978039"",""2026-27!AL3"")"),0.0)</f>
        <v>0</v>
      </c>
      <c r="CE66" s="63">
        <f t="shared" si="90"/>
        <v>0</v>
      </c>
      <c r="CF66" s="59">
        <f>IFERROR(__xludf.DUMMYFUNCTION("IMPORTRANGE(""https://docs.google.com/spreadsheets/d/1MWp85DrwBNK7tQ1tlVLrCDUimILFTDnvvv6FtNhbiEA/edit?gid=1397978039#gid=1397978039"",""2026-27!AM4"")"),0.0)</f>
        <v>0</v>
      </c>
      <c r="CG66" s="59">
        <f>IFERROR(__xludf.DUMMYFUNCTION("IMPORTRANGE(""https://docs.google.com/spreadsheets/d/1MWp85DrwBNK7tQ1tlVLrCDUimILFTDnvvv6FtNhbiEA/edit?gid=1397978039#gid=1397978039"",""2026-27!AM3"")"),0.0)</f>
        <v>0</v>
      </c>
      <c r="CH66" s="59">
        <f>IFERROR(__xludf.DUMMYFUNCTION("IMPORTRANGE(""https://docs.google.com/spreadsheets/d/1MWp85DrwBNK7tQ1tlVLrCDUimILFTDnvvv6FtNhbiEA/edit?gid=1397978039#gid=1397978039"",""2026-27!AN4"")"),945828.0)</f>
        <v>945828</v>
      </c>
      <c r="CI66" s="59">
        <f>IFERROR(__xludf.DUMMYFUNCTION("IMPORTRANGE(""https://docs.google.com/spreadsheets/d/1MWp85DrwBNK7tQ1tlVLrCDUimILFTDnvvv6FtNhbiEA/edit?gid=1397978039#gid=1397978039"",""2026-27!AN3"")"),30.0)</f>
        <v>30</v>
      </c>
      <c r="CJ66" s="59">
        <f>IFERROR(__xludf.DUMMYFUNCTION("IMPORTRANGE(""https://docs.google.com/spreadsheets/d/1MWp85DrwBNK7tQ1tlVLrCDUimILFTDnvvv6FtNhbiEA/edit?gid=1397978039#gid=1397978039"",""2026-27!AO4"")"),0.0)</f>
        <v>0</v>
      </c>
      <c r="CK66" s="59">
        <f>IFERROR(__xludf.DUMMYFUNCTION("IMPORTRANGE(""https://docs.google.com/spreadsheets/d/1MWp85DrwBNK7tQ1tlVLrCDUimILFTDnvvv6FtNhbiEA/edit?gid=1397978039#gid=1397978039"",""2026-27!AO3"")"),0.0)</f>
        <v>0</v>
      </c>
      <c r="CL66" s="63">
        <f t="shared" si="91"/>
        <v>0</v>
      </c>
      <c r="CM66" s="59">
        <f>IFERROR(__xludf.DUMMYFUNCTION("IMPORTRANGE(""https://docs.google.com/spreadsheets/d/1MWp85DrwBNK7tQ1tlVLrCDUimILFTDnvvv6FtNhbiEA/edit?gid=1397978039#gid=1397978039"",""2026-27!AP4"")"),0.0)</f>
        <v>0</v>
      </c>
      <c r="CN66" s="59">
        <f>IFERROR(__xludf.DUMMYFUNCTION("IMPORTRANGE(""https://docs.google.com/spreadsheets/d/1MWp85DrwBNK7tQ1tlVLrCDUimILFTDnvvv6FtNhbiEA/edit?gid=1397978039#gid=1397978039"",""2026-27!AP3"")"),0.0)</f>
        <v>0</v>
      </c>
      <c r="CO66" s="59">
        <f>IFERROR(__xludf.DUMMYFUNCTION("IMPORTRANGE(""https://docs.google.com/spreadsheets/d/1MWp85DrwBNK7tQ1tlVLrCDUimILFTDnvvv6FtNhbiEA/edit?gid=1397978039#gid=1397978039"",""2026-27!AQ4"")"),870828.0)</f>
        <v>870828</v>
      </c>
      <c r="CP66" s="59">
        <f>IFERROR(__xludf.DUMMYFUNCTION("IMPORTRANGE(""https://docs.google.com/spreadsheets/d/1MWp85DrwBNK7tQ1tlVLrCDUimILFTDnvvv6FtNhbiEA/edit?gid=1397978039#gid=1397978039"",""2026-27!AQ3"")"),29.0)</f>
        <v>29</v>
      </c>
      <c r="CQ66" s="59">
        <f>IFERROR(__xludf.DUMMYFUNCTION("IMPORTRANGE(""https://docs.google.com/spreadsheets/d/1MWp85DrwBNK7tQ1tlVLrCDUimILFTDnvvv6FtNhbiEA/edit?gid=1397978039#gid=1397978039"",""2026-27!AR4"")"),0.0)</f>
        <v>0</v>
      </c>
      <c r="CR66" s="59">
        <f>IFERROR(__xludf.DUMMYFUNCTION("IMPORTRANGE(""https://docs.google.com/spreadsheets/d/1MWp85DrwBNK7tQ1tlVLrCDUimILFTDnvvv6FtNhbiEA/edit?gid=1397978039#gid=1397978039"",""2026-27!AR3"")"),0.0)</f>
        <v>0</v>
      </c>
      <c r="CS66" s="63">
        <f t="shared" si="92"/>
        <v>0</v>
      </c>
      <c r="CT66" s="59">
        <f>IFERROR(__xludf.DUMMYFUNCTION("IMPORTRANGE(""https://docs.google.com/spreadsheets/d/1MWp85DrwBNK7tQ1tlVLrCDUimILFTDnvvv6FtNhbiEA/edit?gid=1397978039#gid=1397978039"",""2026-27!AS4"")"),0.0)</f>
        <v>0</v>
      </c>
      <c r="CU66" s="59">
        <f>IFERROR(__xludf.DUMMYFUNCTION("IMPORTRANGE(""https://docs.google.com/spreadsheets/d/1MWp85DrwBNK7tQ1tlVLrCDUimILFTDnvvv6FtNhbiEA/edit?gid=1397978039#gid=1397978039"",""2026-27!AS3"")"),0.0)</f>
        <v>0</v>
      </c>
      <c r="CV66" s="64"/>
    </row>
    <row r="67">
      <c r="A67" s="1" t="s">
        <v>103</v>
      </c>
      <c r="B67" s="41"/>
      <c r="C67" s="68" t="s">
        <v>142</v>
      </c>
      <c r="D67" s="72" t="s">
        <v>124</v>
      </c>
      <c r="E67" s="54">
        <v>7.905595896E9</v>
      </c>
      <c r="F67" s="84">
        <v>45600.0</v>
      </c>
      <c r="G67" s="66"/>
      <c r="H67" s="66"/>
      <c r="I67" s="57">
        <v>51910.0</v>
      </c>
      <c r="J67" s="58">
        <v>2500000.0</v>
      </c>
      <c r="K67" s="59">
        <f>IFERROR(__xludf.DUMMYFUNCTION("IMPORTRANGE(""18LfbnJvue8ABkZqR8NiXNEy_rJ_H-rZcZ-ip9KE1ZmQ"",""2026-27!A3"")"),89.0)</f>
        <v>89</v>
      </c>
      <c r="L67" s="59">
        <f>IFERROR(__xludf.DUMMYFUNCTION("IMPORTRANGE(""18LfbnJvue8ABkZqR8NiXNEy_rJ_H-rZcZ-ip9KE1ZmQ"",""2026-27!G4"")"),2.4999996E7)</f>
        <v>24999996</v>
      </c>
      <c r="M67" s="59">
        <f t="shared" si="95"/>
        <v>5626947.62</v>
      </c>
      <c r="N67" s="60">
        <f t="shared" si="79"/>
        <v>0.1417574627</v>
      </c>
      <c r="O67" s="61">
        <f t="shared" si="96"/>
        <v>3543936</v>
      </c>
      <c r="P67" s="59">
        <f>IFERROR(__xludf.DUMMYFUNCTION("IMPORTRANGE(""18LfbnJvue8ABkZqR8NiXNEy_rJ_H-rZcZ-ip9KE1ZmQ"",""2026-27!J4"")"),2083333.0)</f>
        <v>2083333</v>
      </c>
      <c r="Q67" s="59">
        <f>IFERROR(__xludf.DUMMYFUNCTION("IMPORTRANGE(""18LfbnJvue8ABkZqR8NiXNEy_rJ_H-rZcZ-ip9KE1ZmQ"",""2026-27!J3"")"),34.0)</f>
        <v>34</v>
      </c>
      <c r="R67" s="59">
        <f>IFERROR(__xludf.DUMMYFUNCTION("IMPORTRANGE(""18LfbnJvue8ABkZqR8NiXNEy_rJ_H-rZcZ-ip9KE1ZmQ"",""2026-27!K4"")"),832466.8500000001)</f>
        <v>832466.85</v>
      </c>
      <c r="S67" s="59">
        <f>IFERROR(__xludf.DUMMYFUNCTION("IMPORTRANGE(""18LfbnJvue8ABkZqR8NiXNEy_rJ_H-rZcZ-ip9KE1ZmQ"",""2026-27!K3"")"),13.0)</f>
        <v>13</v>
      </c>
      <c r="T67" s="62">
        <f t="shared" si="81"/>
        <v>0.3976325436</v>
      </c>
      <c r="U67" s="59">
        <f>IFERROR(__xludf.DUMMYFUNCTION("IMPORTRANGE(""18LfbnJvue8ABkZqR8NiXNEy_rJ_H-rZcZ-ip9KE1ZmQ"",""2026-27!L4"")"),828401.0)</f>
        <v>828401</v>
      </c>
      <c r="V67" s="59">
        <f>IFERROR(__xludf.DUMMYFUNCTION("IMPORTRANGE(""18LfbnJvue8ABkZqR8NiXNEy_rJ_H-rZcZ-ip9KE1ZmQ"",""2026-27!L3"")"),13.0)</f>
        <v>13</v>
      </c>
      <c r="W67" s="59">
        <f>IFERROR(__xludf.DUMMYFUNCTION("IMPORTRANGE(""18LfbnJvue8ABkZqR8NiXNEy_rJ_H-rZcZ-ip9KE1ZmQ"",""2026-27!m4"")"),2083333.0)</f>
        <v>2083333</v>
      </c>
      <c r="X67" s="59">
        <f>IFERROR(__xludf.DUMMYFUNCTION("IMPORTRANGE(""18LfbnJvue8ABkZqR8NiXNEy_rJ_H-rZcZ-ip9KE1ZmQ"",""2026-27!m3"")"),34.0)</f>
        <v>34</v>
      </c>
      <c r="Y67" s="59">
        <f>IFERROR(__xludf.DUMMYFUNCTION("IMPORTRANGE(""18LfbnJvue8ABkZqR8NiXNEy_rJ_H-rZcZ-ip9KE1ZmQ"",""2026-27!N4"")"),2738230.74)</f>
        <v>2738230.74</v>
      </c>
      <c r="Z67" s="59">
        <f>IFERROR(__xludf.DUMMYFUNCTION("IMPORTRANGE(""18LfbnJvue8ABkZqR8NiXNEy_rJ_H-rZcZ-ip9KE1ZmQ"",""2026-27!N3"")"),31.0)</f>
        <v>31</v>
      </c>
      <c r="AA67" s="62">
        <f t="shared" si="82"/>
        <v>1.303457009</v>
      </c>
      <c r="AB67" s="59">
        <f>IFERROR(__xludf.DUMMYFUNCTION("IMPORTRANGE(""18LfbnJvue8ABkZqR8NiXNEy_rJ_H-rZcZ-ip9KE1ZmQ"",""2026-27!O4"")"),2715535.0)</f>
        <v>2715535</v>
      </c>
      <c r="AC67" s="59">
        <f>IFERROR(__xludf.DUMMYFUNCTION("IMPORTRANGE(""18LfbnJvue8ABkZqR8NiXNEy_rJ_H-rZcZ-ip9KE1ZmQ"",""2026-27!O3"")"),30.0)</f>
        <v>30</v>
      </c>
      <c r="AD67" s="59">
        <f>IFERROR(__xludf.DUMMYFUNCTION("IMPORTRANGE(""18LfbnJvue8ABkZqR8NiXNEy_rJ_H-rZcZ-ip9KE1ZmQ"",""2026-27!P4"")"),2083333.0)</f>
        <v>2083333</v>
      </c>
      <c r="AE67" s="59">
        <f>IFERROR(__xludf.DUMMYFUNCTION("IMPORTRANGE(""18LfbnJvue8ABkZqR8NiXNEy_rJ_H-rZcZ-ip9KE1ZmQ"",""2026-27!P3"")"),64.0)</f>
        <v>64</v>
      </c>
      <c r="AF67" s="59">
        <f>IFERROR(__xludf.DUMMYFUNCTION("IMPORTRANGE(""18LfbnJvue8ABkZqR8NiXNEy_rJ_H-rZcZ-ip9KE1ZmQ"",""2026-27!Q4"")"),2056250.0300000003)</f>
        <v>2056250.03</v>
      </c>
      <c r="AG67" s="59">
        <f>IFERROR(__xludf.DUMMYFUNCTION("IMPORTRANGE(""18LfbnJvue8ABkZqR8NiXNEy_rJ_H-rZcZ-ip9KE1ZmQ"",""2026-27!Q3"")"),28.0)</f>
        <v>28</v>
      </c>
      <c r="AH67" s="62">
        <f t="shared" si="83"/>
        <v>0</v>
      </c>
      <c r="AI67" s="59">
        <f>IFERROR(__xludf.DUMMYFUNCTION("IMPORTRANGE(""18LfbnJvue8ABkZqR8NiXNEy_rJ_H-rZcZ-ip9KE1ZmQ"",""2026-27!R4"")"),0.0)</f>
        <v>0</v>
      </c>
      <c r="AJ67" s="59">
        <f>IFERROR(__xludf.DUMMYFUNCTION("IMPORTRANGE(""18LfbnJvue8ABkZqR8NiXNEy_rJ_H-rZcZ-ip9KE1ZmQ"",""2026-27!R3"")"),0.0)</f>
        <v>0</v>
      </c>
      <c r="AK67" s="59">
        <f>IFERROR(__xludf.DUMMYFUNCTION("IMPORTRANGE(""18LfbnJvue8ABkZqR8NiXNEy_rJ_H-rZcZ-ip9KE1ZmQ"",""2026-27!S4"")"),0.0)</f>
        <v>0</v>
      </c>
      <c r="AL67" s="59">
        <f>IFERROR(__xludf.DUMMYFUNCTION("IMPORTRANGE(""18LfbnJvue8ABkZqR8NiXNEy_rJ_H-rZcZ-ip9KE1ZmQ"",""2026-27!S3"")"),0.0)</f>
        <v>0</v>
      </c>
      <c r="AM67" s="59">
        <f>IFERROR(__xludf.DUMMYFUNCTION("IMPORTRANGE(""18LfbnJvue8ABkZqR8NiXNEy_rJ_H-rZcZ-ip9KE1ZmQ"",""2026-27!T4"")"),0.0)</f>
        <v>0</v>
      </c>
      <c r="AN67" s="59">
        <f>IFERROR(__xludf.DUMMYFUNCTION("IMPORTRANGE(""18LfbnJvue8ABkZqR8NiXNEy_rJ_H-rZcZ-ip9KE1ZmQ"",""2026-27!T3"")"),0.0)</f>
        <v>0</v>
      </c>
      <c r="AO67" s="62" t="str">
        <f t="shared" si="84"/>
        <v/>
      </c>
      <c r="AP67" s="59">
        <f>IFERROR(__xludf.DUMMYFUNCTION("IMPORTRANGE(""18LfbnJvue8ABkZqR8NiXNEy_rJ_H-rZcZ-ip9KE1ZmQ"",""2026-27!U4"")"),0.0)</f>
        <v>0</v>
      </c>
      <c r="AQ67" s="59">
        <f>IFERROR(__xludf.DUMMYFUNCTION("IMPORTRANGE(""18LfbnJvue8ABkZqR8NiXNEy_rJ_H-rZcZ-ip9KE1ZmQ"",""2026-27!U3"")"),0.0)</f>
        <v>0</v>
      </c>
      <c r="AR67" s="59">
        <f>IFERROR(__xludf.DUMMYFUNCTION("IMPORTRANGE(""18LfbnJvue8ABkZqR8NiXNEy_rJ_H-rZcZ-ip9KE1ZmQ"",""2026-27!V4"")"),0.0)</f>
        <v>0</v>
      </c>
      <c r="AS67" s="59">
        <f>IFERROR(__xludf.DUMMYFUNCTION("IMPORTRANGE(""18LfbnJvue8ABkZqR8NiXNEy_rJ_H-rZcZ-ip9KE1ZmQ"",""2026-27!V3"")"),0.0)</f>
        <v>0</v>
      </c>
      <c r="AT67" s="59">
        <f>IFERROR(__xludf.DUMMYFUNCTION("IMPORTRANGE(""18LfbnJvue8ABkZqR8NiXNEy_rJ_H-rZcZ-ip9KE1ZmQ"",""2026-27!W4"")"),0.0)</f>
        <v>0</v>
      </c>
      <c r="AU67" s="59">
        <f>IFERROR(__xludf.DUMMYFUNCTION("IMPORTRANGE(""18LfbnJvue8ABkZqR8NiXNEy_rJ_H-rZcZ-ip9KE1ZmQ"",""2026-27!W3"")"),0.0)</f>
        <v>0</v>
      </c>
      <c r="AV67" s="62" t="str">
        <f t="shared" si="85"/>
        <v/>
      </c>
      <c r="AW67" s="59">
        <f>IFERROR(__xludf.DUMMYFUNCTION("IMPORTRANGE(""18LfbnJvue8ABkZqR8NiXNEy_rJ_H-rZcZ-ip9KE1ZmQ"",""2026-27!X4"")"),0.0)</f>
        <v>0</v>
      </c>
      <c r="AX67" s="59">
        <f>IFERROR(__xludf.DUMMYFUNCTION("IMPORTRANGE(""18LfbnJvue8ABkZqR8NiXNEy_rJ_H-rZcZ-ip9KE1ZmQ"",""2026-27!X3"")"),0.0)</f>
        <v>0</v>
      </c>
      <c r="AY67" s="59">
        <f>IFERROR(__xludf.DUMMYFUNCTION("IMPORTRANGE(""18LfbnJvue8ABkZqR8NiXNEy_rJ_H-rZcZ-ip9KE1ZmQ"",""2026-27!Y4"")"),0.0)</f>
        <v>0</v>
      </c>
      <c r="AZ67" s="59">
        <f>IFERROR(__xludf.DUMMYFUNCTION("IMPORTRANGE(""18LfbnJvue8ABkZqR8NiXNEy_rJ_H-rZcZ-ip9KE1ZmQ"",""2026-27!Y3"")"),0.0)</f>
        <v>0</v>
      </c>
      <c r="BA67" s="59">
        <f>IFERROR(__xludf.DUMMYFUNCTION("IMPORTRANGE(""18LfbnJvue8ABkZqR8NiXNEy_rJ_H-rZcZ-ip9KE1ZmQ"",""2026-27!Z4"")"),0.0)</f>
        <v>0</v>
      </c>
      <c r="BB67" s="59">
        <f>IFERROR(__xludf.DUMMYFUNCTION("IMPORTRANGE(""18LfbnJvue8ABkZqR8NiXNEy_rJ_H-rZcZ-ip9KE1ZmQ"",""2026-27!Z3"")"),0.0)</f>
        <v>0</v>
      </c>
      <c r="BC67" s="63" t="str">
        <f t="shared" si="86"/>
        <v/>
      </c>
      <c r="BD67" s="59">
        <f>IFERROR(__xludf.DUMMYFUNCTION("IMPORTRANGE(""18LfbnJvue8ABkZqR8NiXNEy_rJ_H-rZcZ-ip9KE1ZmQ"",""2026-27!AA4"")"),0.0)</f>
        <v>0</v>
      </c>
      <c r="BE67" s="59">
        <f>IFERROR(__xludf.DUMMYFUNCTION("IMPORTRANGE(""18LfbnJvue8ABkZqR8NiXNEy_rJ_H-rZcZ-ip9KE1ZmQ"",""2026-27!AA3"")"),0.0)</f>
        <v>0</v>
      </c>
      <c r="BF67" s="59">
        <f>IFERROR(__xludf.DUMMYFUNCTION("IMPORTRANGE(""18LfbnJvue8ABkZqR8NiXNEy_rJ_H-rZcZ-ip9KE1ZmQ"",""2026-27!AB4"")"),0.0)</f>
        <v>0</v>
      </c>
      <c r="BG67" s="59">
        <f>IFERROR(__xludf.DUMMYFUNCTION("IMPORTRANGE(""18LfbnJvue8ABkZqR8NiXNEy_rJ_H-rZcZ-ip9KE1ZmQ"",""2026-27!AB3"")"),0.0)</f>
        <v>0</v>
      </c>
      <c r="BH67" s="59">
        <f>IFERROR(__xludf.DUMMYFUNCTION("IMPORTRANGE(""18LfbnJvue8ABkZqR8NiXNEy_rJ_H-rZcZ-ip9KE1ZmQ"",""2026-27!AC4"")"),0.0)</f>
        <v>0</v>
      </c>
      <c r="BI67" s="59">
        <f>IFERROR(__xludf.DUMMYFUNCTION("IMPORTRANGE(""18LfbnJvue8ABkZqR8NiXNEy_rJ_H-rZcZ-ip9KE1ZmQ"",""2026-27!AC3"")"),0.0)</f>
        <v>0</v>
      </c>
      <c r="BJ67" s="63" t="str">
        <f t="shared" si="87"/>
        <v/>
      </c>
      <c r="BK67" s="59">
        <f>IFERROR(__xludf.DUMMYFUNCTION("IMPORTRANGE(""18LfbnJvue8ABkZqR8NiXNEy_rJ_H-rZcZ-ip9KE1ZmQ"",""2026-27!AD4"")"),0.0)</f>
        <v>0</v>
      </c>
      <c r="BL67" s="59">
        <f>IFERROR(__xludf.DUMMYFUNCTION("IMPORTRANGE(""18LfbnJvue8ABkZqR8NiXNEy_rJ_H-rZcZ-ip9KE1ZmQ"",""2026-27!AD3"")"),0.0)</f>
        <v>0</v>
      </c>
      <c r="BM67" s="59">
        <f>IFERROR(__xludf.DUMMYFUNCTION("IMPORTRANGE(""18LfbnJvue8ABkZqR8NiXNEy_rJ_H-rZcZ-ip9KE1ZmQ"",""2026-27!AE4"")"),0.0)</f>
        <v>0</v>
      </c>
      <c r="BN67" s="59">
        <f>IFERROR(__xludf.DUMMYFUNCTION("IMPORTRANGE(""18LfbnJvue8ABkZqR8NiXNEy_rJ_H-rZcZ-ip9KE1ZmQ"",""2026-27!AE3"")"),0.0)</f>
        <v>0</v>
      </c>
      <c r="BO67" s="59">
        <f>IFERROR(__xludf.DUMMYFUNCTION("IMPORTRANGE(""18LfbnJvue8ABkZqR8NiXNEy_rJ_H-rZcZ-ip9KE1ZmQ"",""2026-27!AF4"")"),0.0)</f>
        <v>0</v>
      </c>
      <c r="BP67" s="59">
        <f>IFERROR(__xludf.DUMMYFUNCTION("IMPORTRANGE(""18LfbnJvue8ABkZqR8NiXNEy_rJ_H-rZcZ-ip9KE1ZmQ"",""2026-27!AF3"")"),0.0)</f>
        <v>0</v>
      </c>
      <c r="BQ67" s="63" t="str">
        <f t="shared" si="88"/>
        <v/>
      </c>
      <c r="BR67" s="59">
        <f>IFERROR(__xludf.DUMMYFUNCTION("IMPORTRANGE(""18LfbnJvue8ABkZqR8NiXNEy_rJ_H-rZcZ-ip9KE1ZmQ"",""2026-27!AG4"")"),0.0)</f>
        <v>0</v>
      </c>
      <c r="BS67" s="59">
        <f>IFERROR(__xludf.DUMMYFUNCTION("IMPORTRANGE(""18LfbnJvue8ABkZqR8NiXNEy_rJ_H-rZcZ-ip9KE1ZmQ"",""2026-27!AG3"")"),0.0)</f>
        <v>0</v>
      </c>
      <c r="BT67" s="59">
        <f>IFERROR(__xludf.DUMMYFUNCTION("IMPORTRANGE(""18LfbnJvue8ABkZqR8NiXNEy_rJ_H-rZcZ-ip9KE1ZmQ"",""2026-27!AH4"")"),0.0)</f>
        <v>0</v>
      </c>
      <c r="BU67" s="59">
        <f>IFERROR(__xludf.DUMMYFUNCTION("IMPORTRANGE(""18LfbnJvue8ABkZqR8NiXNEy_rJ_H-rZcZ-ip9KE1ZmQ"",""2026-27!AH3"")"),0.0)</f>
        <v>0</v>
      </c>
      <c r="BV67" s="59">
        <f>IFERROR(__xludf.DUMMYFUNCTION("IMPORTRANGE(""18LfbnJvue8ABkZqR8NiXNEy_rJ_H-rZcZ-ip9KE1ZmQ"",""2026-27!AI4"")"),0.0)</f>
        <v>0</v>
      </c>
      <c r="BW67" s="59">
        <f>IFERROR(__xludf.DUMMYFUNCTION("IMPORTRANGE(""18LfbnJvue8ABkZqR8NiXNEy_rJ_H-rZcZ-ip9KE1ZmQ"",""2026-27!AI3"")"),0.0)</f>
        <v>0</v>
      </c>
      <c r="BX67" s="63" t="str">
        <f t="shared" si="89"/>
        <v/>
      </c>
      <c r="BY67" s="59">
        <f>IFERROR(__xludf.DUMMYFUNCTION("IMPORTRANGE(""18LfbnJvue8ABkZqR8NiXNEy_rJ_H-rZcZ-ip9KE1ZmQ"",""2026-27!AJ4"")"),0.0)</f>
        <v>0</v>
      </c>
      <c r="BZ67" s="59">
        <f>IFERROR(__xludf.DUMMYFUNCTION("IMPORTRANGE(""18LfbnJvue8ABkZqR8NiXNEy_rJ_H-rZcZ-ip9KE1ZmQ"",""2026-27!AJ3"")"),0.0)</f>
        <v>0</v>
      </c>
      <c r="CA67" s="59">
        <f>IFERROR(__xludf.DUMMYFUNCTION("IMPORTRANGE(""18LfbnJvue8ABkZqR8NiXNEy_rJ_H-rZcZ-ip9KE1ZmQ"",""2026-27!AK4"")"),0.0)</f>
        <v>0</v>
      </c>
      <c r="CB67" s="59">
        <f>IFERROR(__xludf.DUMMYFUNCTION("IMPORTRANGE(""18LfbnJvue8ABkZqR8NiXNEy_rJ_H-rZcZ-ip9KE1ZmQ"",""2026-27!AK3"")"),0.0)</f>
        <v>0</v>
      </c>
      <c r="CC67" s="59">
        <f>IFERROR(__xludf.DUMMYFUNCTION("IMPORTRANGE(""18LfbnJvue8ABkZqR8NiXNEy_rJ_H-rZcZ-ip9KE1ZmQ"",""2026-27!AL4"")"),0.0)</f>
        <v>0</v>
      </c>
      <c r="CD67" s="59">
        <f>IFERROR(__xludf.DUMMYFUNCTION("IMPORTRANGE(""18LfbnJvue8ABkZqR8NiXNEy_rJ_H-rZcZ-ip9KE1ZmQ"",""2026-27!AL3"")"),0.0)</f>
        <v>0</v>
      </c>
      <c r="CE67" s="63" t="str">
        <f t="shared" si="90"/>
        <v/>
      </c>
      <c r="CF67" s="59">
        <f>IFERROR(__xludf.DUMMYFUNCTION("IMPORTRANGE(""18LfbnJvue8ABkZqR8NiXNEy_rJ_H-rZcZ-ip9KE1ZmQ"",""2026-27!AM4"")"),0.0)</f>
        <v>0</v>
      </c>
      <c r="CG67" s="59">
        <f>IFERROR(__xludf.DUMMYFUNCTION("IMPORTRANGE(""18LfbnJvue8ABkZqR8NiXNEy_rJ_H-rZcZ-ip9KE1ZmQ"",""2026-27!AM3"")"),0.0)</f>
        <v>0</v>
      </c>
      <c r="CH67" s="59">
        <f>IFERROR(__xludf.DUMMYFUNCTION("IMPORTRANGE(""18LfbnJvue8ABkZqR8NiXNEy_rJ_H-rZcZ-ip9KE1ZmQ"",""2026-27!AN4"")"),0.0)</f>
        <v>0</v>
      </c>
      <c r="CI67" s="59">
        <f>IFERROR(__xludf.DUMMYFUNCTION("IMPORTRANGE(""18LfbnJvue8ABkZqR8NiXNEy_rJ_H-rZcZ-ip9KE1ZmQ"",""2026-27!AN3"")"),0.0)</f>
        <v>0</v>
      </c>
      <c r="CJ67" s="59">
        <f>IFERROR(__xludf.DUMMYFUNCTION("IMPORTRANGE(""18LfbnJvue8ABkZqR8NiXNEy_rJ_H-rZcZ-ip9KE1ZmQ"",""2026-27!AO4"")"),0.0)</f>
        <v>0</v>
      </c>
      <c r="CK67" s="59">
        <f>IFERROR(__xludf.DUMMYFUNCTION("IMPORTRANGE(""18LfbnJvue8ABkZqR8NiXNEy_rJ_H-rZcZ-ip9KE1ZmQ"",""2026-27!AO3"")"),0.0)</f>
        <v>0</v>
      </c>
      <c r="CL67" s="63" t="str">
        <f t="shared" si="91"/>
        <v/>
      </c>
      <c r="CM67" s="59">
        <f>IFERROR(__xludf.DUMMYFUNCTION("IMPORTRANGE(""18LfbnJvue8ABkZqR8NiXNEy_rJ_H-rZcZ-ip9KE1ZmQ"",""2026-27!AP4"")"),0.0)</f>
        <v>0</v>
      </c>
      <c r="CN67" s="59">
        <f>IFERROR(__xludf.DUMMYFUNCTION("IMPORTRANGE(""18LfbnJvue8ABkZqR8NiXNEy_rJ_H-rZcZ-ip9KE1ZmQ"",""2026-27!AP3"")"),0.0)</f>
        <v>0</v>
      </c>
      <c r="CO67" s="59">
        <f>IFERROR(__xludf.DUMMYFUNCTION("IMPORTRANGE(""18LfbnJvue8ABkZqR8NiXNEy_rJ_H-rZcZ-ip9KE1ZmQ"",""2026-27!AQ4"")"),0.0)</f>
        <v>0</v>
      </c>
      <c r="CP67" s="59">
        <f>IFERROR(__xludf.DUMMYFUNCTION("IMPORTRANGE(""18LfbnJvue8ABkZqR8NiXNEy_rJ_H-rZcZ-ip9KE1ZmQ"",""2026-27!AQ3"")"),0.0)</f>
        <v>0</v>
      </c>
      <c r="CQ67" s="59">
        <f>IFERROR(__xludf.DUMMYFUNCTION("IMPORTRANGE(""18LfbnJvue8ABkZqR8NiXNEy_rJ_H-rZcZ-ip9KE1ZmQ"",""2026-27!AR4"")"),0.0)</f>
        <v>0</v>
      </c>
      <c r="CR67" s="59">
        <f>IFERROR(__xludf.DUMMYFUNCTION("IMPORTRANGE(""18LfbnJvue8ABkZqR8NiXNEy_rJ_H-rZcZ-ip9KE1ZmQ"",""2026-27!AR3"")"),0.0)</f>
        <v>0</v>
      </c>
      <c r="CS67" s="63" t="str">
        <f t="shared" si="92"/>
        <v/>
      </c>
      <c r="CT67" s="59">
        <f>IFERROR(__xludf.DUMMYFUNCTION("IMPORTRANGE(""18LfbnJvue8ABkZqR8NiXNEy_rJ_H-rZcZ-ip9KE1ZmQ"",""2026-27!AS4"")"),0.0)</f>
        <v>0</v>
      </c>
      <c r="CU67" s="59">
        <f>IFERROR(__xludf.DUMMYFUNCTION("IMPORTRANGE(""18LfbnJvue8ABkZqR8NiXNEy_rJ_H-rZcZ-ip9KE1ZmQ"",""2026-27!AS3"")"),0.0)</f>
        <v>0</v>
      </c>
      <c r="CV67" s="64"/>
    </row>
    <row r="68">
      <c r="A68" s="1" t="s">
        <v>103</v>
      </c>
      <c r="B68" s="41"/>
      <c r="C68" s="68" t="s">
        <v>143</v>
      </c>
      <c r="D68" s="72" t="s">
        <v>124</v>
      </c>
      <c r="E68" s="72">
        <v>7.007595454E9</v>
      </c>
      <c r="F68" s="84">
        <v>45607.0</v>
      </c>
      <c r="G68" s="66"/>
      <c r="H68" s="66"/>
      <c r="I68" s="57">
        <v>33043.0</v>
      </c>
      <c r="J68" s="58">
        <v>2163333.0</v>
      </c>
      <c r="K68" s="59">
        <f>IFERROR(__xludf.DUMMYFUNCTION("IMPORTRANGE(""1BRUajD0ljy0AGH7V6VApyhC8CYImP4SFkM_02NmsTfQ"",""2026-27!A3"")"),125.0)</f>
        <v>125</v>
      </c>
      <c r="L68" s="59">
        <f>IFERROR(__xludf.DUMMYFUNCTION("IMPORTRANGE(""1BRUajD0ljy0AGH7V6VApyhC8CYImP4SFkM_02NmsTfQ"",""2026-27!G4"")"),2.2E7)</f>
        <v>22000000</v>
      </c>
      <c r="M68" s="59">
        <f t="shared" si="95"/>
        <v>2936889.33</v>
      </c>
      <c r="N68" s="60">
        <f t="shared" si="79"/>
        <v>0.08687872727</v>
      </c>
      <c r="O68" s="61">
        <f t="shared" si="96"/>
        <v>1911332</v>
      </c>
      <c r="P68" s="59">
        <f>IFERROR(__xludf.DUMMYFUNCTION("IMPORTRANGE(""1BRUajD0ljy0AGH7V6VApyhC8CYImP4SFkM_02NmsTfQ"",""2026-27!J4"")"),0.0)</f>
        <v>0</v>
      </c>
      <c r="Q68" s="59">
        <f>IFERROR(__xludf.DUMMYFUNCTION("IMPORTRANGE(""1BRUajD0ljy0AGH7V6VApyhC8CYImP4SFkM_02NmsTfQ"",""2026-27!J3"")"),0.0)</f>
        <v>0</v>
      </c>
      <c r="R68" s="59">
        <f>IFERROR(__xludf.DUMMYFUNCTION("IMPORTRANGE(""1BRUajD0ljy0AGH7V6VApyhC8CYImP4SFkM_02NmsTfQ"",""2026-27!K4"")"),815611.5499999999)</f>
        <v>815611.55</v>
      </c>
      <c r="S68" s="59">
        <f>IFERROR(__xludf.DUMMYFUNCTION("IMPORTRANGE(""1BRUajD0ljy0AGH7V6VApyhC8CYImP4SFkM_02NmsTfQ"",""2026-27!K3"")"),27.0)</f>
        <v>27</v>
      </c>
      <c r="T68" s="62" t="str">
        <f t="shared" si="81"/>
        <v/>
      </c>
      <c r="U68" s="59">
        <f>IFERROR(__xludf.DUMMYFUNCTION("IMPORTRANGE(""1BRUajD0ljy0AGH7V6VApyhC8CYImP4SFkM_02NmsTfQ"",""2026-27!L4"")"),824794.0)</f>
        <v>824794</v>
      </c>
      <c r="V68" s="59">
        <f>IFERROR(__xludf.DUMMYFUNCTION("IMPORTRANGE(""1BRUajD0ljy0AGH7V6VApyhC8CYImP4SFkM_02NmsTfQ"",""2026-27!L3"")"),27.0)</f>
        <v>27</v>
      </c>
      <c r="W68" s="59">
        <f>IFERROR(__xludf.DUMMYFUNCTION("IMPORTRANGE(""1BRUajD0ljy0AGH7V6VApyhC8CYImP4SFkM_02NmsTfQ"",""2026-27!m4"")"),1833333.3333333335)</f>
        <v>1833333.333</v>
      </c>
      <c r="X68" s="59">
        <f>IFERROR(__xludf.DUMMYFUNCTION("IMPORTRANGE(""1BRUajD0ljy0AGH7V6VApyhC8CYImP4SFkM_02NmsTfQ"",""2026-27!m3"")"),121.0)</f>
        <v>121</v>
      </c>
      <c r="Y68" s="59">
        <f>IFERROR(__xludf.DUMMYFUNCTION("IMPORTRANGE(""1BRUajD0ljy0AGH7V6VApyhC8CYImP4SFkM_02NmsTfQ"",""2026-27!N4"")"),1254887.0900000003)</f>
        <v>1254887.09</v>
      </c>
      <c r="Z68" s="59">
        <f>IFERROR(__xludf.DUMMYFUNCTION("IMPORTRANGE(""1BRUajD0ljy0AGH7V6VApyhC8CYImP4SFkM_02NmsTfQ"",""2026-27!N3"")"),17.0)</f>
        <v>17</v>
      </c>
      <c r="AA68" s="62">
        <f t="shared" si="82"/>
        <v>0.5926570909</v>
      </c>
      <c r="AB68" s="59">
        <f>IFERROR(__xludf.DUMMYFUNCTION("IMPORTRANGE(""1BRUajD0ljy0AGH7V6VApyhC8CYImP4SFkM_02NmsTfQ"",""2026-27!O4"")"),1086538.0)</f>
        <v>1086538</v>
      </c>
      <c r="AC68" s="59">
        <f>IFERROR(__xludf.DUMMYFUNCTION("IMPORTRANGE(""1BRUajD0ljy0AGH7V6VApyhC8CYImP4SFkM_02NmsTfQ"",""2026-27!O3"")"),16.0)</f>
        <v>16</v>
      </c>
      <c r="AD68" s="59">
        <f>IFERROR(__xludf.DUMMYFUNCTION("IMPORTRANGE(""1BRUajD0ljy0AGH7V6VApyhC8CYImP4SFkM_02NmsTfQ"",""2026-27!P4"")"),1833333.3333333335)</f>
        <v>1833333.333</v>
      </c>
      <c r="AE68" s="59">
        <f>IFERROR(__xludf.DUMMYFUNCTION("IMPORTRANGE(""1BRUajD0ljy0AGH7V6VApyhC8CYImP4SFkM_02NmsTfQ"",""2026-27!P3"")"),121.0)</f>
        <v>121</v>
      </c>
      <c r="AF68" s="59">
        <f>IFERROR(__xludf.DUMMYFUNCTION("IMPORTRANGE(""1BRUajD0ljy0AGH7V6VApyhC8CYImP4SFkM_02NmsTfQ"",""2026-27!Q4"")"),866390.6900000002)</f>
        <v>866390.69</v>
      </c>
      <c r="AG68" s="59">
        <f>IFERROR(__xludf.DUMMYFUNCTION("IMPORTRANGE(""1BRUajD0ljy0AGH7V6VApyhC8CYImP4SFkM_02NmsTfQ"",""2026-27!Q3"")"),22.0)</f>
        <v>22</v>
      </c>
      <c r="AH68" s="62">
        <f t="shared" si="83"/>
        <v>0</v>
      </c>
      <c r="AI68" s="59">
        <f>IFERROR(__xludf.DUMMYFUNCTION("IMPORTRANGE(""1BRUajD0ljy0AGH7V6VApyhC8CYImP4SFkM_02NmsTfQ"",""2026-27!R4"")"),0.0)</f>
        <v>0</v>
      </c>
      <c r="AJ68" s="59">
        <f>IFERROR(__xludf.DUMMYFUNCTION("IMPORTRANGE(""1BRUajD0ljy0AGH7V6VApyhC8CYImP4SFkM_02NmsTfQ"",""2026-27!R3"")"),0.0)</f>
        <v>0</v>
      </c>
      <c r="AK68" s="59">
        <f>IFERROR(__xludf.DUMMYFUNCTION("IMPORTRANGE(""1BRUajD0ljy0AGH7V6VApyhC8CYImP4SFkM_02NmsTfQ"",""2026-27!S4"")"),0.0)</f>
        <v>0</v>
      </c>
      <c r="AL68" s="59">
        <f>IFERROR(__xludf.DUMMYFUNCTION("IMPORTRANGE(""1BRUajD0ljy0AGH7V6VApyhC8CYImP4SFkM_02NmsTfQ"",""2026-27!S3"")"),0.0)</f>
        <v>0</v>
      </c>
      <c r="AM68" s="59">
        <f>IFERROR(__xludf.DUMMYFUNCTION("IMPORTRANGE(""1BRUajD0ljy0AGH7V6VApyhC8CYImP4SFkM_02NmsTfQ"",""2026-27!T4"")"),0.0)</f>
        <v>0</v>
      </c>
      <c r="AN68" s="59">
        <f>IFERROR(__xludf.DUMMYFUNCTION("IMPORTRANGE(""1BRUajD0ljy0AGH7V6VApyhC8CYImP4SFkM_02NmsTfQ"",""2026-27!T3"")"),0.0)</f>
        <v>0</v>
      </c>
      <c r="AO68" s="62" t="str">
        <f t="shared" si="84"/>
        <v/>
      </c>
      <c r="AP68" s="59">
        <f>IFERROR(__xludf.DUMMYFUNCTION("IMPORTRANGE(""1BRUajD0ljy0AGH7V6VApyhC8CYImP4SFkM_02NmsTfQ"",""2026-27!U4"")"),0.0)</f>
        <v>0</v>
      </c>
      <c r="AQ68" s="59">
        <f>IFERROR(__xludf.DUMMYFUNCTION("IMPORTRANGE(""1BRUajD0ljy0AGH7V6VApyhC8CYImP4SFkM_02NmsTfQ"",""2026-27!U3"")"),0.0)</f>
        <v>0</v>
      </c>
      <c r="AR68" s="59">
        <f>IFERROR(__xludf.DUMMYFUNCTION("IMPORTRANGE(""1BRUajD0ljy0AGH7V6VApyhC8CYImP4SFkM_02NmsTfQ"",""2026-27!V4"")"),0.0)</f>
        <v>0</v>
      </c>
      <c r="AS68" s="59">
        <f>IFERROR(__xludf.DUMMYFUNCTION("IMPORTRANGE(""1BRUajD0ljy0AGH7V6VApyhC8CYImP4SFkM_02NmsTfQ"",""2026-27!V3"")"),0.0)</f>
        <v>0</v>
      </c>
      <c r="AT68" s="59">
        <f>IFERROR(__xludf.DUMMYFUNCTION("IMPORTRANGE(""1BRUajD0ljy0AGH7V6VApyhC8CYImP4SFkM_02NmsTfQ"",""2026-27!W4"")"),0.0)</f>
        <v>0</v>
      </c>
      <c r="AU68" s="59">
        <f>IFERROR(__xludf.DUMMYFUNCTION("IMPORTRANGE(""1BRUajD0ljy0AGH7V6VApyhC8CYImP4SFkM_02NmsTfQ"",""2026-27!W3"")"),0.0)</f>
        <v>0</v>
      </c>
      <c r="AV68" s="62" t="str">
        <f t="shared" si="85"/>
        <v/>
      </c>
      <c r="AW68" s="59">
        <f>IFERROR(__xludf.DUMMYFUNCTION("IMPORTRANGE(""1BRUajD0ljy0AGH7V6VApyhC8CYImP4SFkM_02NmsTfQ"",""2026-27!X4"")"),0.0)</f>
        <v>0</v>
      </c>
      <c r="AX68" s="59">
        <f>IFERROR(__xludf.DUMMYFUNCTION("IMPORTRANGE(""1BRUajD0ljy0AGH7V6VApyhC8CYImP4SFkM_02NmsTfQ"",""2026-27!X3"")"),0.0)</f>
        <v>0</v>
      </c>
      <c r="AY68" s="59">
        <f>IFERROR(__xludf.DUMMYFUNCTION("IMPORTRANGE(""1BRUajD0ljy0AGH7V6VApyhC8CYImP4SFkM_02NmsTfQ"",""2026-27!Y4"")"),0.0)</f>
        <v>0</v>
      </c>
      <c r="AZ68" s="59">
        <f>IFERROR(__xludf.DUMMYFUNCTION("IMPORTRANGE(""1BRUajD0ljy0AGH7V6VApyhC8CYImP4SFkM_02NmsTfQ"",""2026-27!Y3"")"),0.0)</f>
        <v>0</v>
      </c>
      <c r="BA68" s="59">
        <f>IFERROR(__xludf.DUMMYFUNCTION("IMPORTRANGE(""1BRUajD0ljy0AGH7V6VApyhC8CYImP4SFkM_02NmsTfQ"",""2026-27!Z4"")"),0.0)</f>
        <v>0</v>
      </c>
      <c r="BB68" s="59">
        <f>IFERROR(__xludf.DUMMYFUNCTION("IMPORTRANGE(""1BRUajD0ljy0AGH7V6VApyhC8CYImP4SFkM_02NmsTfQ"",""2026-27!Z3"")"),0.0)</f>
        <v>0</v>
      </c>
      <c r="BC68" s="63" t="str">
        <f t="shared" si="86"/>
        <v/>
      </c>
      <c r="BD68" s="59">
        <f>IFERROR(__xludf.DUMMYFUNCTION("IMPORTRANGE(""1BRUajD0ljy0AGH7V6VApyhC8CYImP4SFkM_02NmsTfQ"",""2026-27!AA4"")"),0.0)</f>
        <v>0</v>
      </c>
      <c r="BE68" s="59">
        <f>IFERROR(__xludf.DUMMYFUNCTION("IMPORTRANGE(""1BRUajD0ljy0AGH7V6VApyhC8CYImP4SFkM_02NmsTfQ"",""2026-27!AA3"")"),0.0)</f>
        <v>0</v>
      </c>
      <c r="BF68" s="59">
        <f>IFERROR(__xludf.DUMMYFUNCTION("IMPORTRANGE(""1BRUajD0ljy0AGH7V6VApyhC8CYImP4SFkM_02NmsTfQ"",""2026-27!AB4"")"),0.0)</f>
        <v>0</v>
      </c>
      <c r="BG68" s="59">
        <f>IFERROR(__xludf.DUMMYFUNCTION("IMPORTRANGE(""1BRUajD0ljy0AGH7V6VApyhC8CYImP4SFkM_02NmsTfQ"",""2026-27!AB3"")"),0.0)</f>
        <v>0</v>
      </c>
      <c r="BH68" s="59">
        <f>IFERROR(__xludf.DUMMYFUNCTION("IMPORTRANGE(""1BRUajD0ljy0AGH7V6VApyhC8CYImP4SFkM_02NmsTfQ"",""2026-27!AC4"")"),0.0)</f>
        <v>0</v>
      </c>
      <c r="BI68" s="59">
        <f>IFERROR(__xludf.DUMMYFUNCTION("IMPORTRANGE(""1BRUajD0ljy0AGH7V6VApyhC8CYImP4SFkM_02NmsTfQ"",""2026-27!AC3"")"),0.0)</f>
        <v>0</v>
      </c>
      <c r="BJ68" s="63" t="str">
        <f t="shared" si="87"/>
        <v/>
      </c>
      <c r="BK68" s="59">
        <f>IFERROR(__xludf.DUMMYFUNCTION("IMPORTRANGE(""1BRUajD0ljy0AGH7V6VApyhC8CYImP4SFkM_02NmsTfQ"",""2026-27!AD4"")"),0.0)</f>
        <v>0</v>
      </c>
      <c r="BL68" s="59">
        <f>IFERROR(__xludf.DUMMYFUNCTION("IMPORTRANGE(""1BRUajD0ljy0AGH7V6VApyhC8CYImP4SFkM_02NmsTfQ"",""2026-27!AD3"")"),0.0)</f>
        <v>0</v>
      </c>
      <c r="BM68" s="59">
        <f>IFERROR(__xludf.DUMMYFUNCTION("IMPORTRANGE(""1BRUajD0ljy0AGH7V6VApyhC8CYImP4SFkM_02NmsTfQ"",""2026-27!AE4"")"),0.0)</f>
        <v>0</v>
      </c>
      <c r="BN68" s="59">
        <f>IFERROR(__xludf.DUMMYFUNCTION("IMPORTRANGE(""1BRUajD0ljy0AGH7V6VApyhC8CYImP4SFkM_02NmsTfQ"",""2026-27!AE3"")"),0.0)</f>
        <v>0</v>
      </c>
      <c r="BO68" s="59">
        <f>IFERROR(__xludf.DUMMYFUNCTION("IMPORTRANGE(""1BRUajD0ljy0AGH7V6VApyhC8CYImP4SFkM_02NmsTfQ"",""2026-27!AF4"")"),0.0)</f>
        <v>0</v>
      </c>
      <c r="BP68" s="59">
        <f>IFERROR(__xludf.DUMMYFUNCTION("IMPORTRANGE(""1BRUajD0ljy0AGH7V6VApyhC8CYImP4SFkM_02NmsTfQ"",""2026-27!AF3"")"),0.0)</f>
        <v>0</v>
      </c>
      <c r="BQ68" s="63" t="str">
        <f t="shared" si="88"/>
        <v/>
      </c>
      <c r="BR68" s="59">
        <f>IFERROR(__xludf.DUMMYFUNCTION("IMPORTRANGE(""1BRUajD0ljy0AGH7V6VApyhC8CYImP4SFkM_02NmsTfQ"",""2026-27!AG4"")"),0.0)</f>
        <v>0</v>
      </c>
      <c r="BS68" s="59">
        <f>IFERROR(__xludf.DUMMYFUNCTION("IMPORTRANGE(""1BRUajD0ljy0AGH7V6VApyhC8CYImP4SFkM_02NmsTfQ"",""2026-27!AG3"")"),0.0)</f>
        <v>0</v>
      </c>
      <c r="BT68" s="59">
        <f>IFERROR(__xludf.DUMMYFUNCTION("IMPORTRANGE(""1BRUajD0ljy0AGH7V6VApyhC8CYImP4SFkM_02NmsTfQ"",""2026-27!AH4"")"),0.0)</f>
        <v>0</v>
      </c>
      <c r="BU68" s="59">
        <f>IFERROR(__xludf.DUMMYFUNCTION("IMPORTRANGE(""1BRUajD0ljy0AGH7V6VApyhC8CYImP4SFkM_02NmsTfQ"",""2026-27!AH3"")"),0.0)</f>
        <v>0</v>
      </c>
      <c r="BV68" s="59">
        <f>IFERROR(__xludf.DUMMYFUNCTION("IMPORTRANGE(""1BRUajD0ljy0AGH7V6VApyhC8CYImP4SFkM_02NmsTfQ"",""2026-27!AI4"")"),0.0)</f>
        <v>0</v>
      </c>
      <c r="BW68" s="59">
        <f>IFERROR(__xludf.DUMMYFUNCTION("IMPORTRANGE(""1BRUajD0ljy0AGH7V6VApyhC8CYImP4SFkM_02NmsTfQ"",""2026-27!AI3"")"),0.0)</f>
        <v>0</v>
      </c>
      <c r="BX68" s="63" t="str">
        <f t="shared" si="89"/>
        <v/>
      </c>
      <c r="BY68" s="59">
        <f>IFERROR(__xludf.DUMMYFUNCTION("IMPORTRANGE(""1BRUajD0ljy0AGH7V6VApyhC8CYImP4SFkM_02NmsTfQ"",""2026-27!AJ4"")"),0.0)</f>
        <v>0</v>
      </c>
      <c r="BZ68" s="59">
        <f>IFERROR(__xludf.DUMMYFUNCTION("IMPORTRANGE(""1BRUajD0ljy0AGH7V6VApyhC8CYImP4SFkM_02NmsTfQ"",""2026-27!AJ3"")"),0.0)</f>
        <v>0</v>
      </c>
      <c r="CA68" s="59">
        <f>IFERROR(__xludf.DUMMYFUNCTION("IMPORTRANGE(""1BRUajD0ljy0AGH7V6VApyhC8CYImP4SFkM_02NmsTfQ"",""2026-27!AK4"")"),0.0)</f>
        <v>0</v>
      </c>
      <c r="CB68" s="59">
        <f>IFERROR(__xludf.DUMMYFUNCTION("IMPORTRANGE(""1BRUajD0ljy0AGH7V6VApyhC8CYImP4SFkM_02NmsTfQ"",""2026-27!AK3"")"),0.0)</f>
        <v>0</v>
      </c>
      <c r="CC68" s="59">
        <f>IFERROR(__xludf.DUMMYFUNCTION("IMPORTRANGE(""1BRUajD0ljy0AGH7V6VApyhC8CYImP4SFkM_02NmsTfQ"",""2026-27!AL4"")"),0.0)</f>
        <v>0</v>
      </c>
      <c r="CD68" s="59">
        <f>IFERROR(__xludf.DUMMYFUNCTION("IMPORTRANGE(""1BRUajD0ljy0AGH7V6VApyhC8CYImP4SFkM_02NmsTfQ"",""2026-27!AL3"")"),0.0)</f>
        <v>0</v>
      </c>
      <c r="CE68" s="63" t="str">
        <f t="shared" si="90"/>
        <v/>
      </c>
      <c r="CF68" s="59">
        <f>IFERROR(__xludf.DUMMYFUNCTION("IMPORTRANGE(""1BRUajD0ljy0AGH7V6VApyhC8CYImP4SFkM_02NmsTfQ"",""2026-27!AM4"")"),0.0)</f>
        <v>0</v>
      </c>
      <c r="CG68" s="59">
        <f>IFERROR(__xludf.DUMMYFUNCTION("IMPORTRANGE(""1BRUajD0ljy0AGH7V6VApyhC8CYImP4SFkM_02NmsTfQ"",""2026-27!AM3"")"),0.0)</f>
        <v>0</v>
      </c>
      <c r="CH68" s="59">
        <f>IFERROR(__xludf.DUMMYFUNCTION("IMPORTRANGE(""1BRUajD0ljy0AGH7V6VApyhC8CYImP4SFkM_02NmsTfQ"",""2026-27!AN4"")"),0.0)</f>
        <v>0</v>
      </c>
      <c r="CI68" s="59">
        <f>IFERROR(__xludf.DUMMYFUNCTION("IMPORTRANGE(""1BRUajD0ljy0AGH7V6VApyhC8CYImP4SFkM_02NmsTfQ"",""2026-27!AN3"")"),0.0)</f>
        <v>0</v>
      </c>
      <c r="CJ68" s="59">
        <f>IFERROR(__xludf.DUMMYFUNCTION("IMPORTRANGE(""1BRUajD0ljy0AGH7V6VApyhC8CYImP4SFkM_02NmsTfQ"",""2026-27!AO4"")"),0.0)</f>
        <v>0</v>
      </c>
      <c r="CK68" s="59">
        <f>IFERROR(__xludf.DUMMYFUNCTION("IMPORTRANGE(""1BRUajD0ljy0AGH7V6VApyhC8CYImP4SFkM_02NmsTfQ"",""2026-27!AO3"")"),0.0)</f>
        <v>0</v>
      </c>
      <c r="CL68" s="63" t="str">
        <f t="shared" si="91"/>
        <v/>
      </c>
      <c r="CM68" s="59">
        <f>IFERROR(__xludf.DUMMYFUNCTION("IMPORTRANGE(""1BRUajD0ljy0AGH7V6VApyhC8CYImP4SFkM_02NmsTfQ"",""2026-27!AP4"")"),0.0)</f>
        <v>0</v>
      </c>
      <c r="CN68" s="59">
        <f>IFERROR(__xludf.DUMMYFUNCTION("IMPORTRANGE(""1BRUajD0ljy0AGH7V6VApyhC8CYImP4SFkM_02NmsTfQ"",""2026-27!AP3"")"),0.0)</f>
        <v>0</v>
      </c>
      <c r="CO68" s="59">
        <f>IFERROR(__xludf.DUMMYFUNCTION("IMPORTRANGE(""1BRUajD0ljy0AGH7V6VApyhC8CYImP4SFkM_02NmsTfQ"",""2026-27!AQ4"")"),0.0)</f>
        <v>0</v>
      </c>
      <c r="CP68" s="59">
        <f>IFERROR(__xludf.DUMMYFUNCTION("IMPORTRANGE(""1BRUajD0ljy0AGH7V6VApyhC8CYImP4SFkM_02NmsTfQ"",""2026-27!AQ3"")"),0.0)</f>
        <v>0</v>
      </c>
      <c r="CQ68" s="59">
        <f>IFERROR(__xludf.DUMMYFUNCTION("IMPORTRANGE(""1BRUajD0ljy0AGH7V6VApyhC8CYImP4SFkM_02NmsTfQ"",""2026-27!AR4"")"),0.0)</f>
        <v>0</v>
      </c>
      <c r="CR68" s="59">
        <f>IFERROR(__xludf.DUMMYFUNCTION("IMPORTRANGE(""1BRUajD0ljy0AGH7V6VApyhC8CYImP4SFkM_02NmsTfQ"",""2026-27!AR3"")"),0.0)</f>
        <v>0</v>
      </c>
      <c r="CS68" s="63" t="str">
        <f t="shared" si="92"/>
        <v/>
      </c>
      <c r="CT68" s="59">
        <f>IFERROR(__xludf.DUMMYFUNCTION("IMPORTRANGE(""1BRUajD0ljy0AGH7V6VApyhC8CYImP4SFkM_02NmsTfQ"",""2026-27!AS4"")"),0.0)</f>
        <v>0</v>
      </c>
      <c r="CU68" s="59">
        <f>IFERROR(__xludf.DUMMYFUNCTION("IMPORTRANGE(""1BRUajD0ljy0AGH7V6VApyhC8CYImP4SFkM_02NmsTfQ"",""2026-27!AS3"")"),0.0)</f>
        <v>0</v>
      </c>
      <c r="CV68" s="64"/>
    </row>
    <row r="69">
      <c r="A69" s="1" t="s">
        <v>103</v>
      </c>
      <c r="B69" s="41"/>
      <c r="C69" s="68" t="s">
        <v>144</v>
      </c>
      <c r="D69" s="72" t="s">
        <v>112</v>
      </c>
      <c r="E69" s="72">
        <v>9.993996692E9</v>
      </c>
      <c r="F69" s="84">
        <v>45658.0</v>
      </c>
      <c r="G69" s="66"/>
      <c r="H69" s="66"/>
      <c r="I69" s="57">
        <v>36188.0</v>
      </c>
      <c r="J69" s="58">
        <v>1200000.0</v>
      </c>
      <c r="K69" s="59">
        <f>IFERROR(__xludf.DUMMYFUNCTION("IMPORTRANGE(""1C8zFo8Wr-G2dpe4FzFhr8ObF-1C64JPU2sDH3LNGo_Y"",""2026-27!A3"")"),59.0)</f>
        <v>59</v>
      </c>
      <c r="L69" s="59">
        <f>IFERROR(__xludf.DUMMYFUNCTION("IMPORTRANGE(""1C8zFo8Wr-G2dpe4FzFhr8ObF-1C64JPU2sDH3LNGo_Y"",""2026-27!G4"")"),1.163E7)</f>
        <v>11630000</v>
      </c>
      <c r="M69" s="59">
        <f t="shared" si="95"/>
        <v>1321966.46</v>
      </c>
      <c r="N69" s="60">
        <f t="shared" si="79"/>
        <v>0.04721453138</v>
      </c>
      <c r="O69" s="61">
        <f t="shared" si="96"/>
        <v>549105</v>
      </c>
      <c r="P69" s="59">
        <f>IFERROR(__xludf.DUMMYFUNCTION("IMPORTRANGE(""1C8zFo8Wr-G2dpe4FzFhr8ObF-1C64JPU2sDH3LNGo_Y"",""2026-27!J4"")"),822500.0)</f>
        <v>822500</v>
      </c>
      <c r="Q69" s="59">
        <f>IFERROR(__xludf.DUMMYFUNCTION("IMPORTRANGE(""1C8zFo8Wr-G2dpe4FzFhr8ObF-1C64JPU2sDH3LNGo_Y"",""2026-27!J3"")"),26.0)</f>
        <v>26</v>
      </c>
      <c r="R69" s="59">
        <f>IFERROR(__xludf.DUMMYFUNCTION("IMPORTRANGE(""1C8zFo8Wr-G2dpe4FzFhr8ObF-1C64JPU2sDH3LNGo_Y"",""2026-27!K4"")"),138439.55000000002)</f>
        <v>138439.55</v>
      </c>
      <c r="S69" s="59">
        <f>IFERROR(__xludf.DUMMYFUNCTION("IMPORTRANGE(""1C8zFo8Wr-G2dpe4FzFhr8ObF-1C64JPU2sDH3LNGo_Y"",""2026-27!K3"")"),5.0)</f>
        <v>5</v>
      </c>
      <c r="T69" s="62">
        <f t="shared" si="81"/>
        <v>0.2837896657</v>
      </c>
      <c r="U69" s="59">
        <f>IFERROR(__xludf.DUMMYFUNCTION("IMPORTRANGE(""1C8zFo8Wr-G2dpe4FzFhr8ObF-1C64JPU2sDH3LNGo_Y"",""2026-27!L4"")"),233417.0)</f>
        <v>233417</v>
      </c>
      <c r="V69" s="59">
        <f>IFERROR(__xludf.DUMMYFUNCTION("IMPORTRANGE(""1C8zFo8Wr-G2dpe4FzFhr8ObF-1C64JPU2sDH3LNGo_Y"",""2026-27!L3"")"),8.0)</f>
        <v>8</v>
      </c>
      <c r="W69" s="59">
        <f>IFERROR(__xludf.DUMMYFUNCTION("IMPORTRANGE(""1C8zFo8Wr-G2dpe4FzFhr8ObF-1C64JPU2sDH3LNGo_Y"",""2026-27!m4"")"),1015000.0)</f>
        <v>1015000</v>
      </c>
      <c r="X69" s="59">
        <f>IFERROR(__xludf.DUMMYFUNCTION("IMPORTRANGE(""1C8zFo8Wr-G2dpe4FzFhr8ObF-1C64JPU2sDH3LNGo_Y"",""2026-27!m3"")"),32.0)</f>
        <v>32</v>
      </c>
      <c r="Y69" s="59">
        <f>IFERROR(__xludf.DUMMYFUNCTION("IMPORTRANGE(""1C8zFo8Wr-G2dpe4FzFhr8ObF-1C64JPU2sDH3LNGo_Y"",""2026-27!N4"")"),282113.99)</f>
        <v>282113.99</v>
      </c>
      <c r="Z69" s="59">
        <f>IFERROR(__xludf.DUMMYFUNCTION("IMPORTRANGE(""1C8zFo8Wr-G2dpe4FzFhr8ObF-1C64JPU2sDH3LNGo_Y"",""2026-27!N3"")"),8.0)</f>
        <v>8</v>
      </c>
      <c r="AA69" s="62">
        <f t="shared" si="82"/>
        <v>0.3110226601</v>
      </c>
      <c r="AB69" s="59">
        <f>IFERROR(__xludf.DUMMYFUNCTION("IMPORTRANGE(""1C8zFo8Wr-G2dpe4FzFhr8ObF-1C64JPU2sDH3LNGo_Y"",""2026-27!O4"")"),315688.0)</f>
        <v>315688</v>
      </c>
      <c r="AC69" s="59">
        <f>IFERROR(__xludf.DUMMYFUNCTION("IMPORTRANGE(""1C8zFo8Wr-G2dpe4FzFhr8ObF-1C64JPU2sDH3LNGo_Y"",""2026-27!O3"")"),9.0)</f>
        <v>9</v>
      </c>
      <c r="AD69" s="59">
        <f>IFERROR(__xludf.DUMMYFUNCTION("IMPORTRANGE(""1C8zFo8Wr-G2dpe4FzFhr8ObF-1C64JPU2sDH3LNGo_Y"",""2026-27!P4"")"),1010000.0)</f>
        <v>1010000</v>
      </c>
      <c r="AE69" s="59">
        <f>IFERROR(__xludf.DUMMYFUNCTION("IMPORTRANGE(""1C8zFo8Wr-G2dpe4FzFhr8ObF-1C64JPU2sDH3LNGo_Y"",""2026-27!P3"")"),33.0)</f>
        <v>33</v>
      </c>
      <c r="AF69" s="59">
        <f>IFERROR(__xludf.DUMMYFUNCTION("IMPORTRANGE(""1C8zFo8Wr-G2dpe4FzFhr8ObF-1C64JPU2sDH3LNGo_Y"",""2026-27!Q4"")"),901412.9199999999)</f>
        <v>901412.92</v>
      </c>
      <c r="AG69" s="59">
        <f>IFERROR(__xludf.DUMMYFUNCTION("IMPORTRANGE(""1C8zFo8Wr-G2dpe4FzFhr8ObF-1C64JPU2sDH3LNGo_Y"",""2026-27!Q3"")"),15.0)</f>
        <v>15</v>
      </c>
      <c r="AH69" s="62">
        <f t="shared" si="83"/>
        <v>0</v>
      </c>
      <c r="AI69" s="59">
        <f>IFERROR(__xludf.DUMMYFUNCTION("IMPORTRANGE(""1C8zFo8Wr-G2dpe4FzFhr8ObF-1C64JPU2sDH3LNGo_Y"",""2026-27!R4"")"),0.0)</f>
        <v>0</v>
      </c>
      <c r="AJ69" s="59">
        <f>IFERROR(__xludf.DUMMYFUNCTION("IMPORTRANGE(""1C8zFo8Wr-G2dpe4FzFhr8ObF-1C64JPU2sDH3LNGo_Y"",""2026-27!R3"")"),0.0)</f>
        <v>0</v>
      </c>
      <c r="AK69" s="59">
        <f>IFERROR(__xludf.DUMMYFUNCTION("IMPORTRANGE(""1C8zFo8Wr-G2dpe4FzFhr8ObF-1C64JPU2sDH3LNGo_Y"",""2026-27!S4"")"),0.0)</f>
        <v>0</v>
      </c>
      <c r="AL69" s="59">
        <f>IFERROR(__xludf.DUMMYFUNCTION("IMPORTRANGE(""1C8zFo8Wr-G2dpe4FzFhr8ObF-1C64JPU2sDH3LNGo_Y"",""2026-27!S3"")"),0.0)</f>
        <v>0</v>
      </c>
      <c r="AM69" s="59">
        <f>IFERROR(__xludf.DUMMYFUNCTION("IMPORTRANGE(""1C8zFo8Wr-G2dpe4FzFhr8ObF-1C64JPU2sDH3LNGo_Y"",""2026-27!T4"")"),0.0)</f>
        <v>0</v>
      </c>
      <c r="AN69" s="59">
        <f>IFERROR(__xludf.DUMMYFUNCTION("IMPORTRANGE(""1C8zFo8Wr-G2dpe4FzFhr8ObF-1C64JPU2sDH3LNGo_Y"",""2026-27!T3"")"),0.0)</f>
        <v>0</v>
      </c>
      <c r="AO69" s="62" t="str">
        <f t="shared" si="84"/>
        <v/>
      </c>
      <c r="AP69" s="59">
        <f>IFERROR(__xludf.DUMMYFUNCTION("IMPORTRANGE(""1C8zFo8Wr-G2dpe4FzFhr8ObF-1C64JPU2sDH3LNGo_Y"",""2026-27!U4"")"),0.0)</f>
        <v>0</v>
      </c>
      <c r="AQ69" s="59">
        <f>IFERROR(__xludf.DUMMYFUNCTION("IMPORTRANGE(""1C8zFo8Wr-G2dpe4FzFhr8ObF-1C64JPU2sDH3LNGo_Y"",""2026-27!U3"")"),0.0)</f>
        <v>0</v>
      </c>
      <c r="AR69" s="59">
        <f>IFERROR(__xludf.DUMMYFUNCTION("IMPORTRANGE(""1C8zFo8Wr-G2dpe4FzFhr8ObF-1C64JPU2sDH3LNGo_Y"",""2026-27!V4"")"),0.0)</f>
        <v>0</v>
      </c>
      <c r="AS69" s="59">
        <f>IFERROR(__xludf.DUMMYFUNCTION("IMPORTRANGE(""1C8zFo8Wr-G2dpe4FzFhr8ObF-1C64JPU2sDH3LNGo_Y"",""2026-27!V3"")"),0.0)</f>
        <v>0</v>
      </c>
      <c r="AT69" s="59">
        <f>IFERROR(__xludf.DUMMYFUNCTION("IMPORTRANGE(""1C8zFo8Wr-G2dpe4FzFhr8ObF-1C64JPU2sDH3LNGo_Y"",""2026-27!W4"")"),0.0)</f>
        <v>0</v>
      </c>
      <c r="AU69" s="59">
        <f>IFERROR(__xludf.DUMMYFUNCTION("IMPORTRANGE(""1C8zFo8Wr-G2dpe4FzFhr8ObF-1C64JPU2sDH3LNGo_Y"",""2026-27!W3"")"),0.0)</f>
        <v>0</v>
      </c>
      <c r="AV69" s="62" t="str">
        <f t="shared" si="85"/>
        <v/>
      </c>
      <c r="AW69" s="59">
        <f>IFERROR(__xludf.DUMMYFUNCTION("IMPORTRANGE(""1C8zFo8Wr-G2dpe4FzFhr8ObF-1C64JPU2sDH3LNGo_Y"",""2026-27!X4"")"),0.0)</f>
        <v>0</v>
      </c>
      <c r="AX69" s="59">
        <f>IFERROR(__xludf.DUMMYFUNCTION("IMPORTRANGE(""1C8zFo8Wr-G2dpe4FzFhr8ObF-1C64JPU2sDH3LNGo_Y"",""2026-27!X3"")"),0.0)</f>
        <v>0</v>
      </c>
      <c r="AY69" s="59">
        <f>IFERROR(__xludf.DUMMYFUNCTION("IMPORTRANGE(""1C8zFo8Wr-G2dpe4FzFhr8ObF-1C64JPU2sDH3LNGo_Y"",""2026-27!Y4"")"),0.0)</f>
        <v>0</v>
      </c>
      <c r="AZ69" s="59">
        <f>IFERROR(__xludf.DUMMYFUNCTION("IMPORTRANGE(""1C8zFo8Wr-G2dpe4FzFhr8ObF-1C64JPU2sDH3LNGo_Y"",""2026-27!Y3"")"),0.0)</f>
        <v>0</v>
      </c>
      <c r="BA69" s="59">
        <f>IFERROR(__xludf.DUMMYFUNCTION("IMPORTRANGE(""1C8zFo8Wr-G2dpe4FzFhr8ObF-1C64JPU2sDH3LNGo_Y"",""2026-27!Z4"")"),0.0)</f>
        <v>0</v>
      </c>
      <c r="BB69" s="59">
        <f>IFERROR(__xludf.DUMMYFUNCTION("IMPORTRANGE(""1C8zFo8Wr-G2dpe4FzFhr8ObF-1C64JPU2sDH3LNGo_Y"",""2026-27!Z3"")"),0.0)</f>
        <v>0</v>
      </c>
      <c r="BC69" s="63" t="str">
        <f t="shared" si="86"/>
        <v/>
      </c>
      <c r="BD69" s="59">
        <f>IFERROR(__xludf.DUMMYFUNCTION("IMPORTRANGE(""1C8zFo8Wr-G2dpe4FzFhr8ObF-1C64JPU2sDH3LNGo_Y"",""2026-27!AA4"")"),0.0)</f>
        <v>0</v>
      </c>
      <c r="BE69" s="59">
        <f>IFERROR(__xludf.DUMMYFUNCTION("IMPORTRANGE(""1C8zFo8Wr-G2dpe4FzFhr8ObF-1C64JPU2sDH3LNGo_Y"",""2026-27!AA3"")"),0.0)</f>
        <v>0</v>
      </c>
      <c r="BF69" s="59">
        <f>IFERROR(__xludf.DUMMYFUNCTION("IMPORTRANGE(""1C8zFo8Wr-G2dpe4FzFhr8ObF-1C64JPU2sDH3LNGo_Y"",""2026-27!AB4"")"),0.0)</f>
        <v>0</v>
      </c>
      <c r="BG69" s="59">
        <f>IFERROR(__xludf.DUMMYFUNCTION("IMPORTRANGE(""1C8zFo8Wr-G2dpe4FzFhr8ObF-1C64JPU2sDH3LNGo_Y"",""2026-27!AB3"")"),0.0)</f>
        <v>0</v>
      </c>
      <c r="BH69" s="59">
        <f>IFERROR(__xludf.DUMMYFUNCTION("IMPORTRANGE(""1C8zFo8Wr-G2dpe4FzFhr8ObF-1C64JPU2sDH3LNGo_Y"",""2026-27!AC4"")"),0.0)</f>
        <v>0</v>
      </c>
      <c r="BI69" s="59">
        <f>IFERROR(__xludf.DUMMYFUNCTION("IMPORTRANGE(""1C8zFo8Wr-G2dpe4FzFhr8ObF-1C64JPU2sDH3LNGo_Y"",""2026-27!AC3"")"),0.0)</f>
        <v>0</v>
      </c>
      <c r="BJ69" s="63" t="str">
        <f t="shared" si="87"/>
        <v/>
      </c>
      <c r="BK69" s="59">
        <f>IFERROR(__xludf.DUMMYFUNCTION("IMPORTRANGE(""1C8zFo8Wr-G2dpe4FzFhr8ObF-1C64JPU2sDH3LNGo_Y"",""2026-27!AD4"")"),0.0)</f>
        <v>0</v>
      </c>
      <c r="BL69" s="59">
        <f>IFERROR(__xludf.DUMMYFUNCTION("IMPORTRANGE(""1C8zFo8Wr-G2dpe4FzFhr8ObF-1C64JPU2sDH3LNGo_Y"",""2026-27!AD3"")"),0.0)</f>
        <v>0</v>
      </c>
      <c r="BM69" s="59">
        <f>IFERROR(__xludf.DUMMYFUNCTION("IMPORTRANGE(""1C8zFo8Wr-G2dpe4FzFhr8ObF-1C64JPU2sDH3LNGo_Y"",""2026-27!AE4"")"),0.0)</f>
        <v>0</v>
      </c>
      <c r="BN69" s="59">
        <f>IFERROR(__xludf.DUMMYFUNCTION("IMPORTRANGE(""1C8zFo8Wr-G2dpe4FzFhr8ObF-1C64JPU2sDH3LNGo_Y"",""2026-27!AE3"")"),0.0)</f>
        <v>0</v>
      </c>
      <c r="BO69" s="59">
        <f>IFERROR(__xludf.DUMMYFUNCTION("IMPORTRANGE(""1C8zFo8Wr-G2dpe4FzFhr8ObF-1C64JPU2sDH3LNGo_Y"",""2026-27!AF4"")"),0.0)</f>
        <v>0</v>
      </c>
      <c r="BP69" s="59">
        <f>IFERROR(__xludf.DUMMYFUNCTION("IMPORTRANGE(""1C8zFo8Wr-G2dpe4FzFhr8ObF-1C64JPU2sDH3LNGo_Y"",""2026-27!AF3"")"),0.0)</f>
        <v>0</v>
      </c>
      <c r="BQ69" s="63" t="str">
        <f t="shared" si="88"/>
        <v/>
      </c>
      <c r="BR69" s="59">
        <f>IFERROR(__xludf.DUMMYFUNCTION("IMPORTRANGE(""1C8zFo8Wr-G2dpe4FzFhr8ObF-1C64JPU2sDH3LNGo_Y"",""2026-27!AG4"")"),0.0)</f>
        <v>0</v>
      </c>
      <c r="BS69" s="59">
        <f>IFERROR(__xludf.DUMMYFUNCTION("IMPORTRANGE(""1C8zFo8Wr-G2dpe4FzFhr8ObF-1C64JPU2sDH3LNGo_Y"",""2026-27!AG3"")"),0.0)</f>
        <v>0</v>
      </c>
      <c r="BT69" s="59">
        <f>IFERROR(__xludf.DUMMYFUNCTION("IMPORTRANGE(""1C8zFo8Wr-G2dpe4FzFhr8ObF-1C64JPU2sDH3LNGo_Y"",""2026-27!AH4"")"),0.0)</f>
        <v>0</v>
      </c>
      <c r="BU69" s="59">
        <f>IFERROR(__xludf.DUMMYFUNCTION("IMPORTRANGE(""1C8zFo8Wr-G2dpe4FzFhr8ObF-1C64JPU2sDH3LNGo_Y"",""2026-27!AH3"")"),0.0)</f>
        <v>0</v>
      </c>
      <c r="BV69" s="59">
        <f>IFERROR(__xludf.DUMMYFUNCTION("IMPORTRANGE(""1C8zFo8Wr-G2dpe4FzFhr8ObF-1C64JPU2sDH3LNGo_Y"",""2026-27!AI4"")"),0.0)</f>
        <v>0</v>
      </c>
      <c r="BW69" s="59">
        <f>IFERROR(__xludf.DUMMYFUNCTION("IMPORTRANGE(""1C8zFo8Wr-G2dpe4FzFhr8ObF-1C64JPU2sDH3LNGo_Y"",""2026-27!AI3"")"),0.0)</f>
        <v>0</v>
      </c>
      <c r="BX69" s="63" t="str">
        <f t="shared" si="89"/>
        <v/>
      </c>
      <c r="BY69" s="59">
        <f>IFERROR(__xludf.DUMMYFUNCTION("IMPORTRANGE(""1C8zFo8Wr-G2dpe4FzFhr8ObF-1C64JPU2sDH3LNGo_Y"",""2026-27!AJ4"")"),0.0)</f>
        <v>0</v>
      </c>
      <c r="BZ69" s="59">
        <f>IFERROR(__xludf.DUMMYFUNCTION("IMPORTRANGE(""1C8zFo8Wr-G2dpe4FzFhr8ObF-1C64JPU2sDH3LNGo_Y"",""2026-27!AJ3"")"),0.0)</f>
        <v>0</v>
      </c>
      <c r="CA69" s="59">
        <f>IFERROR(__xludf.DUMMYFUNCTION("IMPORTRANGE(""1C8zFo8Wr-G2dpe4FzFhr8ObF-1C64JPU2sDH3LNGo_Y"",""2026-27!AK4"")"),0.0)</f>
        <v>0</v>
      </c>
      <c r="CB69" s="59">
        <f>IFERROR(__xludf.DUMMYFUNCTION("IMPORTRANGE(""1C8zFo8Wr-G2dpe4FzFhr8ObF-1C64JPU2sDH3LNGo_Y"",""2026-27!AK3"")"),0.0)</f>
        <v>0</v>
      </c>
      <c r="CC69" s="59">
        <f>IFERROR(__xludf.DUMMYFUNCTION("IMPORTRANGE(""1C8zFo8Wr-G2dpe4FzFhr8ObF-1C64JPU2sDH3LNGo_Y"",""2026-27!AL4"")"),0.0)</f>
        <v>0</v>
      </c>
      <c r="CD69" s="59">
        <f>IFERROR(__xludf.DUMMYFUNCTION("IMPORTRANGE(""1C8zFo8Wr-G2dpe4FzFhr8ObF-1C64JPU2sDH3LNGo_Y"",""2026-27!AL3"")"),0.0)</f>
        <v>0</v>
      </c>
      <c r="CE69" s="63" t="str">
        <f t="shared" si="90"/>
        <v/>
      </c>
      <c r="CF69" s="59">
        <f>IFERROR(__xludf.DUMMYFUNCTION("IMPORTRANGE(""1C8zFo8Wr-G2dpe4FzFhr8ObF-1C64JPU2sDH3LNGo_Y"",""2026-27!AM4"")"),0.0)</f>
        <v>0</v>
      </c>
      <c r="CG69" s="59">
        <f>IFERROR(__xludf.DUMMYFUNCTION("IMPORTRANGE(""1C8zFo8Wr-G2dpe4FzFhr8ObF-1C64JPU2sDH3LNGo_Y"",""2026-27!AM3"")"),0.0)</f>
        <v>0</v>
      </c>
      <c r="CH69" s="59">
        <f>IFERROR(__xludf.DUMMYFUNCTION("IMPORTRANGE(""1C8zFo8Wr-G2dpe4FzFhr8ObF-1C64JPU2sDH3LNGo_Y"",""2026-27!AN4"")"),0.0)</f>
        <v>0</v>
      </c>
      <c r="CI69" s="59">
        <f>IFERROR(__xludf.DUMMYFUNCTION("IMPORTRANGE(""1C8zFo8Wr-G2dpe4FzFhr8ObF-1C64JPU2sDH3LNGo_Y"",""2026-27!AN3"")"),0.0)</f>
        <v>0</v>
      </c>
      <c r="CJ69" s="59">
        <f>IFERROR(__xludf.DUMMYFUNCTION("IMPORTRANGE(""1C8zFo8Wr-G2dpe4FzFhr8ObF-1C64JPU2sDH3LNGo_Y"",""2026-27!AO4"")"),0.0)</f>
        <v>0</v>
      </c>
      <c r="CK69" s="59">
        <f>IFERROR(__xludf.DUMMYFUNCTION("IMPORTRANGE(""1C8zFo8Wr-G2dpe4FzFhr8ObF-1C64JPU2sDH3LNGo_Y"",""2026-27!AO3"")"),0.0)</f>
        <v>0</v>
      </c>
      <c r="CL69" s="63" t="str">
        <f t="shared" si="91"/>
        <v/>
      </c>
      <c r="CM69" s="59">
        <f>IFERROR(__xludf.DUMMYFUNCTION("IMPORTRANGE(""1C8zFo8Wr-G2dpe4FzFhr8ObF-1C64JPU2sDH3LNGo_Y"",""2026-27!AP4"")"),0.0)</f>
        <v>0</v>
      </c>
      <c r="CN69" s="59">
        <f>IFERROR(__xludf.DUMMYFUNCTION("IMPORTRANGE(""1C8zFo8Wr-G2dpe4FzFhr8ObF-1C64JPU2sDH3LNGo_Y"",""2026-27!AP3"")"),0.0)</f>
        <v>0</v>
      </c>
      <c r="CO69" s="59">
        <f>IFERROR(__xludf.DUMMYFUNCTION("IMPORTRANGE(""1C8zFo8Wr-G2dpe4FzFhr8ObF-1C64JPU2sDH3LNGo_Y"",""2026-27!AQ4"")"),0.0)</f>
        <v>0</v>
      </c>
      <c r="CP69" s="59">
        <f>IFERROR(__xludf.DUMMYFUNCTION("IMPORTRANGE(""1C8zFo8Wr-G2dpe4FzFhr8ObF-1C64JPU2sDH3LNGo_Y"",""2026-27!AQ3"")"),0.0)</f>
        <v>0</v>
      </c>
      <c r="CQ69" s="59">
        <f>IFERROR(__xludf.DUMMYFUNCTION("IMPORTRANGE(""1C8zFo8Wr-G2dpe4FzFhr8ObF-1C64JPU2sDH3LNGo_Y"",""2026-27!AR4"")"),0.0)</f>
        <v>0</v>
      </c>
      <c r="CR69" s="59">
        <f>IFERROR(__xludf.DUMMYFUNCTION("IMPORTRANGE(""1C8zFo8Wr-G2dpe4FzFhr8ObF-1C64JPU2sDH3LNGo_Y"",""2026-27!AR3"")"),0.0)</f>
        <v>0</v>
      </c>
      <c r="CS69" s="63" t="str">
        <f t="shared" si="92"/>
        <v/>
      </c>
      <c r="CT69" s="59">
        <f>IFERROR(__xludf.DUMMYFUNCTION("IMPORTRANGE(""1C8zFo8Wr-G2dpe4FzFhr8ObF-1C64JPU2sDH3LNGo_Y"",""2026-27!AS4"")"),0.0)</f>
        <v>0</v>
      </c>
      <c r="CU69" s="59">
        <f>IFERROR(__xludf.DUMMYFUNCTION("IMPORTRANGE(""1C8zFo8Wr-G2dpe4FzFhr8ObF-1C64JPU2sDH3LNGo_Y"",""2026-27!AS3"")"),0.0)</f>
        <v>0</v>
      </c>
      <c r="CV69" s="64"/>
    </row>
    <row r="70">
      <c r="A70" s="1" t="s">
        <v>103</v>
      </c>
      <c r="B70" s="41"/>
      <c r="C70" s="68" t="s">
        <v>145</v>
      </c>
      <c r="D70" s="72" t="s">
        <v>116</v>
      </c>
      <c r="E70" s="72">
        <v>7.903888032E9</v>
      </c>
      <c r="F70" s="84">
        <v>45843.0</v>
      </c>
      <c r="G70" s="66"/>
      <c r="H70" s="66"/>
      <c r="I70" s="57">
        <v>41430.0</v>
      </c>
      <c r="J70" s="58">
        <v>2000000.0</v>
      </c>
      <c r="K70" s="59">
        <f>IFERROR(__xludf.DUMMYFUNCTION("IMPORTRANGE(""171w6KRBV2rba0q9n8Gbz_2pG5V9aYcwOZTrmc_2SUsg"",""2026-27!A3"")"),106.0)</f>
        <v>106</v>
      </c>
      <c r="L70" s="59">
        <f>IFERROR(__xludf.DUMMYFUNCTION("IMPORTRANGE(""171w6KRBV2rba0q9n8Gbz_2pG5V9aYcwOZTrmc_2SUsg"",""2026-27!G4"")"),1.862E7)</f>
        <v>18620000</v>
      </c>
      <c r="M70" s="59">
        <f t="shared" si="95"/>
        <v>2546023.44</v>
      </c>
      <c r="N70" s="60">
        <f t="shared" si="79"/>
        <v>0.08009285714</v>
      </c>
      <c r="O70" s="61">
        <f t="shared" si="96"/>
        <v>1491329</v>
      </c>
      <c r="P70" s="59">
        <f>IFERROR(__xludf.DUMMYFUNCTION("IMPORTRANGE(""171w6KRBV2rba0q9n8Gbz_2pG5V9aYcwOZTrmc_2SUsg"",""2026-27!J4"")"),2365000.0)</f>
        <v>2365000</v>
      </c>
      <c r="Q70" s="59">
        <f>IFERROR(__xludf.DUMMYFUNCTION("IMPORTRANGE(""171w6KRBV2rba0q9n8Gbz_2pG5V9aYcwOZTrmc_2SUsg"",""2026-27!J3"")"),66.0)</f>
        <v>66</v>
      </c>
      <c r="R70" s="59">
        <f>IFERROR(__xludf.DUMMYFUNCTION("IMPORTRANGE(""171w6KRBV2rba0q9n8Gbz_2pG5V9aYcwOZTrmc_2SUsg"",""2026-27!K4"")"),466421.5)</f>
        <v>466421.5</v>
      </c>
      <c r="S70" s="59">
        <f>IFERROR(__xludf.DUMMYFUNCTION("IMPORTRANGE(""171w6KRBV2rba0q9n8Gbz_2pG5V9aYcwOZTrmc_2SUsg"",""2026-27!K3"")"),15.0)</f>
        <v>15</v>
      </c>
      <c r="T70" s="62">
        <f t="shared" si="81"/>
        <v>0.1902947146</v>
      </c>
      <c r="U70" s="59">
        <f>IFERROR(__xludf.DUMMYFUNCTION("IMPORTRANGE(""171w6KRBV2rba0q9n8Gbz_2pG5V9aYcwOZTrmc_2SUsg"",""2026-27!L4"")"),450047.0)</f>
        <v>450047</v>
      </c>
      <c r="V70" s="59">
        <f>IFERROR(__xludf.DUMMYFUNCTION("IMPORTRANGE(""171w6KRBV2rba0q9n8Gbz_2pG5V9aYcwOZTrmc_2SUsg"",""2026-27!L3"")"),15.0)</f>
        <v>15</v>
      </c>
      <c r="W70" s="59">
        <f>IFERROR(__xludf.DUMMYFUNCTION("IMPORTRANGE(""171w6KRBV2rba0q9n8Gbz_2pG5V9aYcwOZTrmc_2SUsg"",""2026-27!m4"")"),1930000.0)</f>
        <v>1930000</v>
      </c>
      <c r="X70" s="59">
        <f>IFERROR(__xludf.DUMMYFUNCTION("IMPORTRANGE(""171w6KRBV2rba0q9n8Gbz_2pG5V9aYcwOZTrmc_2SUsg"",""2026-27!m3"")"),64.0)</f>
        <v>64</v>
      </c>
      <c r="Y70" s="59">
        <f>IFERROR(__xludf.DUMMYFUNCTION("IMPORTRANGE(""171w6KRBV2rba0q9n8Gbz_2pG5V9aYcwOZTrmc_2SUsg"",""2026-27!N4"")"),984791.1099999999)</f>
        <v>984791.11</v>
      </c>
      <c r="Z70" s="59">
        <f>IFERROR(__xludf.DUMMYFUNCTION("IMPORTRANGE(""171w6KRBV2rba0q9n8Gbz_2pG5V9aYcwOZTrmc_2SUsg"",""2026-27!N3"")"),21.0)</f>
        <v>21</v>
      </c>
      <c r="AA70" s="62">
        <f t="shared" si="82"/>
        <v>0.5395243523</v>
      </c>
      <c r="AB70" s="59">
        <f>IFERROR(__xludf.DUMMYFUNCTION("IMPORTRANGE(""171w6KRBV2rba0q9n8Gbz_2pG5V9aYcwOZTrmc_2SUsg"",""2026-27!O4"")"),1041282.0)</f>
        <v>1041282</v>
      </c>
      <c r="AC70" s="59">
        <f>IFERROR(__xludf.DUMMYFUNCTION("IMPORTRANGE(""171w6KRBV2rba0q9n8Gbz_2pG5V9aYcwOZTrmc_2SUsg"",""2026-27!O3"")"),21.0)</f>
        <v>21</v>
      </c>
      <c r="AD70" s="59">
        <f>IFERROR(__xludf.DUMMYFUNCTION("IMPORTRANGE(""171w6KRBV2rba0q9n8Gbz_2pG5V9aYcwOZTrmc_2SUsg"",""2026-27!P4"")"),2390000.0)</f>
        <v>2390000</v>
      </c>
      <c r="AE70" s="59">
        <f>IFERROR(__xludf.DUMMYFUNCTION("IMPORTRANGE(""171w6KRBV2rba0q9n8Gbz_2pG5V9aYcwOZTrmc_2SUsg"",""2026-27!P3"")"),69.0)</f>
        <v>69</v>
      </c>
      <c r="AF70" s="59">
        <f>IFERROR(__xludf.DUMMYFUNCTION("IMPORTRANGE(""171w6KRBV2rba0q9n8Gbz_2pG5V9aYcwOZTrmc_2SUsg"",""2026-27!Q4"")"),1094810.83)</f>
        <v>1094810.83</v>
      </c>
      <c r="AG70" s="59">
        <f>IFERROR(__xludf.DUMMYFUNCTION("IMPORTRANGE(""171w6KRBV2rba0q9n8Gbz_2pG5V9aYcwOZTrmc_2SUsg"",""2026-27!Q3"")"),29.0)</f>
        <v>29</v>
      </c>
      <c r="AH70" s="62">
        <f t="shared" si="83"/>
        <v>0</v>
      </c>
      <c r="AI70" s="59">
        <f>IFERROR(__xludf.DUMMYFUNCTION("IMPORTRANGE(""171w6KRBV2rba0q9n8Gbz_2pG5V9aYcwOZTrmc_2SUsg"",""2026-27!R4"")"),0.0)</f>
        <v>0</v>
      </c>
      <c r="AJ70" s="59">
        <f>IFERROR(__xludf.DUMMYFUNCTION("IMPORTRANGE(""171w6KRBV2rba0q9n8Gbz_2pG5V9aYcwOZTrmc_2SUsg"",""2026-27!R3"")"),0.0)</f>
        <v>0</v>
      </c>
      <c r="AK70" s="59">
        <f>IFERROR(__xludf.DUMMYFUNCTION("IMPORTRANGE(""171w6KRBV2rba0q9n8Gbz_2pG5V9aYcwOZTrmc_2SUsg"",""2026-27!S4"")"),0.0)</f>
        <v>0</v>
      </c>
      <c r="AL70" s="59">
        <f>IFERROR(__xludf.DUMMYFUNCTION("IMPORTRANGE(""171w6KRBV2rba0q9n8Gbz_2pG5V9aYcwOZTrmc_2SUsg"",""2026-27!S3"")"),0.0)</f>
        <v>0</v>
      </c>
      <c r="AM70" s="59">
        <f>IFERROR(__xludf.DUMMYFUNCTION("IMPORTRANGE(""171w6KRBV2rba0q9n8Gbz_2pG5V9aYcwOZTrmc_2SUsg"",""2026-27!T4"")"),0.0)</f>
        <v>0</v>
      </c>
      <c r="AN70" s="59">
        <f>IFERROR(__xludf.DUMMYFUNCTION("IMPORTRANGE(""171w6KRBV2rba0q9n8Gbz_2pG5V9aYcwOZTrmc_2SUsg"",""2026-27!T3"")"),0.0)</f>
        <v>0</v>
      </c>
      <c r="AO70" s="62" t="str">
        <f t="shared" si="84"/>
        <v/>
      </c>
      <c r="AP70" s="59">
        <f>IFERROR(__xludf.DUMMYFUNCTION("IMPORTRANGE(""171w6KRBV2rba0q9n8Gbz_2pG5V9aYcwOZTrmc_2SUsg"",""2026-27!U4"")"),0.0)</f>
        <v>0</v>
      </c>
      <c r="AQ70" s="59">
        <f>IFERROR(__xludf.DUMMYFUNCTION("IMPORTRANGE(""171w6KRBV2rba0q9n8Gbz_2pG5V9aYcwOZTrmc_2SUsg"",""2026-27!U3"")"),0.0)</f>
        <v>0</v>
      </c>
      <c r="AR70" s="59">
        <f>IFERROR(__xludf.DUMMYFUNCTION("IMPORTRANGE(""171w6KRBV2rba0q9n8Gbz_2pG5V9aYcwOZTrmc_2SUsg"",""2026-27!V4"")"),0.0)</f>
        <v>0</v>
      </c>
      <c r="AS70" s="59">
        <f>IFERROR(__xludf.DUMMYFUNCTION("IMPORTRANGE(""171w6KRBV2rba0q9n8Gbz_2pG5V9aYcwOZTrmc_2SUsg"",""2026-27!V3"")"),0.0)</f>
        <v>0</v>
      </c>
      <c r="AT70" s="59">
        <f>IFERROR(__xludf.DUMMYFUNCTION("IMPORTRANGE(""171w6KRBV2rba0q9n8Gbz_2pG5V9aYcwOZTrmc_2SUsg"",""2026-27!W4"")"),0.0)</f>
        <v>0</v>
      </c>
      <c r="AU70" s="59">
        <f>IFERROR(__xludf.DUMMYFUNCTION("IMPORTRANGE(""171w6KRBV2rba0q9n8Gbz_2pG5V9aYcwOZTrmc_2SUsg"",""2026-27!W3"")"),0.0)</f>
        <v>0</v>
      </c>
      <c r="AV70" s="62" t="str">
        <f t="shared" si="85"/>
        <v/>
      </c>
      <c r="AW70" s="59">
        <f>IFERROR(__xludf.DUMMYFUNCTION("IMPORTRANGE(""171w6KRBV2rba0q9n8Gbz_2pG5V9aYcwOZTrmc_2SUsg"",""2026-27!X4"")"),0.0)</f>
        <v>0</v>
      </c>
      <c r="AX70" s="59">
        <f>IFERROR(__xludf.DUMMYFUNCTION("IMPORTRANGE(""171w6KRBV2rba0q9n8Gbz_2pG5V9aYcwOZTrmc_2SUsg"",""2026-27!X3"")"),0.0)</f>
        <v>0</v>
      </c>
      <c r="AY70" s="59">
        <f>IFERROR(__xludf.DUMMYFUNCTION("IMPORTRANGE(""171w6KRBV2rba0q9n8Gbz_2pG5V9aYcwOZTrmc_2SUsg"",""2026-27!Y4"")"),0.0)</f>
        <v>0</v>
      </c>
      <c r="AZ70" s="59">
        <f>IFERROR(__xludf.DUMMYFUNCTION("IMPORTRANGE(""171w6KRBV2rba0q9n8Gbz_2pG5V9aYcwOZTrmc_2SUsg"",""2026-27!Y3"")"),0.0)</f>
        <v>0</v>
      </c>
      <c r="BA70" s="59">
        <f>IFERROR(__xludf.DUMMYFUNCTION("IMPORTRANGE(""171w6KRBV2rba0q9n8Gbz_2pG5V9aYcwOZTrmc_2SUsg"",""2026-27!Z4"")"),0.0)</f>
        <v>0</v>
      </c>
      <c r="BB70" s="59">
        <f>IFERROR(__xludf.DUMMYFUNCTION("IMPORTRANGE(""171w6KRBV2rba0q9n8Gbz_2pG5V9aYcwOZTrmc_2SUsg"",""2026-27!Z3"")"),0.0)</f>
        <v>0</v>
      </c>
      <c r="BC70" s="63" t="str">
        <f t="shared" si="86"/>
        <v/>
      </c>
      <c r="BD70" s="59">
        <f>IFERROR(__xludf.DUMMYFUNCTION("IMPORTRANGE(""171w6KRBV2rba0q9n8Gbz_2pG5V9aYcwOZTrmc_2SUsg"",""2026-27!AA4"")"),0.0)</f>
        <v>0</v>
      </c>
      <c r="BE70" s="59">
        <f>IFERROR(__xludf.DUMMYFUNCTION("IMPORTRANGE(""171w6KRBV2rba0q9n8Gbz_2pG5V9aYcwOZTrmc_2SUsg"",""2026-27!AA3"")"),0.0)</f>
        <v>0</v>
      </c>
      <c r="BF70" s="59">
        <f>IFERROR(__xludf.DUMMYFUNCTION("IMPORTRANGE(""171w6KRBV2rba0q9n8Gbz_2pG5V9aYcwOZTrmc_2SUsg"",""2026-27!AB4"")"),0.0)</f>
        <v>0</v>
      </c>
      <c r="BG70" s="59">
        <f>IFERROR(__xludf.DUMMYFUNCTION("IMPORTRANGE(""171w6KRBV2rba0q9n8Gbz_2pG5V9aYcwOZTrmc_2SUsg"",""2026-27!AB3"")"),0.0)</f>
        <v>0</v>
      </c>
      <c r="BH70" s="59">
        <f>IFERROR(__xludf.DUMMYFUNCTION("IMPORTRANGE(""171w6KRBV2rba0q9n8Gbz_2pG5V9aYcwOZTrmc_2SUsg"",""2026-27!AC4"")"),0.0)</f>
        <v>0</v>
      </c>
      <c r="BI70" s="59">
        <f>IFERROR(__xludf.DUMMYFUNCTION("IMPORTRANGE(""171w6KRBV2rba0q9n8Gbz_2pG5V9aYcwOZTrmc_2SUsg"",""2026-27!AC3"")"),0.0)</f>
        <v>0</v>
      </c>
      <c r="BJ70" s="63" t="str">
        <f t="shared" si="87"/>
        <v/>
      </c>
      <c r="BK70" s="59">
        <f>IFERROR(__xludf.DUMMYFUNCTION("IMPORTRANGE(""171w6KRBV2rba0q9n8Gbz_2pG5V9aYcwOZTrmc_2SUsg"",""2026-27!AD4"")"),0.0)</f>
        <v>0</v>
      </c>
      <c r="BL70" s="59">
        <f>IFERROR(__xludf.DUMMYFUNCTION("IMPORTRANGE(""171w6KRBV2rba0q9n8Gbz_2pG5V9aYcwOZTrmc_2SUsg"",""2026-27!AD3"")"),0.0)</f>
        <v>0</v>
      </c>
      <c r="BM70" s="59">
        <f>IFERROR(__xludf.DUMMYFUNCTION("IMPORTRANGE(""171w6KRBV2rba0q9n8Gbz_2pG5V9aYcwOZTrmc_2SUsg"",""2026-27!AE4"")"),0.0)</f>
        <v>0</v>
      </c>
      <c r="BN70" s="59">
        <f>IFERROR(__xludf.DUMMYFUNCTION("IMPORTRANGE(""171w6KRBV2rba0q9n8Gbz_2pG5V9aYcwOZTrmc_2SUsg"",""2026-27!AE3"")"),0.0)</f>
        <v>0</v>
      </c>
      <c r="BO70" s="59">
        <f>IFERROR(__xludf.DUMMYFUNCTION("IMPORTRANGE(""171w6KRBV2rba0q9n8Gbz_2pG5V9aYcwOZTrmc_2SUsg"",""2026-27!AF4"")"),0.0)</f>
        <v>0</v>
      </c>
      <c r="BP70" s="59">
        <f>IFERROR(__xludf.DUMMYFUNCTION("IMPORTRANGE(""171w6KRBV2rba0q9n8Gbz_2pG5V9aYcwOZTrmc_2SUsg"",""2026-27!AF3"")"),0.0)</f>
        <v>0</v>
      </c>
      <c r="BQ70" s="63" t="str">
        <f t="shared" si="88"/>
        <v/>
      </c>
      <c r="BR70" s="59">
        <f>IFERROR(__xludf.DUMMYFUNCTION("IMPORTRANGE(""171w6KRBV2rba0q9n8Gbz_2pG5V9aYcwOZTrmc_2SUsg"",""2026-27!AG4"")"),0.0)</f>
        <v>0</v>
      </c>
      <c r="BS70" s="59">
        <f>IFERROR(__xludf.DUMMYFUNCTION("IMPORTRANGE(""171w6KRBV2rba0q9n8Gbz_2pG5V9aYcwOZTrmc_2SUsg"",""2026-27!AG3"")"),0.0)</f>
        <v>0</v>
      </c>
      <c r="BT70" s="59">
        <f>IFERROR(__xludf.DUMMYFUNCTION("IMPORTRANGE(""171w6KRBV2rba0q9n8Gbz_2pG5V9aYcwOZTrmc_2SUsg"",""2026-27!AH4"")"),0.0)</f>
        <v>0</v>
      </c>
      <c r="BU70" s="59">
        <f>IFERROR(__xludf.DUMMYFUNCTION("IMPORTRANGE(""171w6KRBV2rba0q9n8Gbz_2pG5V9aYcwOZTrmc_2SUsg"",""2026-27!AH3"")"),0.0)</f>
        <v>0</v>
      </c>
      <c r="BV70" s="59">
        <f>IFERROR(__xludf.DUMMYFUNCTION("IMPORTRANGE(""171w6KRBV2rba0q9n8Gbz_2pG5V9aYcwOZTrmc_2SUsg"",""2026-27!AI4"")"),0.0)</f>
        <v>0</v>
      </c>
      <c r="BW70" s="59">
        <f>IFERROR(__xludf.DUMMYFUNCTION("IMPORTRANGE(""171w6KRBV2rba0q9n8Gbz_2pG5V9aYcwOZTrmc_2SUsg"",""2026-27!AI3"")"),0.0)</f>
        <v>0</v>
      </c>
      <c r="BX70" s="63" t="str">
        <f t="shared" si="89"/>
        <v/>
      </c>
      <c r="BY70" s="59">
        <f>IFERROR(__xludf.DUMMYFUNCTION("IMPORTRANGE(""171w6KRBV2rba0q9n8Gbz_2pG5V9aYcwOZTrmc_2SUsg"",""2026-27!AJ4"")"),0.0)</f>
        <v>0</v>
      </c>
      <c r="BZ70" s="59">
        <f>IFERROR(__xludf.DUMMYFUNCTION("IMPORTRANGE(""171w6KRBV2rba0q9n8Gbz_2pG5V9aYcwOZTrmc_2SUsg"",""2026-27!AJ3"")"),0.0)</f>
        <v>0</v>
      </c>
      <c r="CA70" s="59">
        <f>IFERROR(__xludf.DUMMYFUNCTION("IMPORTRANGE(""171w6KRBV2rba0q9n8Gbz_2pG5V9aYcwOZTrmc_2SUsg"",""2026-27!AK4"")"),0.0)</f>
        <v>0</v>
      </c>
      <c r="CB70" s="59">
        <f>IFERROR(__xludf.DUMMYFUNCTION("IMPORTRANGE(""171w6KRBV2rba0q9n8Gbz_2pG5V9aYcwOZTrmc_2SUsg"",""2026-27!AK3"")"),0.0)</f>
        <v>0</v>
      </c>
      <c r="CC70" s="59">
        <f>IFERROR(__xludf.DUMMYFUNCTION("IMPORTRANGE(""171w6KRBV2rba0q9n8Gbz_2pG5V9aYcwOZTrmc_2SUsg"",""2026-27!AL4"")"),0.0)</f>
        <v>0</v>
      </c>
      <c r="CD70" s="59">
        <f>IFERROR(__xludf.DUMMYFUNCTION("IMPORTRANGE(""171w6KRBV2rba0q9n8Gbz_2pG5V9aYcwOZTrmc_2SUsg"",""2026-27!AL3"")"),0.0)</f>
        <v>0</v>
      </c>
      <c r="CE70" s="63" t="str">
        <f t="shared" si="90"/>
        <v/>
      </c>
      <c r="CF70" s="59">
        <f>IFERROR(__xludf.DUMMYFUNCTION("IMPORTRANGE(""171w6KRBV2rba0q9n8Gbz_2pG5V9aYcwOZTrmc_2SUsg"",""2026-27!AM4"")"),0.0)</f>
        <v>0</v>
      </c>
      <c r="CG70" s="59">
        <f>IFERROR(__xludf.DUMMYFUNCTION("IMPORTRANGE(""171w6KRBV2rba0q9n8Gbz_2pG5V9aYcwOZTrmc_2SUsg"",""2026-27!AM3"")"),0.0)</f>
        <v>0</v>
      </c>
      <c r="CH70" s="59">
        <f>IFERROR(__xludf.DUMMYFUNCTION("IMPORTRANGE(""171w6KRBV2rba0q9n8Gbz_2pG5V9aYcwOZTrmc_2SUsg"",""2026-27!AN4"")"),0.0)</f>
        <v>0</v>
      </c>
      <c r="CI70" s="59">
        <f>IFERROR(__xludf.DUMMYFUNCTION("IMPORTRANGE(""171w6KRBV2rba0q9n8Gbz_2pG5V9aYcwOZTrmc_2SUsg"",""2026-27!AN3"")"),0.0)</f>
        <v>0</v>
      </c>
      <c r="CJ70" s="59">
        <f>IFERROR(__xludf.DUMMYFUNCTION("IMPORTRANGE(""171w6KRBV2rba0q9n8Gbz_2pG5V9aYcwOZTrmc_2SUsg"",""2026-27!AO4"")"),0.0)</f>
        <v>0</v>
      </c>
      <c r="CK70" s="59">
        <f>IFERROR(__xludf.DUMMYFUNCTION("IMPORTRANGE(""171w6KRBV2rba0q9n8Gbz_2pG5V9aYcwOZTrmc_2SUsg"",""2026-27!AO3"")"),0.0)</f>
        <v>0</v>
      </c>
      <c r="CL70" s="63" t="str">
        <f t="shared" si="91"/>
        <v/>
      </c>
      <c r="CM70" s="59">
        <f>IFERROR(__xludf.DUMMYFUNCTION("IMPORTRANGE(""171w6KRBV2rba0q9n8Gbz_2pG5V9aYcwOZTrmc_2SUsg"",""2026-27!AP4"")"),0.0)</f>
        <v>0</v>
      </c>
      <c r="CN70" s="59">
        <f>IFERROR(__xludf.DUMMYFUNCTION("IMPORTRANGE(""171w6KRBV2rba0q9n8Gbz_2pG5V9aYcwOZTrmc_2SUsg"",""2026-27!AP3"")"),0.0)</f>
        <v>0</v>
      </c>
      <c r="CO70" s="59">
        <f>IFERROR(__xludf.DUMMYFUNCTION("IMPORTRANGE(""171w6KRBV2rba0q9n8Gbz_2pG5V9aYcwOZTrmc_2SUsg"",""2026-27!AQ4"")"),0.0)</f>
        <v>0</v>
      </c>
      <c r="CP70" s="59">
        <f>IFERROR(__xludf.DUMMYFUNCTION("IMPORTRANGE(""171w6KRBV2rba0q9n8Gbz_2pG5V9aYcwOZTrmc_2SUsg"",""2026-27!AQ3"")"),0.0)</f>
        <v>0</v>
      </c>
      <c r="CQ70" s="59">
        <f>IFERROR(__xludf.DUMMYFUNCTION("IMPORTRANGE(""171w6KRBV2rba0q9n8Gbz_2pG5V9aYcwOZTrmc_2SUsg"",""2026-27!AR4"")"),0.0)</f>
        <v>0</v>
      </c>
      <c r="CR70" s="59">
        <f>IFERROR(__xludf.DUMMYFUNCTION("IMPORTRANGE(""171w6KRBV2rba0q9n8Gbz_2pG5V9aYcwOZTrmc_2SUsg"",""2026-27!AR3"")"),0.0)</f>
        <v>0</v>
      </c>
      <c r="CS70" s="63" t="str">
        <f t="shared" si="92"/>
        <v/>
      </c>
      <c r="CT70" s="59">
        <f>IFERROR(__xludf.DUMMYFUNCTION("IMPORTRANGE(""171w6KRBV2rba0q9n8Gbz_2pG5V9aYcwOZTrmc_2SUsg"",""2026-27!AS4"")"),0.0)</f>
        <v>0</v>
      </c>
      <c r="CU70" s="59">
        <f>IFERROR(__xludf.DUMMYFUNCTION("IMPORTRANGE(""171w6KRBV2rba0q9n8Gbz_2pG5V9aYcwOZTrmc_2SUsg"",""2026-27!AS3"")"),0.0)</f>
        <v>0</v>
      </c>
      <c r="CV70" s="64"/>
    </row>
    <row r="71">
      <c r="A71" s="1" t="s">
        <v>103</v>
      </c>
      <c r="B71" s="41"/>
      <c r="C71" s="108" t="s">
        <v>146</v>
      </c>
      <c r="D71" s="72" t="s">
        <v>147</v>
      </c>
      <c r="E71" s="72">
        <v>7.000720053E9</v>
      </c>
      <c r="F71" s="84">
        <v>45839.0</v>
      </c>
      <c r="G71" s="66"/>
      <c r="H71" s="66"/>
      <c r="I71" s="57">
        <v>27800.0</v>
      </c>
      <c r="J71" s="58">
        <v>1650000.0</v>
      </c>
      <c r="K71" s="59">
        <f>IFERROR(__xludf.DUMMYFUNCTION("IMPORTRANGE(""1dUp9H9fQ-eRdYYXUl4RfyqoZHopWcp6rvHiswO-8olc"",""2026-27!A3"")"),90.0)</f>
        <v>90</v>
      </c>
      <c r="L71" s="59">
        <f>IFERROR(__xludf.DUMMYFUNCTION("IMPORTRANGE(""1dUp9H9fQ-eRdYYXUl4RfyqoZHopWcp6rvHiswO-8olc"",""2026-27!G4"")"),2.12E7)</f>
        <v>21200000</v>
      </c>
      <c r="M71" s="59">
        <f t="shared" si="95"/>
        <v>3281351.83</v>
      </c>
      <c r="N71" s="60">
        <f t="shared" si="79"/>
        <v>0.1457255189</v>
      </c>
      <c r="O71" s="61">
        <f t="shared" si="96"/>
        <v>3089381</v>
      </c>
      <c r="P71" s="59">
        <f>IFERROR(__xludf.DUMMYFUNCTION("IMPORTRANGE(""1dUp9H9fQ-eRdYYXUl4RfyqoZHopWcp6rvHiswO-8olc"",""2026-27!J4"")"),1760000.0)</f>
        <v>1760000</v>
      </c>
      <c r="Q71" s="59">
        <f>IFERROR(__xludf.DUMMYFUNCTION("IMPORTRANGE(""1dUp9H9fQ-eRdYYXUl4RfyqoZHopWcp6rvHiswO-8olc"",""2026-27!J3"")"),89.0)</f>
        <v>89</v>
      </c>
      <c r="R71" s="59">
        <f>IFERROR(__xludf.DUMMYFUNCTION("IMPORTRANGE(""1dUp9H9fQ-eRdYYXUl4RfyqoZHopWcp6rvHiswO-8olc"",""2026-27!K4"")"),1176481.1699999997)</f>
        <v>1176481.17</v>
      </c>
      <c r="S71" s="59">
        <f>IFERROR(__xludf.DUMMYFUNCTION("IMPORTRANGE(""1dUp9H9fQ-eRdYYXUl4RfyqoZHopWcp6rvHiswO-8olc"",""2026-27!K3"")"),35.0)</f>
        <v>35</v>
      </c>
      <c r="T71" s="62">
        <f t="shared" si="81"/>
        <v>0.6049988636</v>
      </c>
      <c r="U71" s="59">
        <f>IFERROR(__xludf.DUMMYFUNCTION("IMPORTRANGE(""1dUp9H9fQ-eRdYYXUl4RfyqoZHopWcp6rvHiswO-8olc"",""2026-27!L4"")"),1064798.0)</f>
        <v>1064798</v>
      </c>
      <c r="V71" s="59">
        <f>IFERROR(__xludf.DUMMYFUNCTION("IMPORTRANGE(""1dUp9H9fQ-eRdYYXUl4RfyqoZHopWcp6rvHiswO-8olc"",""2026-27!L3"")"),33.0)</f>
        <v>33</v>
      </c>
      <c r="W71" s="59">
        <f>IFERROR(__xludf.DUMMYFUNCTION("IMPORTRANGE(""1dUp9H9fQ-eRdYYXUl4RfyqoZHopWcp6rvHiswO-8olc"",""2026-27!m4"")"),1710000.0)</f>
        <v>1710000</v>
      </c>
      <c r="X71" s="59">
        <f>IFERROR(__xludf.DUMMYFUNCTION("IMPORTRANGE(""1dUp9H9fQ-eRdYYXUl4RfyqoZHopWcp6rvHiswO-8olc"",""2026-27!m3"")"),89.0)</f>
        <v>89</v>
      </c>
      <c r="Y71" s="59">
        <f>IFERROR(__xludf.DUMMYFUNCTION("IMPORTRANGE(""1dUp9H9fQ-eRdYYXUl4RfyqoZHopWcp6rvHiswO-8olc"",""2026-27!N4"")"),939839.1700000002)</f>
        <v>939839.17</v>
      </c>
      <c r="Z71" s="59">
        <f>IFERROR(__xludf.DUMMYFUNCTION("IMPORTRANGE(""1dUp9H9fQ-eRdYYXUl4RfyqoZHopWcp6rvHiswO-8olc"",""2026-27!N3"")"),29.0)</f>
        <v>29</v>
      </c>
      <c r="AA71" s="62">
        <f t="shared" si="82"/>
        <v>0.5319660819</v>
      </c>
      <c r="AB71" s="59">
        <f>IFERROR(__xludf.DUMMYFUNCTION("IMPORTRANGE(""1dUp9H9fQ-eRdYYXUl4RfyqoZHopWcp6rvHiswO-8olc"",""2026-27!O4"")"),909662.0)</f>
        <v>909662</v>
      </c>
      <c r="AC71" s="59">
        <f>IFERROR(__xludf.DUMMYFUNCTION("IMPORTRANGE(""1dUp9H9fQ-eRdYYXUl4RfyqoZHopWcp6rvHiswO-8olc"",""2026-27!O3"")"),29.0)</f>
        <v>29</v>
      </c>
      <c r="AD71" s="59">
        <f>IFERROR(__xludf.DUMMYFUNCTION("IMPORTRANGE(""1dUp9H9fQ-eRdYYXUl4RfyqoZHopWcp6rvHiswO-8olc"",""2026-27!P4"")"),1715000.0)</f>
        <v>1715000</v>
      </c>
      <c r="AE71" s="59">
        <f>IFERROR(__xludf.DUMMYFUNCTION("IMPORTRANGE(""1dUp9H9fQ-eRdYYXUl4RfyqoZHopWcp6rvHiswO-8olc"",""2026-27!P3"")"),89.0)</f>
        <v>89</v>
      </c>
      <c r="AF71" s="59">
        <f>IFERROR(__xludf.DUMMYFUNCTION("IMPORTRANGE(""1dUp9H9fQ-eRdYYXUl4RfyqoZHopWcp6rvHiswO-8olc"",""2026-27!Q4"")"),1165031.49)</f>
        <v>1165031.49</v>
      </c>
      <c r="AG71" s="59">
        <f>IFERROR(__xludf.DUMMYFUNCTION("IMPORTRANGE(""1dUp9H9fQ-eRdYYXUl4RfyqoZHopWcp6rvHiswO-8olc"",""2026-27!Q3"")"),36.0)</f>
        <v>36</v>
      </c>
      <c r="AH71" s="62">
        <f t="shared" si="83"/>
        <v>0.6500997085</v>
      </c>
      <c r="AI71" s="59">
        <f>IFERROR(__xludf.DUMMYFUNCTION("IMPORTRANGE(""1dUp9H9fQ-eRdYYXUl4RfyqoZHopWcp6rvHiswO-8olc"",""2026-27!R4"")"),1114921.0)</f>
        <v>1114921</v>
      </c>
      <c r="AJ71" s="59">
        <f>IFERROR(__xludf.DUMMYFUNCTION("IMPORTRANGE(""1dUp9H9fQ-eRdYYXUl4RfyqoZHopWcp6rvHiswO-8olc"",""2026-27!R3"")"),36.0)</f>
        <v>36</v>
      </c>
      <c r="AK71" s="59">
        <f>IFERROR(__xludf.DUMMYFUNCTION("IMPORTRANGE(""1dUp9H9fQ-eRdYYXUl4RfyqoZHopWcp6rvHiswO-8olc"",""2026-27!S4"")"),0.0)</f>
        <v>0</v>
      </c>
      <c r="AL71" s="59">
        <f>IFERROR(__xludf.DUMMYFUNCTION("IMPORTRANGE(""1dUp9H9fQ-eRdYYXUl4RfyqoZHopWcp6rvHiswO-8olc"",""2026-27!S3"")"),0.0)</f>
        <v>0</v>
      </c>
      <c r="AM71" s="59">
        <f>IFERROR(__xludf.DUMMYFUNCTION("IMPORTRANGE(""1dUp9H9fQ-eRdYYXUl4RfyqoZHopWcp6rvHiswO-8olc"",""2026-27!T4"")"),0.0)</f>
        <v>0</v>
      </c>
      <c r="AN71" s="59">
        <f>IFERROR(__xludf.DUMMYFUNCTION("IMPORTRANGE(""1dUp9H9fQ-eRdYYXUl4RfyqoZHopWcp6rvHiswO-8olc"",""2026-27!T3"")"),0.0)</f>
        <v>0</v>
      </c>
      <c r="AO71" s="62" t="str">
        <f t="shared" si="84"/>
        <v/>
      </c>
      <c r="AP71" s="59">
        <f>IFERROR(__xludf.DUMMYFUNCTION("IMPORTRANGE(""1dUp9H9fQ-eRdYYXUl4RfyqoZHopWcp6rvHiswO-8olc"",""2026-27!U4"")"),0.0)</f>
        <v>0</v>
      </c>
      <c r="AQ71" s="59">
        <f>IFERROR(__xludf.DUMMYFUNCTION("IMPORTRANGE(""1dUp9H9fQ-eRdYYXUl4RfyqoZHopWcp6rvHiswO-8olc"",""2026-27!U3"")"),0.0)</f>
        <v>0</v>
      </c>
      <c r="AR71" s="59">
        <f>IFERROR(__xludf.DUMMYFUNCTION("IMPORTRANGE(""1dUp9H9fQ-eRdYYXUl4RfyqoZHopWcp6rvHiswO-8olc"",""2026-27!V4"")"),0.0)</f>
        <v>0</v>
      </c>
      <c r="AS71" s="59">
        <f>IFERROR(__xludf.DUMMYFUNCTION("IMPORTRANGE(""1dUp9H9fQ-eRdYYXUl4RfyqoZHopWcp6rvHiswO-8olc"",""2026-27!V3"")"),0.0)</f>
        <v>0</v>
      </c>
      <c r="AT71" s="59">
        <f>IFERROR(__xludf.DUMMYFUNCTION("IMPORTRANGE(""1dUp9H9fQ-eRdYYXUl4RfyqoZHopWcp6rvHiswO-8olc"",""2026-27!W4"")"),0.0)</f>
        <v>0</v>
      </c>
      <c r="AU71" s="59">
        <f>IFERROR(__xludf.DUMMYFUNCTION("IMPORTRANGE(""1dUp9H9fQ-eRdYYXUl4RfyqoZHopWcp6rvHiswO-8olc"",""2026-27!W3"")"),0.0)</f>
        <v>0</v>
      </c>
      <c r="AV71" s="62" t="str">
        <f t="shared" si="85"/>
        <v/>
      </c>
      <c r="AW71" s="59">
        <f>IFERROR(__xludf.DUMMYFUNCTION("IMPORTRANGE(""1dUp9H9fQ-eRdYYXUl4RfyqoZHopWcp6rvHiswO-8olc"",""2026-27!X4"")"),0.0)</f>
        <v>0</v>
      </c>
      <c r="AX71" s="59">
        <f>IFERROR(__xludf.DUMMYFUNCTION("IMPORTRANGE(""1dUp9H9fQ-eRdYYXUl4RfyqoZHopWcp6rvHiswO-8olc"",""2026-27!X3"")"),0.0)</f>
        <v>0</v>
      </c>
      <c r="AY71" s="59">
        <f>IFERROR(__xludf.DUMMYFUNCTION("IMPORTRANGE(""1dUp9H9fQ-eRdYYXUl4RfyqoZHopWcp6rvHiswO-8olc"",""2026-27!Y4"")"),0.0)</f>
        <v>0</v>
      </c>
      <c r="AZ71" s="59">
        <f>IFERROR(__xludf.DUMMYFUNCTION("IMPORTRANGE(""1dUp9H9fQ-eRdYYXUl4RfyqoZHopWcp6rvHiswO-8olc"",""2026-27!Y3"")"),0.0)</f>
        <v>0</v>
      </c>
      <c r="BA71" s="59">
        <f>IFERROR(__xludf.DUMMYFUNCTION("IMPORTRANGE(""1dUp9H9fQ-eRdYYXUl4RfyqoZHopWcp6rvHiswO-8olc"",""2026-27!Z4"")"),0.0)</f>
        <v>0</v>
      </c>
      <c r="BB71" s="59">
        <f>IFERROR(__xludf.DUMMYFUNCTION("IMPORTRANGE(""1dUp9H9fQ-eRdYYXUl4RfyqoZHopWcp6rvHiswO-8olc"",""2026-27!Z3"")"),0.0)</f>
        <v>0</v>
      </c>
      <c r="BC71" s="63" t="str">
        <f t="shared" si="86"/>
        <v/>
      </c>
      <c r="BD71" s="59">
        <f>IFERROR(__xludf.DUMMYFUNCTION("IMPORTRANGE(""1dUp9H9fQ-eRdYYXUl4RfyqoZHopWcp6rvHiswO-8olc"",""2026-27!AA4"")"),0.0)</f>
        <v>0</v>
      </c>
      <c r="BE71" s="59">
        <f>IFERROR(__xludf.DUMMYFUNCTION("IMPORTRANGE(""1dUp9H9fQ-eRdYYXUl4RfyqoZHopWcp6rvHiswO-8olc"",""2026-27!AA3"")"),0.0)</f>
        <v>0</v>
      </c>
      <c r="BF71" s="59">
        <f>IFERROR(__xludf.DUMMYFUNCTION("IMPORTRANGE(""1dUp9H9fQ-eRdYYXUl4RfyqoZHopWcp6rvHiswO-8olc"",""2026-27!AB4"")"),0.0)</f>
        <v>0</v>
      </c>
      <c r="BG71" s="59">
        <f>IFERROR(__xludf.DUMMYFUNCTION("IMPORTRANGE(""1dUp9H9fQ-eRdYYXUl4RfyqoZHopWcp6rvHiswO-8olc"",""2026-27!AB3"")"),0.0)</f>
        <v>0</v>
      </c>
      <c r="BH71" s="59">
        <f>IFERROR(__xludf.DUMMYFUNCTION("IMPORTRANGE(""1dUp9H9fQ-eRdYYXUl4RfyqoZHopWcp6rvHiswO-8olc"",""2026-27!AC4"")"),0.0)</f>
        <v>0</v>
      </c>
      <c r="BI71" s="59">
        <f>IFERROR(__xludf.DUMMYFUNCTION("IMPORTRANGE(""1dUp9H9fQ-eRdYYXUl4RfyqoZHopWcp6rvHiswO-8olc"",""2026-27!AC3"")"),0.0)</f>
        <v>0</v>
      </c>
      <c r="BJ71" s="63" t="str">
        <f t="shared" si="87"/>
        <v/>
      </c>
      <c r="BK71" s="59">
        <f>IFERROR(__xludf.DUMMYFUNCTION("IMPORTRANGE(""1dUp9H9fQ-eRdYYXUl4RfyqoZHopWcp6rvHiswO-8olc"",""2026-27!AD4"")"),0.0)</f>
        <v>0</v>
      </c>
      <c r="BL71" s="59">
        <f>IFERROR(__xludf.DUMMYFUNCTION("IMPORTRANGE(""1dUp9H9fQ-eRdYYXUl4RfyqoZHopWcp6rvHiswO-8olc"",""2026-27!AD3"")"),0.0)</f>
        <v>0</v>
      </c>
      <c r="BM71" s="59">
        <f>IFERROR(__xludf.DUMMYFUNCTION("IMPORTRANGE(""1dUp9H9fQ-eRdYYXUl4RfyqoZHopWcp6rvHiswO-8olc"",""2026-27!AE4"")"),0.0)</f>
        <v>0</v>
      </c>
      <c r="BN71" s="59">
        <f>IFERROR(__xludf.DUMMYFUNCTION("IMPORTRANGE(""1dUp9H9fQ-eRdYYXUl4RfyqoZHopWcp6rvHiswO-8olc"",""2026-27!AE3"")"),0.0)</f>
        <v>0</v>
      </c>
      <c r="BO71" s="59">
        <f>IFERROR(__xludf.DUMMYFUNCTION("IMPORTRANGE(""1dUp9H9fQ-eRdYYXUl4RfyqoZHopWcp6rvHiswO-8olc"",""2026-27!AF4"")"),0.0)</f>
        <v>0</v>
      </c>
      <c r="BP71" s="59">
        <f>IFERROR(__xludf.DUMMYFUNCTION("IMPORTRANGE(""1dUp9H9fQ-eRdYYXUl4RfyqoZHopWcp6rvHiswO-8olc"",""2026-27!AF3"")"),0.0)</f>
        <v>0</v>
      </c>
      <c r="BQ71" s="63" t="str">
        <f t="shared" si="88"/>
        <v/>
      </c>
      <c r="BR71" s="59">
        <f>IFERROR(__xludf.DUMMYFUNCTION("IMPORTRANGE(""1dUp9H9fQ-eRdYYXUl4RfyqoZHopWcp6rvHiswO-8olc"",""2026-27!AG4"")"),0.0)</f>
        <v>0</v>
      </c>
      <c r="BS71" s="59">
        <f>IFERROR(__xludf.DUMMYFUNCTION("IMPORTRANGE(""1dUp9H9fQ-eRdYYXUl4RfyqoZHopWcp6rvHiswO-8olc"",""2026-27!AG3"")"),0.0)</f>
        <v>0</v>
      </c>
      <c r="BT71" s="59">
        <f>IFERROR(__xludf.DUMMYFUNCTION("IMPORTRANGE(""1dUp9H9fQ-eRdYYXUl4RfyqoZHopWcp6rvHiswO-8olc"",""2026-27!AH4"")"),0.0)</f>
        <v>0</v>
      </c>
      <c r="BU71" s="59">
        <f>IFERROR(__xludf.DUMMYFUNCTION("IMPORTRANGE(""1dUp9H9fQ-eRdYYXUl4RfyqoZHopWcp6rvHiswO-8olc"",""2026-27!AH3"")"),0.0)</f>
        <v>0</v>
      </c>
      <c r="BV71" s="59">
        <f>IFERROR(__xludf.DUMMYFUNCTION("IMPORTRANGE(""1dUp9H9fQ-eRdYYXUl4RfyqoZHopWcp6rvHiswO-8olc"",""2026-27!AI4"")"),0.0)</f>
        <v>0</v>
      </c>
      <c r="BW71" s="59">
        <f>IFERROR(__xludf.DUMMYFUNCTION("IMPORTRANGE(""1dUp9H9fQ-eRdYYXUl4RfyqoZHopWcp6rvHiswO-8olc"",""2026-27!AI3"")"),0.0)</f>
        <v>0</v>
      </c>
      <c r="BX71" s="63" t="str">
        <f t="shared" si="89"/>
        <v/>
      </c>
      <c r="BY71" s="59">
        <f>IFERROR(__xludf.DUMMYFUNCTION("IMPORTRANGE(""1dUp9H9fQ-eRdYYXUl4RfyqoZHopWcp6rvHiswO-8olc"",""2026-27!AJ4"")"),0.0)</f>
        <v>0</v>
      </c>
      <c r="BZ71" s="59">
        <f>IFERROR(__xludf.DUMMYFUNCTION("IMPORTRANGE(""1dUp9H9fQ-eRdYYXUl4RfyqoZHopWcp6rvHiswO-8olc"",""2026-27!AJ3"")"),0.0)</f>
        <v>0</v>
      </c>
      <c r="CA71" s="59">
        <f>IFERROR(__xludf.DUMMYFUNCTION("IMPORTRANGE(""1dUp9H9fQ-eRdYYXUl4RfyqoZHopWcp6rvHiswO-8olc"",""2026-27!AK4"")"),0.0)</f>
        <v>0</v>
      </c>
      <c r="CB71" s="59">
        <f>IFERROR(__xludf.DUMMYFUNCTION("IMPORTRANGE(""1dUp9H9fQ-eRdYYXUl4RfyqoZHopWcp6rvHiswO-8olc"",""2026-27!AK3"")"),0.0)</f>
        <v>0</v>
      </c>
      <c r="CC71" s="59">
        <f>IFERROR(__xludf.DUMMYFUNCTION("IMPORTRANGE(""1dUp9H9fQ-eRdYYXUl4RfyqoZHopWcp6rvHiswO-8olc"",""2026-27!AL4"")"),0.0)</f>
        <v>0</v>
      </c>
      <c r="CD71" s="59">
        <f>IFERROR(__xludf.DUMMYFUNCTION("IMPORTRANGE(""1dUp9H9fQ-eRdYYXUl4RfyqoZHopWcp6rvHiswO-8olc"",""2026-27!AL3"")"),0.0)</f>
        <v>0</v>
      </c>
      <c r="CE71" s="63" t="str">
        <f t="shared" si="90"/>
        <v/>
      </c>
      <c r="CF71" s="59">
        <f>IFERROR(__xludf.DUMMYFUNCTION("IMPORTRANGE(""1dUp9H9fQ-eRdYYXUl4RfyqoZHopWcp6rvHiswO-8olc"",""2026-27!AM4"")"),0.0)</f>
        <v>0</v>
      </c>
      <c r="CG71" s="59">
        <f>IFERROR(__xludf.DUMMYFUNCTION("IMPORTRANGE(""1dUp9H9fQ-eRdYYXUl4RfyqoZHopWcp6rvHiswO-8olc"",""2026-27!AM3"")"),0.0)</f>
        <v>0</v>
      </c>
      <c r="CH71" s="59">
        <f>IFERROR(__xludf.DUMMYFUNCTION("IMPORTRANGE(""1dUp9H9fQ-eRdYYXUl4RfyqoZHopWcp6rvHiswO-8olc"",""2026-27!AN4"")"),0.0)</f>
        <v>0</v>
      </c>
      <c r="CI71" s="59">
        <f>IFERROR(__xludf.DUMMYFUNCTION("IMPORTRANGE(""1dUp9H9fQ-eRdYYXUl4RfyqoZHopWcp6rvHiswO-8olc"",""2026-27!AN3"")"),0.0)</f>
        <v>0</v>
      </c>
      <c r="CJ71" s="59">
        <f>IFERROR(__xludf.DUMMYFUNCTION("IMPORTRANGE(""1dUp9H9fQ-eRdYYXUl4RfyqoZHopWcp6rvHiswO-8olc"",""2026-27!AO4"")"),0.0)</f>
        <v>0</v>
      </c>
      <c r="CK71" s="59">
        <f>IFERROR(__xludf.DUMMYFUNCTION("IMPORTRANGE(""1dUp9H9fQ-eRdYYXUl4RfyqoZHopWcp6rvHiswO-8olc"",""2026-27!AO3"")"),0.0)</f>
        <v>0</v>
      </c>
      <c r="CL71" s="63" t="str">
        <f t="shared" si="91"/>
        <v/>
      </c>
      <c r="CM71" s="59">
        <f>IFERROR(__xludf.DUMMYFUNCTION("IMPORTRANGE(""1dUp9H9fQ-eRdYYXUl4RfyqoZHopWcp6rvHiswO-8olc"",""2026-27!AP4"")"),0.0)</f>
        <v>0</v>
      </c>
      <c r="CN71" s="59">
        <f>IFERROR(__xludf.DUMMYFUNCTION("IMPORTRANGE(""1dUp9H9fQ-eRdYYXUl4RfyqoZHopWcp6rvHiswO-8olc"",""2026-27!AP3"")"),0.0)</f>
        <v>0</v>
      </c>
      <c r="CO71" s="59">
        <f>IFERROR(__xludf.DUMMYFUNCTION("IMPORTRANGE(""1dUp9H9fQ-eRdYYXUl4RfyqoZHopWcp6rvHiswO-8olc"",""2026-27!AQ4"")"),0.0)</f>
        <v>0</v>
      </c>
      <c r="CP71" s="59">
        <f>IFERROR(__xludf.DUMMYFUNCTION("IMPORTRANGE(""1dUp9H9fQ-eRdYYXUl4RfyqoZHopWcp6rvHiswO-8olc"",""2026-27!AQ3"")"),0.0)</f>
        <v>0</v>
      </c>
      <c r="CQ71" s="59">
        <f>IFERROR(__xludf.DUMMYFUNCTION("IMPORTRANGE(""1dUp9H9fQ-eRdYYXUl4RfyqoZHopWcp6rvHiswO-8olc"",""2026-27!AR4"")"),0.0)</f>
        <v>0</v>
      </c>
      <c r="CR71" s="59">
        <f>IFERROR(__xludf.DUMMYFUNCTION("IMPORTRANGE(""1dUp9H9fQ-eRdYYXUl4RfyqoZHopWcp6rvHiswO-8olc"",""2026-27!AR3"")"),0.0)</f>
        <v>0</v>
      </c>
      <c r="CS71" s="63" t="str">
        <f t="shared" si="92"/>
        <v/>
      </c>
      <c r="CT71" s="59">
        <f>IFERROR(__xludf.DUMMYFUNCTION("IMPORTRANGE(""1dUp9H9fQ-eRdYYXUl4RfyqoZHopWcp6rvHiswO-8olc"",""2026-27!AS4"")"),0.0)</f>
        <v>0</v>
      </c>
      <c r="CU71" s="59">
        <f>IFERROR(__xludf.DUMMYFUNCTION("IMPORTRANGE(""1dUp9H9fQ-eRdYYXUl4RfyqoZHopWcp6rvHiswO-8olc"",""2026-27!AS3"")"),0.0)</f>
        <v>0</v>
      </c>
      <c r="CV71" s="64"/>
    </row>
    <row r="72">
      <c r="A72" s="1" t="s">
        <v>103</v>
      </c>
      <c r="B72" s="41"/>
      <c r="C72" s="68" t="s">
        <v>148</v>
      </c>
      <c r="D72" s="72" t="s">
        <v>149</v>
      </c>
      <c r="E72" s="72">
        <v>9.755144809E9</v>
      </c>
      <c r="F72" s="84">
        <v>45964.0</v>
      </c>
      <c r="G72" s="66"/>
      <c r="H72" s="66"/>
      <c r="I72" s="74">
        <v>36190.0</v>
      </c>
      <c r="J72" s="58">
        <v>1550000.0</v>
      </c>
      <c r="K72" s="59">
        <f>IFERROR(__xludf.DUMMYFUNCTION("IMPORTRANGE(""1cOCCtQejZMOc5M-X_uBY6P5Whx2uTl85m-_57_mUQg0"",""2026-27!A3"")"),93.0)</f>
        <v>93</v>
      </c>
      <c r="L72" s="59">
        <f>IFERROR(__xludf.DUMMYFUNCTION("IMPORTRANGE(""1cOCCtQejZMOc5M-X_uBY6P5Whx2uTl85m-_57_mUQg0"",""2026-27!G4"")"),1.495E7)</f>
        <v>14950000</v>
      </c>
      <c r="M72" s="59">
        <f t="shared" si="95"/>
        <v>1403769.37</v>
      </c>
      <c r="N72" s="60">
        <f t="shared" si="79"/>
        <v>0.05252555184</v>
      </c>
      <c r="O72" s="61">
        <f t="shared" si="96"/>
        <v>785257</v>
      </c>
      <c r="P72" s="59">
        <f>IFERROR(__xludf.DUMMYFUNCTION("IMPORTRANGE(""1cOCCtQejZMOc5M-X_uBY6P5Whx2uTl85m-_57_mUQg0"",""2026-27!J4"")"),0.0)</f>
        <v>0</v>
      </c>
      <c r="Q72" s="59">
        <f>IFERROR(__xludf.DUMMYFUNCTION("IMPORTRANGE(""1cOCCtQejZMOc5M-X_uBY6P5Whx2uTl85m-_57_mUQg0"",""2026-27!J3"")"),0.0)</f>
        <v>0</v>
      </c>
      <c r="R72" s="59">
        <f>IFERROR(__xludf.DUMMYFUNCTION("IMPORTRANGE(""1cOCCtQejZMOc5M-X_uBY6P5Whx2uTl85m-_57_mUQg0"",""2026-27!K4"")"),215759.6)</f>
        <v>215759.6</v>
      </c>
      <c r="S72" s="59">
        <f>IFERROR(__xludf.DUMMYFUNCTION("IMPORTRANGE(""1cOCCtQejZMOc5M-X_uBY6P5Whx2uTl85m-_57_mUQg0"",""2026-27!K3"")"),13.0)</f>
        <v>13</v>
      </c>
      <c r="T72" s="62" t="str">
        <f t="shared" si="81"/>
        <v/>
      </c>
      <c r="U72" s="59">
        <f>IFERROR(__xludf.DUMMYFUNCTION("IMPORTRANGE(""1cOCCtQejZMOc5M-X_uBY6P5Whx2uTl85m-_57_mUQg0"",""2026-27!L4"")"),394072.0)</f>
        <v>394072</v>
      </c>
      <c r="V72" s="59">
        <f>IFERROR(__xludf.DUMMYFUNCTION("IMPORTRANGE(""1cOCCtQejZMOc5M-X_uBY6P5Whx2uTl85m-_57_mUQg0"",""2026-27!L3"")"),11.0)</f>
        <v>11</v>
      </c>
      <c r="W72" s="59">
        <f>IFERROR(__xludf.DUMMYFUNCTION("IMPORTRANGE(""1cOCCtQejZMOc5M-X_uBY6P5Whx2uTl85m-_57_mUQg0"",""2026-27!m4"")"),1281476.0)</f>
        <v>1281476</v>
      </c>
      <c r="X72" s="59">
        <f>IFERROR(__xludf.DUMMYFUNCTION("IMPORTRANGE(""1cOCCtQejZMOc5M-X_uBY6P5Whx2uTl85m-_57_mUQg0"",""2026-27!m3"")"),87.0)</f>
        <v>87</v>
      </c>
      <c r="Y72" s="59">
        <f>IFERROR(__xludf.DUMMYFUNCTION("IMPORTRANGE(""1cOCCtQejZMOc5M-X_uBY6P5Whx2uTl85m-_57_mUQg0"",""2026-27!N4"")"),417765.76999999996)</f>
        <v>417765.77</v>
      </c>
      <c r="Z72" s="59">
        <f>IFERROR(__xludf.DUMMYFUNCTION("IMPORTRANGE(""1cOCCtQejZMOc5M-X_uBY6P5Whx2uTl85m-_57_mUQg0"",""2026-27!N3"")"),27.0)</f>
        <v>27</v>
      </c>
      <c r="AA72" s="62">
        <f t="shared" si="82"/>
        <v>0.3052612768</v>
      </c>
      <c r="AB72" s="59">
        <f>IFERROR(__xludf.DUMMYFUNCTION("IMPORTRANGE(""1cOCCtQejZMOc5M-X_uBY6P5Whx2uTl85m-_57_mUQg0"",""2026-27!O4"")"),391185.0)</f>
        <v>391185</v>
      </c>
      <c r="AC72" s="59">
        <f>IFERROR(__xludf.DUMMYFUNCTION("IMPORTRANGE(""1cOCCtQejZMOc5M-X_uBY6P5Whx2uTl85m-_57_mUQg0"",""2026-27!O3"")"),25.0)</f>
        <v>25</v>
      </c>
      <c r="AD72" s="59">
        <f>IFERROR(__xludf.DUMMYFUNCTION("IMPORTRANGE(""1cOCCtQejZMOc5M-X_uBY6P5Whx2uTl85m-_57_mUQg0"",""2026-27!P4"")"),1281476.0)</f>
        <v>1281476</v>
      </c>
      <c r="AE72" s="59">
        <f>IFERROR(__xludf.DUMMYFUNCTION("IMPORTRANGE(""1cOCCtQejZMOc5M-X_uBY6P5Whx2uTl85m-_57_mUQg0"",""2026-27!P3"")"),87.0)</f>
        <v>87</v>
      </c>
      <c r="AF72" s="59">
        <f>IFERROR(__xludf.DUMMYFUNCTION("IMPORTRANGE(""1cOCCtQejZMOc5M-X_uBY6P5Whx2uTl85m-_57_mUQg0"",""2026-27!Q4"")"),770244.0)</f>
        <v>770244</v>
      </c>
      <c r="AG72" s="59">
        <f>IFERROR(__xludf.DUMMYFUNCTION("IMPORTRANGE(""1cOCCtQejZMOc5M-X_uBY6P5Whx2uTl85m-_57_mUQg0"",""2026-27!Q3"")"),32.0)</f>
        <v>32</v>
      </c>
      <c r="AH72" s="62">
        <f t="shared" si="83"/>
        <v>0</v>
      </c>
      <c r="AI72" s="59">
        <f>IFERROR(__xludf.DUMMYFUNCTION("IMPORTRANGE(""1cOCCtQejZMOc5M-X_uBY6P5Whx2uTl85m-_57_mUQg0"",""2026-27!R4"")"),0.0)</f>
        <v>0</v>
      </c>
      <c r="AJ72" s="59">
        <f>IFERROR(__xludf.DUMMYFUNCTION("IMPORTRANGE(""1cOCCtQejZMOc5M-X_uBY6P5Whx2uTl85m-_57_mUQg0"",""2026-27!R3"")"),0.0)</f>
        <v>0</v>
      </c>
      <c r="AK72" s="59">
        <f>IFERROR(__xludf.DUMMYFUNCTION("IMPORTRANGE(""1cOCCtQejZMOc5M-X_uBY6P5Whx2uTl85m-_57_mUQg0"",""2026-27!S4"")"),8333.0)</f>
        <v>8333</v>
      </c>
      <c r="AL72" s="59">
        <f>IFERROR(__xludf.DUMMYFUNCTION("IMPORTRANGE(""1cOCCtQejZMOc5M-X_uBY6P5Whx2uTl85m-_57_mUQg0"",""2026-27!S3"")"),1.0)</f>
        <v>1</v>
      </c>
      <c r="AM72" s="59">
        <f>IFERROR(__xludf.DUMMYFUNCTION("IMPORTRANGE(""1cOCCtQejZMOc5M-X_uBY6P5Whx2uTl85m-_57_mUQg0"",""2026-27!T4"")"),0.0)</f>
        <v>0</v>
      </c>
      <c r="AN72" s="59">
        <f>IFERROR(__xludf.DUMMYFUNCTION("IMPORTRANGE(""1cOCCtQejZMOc5M-X_uBY6P5Whx2uTl85m-_57_mUQg0"",""2026-27!T3"")"),0.0)</f>
        <v>0</v>
      </c>
      <c r="AO72" s="62">
        <f t="shared" si="84"/>
        <v>0</v>
      </c>
      <c r="AP72" s="59">
        <f>IFERROR(__xludf.DUMMYFUNCTION("IMPORTRANGE(""1cOCCtQejZMOc5M-X_uBY6P5Whx2uTl85m-_57_mUQg0"",""2026-27!U4"")"),0.0)</f>
        <v>0</v>
      </c>
      <c r="AQ72" s="59">
        <f>IFERROR(__xludf.DUMMYFUNCTION("IMPORTRANGE(""1cOCCtQejZMOc5M-X_uBY6P5Whx2uTl85m-_57_mUQg0"",""2026-27!U3"")"),0.0)</f>
        <v>0</v>
      </c>
      <c r="AR72" s="59">
        <f>IFERROR(__xludf.DUMMYFUNCTION("IMPORTRANGE(""1cOCCtQejZMOc5M-X_uBY6P5Whx2uTl85m-_57_mUQg0"",""2026-27!V4"")"),0.0)</f>
        <v>0</v>
      </c>
      <c r="AS72" s="59">
        <f>IFERROR(__xludf.DUMMYFUNCTION("IMPORTRANGE(""1cOCCtQejZMOc5M-X_uBY6P5Whx2uTl85m-_57_mUQg0"",""2026-27!V3"")"),0.0)</f>
        <v>0</v>
      </c>
      <c r="AT72" s="59">
        <f>IFERROR(__xludf.DUMMYFUNCTION("IMPORTRANGE(""1cOCCtQejZMOc5M-X_uBY6P5Whx2uTl85m-_57_mUQg0"",""2026-27!W4"")"),0.0)</f>
        <v>0</v>
      </c>
      <c r="AU72" s="59">
        <f>IFERROR(__xludf.DUMMYFUNCTION("IMPORTRANGE(""1cOCCtQejZMOc5M-X_uBY6P5Whx2uTl85m-_57_mUQg0"",""2026-27!W3"")"),0.0)</f>
        <v>0</v>
      </c>
      <c r="AV72" s="62" t="str">
        <f t="shared" si="85"/>
        <v/>
      </c>
      <c r="AW72" s="59">
        <f>IFERROR(__xludf.DUMMYFUNCTION("IMPORTRANGE(""1cOCCtQejZMOc5M-X_uBY6P5Whx2uTl85m-_57_mUQg0"",""2026-27!X4"")"),0.0)</f>
        <v>0</v>
      </c>
      <c r="AX72" s="59">
        <f>IFERROR(__xludf.DUMMYFUNCTION("IMPORTRANGE(""1cOCCtQejZMOc5M-X_uBY6P5Whx2uTl85m-_57_mUQg0"",""2026-27!X3"")"),0.0)</f>
        <v>0</v>
      </c>
      <c r="AY72" s="59">
        <f>IFERROR(__xludf.DUMMYFUNCTION("IMPORTRANGE(""1cOCCtQejZMOc5M-X_uBY6P5Whx2uTl85m-_57_mUQg0"",""2026-27!Y4"")"),0.0)</f>
        <v>0</v>
      </c>
      <c r="AZ72" s="59">
        <f>IFERROR(__xludf.DUMMYFUNCTION("IMPORTRANGE(""1cOCCtQejZMOc5M-X_uBY6P5Whx2uTl85m-_57_mUQg0"",""2026-27!Y3"")"),0.0)</f>
        <v>0</v>
      </c>
      <c r="BA72" s="59">
        <f>IFERROR(__xludf.DUMMYFUNCTION("IMPORTRANGE(""1cOCCtQejZMOc5M-X_uBY6P5Whx2uTl85m-_57_mUQg0"",""2026-27!Z4"")"),0.0)</f>
        <v>0</v>
      </c>
      <c r="BB72" s="59">
        <f>IFERROR(__xludf.DUMMYFUNCTION("IMPORTRANGE(""1cOCCtQejZMOc5M-X_uBY6P5Whx2uTl85m-_57_mUQg0"",""2026-27!Z3"")"),0.0)</f>
        <v>0</v>
      </c>
      <c r="BC72" s="63" t="str">
        <f t="shared" si="86"/>
        <v/>
      </c>
      <c r="BD72" s="59">
        <f>IFERROR(__xludf.DUMMYFUNCTION("IMPORTRANGE(""1cOCCtQejZMOc5M-X_uBY6P5Whx2uTl85m-_57_mUQg0"",""2026-27!AA4"")"),0.0)</f>
        <v>0</v>
      </c>
      <c r="BE72" s="59">
        <f>IFERROR(__xludf.DUMMYFUNCTION("IMPORTRANGE(""1cOCCtQejZMOc5M-X_uBY6P5Whx2uTl85m-_57_mUQg0"",""2026-27!AA3"")"),0.0)</f>
        <v>0</v>
      </c>
      <c r="BF72" s="59">
        <f>IFERROR(__xludf.DUMMYFUNCTION("IMPORTRANGE(""1cOCCtQejZMOc5M-X_uBY6P5Whx2uTl85m-_57_mUQg0"",""2026-27!AB4"")"),0.0)</f>
        <v>0</v>
      </c>
      <c r="BG72" s="59">
        <f>IFERROR(__xludf.DUMMYFUNCTION("IMPORTRANGE(""1cOCCtQejZMOc5M-X_uBY6P5Whx2uTl85m-_57_mUQg0"",""2026-27!AB3"")"),0.0)</f>
        <v>0</v>
      </c>
      <c r="BH72" s="59">
        <f>IFERROR(__xludf.DUMMYFUNCTION("IMPORTRANGE(""1cOCCtQejZMOc5M-X_uBY6P5Whx2uTl85m-_57_mUQg0"",""2026-27!AC4"")"),0.0)</f>
        <v>0</v>
      </c>
      <c r="BI72" s="59">
        <f>IFERROR(__xludf.DUMMYFUNCTION("IMPORTRANGE(""1cOCCtQejZMOc5M-X_uBY6P5Whx2uTl85m-_57_mUQg0"",""2026-27!AC3"")"),0.0)</f>
        <v>0</v>
      </c>
      <c r="BJ72" s="63" t="str">
        <f t="shared" si="87"/>
        <v/>
      </c>
      <c r="BK72" s="59">
        <f>IFERROR(__xludf.DUMMYFUNCTION("IMPORTRANGE(""1cOCCtQejZMOc5M-X_uBY6P5Whx2uTl85m-_57_mUQg0"",""2026-27!AD4"")"),0.0)</f>
        <v>0</v>
      </c>
      <c r="BL72" s="59">
        <f>IFERROR(__xludf.DUMMYFUNCTION("IMPORTRANGE(""1cOCCtQejZMOc5M-X_uBY6P5Whx2uTl85m-_57_mUQg0"",""2026-27!AD3"")"),0.0)</f>
        <v>0</v>
      </c>
      <c r="BM72" s="59">
        <f>IFERROR(__xludf.DUMMYFUNCTION("IMPORTRANGE(""1cOCCtQejZMOc5M-X_uBY6P5Whx2uTl85m-_57_mUQg0"",""2026-27!AE4"")"),0.0)</f>
        <v>0</v>
      </c>
      <c r="BN72" s="59">
        <f>IFERROR(__xludf.DUMMYFUNCTION("IMPORTRANGE(""1cOCCtQejZMOc5M-X_uBY6P5Whx2uTl85m-_57_mUQg0"",""2026-27!AE3"")"),0.0)</f>
        <v>0</v>
      </c>
      <c r="BO72" s="59">
        <f>IFERROR(__xludf.DUMMYFUNCTION("IMPORTRANGE(""1cOCCtQejZMOc5M-X_uBY6P5Whx2uTl85m-_57_mUQg0"",""2026-27!AF4"")"),0.0)</f>
        <v>0</v>
      </c>
      <c r="BP72" s="59">
        <f>IFERROR(__xludf.DUMMYFUNCTION("IMPORTRANGE(""1cOCCtQejZMOc5M-X_uBY6P5Whx2uTl85m-_57_mUQg0"",""2026-27!AF3"")"),0.0)</f>
        <v>0</v>
      </c>
      <c r="BQ72" s="63" t="str">
        <f t="shared" si="88"/>
        <v/>
      </c>
      <c r="BR72" s="59">
        <f>IFERROR(__xludf.DUMMYFUNCTION("IMPORTRANGE(""1cOCCtQejZMOc5M-X_uBY6P5Whx2uTl85m-_57_mUQg0"",""2026-27!AG4"")"),0.0)</f>
        <v>0</v>
      </c>
      <c r="BS72" s="59">
        <f>IFERROR(__xludf.DUMMYFUNCTION("IMPORTRANGE(""1cOCCtQejZMOc5M-X_uBY6P5Whx2uTl85m-_57_mUQg0"",""2026-27!AG3"")"),0.0)</f>
        <v>0</v>
      </c>
      <c r="BT72" s="59">
        <f>IFERROR(__xludf.DUMMYFUNCTION("IMPORTRANGE(""1cOCCtQejZMOc5M-X_uBY6P5Whx2uTl85m-_57_mUQg0"",""2026-27!AH4"")"),0.0)</f>
        <v>0</v>
      </c>
      <c r="BU72" s="59">
        <f>IFERROR(__xludf.DUMMYFUNCTION("IMPORTRANGE(""1cOCCtQejZMOc5M-X_uBY6P5Whx2uTl85m-_57_mUQg0"",""2026-27!AH3"")"),0.0)</f>
        <v>0</v>
      </c>
      <c r="BV72" s="59">
        <f>IFERROR(__xludf.DUMMYFUNCTION("IMPORTRANGE(""1cOCCtQejZMOc5M-X_uBY6P5Whx2uTl85m-_57_mUQg0"",""2026-27!AI4"")"),0.0)</f>
        <v>0</v>
      </c>
      <c r="BW72" s="59">
        <f>IFERROR(__xludf.DUMMYFUNCTION("IMPORTRANGE(""1cOCCtQejZMOc5M-X_uBY6P5Whx2uTl85m-_57_mUQg0"",""2026-27!AI3"")"),0.0)</f>
        <v>0</v>
      </c>
      <c r="BX72" s="63" t="str">
        <f t="shared" si="89"/>
        <v/>
      </c>
      <c r="BY72" s="59">
        <f>IFERROR(__xludf.DUMMYFUNCTION("IMPORTRANGE(""1cOCCtQejZMOc5M-X_uBY6P5Whx2uTl85m-_57_mUQg0"",""2026-27!AJ4"")"),0.0)</f>
        <v>0</v>
      </c>
      <c r="BZ72" s="59">
        <f>IFERROR(__xludf.DUMMYFUNCTION("IMPORTRANGE(""1cOCCtQejZMOc5M-X_uBY6P5Whx2uTl85m-_57_mUQg0"",""2026-27!AJ3"")"),0.0)</f>
        <v>0</v>
      </c>
      <c r="CA72" s="59">
        <f>IFERROR(__xludf.DUMMYFUNCTION("IMPORTRANGE(""1cOCCtQejZMOc5M-X_uBY6P5Whx2uTl85m-_57_mUQg0"",""2026-27!AK4"")"),0.0)</f>
        <v>0</v>
      </c>
      <c r="CB72" s="59">
        <f>IFERROR(__xludf.DUMMYFUNCTION("IMPORTRANGE(""1cOCCtQejZMOc5M-X_uBY6P5Whx2uTl85m-_57_mUQg0"",""2026-27!AK3"")"),0.0)</f>
        <v>0</v>
      </c>
      <c r="CC72" s="59">
        <f>IFERROR(__xludf.DUMMYFUNCTION("IMPORTRANGE(""1cOCCtQejZMOc5M-X_uBY6P5Whx2uTl85m-_57_mUQg0"",""2026-27!AL4"")"),0.0)</f>
        <v>0</v>
      </c>
      <c r="CD72" s="59">
        <f>IFERROR(__xludf.DUMMYFUNCTION("IMPORTRANGE(""1cOCCtQejZMOc5M-X_uBY6P5Whx2uTl85m-_57_mUQg0"",""2026-27!AL3"")"),0.0)</f>
        <v>0</v>
      </c>
      <c r="CE72" s="63" t="str">
        <f t="shared" si="90"/>
        <v/>
      </c>
      <c r="CF72" s="59">
        <f>IFERROR(__xludf.DUMMYFUNCTION("IMPORTRANGE(""1cOCCtQejZMOc5M-X_uBY6P5Whx2uTl85m-_57_mUQg0"",""2026-27!AM4"")"),0.0)</f>
        <v>0</v>
      </c>
      <c r="CG72" s="59">
        <f>IFERROR(__xludf.DUMMYFUNCTION("IMPORTRANGE(""1cOCCtQejZMOc5M-X_uBY6P5Whx2uTl85m-_57_mUQg0"",""2026-27!AM3"")"),0.0)</f>
        <v>0</v>
      </c>
      <c r="CH72" s="59">
        <f>IFERROR(__xludf.DUMMYFUNCTION("IMPORTRANGE(""1cOCCtQejZMOc5M-X_uBY6P5Whx2uTl85m-_57_mUQg0"",""2026-27!AN4"")"),0.0)</f>
        <v>0</v>
      </c>
      <c r="CI72" s="59">
        <f>IFERROR(__xludf.DUMMYFUNCTION("IMPORTRANGE(""1cOCCtQejZMOc5M-X_uBY6P5Whx2uTl85m-_57_mUQg0"",""2026-27!AN3"")"),0.0)</f>
        <v>0</v>
      </c>
      <c r="CJ72" s="59">
        <f>IFERROR(__xludf.DUMMYFUNCTION("IMPORTRANGE(""1cOCCtQejZMOc5M-X_uBY6P5Whx2uTl85m-_57_mUQg0"",""2026-27!AO4"")"),0.0)</f>
        <v>0</v>
      </c>
      <c r="CK72" s="59">
        <f>IFERROR(__xludf.DUMMYFUNCTION("IMPORTRANGE(""1cOCCtQejZMOc5M-X_uBY6P5Whx2uTl85m-_57_mUQg0"",""2026-27!AO3"")"),0.0)</f>
        <v>0</v>
      </c>
      <c r="CL72" s="63" t="str">
        <f t="shared" si="91"/>
        <v/>
      </c>
      <c r="CM72" s="59">
        <f>IFERROR(__xludf.DUMMYFUNCTION("IMPORTRANGE(""1cOCCtQejZMOc5M-X_uBY6P5Whx2uTl85m-_57_mUQg0"",""2026-27!AP4"")"),0.0)</f>
        <v>0</v>
      </c>
      <c r="CN72" s="59">
        <f>IFERROR(__xludf.DUMMYFUNCTION("IMPORTRANGE(""1cOCCtQejZMOc5M-X_uBY6P5Whx2uTl85m-_57_mUQg0"",""2026-27!AP3"")"),0.0)</f>
        <v>0</v>
      </c>
      <c r="CO72" s="59">
        <f>IFERROR(__xludf.DUMMYFUNCTION("IMPORTRANGE(""1cOCCtQejZMOc5M-X_uBY6P5Whx2uTl85m-_57_mUQg0"",""2026-27!AQ4"")"),0.0)</f>
        <v>0</v>
      </c>
      <c r="CP72" s="59">
        <f>IFERROR(__xludf.DUMMYFUNCTION("IMPORTRANGE(""1cOCCtQejZMOc5M-X_uBY6P5Whx2uTl85m-_57_mUQg0"",""2026-27!AQ3"")"),0.0)</f>
        <v>0</v>
      </c>
      <c r="CQ72" s="59">
        <f>IFERROR(__xludf.DUMMYFUNCTION("IMPORTRANGE(""1cOCCtQejZMOc5M-X_uBY6P5Whx2uTl85m-_57_mUQg0"",""2026-27!AR4"")"),0.0)</f>
        <v>0</v>
      </c>
      <c r="CR72" s="59">
        <f>IFERROR(__xludf.DUMMYFUNCTION("IMPORTRANGE(""1cOCCtQejZMOc5M-X_uBY6P5Whx2uTl85m-_57_mUQg0"",""2026-27!AR3"")"),0.0)</f>
        <v>0</v>
      </c>
      <c r="CS72" s="63" t="str">
        <f t="shared" si="92"/>
        <v/>
      </c>
      <c r="CT72" s="59">
        <f>IFERROR(__xludf.DUMMYFUNCTION("IMPORTRANGE(""1cOCCtQejZMOc5M-X_uBY6P5Whx2uTl85m-_57_mUQg0"",""2026-27!AS4"")"),0.0)</f>
        <v>0</v>
      </c>
      <c r="CU72" s="59">
        <f>IFERROR(__xludf.DUMMYFUNCTION("IMPORTRANGE(""1cOCCtQejZMOc5M-X_uBY6P5Whx2uTl85m-_57_mUQg0"",""2026-27!AS3"")"),0.0)</f>
        <v>0</v>
      </c>
      <c r="CV72" s="64"/>
    </row>
    <row r="73">
      <c r="A73" s="1" t="s">
        <v>103</v>
      </c>
      <c r="B73" s="41"/>
      <c r="C73" s="68" t="s">
        <v>150</v>
      </c>
      <c r="D73" s="72" t="s">
        <v>151</v>
      </c>
      <c r="E73" s="72">
        <v>9.557381166E9</v>
      </c>
      <c r="F73" s="84">
        <v>45964.0</v>
      </c>
      <c r="G73" s="66"/>
      <c r="H73" s="66"/>
      <c r="I73" s="74">
        <v>65825.0</v>
      </c>
      <c r="J73" s="58">
        <v>2333334.0</v>
      </c>
      <c r="K73" s="59">
        <f>IFERROR(__xludf.DUMMYFUNCTION("IMPORTRANGE(""1xU8paeZ0mv2aDj_IVEGT9OnonuXc8Lhfbz35yExNTVQ"",""2026-27!A3"")"),68.0)</f>
        <v>68</v>
      </c>
      <c r="L73" s="59">
        <f>IFERROR(__xludf.DUMMYFUNCTION("IMPORTRANGE(""1xU8paeZ0mv2aDj_IVEGT9OnonuXc8Lhfbz35yExNTVQ"",""2026-27!G4"")"),9410000.0)</f>
        <v>9410000</v>
      </c>
      <c r="M73" s="59">
        <f t="shared" si="95"/>
        <v>1178826.44</v>
      </c>
      <c r="N73" s="60">
        <f t="shared" si="79"/>
        <v>0.09280648247</v>
      </c>
      <c r="O73" s="61">
        <f t="shared" si="96"/>
        <v>873309</v>
      </c>
      <c r="P73" s="59">
        <f>IFERROR(__xludf.DUMMYFUNCTION("IMPORTRANGE(""1xU8paeZ0mv2aDj_IVEGT9OnonuXc8Lhfbz35yExNTVQ"",""2026-27!J4"")"),268000.0)</f>
        <v>268000</v>
      </c>
      <c r="Q73" s="59">
        <f>IFERROR(__xludf.DUMMYFUNCTION("IMPORTRANGE(""1xU8paeZ0mv2aDj_IVEGT9OnonuXc8Lhfbz35yExNTVQ"",""2026-27!J3"")"),20.0)</f>
        <v>20</v>
      </c>
      <c r="R73" s="59">
        <f>IFERROR(__xludf.DUMMYFUNCTION("IMPORTRANGE(""1xU8paeZ0mv2aDj_IVEGT9OnonuXc8Lhfbz35yExNTVQ"",""2026-27!K4"")"),264400.27999999997)</f>
        <v>264400.28</v>
      </c>
      <c r="S73" s="59">
        <f>IFERROR(__xludf.DUMMYFUNCTION("IMPORTRANGE(""1xU8paeZ0mv2aDj_IVEGT9OnonuXc8Lhfbz35yExNTVQ"",""2026-27!K3"")"),12.0)</f>
        <v>12</v>
      </c>
      <c r="T73" s="62">
        <f t="shared" si="81"/>
        <v>1.470440299</v>
      </c>
      <c r="U73" s="59">
        <f>IFERROR(__xludf.DUMMYFUNCTION("IMPORTRANGE(""1xU8paeZ0mv2aDj_IVEGT9OnonuXc8Lhfbz35yExNTVQ"",""2026-27!L4"")"),394078.0)</f>
        <v>394078</v>
      </c>
      <c r="V73" s="59">
        <f>IFERROR(__xludf.DUMMYFUNCTION("IMPORTRANGE(""1xU8paeZ0mv2aDj_IVEGT9OnonuXc8Lhfbz35yExNTVQ"",""2026-27!L3"")"),16.0)</f>
        <v>16</v>
      </c>
      <c r="W73" s="59">
        <f>IFERROR(__xludf.DUMMYFUNCTION("IMPORTRANGE(""1xU8paeZ0mv2aDj_IVEGT9OnonuXc8Lhfbz35yExNTVQ"",""2026-27!m4"")"),489000.0)</f>
        <v>489000</v>
      </c>
      <c r="X73" s="59">
        <f>IFERROR(__xludf.DUMMYFUNCTION("IMPORTRANGE(""1xU8paeZ0mv2aDj_IVEGT9OnonuXc8Lhfbz35yExNTVQ"",""2026-27!m3"")"),43.0)</f>
        <v>43</v>
      </c>
      <c r="Y73" s="59">
        <f>IFERROR(__xludf.DUMMYFUNCTION("IMPORTRANGE(""1xU8paeZ0mv2aDj_IVEGT9OnonuXc8Lhfbz35yExNTVQ"",""2026-27!N4"")"),400838.99)</f>
        <v>400838.99</v>
      </c>
      <c r="Z73" s="59">
        <f>IFERROR(__xludf.DUMMYFUNCTION("IMPORTRANGE(""1xU8paeZ0mv2aDj_IVEGT9OnonuXc8Lhfbz35yExNTVQ"",""2026-27!N3"")"),26.0)</f>
        <v>26</v>
      </c>
      <c r="AA73" s="62">
        <f t="shared" si="82"/>
        <v>0.9800224949</v>
      </c>
      <c r="AB73" s="59">
        <f>IFERROR(__xludf.DUMMYFUNCTION("IMPORTRANGE(""1xU8paeZ0mv2aDj_IVEGT9OnonuXc8Lhfbz35yExNTVQ"",""2026-27!O4"")"),479231.0)</f>
        <v>479231</v>
      </c>
      <c r="AC73" s="59">
        <f>IFERROR(__xludf.DUMMYFUNCTION("IMPORTRANGE(""1xU8paeZ0mv2aDj_IVEGT9OnonuXc8Lhfbz35yExNTVQ"",""2026-27!O3"")"),22.0)</f>
        <v>22</v>
      </c>
      <c r="AD73" s="59">
        <f>IFERROR(__xludf.DUMMYFUNCTION("IMPORTRANGE(""1xU8paeZ0mv2aDj_IVEGT9OnonuXc8Lhfbz35yExNTVQ"",""2026-27!P4"")"),660000.0)</f>
        <v>660000</v>
      </c>
      <c r="AE73" s="59">
        <f>IFERROR(__xludf.DUMMYFUNCTION("IMPORTRANGE(""1xU8paeZ0mv2aDj_IVEGT9OnonuXc8Lhfbz35yExNTVQ"",""2026-27!P3"")"),52.0)</f>
        <v>52</v>
      </c>
      <c r="AF73" s="59">
        <f>IFERROR(__xludf.DUMMYFUNCTION("IMPORTRANGE(""1xU8paeZ0mv2aDj_IVEGT9OnonuXc8Lhfbz35yExNTVQ"",""2026-27!Q4"")"),513587.17)</f>
        <v>513587.17</v>
      </c>
      <c r="AG73" s="59">
        <f>IFERROR(__xludf.DUMMYFUNCTION("IMPORTRANGE(""1xU8paeZ0mv2aDj_IVEGT9OnonuXc8Lhfbz35yExNTVQ"",""2026-27!Q3"")"),23.0)</f>
        <v>23</v>
      </c>
      <c r="AH73" s="62">
        <f t="shared" si="83"/>
        <v>0</v>
      </c>
      <c r="AI73" s="59">
        <f>IFERROR(__xludf.DUMMYFUNCTION("IMPORTRANGE(""1xU8paeZ0mv2aDj_IVEGT9OnonuXc8Lhfbz35yExNTVQ"",""2026-27!R4"")"),0.0)</f>
        <v>0</v>
      </c>
      <c r="AJ73" s="59">
        <f>IFERROR(__xludf.DUMMYFUNCTION("IMPORTRANGE(""1xU8paeZ0mv2aDj_IVEGT9OnonuXc8Lhfbz35yExNTVQ"",""2026-27!R3"")"),0.0)</f>
        <v>0</v>
      </c>
      <c r="AK73" s="59">
        <f>IFERROR(__xludf.DUMMYFUNCTION("IMPORTRANGE(""1xU8paeZ0mv2aDj_IVEGT9OnonuXc8Lhfbz35yExNTVQ"",""2026-27!S4"")"),0.0)</f>
        <v>0</v>
      </c>
      <c r="AL73" s="59">
        <f>IFERROR(__xludf.DUMMYFUNCTION("IMPORTRANGE(""1xU8paeZ0mv2aDj_IVEGT9OnonuXc8Lhfbz35yExNTVQ"",""2026-27!S3"")"),0.0)</f>
        <v>0</v>
      </c>
      <c r="AM73" s="59">
        <f>IFERROR(__xludf.DUMMYFUNCTION("IMPORTRANGE(""1xU8paeZ0mv2aDj_IVEGT9OnonuXc8Lhfbz35yExNTVQ"",""2026-27!T4"")"),0.0)</f>
        <v>0</v>
      </c>
      <c r="AN73" s="59">
        <f>IFERROR(__xludf.DUMMYFUNCTION("IMPORTRANGE(""1xU8paeZ0mv2aDj_IVEGT9OnonuXc8Lhfbz35yExNTVQ"",""2026-27!T3"")"),0.0)</f>
        <v>0</v>
      </c>
      <c r="AO73" s="62" t="str">
        <f t="shared" si="84"/>
        <v/>
      </c>
      <c r="AP73" s="59">
        <f>IFERROR(__xludf.DUMMYFUNCTION("IMPORTRANGE(""1xU8paeZ0mv2aDj_IVEGT9OnonuXc8Lhfbz35yExNTVQ"",""2026-27!U4"")"),0.0)</f>
        <v>0</v>
      </c>
      <c r="AQ73" s="59">
        <f>IFERROR(__xludf.DUMMYFUNCTION("IMPORTRANGE(""1xU8paeZ0mv2aDj_IVEGT9OnonuXc8Lhfbz35yExNTVQ"",""2026-27!U3"")"),0.0)</f>
        <v>0</v>
      </c>
      <c r="AR73" s="59">
        <f>IFERROR(__xludf.DUMMYFUNCTION("IMPORTRANGE(""1xU8paeZ0mv2aDj_IVEGT9OnonuXc8Lhfbz35yExNTVQ"",""2026-27!V4"")"),0.0)</f>
        <v>0</v>
      </c>
      <c r="AS73" s="59">
        <f>IFERROR(__xludf.DUMMYFUNCTION("IMPORTRANGE(""1xU8paeZ0mv2aDj_IVEGT9OnonuXc8Lhfbz35yExNTVQ"",""2026-27!V3"")"),0.0)</f>
        <v>0</v>
      </c>
      <c r="AT73" s="59">
        <f>IFERROR(__xludf.DUMMYFUNCTION("IMPORTRANGE(""1xU8paeZ0mv2aDj_IVEGT9OnonuXc8Lhfbz35yExNTVQ"",""2026-27!W4"")"),0.0)</f>
        <v>0</v>
      </c>
      <c r="AU73" s="59">
        <f>IFERROR(__xludf.DUMMYFUNCTION("IMPORTRANGE(""1xU8paeZ0mv2aDj_IVEGT9OnonuXc8Lhfbz35yExNTVQ"",""2026-27!W3"")"),0.0)</f>
        <v>0</v>
      </c>
      <c r="AV73" s="62" t="str">
        <f t="shared" si="85"/>
        <v/>
      </c>
      <c r="AW73" s="59">
        <f>IFERROR(__xludf.DUMMYFUNCTION("IMPORTRANGE(""1xU8paeZ0mv2aDj_IVEGT9OnonuXc8Lhfbz35yExNTVQ"",""2026-27!X4"")"),0.0)</f>
        <v>0</v>
      </c>
      <c r="AX73" s="59">
        <f>IFERROR(__xludf.DUMMYFUNCTION("IMPORTRANGE(""1xU8paeZ0mv2aDj_IVEGT9OnonuXc8Lhfbz35yExNTVQ"",""2026-27!X3"")"),0.0)</f>
        <v>0</v>
      </c>
      <c r="AY73" s="59">
        <f>IFERROR(__xludf.DUMMYFUNCTION("IMPORTRANGE(""1xU8paeZ0mv2aDj_IVEGT9OnonuXc8Lhfbz35yExNTVQ"",""2026-27!Y4"")"),0.0)</f>
        <v>0</v>
      </c>
      <c r="AZ73" s="59">
        <f>IFERROR(__xludf.DUMMYFUNCTION("IMPORTRANGE(""1xU8paeZ0mv2aDj_IVEGT9OnonuXc8Lhfbz35yExNTVQ"",""2026-27!Y3"")"),0.0)</f>
        <v>0</v>
      </c>
      <c r="BA73" s="59">
        <f>IFERROR(__xludf.DUMMYFUNCTION("IMPORTRANGE(""1xU8paeZ0mv2aDj_IVEGT9OnonuXc8Lhfbz35yExNTVQ"",""2026-27!Z4"")"),0.0)</f>
        <v>0</v>
      </c>
      <c r="BB73" s="59">
        <f>IFERROR(__xludf.DUMMYFUNCTION("IMPORTRANGE(""1xU8paeZ0mv2aDj_IVEGT9OnonuXc8Lhfbz35yExNTVQ"",""2026-27!Z3"")"),0.0)</f>
        <v>0</v>
      </c>
      <c r="BC73" s="63" t="str">
        <f t="shared" si="86"/>
        <v/>
      </c>
      <c r="BD73" s="59">
        <f>IFERROR(__xludf.DUMMYFUNCTION("IMPORTRANGE(""1xU8paeZ0mv2aDj_IVEGT9OnonuXc8Lhfbz35yExNTVQ"",""2026-27!AA4"")"),0.0)</f>
        <v>0</v>
      </c>
      <c r="BE73" s="59">
        <f>IFERROR(__xludf.DUMMYFUNCTION("IMPORTRANGE(""1xU8paeZ0mv2aDj_IVEGT9OnonuXc8Lhfbz35yExNTVQ"",""2026-27!AA3"")"),0.0)</f>
        <v>0</v>
      </c>
      <c r="BF73" s="59">
        <f>IFERROR(__xludf.DUMMYFUNCTION("IMPORTRANGE(""1xU8paeZ0mv2aDj_IVEGT9OnonuXc8Lhfbz35yExNTVQ"",""2026-27!AB4"")"),0.0)</f>
        <v>0</v>
      </c>
      <c r="BG73" s="59">
        <f>IFERROR(__xludf.DUMMYFUNCTION("IMPORTRANGE(""1xU8paeZ0mv2aDj_IVEGT9OnonuXc8Lhfbz35yExNTVQ"",""2026-27!AB3"")"),0.0)</f>
        <v>0</v>
      </c>
      <c r="BH73" s="59">
        <f>IFERROR(__xludf.DUMMYFUNCTION("IMPORTRANGE(""1xU8paeZ0mv2aDj_IVEGT9OnonuXc8Lhfbz35yExNTVQ"",""2026-27!AC4"")"),0.0)</f>
        <v>0</v>
      </c>
      <c r="BI73" s="59">
        <f>IFERROR(__xludf.DUMMYFUNCTION("IMPORTRANGE(""1xU8paeZ0mv2aDj_IVEGT9OnonuXc8Lhfbz35yExNTVQ"",""2026-27!AC3"")"),0.0)</f>
        <v>0</v>
      </c>
      <c r="BJ73" s="63" t="str">
        <f t="shared" si="87"/>
        <v/>
      </c>
      <c r="BK73" s="59">
        <f>IFERROR(__xludf.DUMMYFUNCTION("IMPORTRANGE(""1xU8paeZ0mv2aDj_IVEGT9OnonuXc8Lhfbz35yExNTVQ"",""2026-27!AD4"")"),0.0)</f>
        <v>0</v>
      </c>
      <c r="BL73" s="59">
        <f>IFERROR(__xludf.DUMMYFUNCTION("IMPORTRANGE(""1xU8paeZ0mv2aDj_IVEGT9OnonuXc8Lhfbz35yExNTVQ"",""2026-27!AD3"")"),0.0)</f>
        <v>0</v>
      </c>
      <c r="BM73" s="59">
        <f>IFERROR(__xludf.DUMMYFUNCTION("IMPORTRANGE(""1xU8paeZ0mv2aDj_IVEGT9OnonuXc8Lhfbz35yExNTVQ"",""2026-27!AE4"")"),0.0)</f>
        <v>0</v>
      </c>
      <c r="BN73" s="59">
        <f>IFERROR(__xludf.DUMMYFUNCTION("IMPORTRANGE(""1xU8paeZ0mv2aDj_IVEGT9OnonuXc8Lhfbz35yExNTVQ"",""2026-27!AE3"")"),0.0)</f>
        <v>0</v>
      </c>
      <c r="BO73" s="59">
        <f>IFERROR(__xludf.DUMMYFUNCTION("IMPORTRANGE(""1xU8paeZ0mv2aDj_IVEGT9OnonuXc8Lhfbz35yExNTVQ"",""2026-27!AF4"")"),0.0)</f>
        <v>0</v>
      </c>
      <c r="BP73" s="59">
        <f>IFERROR(__xludf.DUMMYFUNCTION("IMPORTRANGE(""1xU8paeZ0mv2aDj_IVEGT9OnonuXc8Lhfbz35yExNTVQ"",""2026-27!AF3"")"),0.0)</f>
        <v>0</v>
      </c>
      <c r="BQ73" s="63" t="str">
        <f t="shared" si="88"/>
        <v/>
      </c>
      <c r="BR73" s="59">
        <f>IFERROR(__xludf.DUMMYFUNCTION("IMPORTRANGE(""1xU8paeZ0mv2aDj_IVEGT9OnonuXc8Lhfbz35yExNTVQ"",""2026-27!AG4"")"),0.0)</f>
        <v>0</v>
      </c>
      <c r="BS73" s="59">
        <f>IFERROR(__xludf.DUMMYFUNCTION("IMPORTRANGE(""1xU8paeZ0mv2aDj_IVEGT9OnonuXc8Lhfbz35yExNTVQ"",""2026-27!AG3"")"),0.0)</f>
        <v>0</v>
      </c>
      <c r="BT73" s="59">
        <f>IFERROR(__xludf.DUMMYFUNCTION("IMPORTRANGE(""1xU8paeZ0mv2aDj_IVEGT9OnonuXc8Lhfbz35yExNTVQ"",""2026-27!AH4"")"),0.0)</f>
        <v>0</v>
      </c>
      <c r="BU73" s="59">
        <f>IFERROR(__xludf.DUMMYFUNCTION("IMPORTRANGE(""1xU8paeZ0mv2aDj_IVEGT9OnonuXc8Lhfbz35yExNTVQ"",""2026-27!AH3"")"),0.0)</f>
        <v>0</v>
      </c>
      <c r="BV73" s="59">
        <f>IFERROR(__xludf.DUMMYFUNCTION("IMPORTRANGE(""1xU8paeZ0mv2aDj_IVEGT9OnonuXc8Lhfbz35yExNTVQ"",""2026-27!AI4"")"),0.0)</f>
        <v>0</v>
      </c>
      <c r="BW73" s="59">
        <f>IFERROR(__xludf.DUMMYFUNCTION("IMPORTRANGE(""1xU8paeZ0mv2aDj_IVEGT9OnonuXc8Lhfbz35yExNTVQ"",""2026-27!AI3"")"),0.0)</f>
        <v>0</v>
      </c>
      <c r="BX73" s="63" t="str">
        <f t="shared" si="89"/>
        <v/>
      </c>
      <c r="BY73" s="59">
        <f>IFERROR(__xludf.DUMMYFUNCTION("IMPORTRANGE(""1xU8paeZ0mv2aDj_IVEGT9OnonuXc8Lhfbz35yExNTVQ"",""2026-27!AJ4"")"),0.0)</f>
        <v>0</v>
      </c>
      <c r="BZ73" s="59">
        <f>IFERROR(__xludf.DUMMYFUNCTION("IMPORTRANGE(""1xU8paeZ0mv2aDj_IVEGT9OnonuXc8Lhfbz35yExNTVQ"",""2026-27!AJ3"")"),0.0)</f>
        <v>0</v>
      </c>
      <c r="CA73" s="59">
        <f>IFERROR(__xludf.DUMMYFUNCTION("IMPORTRANGE(""1xU8paeZ0mv2aDj_IVEGT9OnonuXc8Lhfbz35yExNTVQ"",""2026-27!AK4"")"),0.0)</f>
        <v>0</v>
      </c>
      <c r="CB73" s="59">
        <f>IFERROR(__xludf.DUMMYFUNCTION("IMPORTRANGE(""1xU8paeZ0mv2aDj_IVEGT9OnonuXc8Lhfbz35yExNTVQ"",""2026-27!AK3"")"),0.0)</f>
        <v>0</v>
      </c>
      <c r="CC73" s="59">
        <f>IFERROR(__xludf.DUMMYFUNCTION("IMPORTRANGE(""1xU8paeZ0mv2aDj_IVEGT9OnonuXc8Lhfbz35yExNTVQ"",""2026-27!AL4"")"),0.0)</f>
        <v>0</v>
      </c>
      <c r="CD73" s="59">
        <f>IFERROR(__xludf.DUMMYFUNCTION("IMPORTRANGE(""1xU8paeZ0mv2aDj_IVEGT9OnonuXc8Lhfbz35yExNTVQ"",""2026-27!AL3"")"),0.0)</f>
        <v>0</v>
      </c>
      <c r="CE73" s="63" t="str">
        <f t="shared" si="90"/>
        <v/>
      </c>
      <c r="CF73" s="59">
        <f>IFERROR(__xludf.DUMMYFUNCTION("IMPORTRANGE(""1xU8paeZ0mv2aDj_IVEGT9OnonuXc8Lhfbz35yExNTVQ"",""2026-27!AM4"")"),0.0)</f>
        <v>0</v>
      </c>
      <c r="CG73" s="59">
        <f>IFERROR(__xludf.DUMMYFUNCTION("IMPORTRANGE(""1xU8paeZ0mv2aDj_IVEGT9OnonuXc8Lhfbz35yExNTVQ"",""2026-27!AM3"")"),0.0)</f>
        <v>0</v>
      </c>
      <c r="CH73" s="59">
        <f>IFERROR(__xludf.DUMMYFUNCTION("IMPORTRANGE(""1xU8paeZ0mv2aDj_IVEGT9OnonuXc8Lhfbz35yExNTVQ"",""2026-27!AN4"")"),0.0)</f>
        <v>0</v>
      </c>
      <c r="CI73" s="59">
        <f>IFERROR(__xludf.DUMMYFUNCTION("IMPORTRANGE(""1xU8paeZ0mv2aDj_IVEGT9OnonuXc8Lhfbz35yExNTVQ"",""2026-27!AN3"")"),0.0)</f>
        <v>0</v>
      </c>
      <c r="CJ73" s="59">
        <f>IFERROR(__xludf.DUMMYFUNCTION("IMPORTRANGE(""1xU8paeZ0mv2aDj_IVEGT9OnonuXc8Lhfbz35yExNTVQ"",""2026-27!AO4"")"),0.0)</f>
        <v>0</v>
      </c>
      <c r="CK73" s="59">
        <f>IFERROR(__xludf.DUMMYFUNCTION("IMPORTRANGE(""1xU8paeZ0mv2aDj_IVEGT9OnonuXc8Lhfbz35yExNTVQ"",""2026-27!AO3"")"),0.0)</f>
        <v>0</v>
      </c>
      <c r="CL73" s="63" t="str">
        <f t="shared" si="91"/>
        <v/>
      </c>
      <c r="CM73" s="59">
        <f>IFERROR(__xludf.DUMMYFUNCTION("IMPORTRANGE(""1xU8paeZ0mv2aDj_IVEGT9OnonuXc8Lhfbz35yExNTVQ"",""2026-27!AP4"")"),0.0)</f>
        <v>0</v>
      </c>
      <c r="CN73" s="59">
        <f>IFERROR(__xludf.DUMMYFUNCTION("IMPORTRANGE(""1xU8paeZ0mv2aDj_IVEGT9OnonuXc8Lhfbz35yExNTVQ"",""2026-27!AP3"")"),0.0)</f>
        <v>0</v>
      </c>
      <c r="CO73" s="59">
        <f>IFERROR(__xludf.DUMMYFUNCTION("IMPORTRANGE(""1xU8paeZ0mv2aDj_IVEGT9OnonuXc8Lhfbz35yExNTVQ"",""2026-27!AQ4"")"),0.0)</f>
        <v>0</v>
      </c>
      <c r="CP73" s="59">
        <f>IFERROR(__xludf.DUMMYFUNCTION("IMPORTRANGE(""1xU8paeZ0mv2aDj_IVEGT9OnonuXc8Lhfbz35yExNTVQ"",""2026-27!AQ3"")"),0.0)</f>
        <v>0</v>
      </c>
      <c r="CQ73" s="59">
        <f>IFERROR(__xludf.DUMMYFUNCTION("IMPORTRANGE(""1xU8paeZ0mv2aDj_IVEGT9OnonuXc8Lhfbz35yExNTVQ"",""2026-27!AR4"")"),0.0)</f>
        <v>0</v>
      </c>
      <c r="CR73" s="59">
        <f>IFERROR(__xludf.DUMMYFUNCTION("IMPORTRANGE(""1xU8paeZ0mv2aDj_IVEGT9OnonuXc8Lhfbz35yExNTVQ"",""2026-27!AR3"")"),0.0)</f>
        <v>0</v>
      </c>
      <c r="CS73" s="63" t="str">
        <f t="shared" si="92"/>
        <v/>
      </c>
      <c r="CT73" s="59">
        <f>IFERROR(__xludf.DUMMYFUNCTION("IMPORTRANGE(""1xU8paeZ0mv2aDj_IVEGT9OnonuXc8Lhfbz35yExNTVQ"",""2026-27!AS4"")"),0.0)</f>
        <v>0</v>
      </c>
      <c r="CU73" s="59">
        <f>IFERROR(__xludf.DUMMYFUNCTION("IMPORTRANGE(""1xU8paeZ0mv2aDj_IVEGT9OnonuXc8Lhfbz35yExNTVQ"",""2026-27!AS3"")"),0.0)</f>
        <v>0</v>
      </c>
      <c r="CV73" s="64"/>
    </row>
    <row r="74">
      <c r="A74" s="1" t="s">
        <v>103</v>
      </c>
      <c r="B74" s="41"/>
      <c r="C74" s="68" t="s">
        <v>152</v>
      </c>
      <c r="D74" s="72" t="s">
        <v>153</v>
      </c>
      <c r="E74" s="72">
        <v>8.234912901E9</v>
      </c>
      <c r="F74" s="84">
        <v>45971.0</v>
      </c>
      <c r="G74" s="66"/>
      <c r="H74" s="66"/>
      <c r="I74" s="74">
        <v>32500.0</v>
      </c>
      <c r="J74" s="58">
        <v>1500000.0</v>
      </c>
      <c r="K74" s="59">
        <f>IFERROR(__xludf.DUMMYFUNCTION("IMPORTRANGE(""1ii7mSZuwFsDeSKThBBKb777jYLe6wyBkEiBUpLVItGw"",""2026-27!A3"")"),43.0)</f>
        <v>43</v>
      </c>
      <c r="L74" s="59">
        <f>IFERROR(__xludf.DUMMYFUNCTION("IMPORTRANGE(""1ii7mSZuwFsDeSKThBBKb777jYLe6wyBkEiBUpLVItGw"",""2026-27!G4"")"),1.222E7)</f>
        <v>12220000</v>
      </c>
      <c r="M74" s="59">
        <f t="shared" si="95"/>
        <v>1122645.04</v>
      </c>
      <c r="N74" s="60">
        <f t="shared" si="79"/>
        <v>0.08374148936</v>
      </c>
      <c r="O74" s="61">
        <f t="shared" si="96"/>
        <v>1023321</v>
      </c>
      <c r="P74" s="59">
        <f>IFERROR(__xludf.DUMMYFUNCTION("IMPORTRANGE(""1ii7mSZuwFsDeSKThBBKb777jYLe6wyBkEiBUpLVItGw"",""2026-27!J4"")"),533000.0)</f>
        <v>533000</v>
      </c>
      <c r="Q74" s="59">
        <f>IFERROR(__xludf.DUMMYFUNCTION("IMPORTRANGE(""1ii7mSZuwFsDeSKThBBKb777jYLe6wyBkEiBUpLVItGw"",""2026-27!J3"")"),12.0)</f>
        <v>12</v>
      </c>
      <c r="R74" s="59">
        <f>IFERROR(__xludf.DUMMYFUNCTION("IMPORTRANGE(""1ii7mSZuwFsDeSKThBBKb777jYLe6wyBkEiBUpLVItGw"",""2026-27!K4"")"),377620.88000000006)</f>
        <v>377620.88</v>
      </c>
      <c r="S74" s="59">
        <f>IFERROR(__xludf.DUMMYFUNCTION("IMPORTRANGE(""1ii7mSZuwFsDeSKThBBKb777jYLe6wyBkEiBUpLVItGw"",""2026-27!K3"")"),14.0)</f>
        <v>14</v>
      </c>
      <c r="T74" s="62">
        <f t="shared" si="81"/>
        <v>0.4597448405</v>
      </c>
      <c r="U74" s="59">
        <f>IFERROR(__xludf.DUMMYFUNCTION("IMPORTRANGE(""1ii7mSZuwFsDeSKThBBKb777jYLe6wyBkEiBUpLVItGw"",""2026-27!L4"")"),245044.0)</f>
        <v>245044</v>
      </c>
      <c r="V74" s="59">
        <f>IFERROR(__xludf.DUMMYFUNCTION("IMPORTRANGE(""1ii7mSZuwFsDeSKThBBKb777jYLe6wyBkEiBUpLVItGw"",""2026-27!L3"")"),11.0)</f>
        <v>11</v>
      </c>
      <c r="W74" s="59">
        <f>IFERROR(__xludf.DUMMYFUNCTION("IMPORTRANGE(""1ii7mSZuwFsDeSKThBBKb777jYLe6wyBkEiBUpLVItGw"",""2026-27!m4"")"),778500.0)</f>
        <v>778500</v>
      </c>
      <c r="X74" s="59">
        <f>IFERROR(__xludf.DUMMYFUNCTION("IMPORTRANGE(""1ii7mSZuwFsDeSKThBBKb777jYLe6wyBkEiBUpLVItGw"",""2026-27!m3"")"),22.0)</f>
        <v>22</v>
      </c>
      <c r="Y74" s="59">
        <f>IFERROR(__xludf.DUMMYFUNCTION("IMPORTRANGE(""1ii7mSZuwFsDeSKThBBKb777jYLe6wyBkEiBUpLVItGw"",""2026-27!N4"")"),303426.92000000004)</f>
        <v>303426.92</v>
      </c>
      <c r="Z74" s="59">
        <f>IFERROR(__xludf.DUMMYFUNCTION("IMPORTRANGE(""1ii7mSZuwFsDeSKThBBKb777jYLe6wyBkEiBUpLVItGw"",""2026-27!N3"")"),11.0)</f>
        <v>11</v>
      </c>
      <c r="AA74" s="62">
        <f t="shared" si="82"/>
        <v>0.2965639049</v>
      </c>
      <c r="AB74" s="59">
        <f>IFERROR(__xludf.DUMMYFUNCTION("IMPORTRANGE(""1ii7mSZuwFsDeSKThBBKb777jYLe6wyBkEiBUpLVItGw"",""2026-27!O4"")"),230875.0)</f>
        <v>230875</v>
      </c>
      <c r="AC74" s="59">
        <f>IFERROR(__xludf.DUMMYFUNCTION("IMPORTRANGE(""1ii7mSZuwFsDeSKThBBKb777jYLe6wyBkEiBUpLVItGw"",""2026-27!O3"")"),10.0)</f>
        <v>10</v>
      </c>
      <c r="AD74" s="59">
        <f>IFERROR(__xludf.DUMMYFUNCTION("IMPORTRANGE(""1ii7mSZuwFsDeSKThBBKb777jYLe6wyBkEiBUpLVItGw"",""2026-27!P4"")"),977500.0)</f>
        <v>977500</v>
      </c>
      <c r="AE74" s="59">
        <f>IFERROR(__xludf.DUMMYFUNCTION("IMPORTRANGE(""1ii7mSZuwFsDeSKThBBKb777jYLe6wyBkEiBUpLVItGw"",""2026-27!P3"")"),30.0)</f>
        <v>30</v>
      </c>
      <c r="AF74" s="59">
        <f>IFERROR(__xludf.DUMMYFUNCTION("IMPORTRANGE(""1ii7mSZuwFsDeSKThBBKb777jYLe6wyBkEiBUpLVItGw"",""2026-27!Q4"")"),441597.23999999993)</f>
        <v>441597.24</v>
      </c>
      <c r="AG74" s="59">
        <f>IFERROR(__xludf.DUMMYFUNCTION("IMPORTRANGE(""1ii7mSZuwFsDeSKThBBKb777jYLe6wyBkEiBUpLVItGw"",""2026-27!Q3"")"),15.0)</f>
        <v>15</v>
      </c>
      <c r="AH74" s="62">
        <f t="shared" si="83"/>
        <v>0.560002046</v>
      </c>
      <c r="AI74" s="59">
        <f>IFERROR(__xludf.DUMMYFUNCTION("IMPORTRANGE(""1ii7mSZuwFsDeSKThBBKb777jYLe6wyBkEiBUpLVItGw"",""2026-27!R4"")"),547402.0)</f>
        <v>547402</v>
      </c>
      <c r="AJ74" s="59">
        <f>IFERROR(__xludf.DUMMYFUNCTION("IMPORTRANGE(""1ii7mSZuwFsDeSKThBBKb777jYLe6wyBkEiBUpLVItGw"",""2026-27!R3"")"),13.0)</f>
        <v>13</v>
      </c>
      <c r="AK74" s="59">
        <f>IFERROR(__xludf.DUMMYFUNCTION("IMPORTRANGE(""1ii7mSZuwFsDeSKThBBKb777jYLe6wyBkEiBUpLVItGw"",""2026-27!S4"")"),1069000.0)</f>
        <v>1069000</v>
      </c>
      <c r="AL74" s="59">
        <f>IFERROR(__xludf.DUMMYFUNCTION("IMPORTRANGE(""1ii7mSZuwFsDeSKThBBKb777jYLe6wyBkEiBUpLVItGw"",""2026-27!S3"")"),30.0)</f>
        <v>30</v>
      </c>
      <c r="AM74" s="59">
        <f>IFERROR(__xludf.DUMMYFUNCTION("IMPORTRANGE(""1ii7mSZuwFsDeSKThBBKb777jYLe6wyBkEiBUpLVItGw"",""2026-27!T4"")"),0.0)</f>
        <v>0</v>
      </c>
      <c r="AN74" s="59">
        <f>IFERROR(__xludf.DUMMYFUNCTION("IMPORTRANGE(""1ii7mSZuwFsDeSKThBBKb777jYLe6wyBkEiBUpLVItGw"",""2026-27!T3"")"),0.0)</f>
        <v>0</v>
      </c>
      <c r="AO74" s="62">
        <f t="shared" si="84"/>
        <v>0</v>
      </c>
      <c r="AP74" s="59">
        <f>IFERROR(__xludf.DUMMYFUNCTION("IMPORTRANGE(""1ii7mSZuwFsDeSKThBBKb777jYLe6wyBkEiBUpLVItGw"",""2026-27!U4"")"),0.0)</f>
        <v>0</v>
      </c>
      <c r="AQ74" s="59">
        <f>IFERROR(__xludf.DUMMYFUNCTION("IMPORTRANGE(""1ii7mSZuwFsDeSKThBBKb777jYLe6wyBkEiBUpLVItGw"",""2026-27!U3"")"),0.0)</f>
        <v>0</v>
      </c>
      <c r="AR74" s="59">
        <f>IFERROR(__xludf.DUMMYFUNCTION("IMPORTRANGE(""1ii7mSZuwFsDeSKThBBKb777jYLe6wyBkEiBUpLVItGw"",""2026-27!V4"")"),1022500.0)</f>
        <v>1022500</v>
      </c>
      <c r="AS74" s="59">
        <f>IFERROR(__xludf.DUMMYFUNCTION("IMPORTRANGE(""1ii7mSZuwFsDeSKThBBKb777jYLe6wyBkEiBUpLVItGw"",""2026-27!V3"")"),30.0)</f>
        <v>30</v>
      </c>
      <c r="AT74" s="59">
        <f>IFERROR(__xludf.DUMMYFUNCTION("IMPORTRANGE(""1ii7mSZuwFsDeSKThBBKb777jYLe6wyBkEiBUpLVItGw"",""2026-27!W4"")"),0.0)</f>
        <v>0</v>
      </c>
      <c r="AU74" s="59">
        <f>IFERROR(__xludf.DUMMYFUNCTION("IMPORTRANGE(""1ii7mSZuwFsDeSKThBBKb777jYLe6wyBkEiBUpLVItGw"",""2026-27!W3"")"),0.0)</f>
        <v>0</v>
      </c>
      <c r="AV74" s="62">
        <f t="shared" si="85"/>
        <v>0</v>
      </c>
      <c r="AW74" s="59">
        <f>IFERROR(__xludf.DUMMYFUNCTION("IMPORTRANGE(""1ii7mSZuwFsDeSKThBBKb777jYLe6wyBkEiBUpLVItGw"",""2026-27!X4"")"),0.0)</f>
        <v>0</v>
      </c>
      <c r="AX74" s="59">
        <f>IFERROR(__xludf.DUMMYFUNCTION("IMPORTRANGE(""1ii7mSZuwFsDeSKThBBKb777jYLe6wyBkEiBUpLVItGw"",""2026-27!X3"")"),0.0)</f>
        <v>0</v>
      </c>
      <c r="AY74" s="59">
        <f>IFERROR(__xludf.DUMMYFUNCTION("IMPORTRANGE(""1ii7mSZuwFsDeSKThBBKb777jYLe6wyBkEiBUpLVItGw"",""2026-27!Y4"")"),1192000.0)</f>
        <v>1192000</v>
      </c>
      <c r="AZ74" s="59">
        <f>IFERROR(__xludf.DUMMYFUNCTION("IMPORTRANGE(""1ii7mSZuwFsDeSKThBBKb777jYLe6wyBkEiBUpLVItGw"",""2026-27!Y3"")"),30.0)</f>
        <v>30</v>
      </c>
      <c r="BA74" s="59">
        <f>IFERROR(__xludf.DUMMYFUNCTION("IMPORTRANGE(""1ii7mSZuwFsDeSKThBBKb777jYLe6wyBkEiBUpLVItGw"",""2026-27!Z4"")"),0.0)</f>
        <v>0</v>
      </c>
      <c r="BB74" s="59">
        <f>IFERROR(__xludf.DUMMYFUNCTION("IMPORTRANGE(""1ii7mSZuwFsDeSKThBBKb777jYLe6wyBkEiBUpLVItGw"",""2026-27!Z3"")"),0.0)</f>
        <v>0</v>
      </c>
      <c r="BC74" s="63">
        <f t="shared" si="86"/>
        <v>0</v>
      </c>
      <c r="BD74" s="59">
        <f>IFERROR(__xludf.DUMMYFUNCTION("IMPORTRANGE(""1ii7mSZuwFsDeSKThBBKb777jYLe6wyBkEiBUpLVItGw"",""2026-27!AA4"")"),0.0)</f>
        <v>0</v>
      </c>
      <c r="BE74" s="59">
        <f>IFERROR(__xludf.DUMMYFUNCTION("IMPORTRANGE(""1ii7mSZuwFsDeSKThBBKb777jYLe6wyBkEiBUpLVItGw"",""2026-27!AA3"")"),0.0)</f>
        <v>0</v>
      </c>
      <c r="BF74" s="59">
        <f>IFERROR(__xludf.DUMMYFUNCTION("IMPORTRANGE(""1ii7mSZuwFsDeSKThBBKb777jYLe6wyBkEiBUpLVItGw"",""2026-27!AB4"")"),1095000.0)</f>
        <v>1095000</v>
      </c>
      <c r="BG74" s="59">
        <f>IFERROR(__xludf.DUMMYFUNCTION("IMPORTRANGE(""1ii7mSZuwFsDeSKThBBKb777jYLe6wyBkEiBUpLVItGw"",""2026-27!AB3"")"),30.0)</f>
        <v>30</v>
      </c>
      <c r="BH74" s="59">
        <f>IFERROR(__xludf.DUMMYFUNCTION("IMPORTRANGE(""1ii7mSZuwFsDeSKThBBKb777jYLe6wyBkEiBUpLVItGw"",""2026-27!AC4"")"),0.0)</f>
        <v>0</v>
      </c>
      <c r="BI74" s="59">
        <f>IFERROR(__xludf.DUMMYFUNCTION("IMPORTRANGE(""1ii7mSZuwFsDeSKThBBKb777jYLe6wyBkEiBUpLVItGw"",""2026-27!AC3"")"),0.0)</f>
        <v>0</v>
      </c>
      <c r="BJ74" s="63">
        <f t="shared" si="87"/>
        <v>0</v>
      </c>
      <c r="BK74" s="59">
        <f>IFERROR(__xludf.DUMMYFUNCTION("IMPORTRANGE(""1ii7mSZuwFsDeSKThBBKb777jYLe6wyBkEiBUpLVItGw"",""2026-27!AD4"")"),0.0)</f>
        <v>0</v>
      </c>
      <c r="BL74" s="59">
        <f>IFERROR(__xludf.DUMMYFUNCTION("IMPORTRANGE(""1ii7mSZuwFsDeSKThBBKb777jYLe6wyBkEiBUpLVItGw"",""2026-27!AD3"")"),0.0)</f>
        <v>0</v>
      </c>
      <c r="BM74" s="59">
        <f>IFERROR(__xludf.DUMMYFUNCTION("IMPORTRANGE(""1ii7mSZuwFsDeSKThBBKb777jYLe6wyBkEiBUpLVItGw"",""2026-27!AE4"")"),1063000.0)</f>
        <v>1063000</v>
      </c>
      <c r="BN74" s="59">
        <f>IFERROR(__xludf.DUMMYFUNCTION("IMPORTRANGE(""1ii7mSZuwFsDeSKThBBKb777jYLe6wyBkEiBUpLVItGw"",""2026-27!AE3"")"),30.0)</f>
        <v>30</v>
      </c>
      <c r="BO74" s="59">
        <f>IFERROR(__xludf.DUMMYFUNCTION("IMPORTRANGE(""1ii7mSZuwFsDeSKThBBKb777jYLe6wyBkEiBUpLVItGw"",""2026-27!AF4"")"),0.0)</f>
        <v>0</v>
      </c>
      <c r="BP74" s="59">
        <f>IFERROR(__xludf.DUMMYFUNCTION("IMPORTRANGE(""1ii7mSZuwFsDeSKThBBKb777jYLe6wyBkEiBUpLVItGw"",""2026-27!AF3"")"),0.0)</f>
        <v>0</v>
      </c>
      <c r="BQ74" s="63">
        <f t="shared" si="88"/>
        <v>0</v>
      </c>
      <c r="BR74" s="59">
        <f>IFERROR(__xludf.DUMMYFUNCTION("IMPORTRANGE(""1ii7mSZuwFsDeSKThBBKb777jYLe6wyBkEiBUpLVItGw"",""2026-27!AG4"")"),0.0)</f>
        <v>0</v>
      </c>
      <c r="BS74" s="59">
        <f>IFERROR(__xludf.DUMMYFUNCTION("IMPORTRANGE(""1ii7mSZuwFsDeSKThBBKb777jYLe6wyBkEiBUpLVItGw"",""2026-27!AG3"")"),0.0)</f>
        <v>0</v>
      </c>
      <c r="BT74" s="59">
        <f>IFERROR(__xludf.DUMMYFUNCTION("IMPORTRANGE(""1ii7mSZuwFsDeSKThBBKb777jYLe6wyBkEiBUpLVItGw"",""2026-27!AH4"")"),1484000.0)</f>
        <v>1484000</v>
      </c>
      <c r="BU74" s="59">
        <f>IFERROR(__xludf.DUMMYFUNCTION("IMPORTRANGE(""1ii7mSZuwFsDeSKThBBKb777jYLe6wyBkEiBUpLVItGw"",""2026-27!AH3"")"),30.0)</f>
        <v>30</v>
      </c>
      <c r="BV74" s="59">
        <f>IFERROR(__xludf.DUMMYFUNCTION("IMPORTRANGE(""1ii7mSZuwFsDeSKThBBKb777jYLe6wyBkEiBUpLVItGw"",""2026-27!AI4"")"),0.0)</f>
        <v>0</v>
      </c>
      <c r="BW74" s="59">
        <f>IFERROR(__xludf.DUMMYFUNCTION("IMPORTRANGE(""1ii7mSZuwFsDeSKThBBKb777jYLe6wyBkEiBUpLVItGw"",""2026-27!AI3"")"),0.0)</f>
        <v>0</v>
      </c>
      <c r="BX74" s="63">
        <f t="shared" si="89"/>
        <v>0</v>
      </c>
      <c r="BY74" s="59">
        <f>IFERROR(__xludf.DUMMYFUNCTION("IMPORTRANGE(""1ii7mSZuwFsDeSKThBBKb777jYLe6wyBkEiBUpLVItGw"",""2026-27!AJ4"")"),0.0)</f>
        <v>0</v>
      </c>
      <c r="BZ74" s="59">
        <f>IFERROR(__xludf.DUMMYFUNCTION("IMPORTRANGE(""1ii7mSZuwFsDeSKThBBKb777jYLe6wyBkEiBUpLVItGw"",""2026-27!AJ3"")"),0.0)</f>
        <v>0</v>
      </c>
      <c r="CA74" s="59">
        <f>IFERROR(__xludf.DUMMYFUNCTION("IMPORTRANGE(""1ii7mSZuwFsDeSKThBBKb777jYLe6wyBkEiBUpLVItGw"",""2026-27!AK4"")"),1300000.0)</f>
        <v>1300000</v>
      </c>
      <c r="CB74" s="59">
        <f>IFERROR(__xludf.DUMMYFUNCTION("IMPORTRANGE(""1ii7mSZuwFsDeSKThBBKb777jYLe6wyBkEiBUpLVItGw"",""2026-27!AK3"")"),30.0)</f>
        <v>30</v>
      </c>
      <c r="CC74" s="59">
        <f>IFERROR(__xludf.DUMMYFUNCTION("IMPORTRANGE(""1ii7mSZuwFsDeSKThBBKb777jYLe6wyBkEiBUpLVItGw"",""2026-27!AL4"")"),0.0)</f>
        <v>0</v>
      </c>
      <c r="CD74" s="59">
        <f>IFERROR(__xludf.DUMMYFUNCTION("IMPORTRANGE(""1ii7mSZuwFsDeSKThBBKb777jYLe6wyBkEiBUpLVItGw"",""2026-27!AL3"")"),0.0)</f>
        <v>0</v>
      </c>
      <c r="CE74" s="63">
        <f t="shared" si="90"/>
        <v>0</v>
      </c>
      <c r="CF74" s="59">
        <f>IFERROR(__xludf.DUMMYFUNCTION("IMPORTRANGE(""1ii7mSZuwFsDeSKThBBKb777jYLe6wyBkEiBUpLVItGw"",""2026-27!AM4"")"),0.0)</f>
        <v>0</v>
      </c>
      <c r="CG74" s="59">
        <f>IFERROR(__xludf.DUMMYFUNCTION("IMPORTRANGE(""1ii7mSZuwFsDeSKThBBKb777jYLe6wyBkEiBUpLVItGw"",""2026-27!AM3"")"),0.0)</f>
        <v>0</v>
      </c>
      <c r="CH74" s="59">
        <f>IFERROR(__xludf.DUMMYFUNCTION("IMPORTRANGE(""1ii7mSZuwFsDeSKThBBKb777jYLe6wyBkEiBUpLVItGw"",""2026-27!AN4"")"),1168500.0)</f>
        <v>1168500</v>
      </c>
      <c r="CI74" s="59">
        <f>IFERROR(__xludf.DUMMYFUNCTION("IMPORTRANGE(""1ii7mSZuwFsDeSKThBBKb777jYLe6wyBkEiBUpLVItGw"",""2026-27!AN3"")"),30.0)</f>
        <v>30</v>
      </c>
      <c r="CJ74" s="59">
        <f>IFERROR(__xludf.DUMMYFUNCTION("IMPORTRANGE(""1ii7mSZuwFsDeSKThBBKb777jYLe6wyBkEiBUpLVItGw"",""2026-27!AO4"")"),0.0)</f>
        <v>0</v>
      </c>
      <c r="CK74" s="59">
        <f>IFERROR(__xludf.DUMMYFUNCTION("IMPORTRANGE(""1ii7mSZuwFsDeSKThBBKb777jYLe6wyBkEiBUpLVItGw"",""2026-27!AO3"")"),0.0)</f>
        <v>0</v>
      </c>
      <c r="CL74" s="63">
        <f t="shared" si="91"/>
        <v>0</v>
      </c>
      <c r="CM74" s="59">
        <f>IFERROR(__xludf.DUMMYFUNCTION("IMPORTRANGE(""1ii7mSZuwFsDeSKThBBKb777jYLe6wyBkEiBUpLVItGw"",""2026-27!AP4"")"),0.0)</f>
        <v>0</v>
      </c>
      <c r="CN74" s="59">
        <f>IFERROR(__xludf.DUMMYFUNCTION("IMPORTRANGE(""1ii7mSZuwFsDeSKThBBKb777jYLe6wyBkEiBUpLVItGw"",""2026-27!AP3"")"),0.0)</f>
        <v>0</v>
      </c>
      <c r="CO74" s="59">
        <f>IFERROR(__xludf.DUMMYFUNCTION("IMPORTRANGE(""1ii7mSZuwFsDeSKThBBKb777jYLe6wyBkEiBUpLVItGw"",""2026-27!AQ4"")"),1248500.0)</f>
        <v>1248500</v>
      </c>
      <c r="CP74" s="59">
        <f>IFERROR(__xludf.DUMMYFUNCTION("IMPORTRANGE(""1ii7mSZuwFsDeSKThBBKb777jYLe6wyBkEiBUpLVItGw"",""2026-27!AQ3"")"),30.0)</f>
        <v>30</v>
      </c>
      <c r="CQ74" s="59">
        <f>IFERROR(__xludf.DUMMYFUNCTION("IMPORTRANGE(""1ii7mSZuwFsDeSKThBBKb777jYLe6wyBkEiBUpLVItGw"",""2026-27!AR4"")"),0.0)</f>
        <v>0</v>
      </c>
      <c r="CR74" s="59">
        <f>IFERROR(__xludf.DUMMYFUNCTION("IMPORTRANGE(""1ii7mSZuwFsDeSKThBBKb777jYLe6wyBkEiBUpLVItGw"",""2026-27!AR3"")"),0.0)</f>
        <v>0</v>
      </c>
      <c r="CS74" s="63">
        <f t="shared" si="92"/>
        <v>0</v>
      </c>
      <c r="CT74" s="59">
        <f>IFERROR(__xludf.DUMMYFUNCTION("IMPORTRANGE(""1ii7mSZuwFsDeSKThBBKb777jYLe6wyBkEiBUpLVItGw"",""2026-27!AS4"")"),0.0)</f>
        <v>0</v>
      </c>
      <c r="CU74" s="59">
        <f>IFERROR(__xludf.DUMMYFUNCTION("IMPORTRANGE(""1ii7mSZuwFsDeSKThBBKb777jYLe6wyBkEiBUpLVItGw"",""2026-27!AS3"")"),0.0)</f>
        <v>0</v>
      </c>
      <c r="CV74" s="64"/>
    </row>
    <row r="75">
      <c r="A75" s="1" t="s">
        <v>103</v>
      </c>
      <c r="B75" s="41"/>
      <c r="C75" s="68" t="s">
        <v>154</v>
      </c>
      <c r="D75" s="72" t="s">
        <v>155</v>
      </c>
      <c r="E75" s="72">
        <v>7.566861687E9</v>
      </c>
      <c r="F75" s="84">
        <v>45999.0</v>
      </c>
      <c r="G75" s="66"/>
      <c r="H75" s="66"/>
      <c r="I75" s="74">
        <v>32500.0</v>
      </c>
      <c r="J75" s="58">
        <v>1500000.0</v>
      </c>
      <c r="K75" s="59">
        <f>IFERROR(__xludf.DUMMYFUNCTION("IMPORTRANGE(""1jDBw_zRV45g4GHvTxYAqTVyIfEtjeL3BgdcT4LOTyuo"",""2026-27!A3"")"),33.0)</f>
        <v>33</v>
      </c>
      <c r="L75" s="59">
        <f>IFERROR(__xludf.DUMMYFUNCTION("IMPORTRANGE(""1jDBw_zRV45g4GHvTxYAqTVyIfEtjeL3BgdcT4LOTyuo"",""2026-27!G4"")"),1.525E7)</f>
        <v>15250000</v>
      </c>
      <c r="M75" s="59">
        <f t="shared" si="95"/>
        <v>2012029.56</v>
      </c>
      <c r="N75" s="60">
        <f t="shared" si="79"/>
        <v>0.1217978361</v>
      </c>
      <c r="O75" s="61">
        <f t="shared" si="96"/>
        <v>1857417</v>
      </c>
      <c r="P75" s="59">
        <f>IFERROR(__xludf.DUMMYFUNCTION("IMPORTRANGE(""1jDBw_zRV45g4GHvTxYAqTVyIfEtjeL3BgdcT4LOTyuo"",""2026-27!J4"")"),0.0)</f>
        <v>0</v>
      </c>
      <c r="Q75" s="59">
        <f>IFERROR(__xludf.DUMMYFUNCTION("IMPORTRANGE(""1jDBw_zRV45g4GHvTxYAqTVyIfEtjeL3BgdcT4LOTyuo"",""2026-27!J3"")"),0.0)</f>
        <v>0</v>
      </c>
      <c r="R75" s="59">
        <f>IFERROR(__xludf.DUMMYFUNCTION("IMPORTRANGE(""1jDBw_zRV45g4GHvTxYAqTVyIfEtjeL3BgdcT4LOTyuo"",""2026-27!K4"")"),659300.66)</f>
        <v>659300.66</v>
      </c>
      <c r="S75" s="59">
        <f>IFERROR(__xludf.DUMMYFUNCTION("IMPORTRANGE(""1jDBw_zRV45g4GHvTxYAqTVyIfEtjeL3BgdcT4LOTyuo"",""2026-27!K3"")"),9.0)</f>
        <v>9</v>
      </c>
      <c r="T75" s="62" t="str">
        <f t="shared" si="81"/>
        <v/>
      </c>
      <c r="U75" s="59">
        <f>IFERROR(__xludf.DUMMYFUNCTION("IMPORTRANGE(""1jDBw_zRV45g4GHvTxYAqTVyIfEtjeL3BgdcT4LOTyuo"",""2026-27!L4"")"),683651.0)</f>
        <v>683651</v>
      </c>
      <c r="V75" s="59">
        <f>IFERROR(__xludf.DUMMYFUNCTION("IMPORTRANGE(""1jDBw_zRV45g4GHvTxYAqTVyIfEtjeL3BgdcT4LOTyuo"",""2026-27!L3"")"),14.0)</f>
        <v>14</v>
      </c>
      <c r="W75" s="59">
        <f>IFERROR(__xludf.DUMMYFUNCTION("IMPORTRANGE(""1jDBw_zRV45g4GHvTxYAqTVyIfEtjeL3BgdcT4LOTyuo"",""2026-27!m4"")"),845000.0)</f>
        <v>845000</v>
      </c>
      <c r="X75" s="59">
        <f>IFERROR(__xludf.DUMMYFUNCTION("IMPORTRANGE(""1jDBw_zRV45g4GHvTxYAqTVyIfEtjeL3BgdcT4LOTyuo"",""2026-27!m3"")"),27.0)</f>
        <v>27</v>
      </c>
      <c r="Y75" s="59">
        <f>IFERROR(__xludf.DUMMYFUNCTION("IMPORTRANGE(""1jDBw_zRV45g4GHvTxYAqTVyIfEtjeL3BgdcT4LOTyuo"",""2026-27!N4"")"),677472.5700000001)</f>
        <v>677472.57</v>
      </c>
      <c r="Z75" s="59">
        <f>IFERROR(__xludf.DUMMYFUNCTION("IMPORTRANGE(""1jDBw_zRV45g4GHvTxYAqTVyIfEtjeL3BgdcT4LOTyuo"",""2026-27!N3"")"),13.0)</f>
        <v>13</v>
      </c>
      <c r="AA75" s="62">
        <f t="shared" si="82"/>
        <v>0.9066497041</v>
      </c>
      <c r="AB75" s="59">
        <f>IFERROR(__xludf.DUMMYFUNCTION("IMPORTRANGE(""1jDBw_zRV45g4GHvTxYAqTVyIfEtjeL3BgdcT4LOTyuo"",""2026-27!O4"")"),766119.0)</f>
        <v>766119</v>
      </c>
      <c r="AC75" s="59">
        <f>IFERROR(__xludf.DUMMYFUNCTION("IMPORTRANGE(""1jDBw_zRV45g4GHvTxYAqTVyIfEtjeL3BgdcT4LOTyuo"",""2026-27!O3"")"),19.0)</f>
        <v>19</v>
      </c>
      <c r="AD75" s="59">
        <f>IFERROR(__xludf.DUMMYFUNCTION("IMPORTRANGE(""1jDBw_zRV45g4GHvTxYAqTVyIfEtjeL3BgdcT4LOTyuo"",""2026-27!P4"")"),1090000.0)</f>
        <v>1090000</v>
      </c>
      <c r="AE75" s="59">
        <f>IFERROR(__xludf.DUMMYFUNCTION("IMPORTRANGE(""1jDBw_zRV45g4GHvTxYAqTVyIfEtjeL3BgdcT4LOTyuo"",""2026-27!P3"")"),27.0)</f>
        <v>27</v>
      </c>
      <c r="AF75" s="59">
        <f>IFERROR(__xludf.DUMMYFUNCTION("IMPORTRANGE(""1jDBw_zRV45g4GHvTxYAqTVyIfEtjeL3BgdcT4LOTyuo"",""2026-27!Q4"")"),675256.33)</f>
        <v>675256.33</v>
      </c>
      <c r="AG75" s="59">
        <f>IFERROR(__xludf.DUMMYFUNCTION("IMPORTRANGE(""1jDBw_zRV45g4GHvTxYAqTVyIfEtjeL3BgdcT4LOTyuo"",""2026-27!Q3"")"),20.0)</f>
        <v>20</v>
      </c>
      <c r="AH75" s="62">
        <f t="shared" si="83"/>
        <v>0.3739880734</v>
      </c>
      <c r="AI75" s="59">
        <f>IFERROR(__xludf.DUMMYFUNCTION("IMPORTRANGE(""1jDBw_zRV45g4GHvTxYAqTVyIfEtjeL3BgdcT4LOTyuo"",""2026-27!R4"")"),407647.0)</f>
        <v>407647</v>
      </c>
      <c r="AJ75" s="59">
        <f>IFERROR(__xludf.DUMMYFUNCTION("IMPORTRANGE(""1jDBw_zRV45g4GHvTxYAqTVyIfEtjeL3BgdcT4LOTyuo"",""2026-27!R3"")"),14.0)</f>
        <v>14</v>
      </c>
      <c r="AK75" s="59">
        <f>IFERROR(__xludf.DUMMYFUNCTION("IMPORTRANGE(""1jDBw_zRV45g4GHvTxYAqTVyIfEtjeL3BgdcT4LOTyuo"",""2026-27!S4"")"),0.0)</f>
        <v>0</v>
      </c>
      <c r="AL75" s="59">
        <f>IFERROR(__xludf.DUMMYFUNCTION("IMPORTRANGE(""1jDBw_zRV45g4GHvTxYAqTVyIfEtjeL3BgdcT4LOTyuo"",""2026-27!S3"")"),0.0)</f>
        <v>0</v>
      </c>
      <c r="AM75" s="59">
        <f>IFERROR(__xludf.DUMMYFUNCTION("IMPORTRANGE(""1jDBw_zRV45g4GHvTxYAqTVyIfEtjeL3BgdcT4LOTyuo"",""2026-27!T4"")"),0.0)</f>
        <v>0</v>
      </c>
      <c r="AN75" s="59">
        <f>IFERROR(__xludf.DUMMYFUNCTION("IMPORTRANGE(""1jDBw_zRV45g4GHvTxYAqTVyIfEtjeL3BgdcT4LOTyuo"",""2026-27!T3"")"),0.0)</f>
        <v>0</v>
      </c>
      <c r="AO75" s="62" t="str">
        <f t="shared" si="84"/>
        <v/>
      </c>
      <c r="AP75" s="59">
        <f>IFERROR(__xludf.DUMMYFUNCTION("IMPORTRANGE(""1jDBw_zRV45g4GHvTxYAqTVyIfEtjeL3BgdcT4LOTyuo"",""2026-27!U4"")"),0.0)</f>
        <v>0</v>
      </c>
      <c r="AQ75" s="59">
        <f>IFERROR(__xludf.DUMMYFUNCTION("IMPORTRANGE(""1jDBw_zRV45g4GHvTxYAqTVyIfEtjeL3BgdcT4LOTyuo"",""2026-27!U3"")"),0.0)</f>
        <v>0</v>
      </c>
      <c r="AR75" s="59">
        <f>IFERROR(__xludf.DUMMYFUNCTION("IMPORTRANGE(""1jDBw_zRV45g4GHvTxYAqTVyIfEtjeL3BgdcT4LOTyuo"",""2026-27!V4"")"),0.0)</f>
        <v>0</v>
      </c>
      <c r="AS75" s="59">
        <f>IFERROR(__xludf.DUMMYFUNCTION("IMPORTRANGE(""1jDBw_zRV45g4GHvTxYAqTVyIfEtjeL3BgdcT4LOTyuo"",""2026-27!V3"")"),0.0)</f>
        <v>0</v>
      </c>
      <c r="AT75" s="59">
        <f>IFERROR(__xludf.DUMMYFUNCTION("IMPORTRANGE(""1jDBw_zRV45g4GHvTxYAqTVyIfEtjeL3BgdcT4LOTyuo"",""2026-27!W4"")"),0.0)</f>
        <v>0</v>
      </c>
      <c r="AU75" s="59">
        <f>IFERROR(__xludf.DUMMYFUNCTION("IMPORTRANGE(""1jDBw_zRV45g4GHvTxYAqTVyIfEtjeL3BgdcT4LOTyuo"",""2026-27!W3"")"),0.0)</f>
        <v>0</v>
      </c>
      <c r="AV75" s="62" t="str">
        <f t="shared" si="85"/>
        <v/>
      </c>
      <c r="AW75" s="59">
        <f>IFERROR(__xludf.DUMMYFUNCTION("IMPORTRANGE(""1jDBw_zRV45g4GHvTxYAqTVyIfEtjeL3BgdcT4LOTyuo"",""2026-27!X4"")"),0.0)</f>
        <v>0</v>
      </c>
      <c r="AX75" s="59">
        <f>IFERROR(__xludf.DUMMYFUNCTION("IMPORTRANGE(""1jDBw_zRV45g4GHvTxYAqTVyIfEtjeL3BgdcT4LOTyuo"",""2026-27!X3"")"),0.0)</f>
        <v>0</v>
      </c>
      <c r="AY75" s="59">
        <f>IFERROR(__xludf.DUMMYFUNCTION("IMPORTRANGE(""1jDBw_zRV45g4GHvTxYAqTVyIfEtjeL3BgdcT4LOTyuo"",""2026-27!Y4"")"),0.0)</f>
        <v>0</v>
      </c>
      <c r="AZ75" s="59">
        <f>IFERROR(__xludf.DUMMYFUNCTION("IMPORTRANGE(""1jDBw_zRV45g4GHvTxYAqTVyIfEtjeL3BgdcT4LOTyuo"",""2026-27!Y3"")"),0.0)</f>
        <v>0</v>
      </c>
      <c r="BA75" s="59">
        <f>IFERROR(__xludf.DUMMYFUNCTION("IMPORTRANGE(""1jDBw_zRV45g4GHvTxYAqTVyIfEtjeL3BgdcT4LOTyuo"",""2026-27!Z4"")"),0.0)</f>
        <v>0</v>
      </c>
      <c r="BB75" s="59">
        <f>IFERROR(__xludf.DUMMYFUNCTION("IMPORTRANGE(""1jDBw_zRV45g4GHvTxYAqTVyIfEtjeL3BgdcT4LOTyuo"",""2026-27!Z3"")"),0.0)</f>
        <v>0</v>
      </c>
      <c r="BC75" s="63" t="str">
        <f t="shared" si="86"/>
        <v/>
      </c>
      <c r="BD75" s="59">
        <f>IFERROR(__xludf.DUMMYFUNCTION("IMPORTRANGE(""1jDBw_zRV45g4GHvTxYAqTVyIfEtjeL3BgdcT4LOTyuo"",""2026-27!AA4"")"),0.0)</f>
        <v>0</v>
      </c>
      <c r="BE75" s="59">
        <f>IFERROR(__xludf.DUMMYFUNCTION("IMPORTRANGE(""1jDBw_zRV45g4GHvTxYAqTVyIfEtjeL3BgdcT4LOTyuo"",""2026-27!AA3"")"),0.0)</f>
        <v>0</v>
      </c>
      <c r="BF75" s="59">
        <f>IFERROR(__xludf.DUMMYFUNCTION("IMPORTRANGE(""1jDBw_zRV45g4GHvTxYAqTVyIfEtjeL3BgdcT4LOTyuo"",""2026-27!AB4"")"),0.0)</f>
        <v>0</v>
      </c>
      <c r="BG75" s="59">
        <f>IFERROR(__xludf.DUMMYFUNCTION("IMPORTRANGE(""1jDBw_zRV45g4GHvTxYAqTVyIfEtjeL3BgdcT4LOTyuo"",""2026-27!AB3"")"),0.0)</f>
        <v>0</v>
      </c>
      <c r="BH75" s="59">
        <f>IFERROR(__xludf.DUMMYFUNCTION("IMPORTRANGE(""1jDBw_zRV45g4GHvTxYAqTVyIfEtjeL3BgdcT4LOTyuo"",""2026-27!AC4"")"),0.0)</f>
        <v>0</v>
      </c>
      <c r="BI75" s="59">
        <f>IFERROR(__xludf.DUMMYFUNCTION("IMPORTRANGE(""1jDBw_zRV45g4GHvTxYAqTVyIfEtjeL3BgdcT4LOTyuo"",""2026-27!AC3"")"),0.0)</f>
        <v>0</v>
      </c>
      <c r="BJ75" s="63" t="str">
        <f t="shared" si="87"/>
        <v/>
      </c>
      <c r="BK75" s="59">
        <f>IFERROR(__xludf.DUMMYFUNCTION("IMPORTRANGE(""1jDBw_zRV45g4GHvTxYAqTVyIfEtjeL3BgdcT4LOTyuo"",""2026-27!AD4"")"),0.0)</f>
        <v>0</v>
      </c>
      <c r="BL75" s="59">
        <f>IFERROR(__xludf.DUMMYFUNCTION("IMPORTRANGE(""1jDBw_zRV45g4GHvTxYAqTVyIfEtjeL3BgdcT4LOTyuo"",""2026-27!AD3"")"),0.0)</f>
        <v>0</v>
      </c>
      <c r="BM75" s="59">
        <f>IFERROR(__xludf.DUMMYFUNCTION("IMPORTRANGE(""1jDBw_zRV45g4GHvTxYAqTVyIfEtjeL3BgdcT4LOTyuo"",""2026-27!AE4"")"),0.0)</f>
        <v>0</v>
      </c>
      <c r="BN75" s="59">
        <f>IFERROR(__xludf.DUMMYFUNCTION("IMPORTRANGE(""1jDBw_zRV45g4GHvTxYAqTVyIfEtjeL3BgdcT4LOTyuo"",""2026-27!AE3"")"),0.0)</f>
        <v>0</v>
      </c>
      <c r="BO75" s="59">
        <f>IFERROR(__xludf.DUMMYFUNCTION("IMPORTRANGE(""1jDBw_zRV45g4GHvTxYAqTVyIfEtjeL3BgdcT4LOTyuo"",""2026-27!AF4"")"),0.0)</f>
        <v>0</v>
      </c>
      <c r="BP75" s="59">
        <f>IFERROR(__xludf.DUMMYFUNCTION("IMPORTRANGE(""1jDBw_zRV45g4GHvTxYAqTVyIfEtjeL3BgdcT4LOTyuo"",""2026-27!AF3"")"),0.0)</f>
        <v>0</v>
      </c>
      <c r="BQ75" s="63" t="str">
        <f t="shared" si="88"/>
        <v/>
      </c>
      <c r="BR75" s="59">
        <f>IFERROR(__xludf.DUMMYFUNCTION("IMPORTRANGE(""1jDBw_zRV45g4GHvTxYAqTVyIfEtjeL3BgdcT4LOTyuo"",""2026-27!AG4"")"),0.0)</f>
        <v>0</v>
      </c>
      <c r="BS75" s="59">
        <f>IFERROR(__xludf.DUMMYFUNCTION("IMPORTRANGE(""1jDBw_zRV45g4GHvTxYAqTVyIfEtjeL3BgdcT4LOTyuo"",""2026-27!AG3"")"),0.0)</f>
        <v>0</v>
      </c>
      <c r="BT75" s="59">
        <f>IFERROR(__xludf.DUMMYFUNCTION("IMPORTRANGE(""1jDBw_zRV45g4GHvTxYAqTVyIfEtjeL3BgdcT4LOTyuo"",""2026-27!AH4"")"),0.0)</f>
        <v>0</v>
      </c>
      <c r="BU75" s="59">
        <f>IFERROR(__xludf.DUMMYFUNCTION("IMPORTRANGE(""1jDBw_zRV45g4GHvTxYAqTVyIfEtjeL3BgdcT4LOTyuo"",""2026-27!AH3"")"),0.0)</f>
        <v>0</v>
      </c>
      <c r="BV75" s="59">
        <f>IFERROR(__xludf.DUMMYFUNCTION("IMPORTRANGE(""1jDBw_zRV45g4GHvTxYAqTVyIfEtjeL3BgdcT4LOTyuo"",""2026-27!AI4"")"),0.0)</f>
        <v>0</v>
      </c>
      <c r="BW75" s="59">
        <f>IFERROR(__xludf.DUMMYFUNCTION("IMPORTRANGE(""1jDBw_zRV45g4GHvTxYAqTVyIfEtjeL3BgdcT4LOTyuo"",""2026-27!AI3"")"),0.0)</f>
        <v>0</v>
      </c>
      <c r="BX75" s="63" t="str">
        <f t="shared" si="89"/>
        <v/>
      </c>
      <c r="BY75" s="59">
        <f>IFERROR(__xludf.DUMMYFUNCTION("IMPORTRANGE(""1jDBw_zRV45g4GHvTxYAqTVyIfEtjeL3BgdcT4LOTyuo"",""2026-27!AJ4"")"),0.0)</f>
        <v>0</v>
      </c>
      <c r="BZ75" s="59">
        <f>IFERROR(__xludf.DUMMYFUNCTION("IMPORTRANGE(""1jDBw_zRV45g4GHvTxYAqTVyIfEtjeL3BgdcT4LOTyuo"",""2026-27!AJ3"")"),0.0)</f>
        <v>0</v>
      </c>
      <c r="CA75" s="59">
        <f>IFERROR(__xludf.DUMMYFUNCTION("IMPORTRANGE(""1jDBw_zRV45g4GHvTxYAqTVyIfEtjeL3BgdcT4LOTyuo"",""2026-27!AK4"")"),0.0)</f>
        <v>0</v>
      </c>
      <c r="CB75" s="59">
        <f>IFERROR(__xludf.DUMMYFUNCTION("IMPORTRANGE(""1jDBw_zRV45g4GHvTxYAqTVyIfEtjeL3BgdcT4LOTyuo"",""2026-27!AK3"")"),0.0)</f>
        <v>0</v>
      </c>
      <c r="CC75" s="59">
        <f>IFERROR(__xludf.DUMMYFUNCTION("IMPORTRANGE(""1jDBw_zRV45g4GHvTxYAqTVyIfEtjeL3BgdcT4LOTyuo"",""2026-27!AL4"")"),0.0)</f>
        <v>0</v>
      </c>
      <c r="CD75" s="59">
        <f>IFERROR(__xludf.DUMMYFUNCTION("IMPORTRANGE(""1jDBw_zRV45g4GHvTxYAqTVyIfEtjeL3BgdcT4LOTyuo"",""2026-27!AL3"")"),0.0)</f>
        <v>0</v>
      </c>
      <c r="CE75" s="63" t="str">
        <f t="shared" si="90"/>
        <v/>
      </c>
      <c r="CF75" s="59">
        <f>IFERROR(__xludf.DUMMYFUNCTION("IMPORTRANGE(""1jDBw_zRV45g4GHvTxYAqTVyIfEtjeL3BgdcT4LOTyuo"",""2026-27!AM4"")"),0.0)</f>
        <v>0</v>
      </c>
      <c r="CG75" s="59">
        <f>IFERROR(__xludf.DUMMYFUNCTION("IMPORTRANGE(""1jDBw_zRV45g4GHvTxYAqTVyIfEtjeL3BgdcT4LOTyuo"",""2026-27!AM3"")"),0.0)</f>
        <v>0</v>
      </c>
      <c r="CH75" s="59">
        <f>IFERROR(__xludf.DUMMYFUNCTION("IMPORTRANGE(""1jDBw_zRV45g4GHvTxYAqTVyIfEtjeL3BgdcT4LOTyuo"",""2026-27!AN4"")"),0.0)</f>
        <v>0</v>
      </c>
      <c r="CI75" s="59">
        <f>IFERROR(__xludf.DUMMYFUNCTION("IMPORTRANGE(""1jDBw_zRV45g4GHvTxYAqTVyIfEtjeL3BgdcT4LOTyuo"",""2026-27!AN3"")"),0.0)</f>
        <v>0</v>
      </c>
      <c r="CJ75" s="59">
        <f>IFERROR(__xludf.DUMMYFUNCTION("IMPORTRANGE(""1jDBw_zRV45g4GHvTxYAqTVyIfEtjeL3BgdcT4LOTyuo"",""2026-27!AO4"")"),0.0)</f>
        <v>0</v>
      </c>
      <c r="CK75" s="59">
        <f>IFERROR(__xludf.DUMMYFUNCTION("IMPORTRANGE(""1jDBw_zRV45g4GHvTxYAqTVyIfEtjeL3BgdcT4LOTyuo"",""2026-27!AO3"")"),0.0)</f>
        <v>0</v>
      </c>
      <c r="CL75" s="63" t="str">
        <f t="shared" si="91"/>
        <v/>
      </c>
      <c r="CM75" s="59">
        <f>IFERROR(__xludf.DUMMYFUNCTION("IMPORTRANGE(""1jDBw_zRV45g4GHvTxYAqTVyIfEtjeL3BgdcT4LOTyuo"",""2026-27!AP4"")"),0.0)</f>
        <v>0</v>
      </c>
      <c r="CN75" s="59">
        <f>IFERROR(__xludf.DUMMYFUNCTION("IMPORTRANGE(""1jDBw_zRV45g4GHvTxYAqTVyIfEtjeL3BgdcT4LOTyuo"",""2026-27!AP3"")"),0.0)</f>
        <v>0</v>
      </c>
      <c r="CO75" s="59">
        <f>IFERROR(__xludf.DUMMYFUNCTION("IMPORTRANGE(""1jDBw_zRV45g4GHvTxYAqTVyIfEtjeL3BgdcT4LOTyuo"",""2026-27!AQ4"")"),0.0)</f>
        <v>0</v>
      </c>
      <c r="CP75" s="59">
        <f>IFERROR(__xludf.DUMMYFUNCTION("IMPORTRANGE(""1jDBw_zRV45g4GHvTxYAqTVyIfEtjeL3BgdcT4LOTyuo"",""2026-27!AQ3"")"),0.0)</f>
        <v>0</v>
      </c>
      <c r="CQ75" s="59">
        <f>IFERROR(__xludf.DUMMYFUNCTION("IMPORTRANGE(""1jDBw_zRV45g4GHvTxYAqTVyIfEtjeL3BgdcT4LOTyuo"",""2026-27!AR4"")"),0.0)</f>
        <v>0</v>
      </c>
      <c r="CR75" s="59">
        <f>IFERROR(__xludf.DUMMYFUNCTION("IMPORTRANGE(""1jDBw_zRV45g4GHvTxYAqTVyIfEtjeL3BgdcT4LOTyuo"",""2026-27!AR3"")"),0.0)</f>
        <v>0</v>
      </c>
      <c r="CS75" s="63" t="str">
        <f t="shared" si="92"/>
        <v/>
      </c>
      <c r="CT75" s="59">
        <f>IFERROR(__xludf.DUMMYFUNCTION("IMPORTRANGE(""1jDBw_zRV45g4GHvTxYAqTVyIfEtjeL3BgdcT4LOTyuo"",""2026-27!AS4"")"),0.0)</f>
        <v>0</v>
      </c>
      <c r="CU75" s="59">
        <f>IFERROR(__xludf.DUMMYFUNCTION("IMPORTRANGE(""1jDBw_zRV45g4GHvTxYAqTVyIfEtjeL3BgdcT4LOTyuo"",""2026-27!AS3"")"),0.0)</f>
        <v>0</v>
      </c>
      <c r="CV75" s="64"/>
    </row>
    <row r="76">
      <c r="A76" s="1" t="s">
        <v>103</v>
      </c>
      <c r="B76" s="41"/>
      <c r="C76" s="68" t="s">
        <v>156</v>
      </c>
      <c r="D76" s="72" t="s">
        <v>157</v>
      </c>
      <c r="E76" s="72">
        <v>7.987037694E9</v>
      </c>
      <c r="F76" s="84">
        <v>46023.0</v>
      </c>
      <c r="G76" s="66"/>
      <c r="H76" s="66"/>
      <c r="I76" s="74">
        <v>36485.0</v>
      </c>
      <c r="J76" s="58">
        <v>1500000.0</v>
      </c>
      <c r="K76" s="59">
        <f>IFERROR(__xludf.DUMMYFUNCTION("IMPORTRANGE(""1PYshLg1OXx1pJptcckl0-wsx1cq1FqXl7CB7pBkMyXw"",""2026-27!A3"")"),48.0)</f>
        <v>48</v>
      </c>
      <c r="L76" s="59">
        <f>IFERROR(__xludf.DUMMYFUNCTION("IMPORTRANGE(""1PYshLg1OXx1pJptcckl0-wsx1cq1FqXl7CB7pBkMyXw"",""2026-27!G4"")"),6550000.0)</f>
        <v>6550000</v>
      </c>
      <c r="M76" s="59">
        <f t="shared" si="95"/>
        <v>1223574.56</v>
      </c>
      <c r="N76" s="60">
        <f t="shared" si="79"/>
        <v>0.0911140458</v>
      </c>
      <c r="O76" s="61">
        <f t="shared" si="96"/>
        <v>596797</v>
      </c>
      <c r="P76" s="59">
        <f>IFERROR(__xludf.DUMMYFUNCTION("IMPORTRANGE(""1PYshLg1OXx1pJptcckl0-wsx1cq1FqXl7CB7pBkMyXw"",""2026-27!J4"")"),511500.0)</f>
        <v>511500</v>
      </c>
      <c r="Q76" s="59">
        <f>IFERROR(__xludf.DUMMYFUNCTION("IMPORTRANGE(""1PYshLg1OXx1pJptcckl0-wsx1cq1FqXl7CB7pBkMyXw"",""2026-27!J3"")"),20.0)</f>
        <v>20</v>
      </c>
      <c r="R76" s="59">
        <f>IFERROR(__xludf.DUMMYFUNCTION("IMPORTRANGE(""1PYshLg1OXx1pJptcckl0-wsx1cq1FqXl7CB7pBkMyXw"",""2026-27!K4"")"),316995.27)</f>
        <v>316995.27</v>
      </c>
      <c r="S76" s="59">
        <f>IFERROR(__xludf.DUMMYFUNCTION("IMPORTRANGE(""1PYshLg1OXx1pJptcckl0-wsx1cq1FqXl7CB7pBkMyXw"",""2026-27!K3"")"),9.0)</f>
        <v>9</v>
      </c>
      <c r="T76" s="62">
        <f t="shared" si="81"/>
        <v>0.3031280547</v>
      </c>
      <c r="U76" s="59">
        <f>IFERROR(__xludf.DUMMYFUNCTION("IMPORTRANGE(""1PYshLg1OXx1pJptcckl0-wsx1cq1FqXl7CB7pBkMyXw"",""2026-27!L4"")"),155050.0)</f>
        <v>155050</v>
      </c>
      <c r="V76" s="59">
        <f>IFERROR(__xludf.DUMMYFUNCTION("IMPORTRANGE(""1PYshLg1OXx1pJptcckl0-wsx1cq1FqXl7CB7pBkMyXw"",""2026-27!L3"")"),6.0)</f>
        <v>6</v>
      </c>
      <c r="W76" s="59">
        <f>IFERROR(__xludf.DUMMYFUNCTION("IMPORTRANGE(""1PYshLg1OXx1pJptcckl0-wsx1cq1FqXl7CB7pBkMyXw"",""2026-27!m4"")"),594500.0)</f>
        <v>594500</v>
      </c>
      <c r="X76" s="59">
        <f>IFERROR(__xludf.DUMMYFUNCTION("IMPORTRANGE(""1PYshLg1OXx1pJptcckl0-wsx1cq1FqXl7CB7pBkMyXw"",""2026-27!m3"")"),24.0)</f>
        <v>24</v>
      </c>
      <c r="Y76" s="59">
        <f>IFERROR(__xludf.DUMMYFUNCTION("IMPORTRANGE(""1PYshLg1OXx1pJptcckl0-wsx1cq1FqXl7CB7pBkMyXw"",""2026-27!N4"")"),516621.11)</f>
        <v>516621.11</v>
      </c>
      <c r="Z76" s="59">
        <f>IFERROR(__xludf.DUMMYFUNCTION("IMPORTRANGE(""1PYshLg1OXx1pJptcckl0-wsx1cq1FqXl7CB7pBkMyXw"",""2026-27!N3"")"),20.0)</f>
        <v>20</v>
      </c>
      <c r="AA76" s="62">
        <f t="shared" si="82"/>
        <v>0.7430563499</v>
      </c>
      <c r="AB76" s="59">
        <f>IFERROR(__xludf.DUMMYFUNCTION("IMPORTRANGE(""1PYshLg1OXx1pJptcckl0-wsx1cq1FqXl7CB7pBkMyXw"",""2026-27!O4"")"),441747.0)</f>
        <v>441747</v>
      </c>
      <c r="AC76" s="59">
        <f>IFERROR(__xludf.DUMMYFUNCTION("IMPORTRANGE(""1PYshLg1OXx1pJptcckl0-wsx1cq1FqXl7CB7pBkMyXw"",""2026-27!O3"")"),18.0)</f>
        <v>18</v>
      </c>
      <c r="AD76" s="59">
        <f>IFERROR(__xludf.DUMMYFUNCTION("IMPORTRANGE(""1PYshLg1OXx1pJptcckl0-wsx1cq1FqXl7CB7pBkMyXw"",""2026-27!P4"")"),510000.0)</f>
        <v>510000</v>
      </c>
      <c r="AE76" s="59">
        <f>IFERROR(__xludf.DUMMYFUNCTION("IMPORTRANGE(""1PYshLg1OXx1pJptcckl0-wsx1cq1FqXl7CB7pBkMyXw"",""2026-27!P3"")"),23.0)</f>
        <v>23</v>
      </c>
      <c r="AF76" s="59">
        <f>IFERROR(__xludf.DUMMYFUNCTION("IMPORTRANGE(""1PYshLg1OXx1pJptcckl0-wsx1cq1FqXl7CB7pBkMyXw"",""2026-27!Q4"")"),389958.18000000005)</f>
        <v>389958.18</v>
      </c>
      <c r="AG76" s="59">
        <f>IFERROR(__xludf.DUMMYFUNCTION("IMPORTRANGE(""1PYshLg1OXx1pJptcckl0-wsx1cq1FqXl7CB7pBkMyXw"",""2026-27!Q3"")"),15.0)</f>
        <v>15</v>
      </c>
      <c r="AH76" s="62">
        <f t="shared" si="83"/>
        <v>0</v>
      </c>
      <c r="AI76" s="59">
        <f>IFERROR(__xludf.DUMMYFUNCTION("IMPORTRANGE(""1PYshLg1OXx1pJptcckl0-wsx1cq1FqXl7CB7pBkMyXw"",""2026-27!R4"")"),0.0)</f>
        <v>0</v>
      </c>
      <c r="AJ76" s="59">
        <f>IFERROR(__xludf.DUMMYFUNCTION("IMPORTRANGE(""1PYshLg1OXx1pJptcckl0-wsx1cq1FqXl7CB7pBkMyXw"",""2026-27!R3"")"),0.0)</f>
        <v>0</v>
      </c>
      <c r="AK76" s="59">
        <f>IFERROR(__xludf.DUMMYFUNCTION("IMPORTRANGE(""1PYshLg1OXx1pJptcckl0-wsx1cq1FqXl7CB7pBkMyXw"",""2026-27!S4"")"),0.0)</f>
        <v>0</v>
      </c>
      <c r="AL76" s="59">
        <f>IFERROR(__xludf.DUMMYFUNCTION("IMPORTRANGE(""1PYshLg1OXx1pJptcckl0-wsx1cq1FqXl7CB7pBkMyXw"",""2026-27!S3"")"),0.0)</f>
        <v>0</v>
      </c>
      <c r="AM76" s="59">
        <f>IFERROR(__xludf.DUMMYFUNCTION("IMPORTRANGE(""1PYshLg1OXx1pJptcckl0-wsx1cq1FqXl7CB7pBkMyXw"",""2026-27!T4"")"),0.0)</f>
        <v>0</v>
      </c>
      <c r="AN76" s="59">
        <f>IFERROR(__xludf.DUMMYFUNCTION("IMPORTRANGE(""1PYshLg1OXx1pJptcckl0-wsx1cq1FqXl7CB7pBkMyXw"",""2026-27!T3"")"),0.0)</f>
        <v>0</v>
      </c>
      <c r="AO76" s="62" t="str">
        <f t="shared" si="84"/>
        <v/>
      </c>
      <c r="AP76" s="59">
        <f>IFERROR(__xludf.DUMMYFUNCTION("IMPORTRANGE(""1PYshLg1OXx1pJptcckl0-wsx1cq1FqXl7CB7pBkMyXw"",""2026-27!U4"")"),0.0)</f>
        <v>0</v>
      </c>
      <c r="AQ76" s="59">
        <f>IFERROR(__xludf.DUMMYFUNCTION("IMPORTRANGE(""1PYshLg1OXx1pJptcckl0-wsx1cq1FqXl7CB7pBkMyXw"",""2026-27!U3"")"),0.0)</f>
        <v>0</v>
      </c>
      <c r="AR76" s="59">
        <f>IFERROR(__xludf.DUMMYFUNCTION("IMPORTRANGE(""1PYshLg1OXx1pJptcckl0-wsx1cq1FqXl7CB7pBkMyXw"",""2026-27!V4"")"),0.0)</f>
        <v>0</v>
      </c>
      <c r="AS76" s="59">
        <f>IFERROR(__xludf.DUMMYFUNCTION("IMPORTRANGE(""1PYshLg1OXx1pJptcckl0-wsx1cq1FqXl7CB7pBkMyXw"",""2026-27!V3"")"),0.0)</f>
        <v>0</v>
      </c>
      <c r="AT76" s="59">
        <f>IFERROR(__xludf.DUMMYFUNCTION("IMPORTRANGE(""1PYshLg1OXx1pJptcckl0-wsx1cq1FqXl7CB7pBkMyXw"",""2026-27!W4"")"),0.0)</f>
        <v>0</v>
      </c>
      <c r="AU76" s="59">
        <f>IFERROR(__xludf.DUMMYFUNCTION("IMPORTRANGE(""1PYshLg1OXx1pJptcckl0-wsx1cq1FqXl7CB7pBkMyXw"",""2026-27!W3"")"),0.0)</f>
        <v>0</v>
      </c>
      <c r="AV76" s="62" t="str">
        <f t="shared" si="85"/>
        <v/>
      </c>
      <c r="AW76" s="59">
        <f>IFERROR(__xludf.DUMMYFUNCTION("IMPORTRANGE(""1PYshLg1OXx1pJptcckl0-wsx1cq1FqXl7CB7pBkMyXw"",""2026-27!X4"")"),0.0)</f>
        <v>0</v>
      </c>
      <c r="AX76" s="59">
        <f>IFERROR(__xludf.DUMMYFUNCTION("IMPORTRANGE(""1PYshLg1OXx1pJptcckl0-wsx1cq1FqXl7CB7pBkMyXw"",""2026-27!X3"")"),0.0)</f>
        <v>0</v>
      </c>
      <c r="AY76" s="59">
        <f>IFERROR(__xludf.DUMMYFUNCTION("IMPORTRANGE(""1PYshLg1OXx1pJptcckl0-wsx1cq1FqXl7CB7pBkMyXw"",""2026-27!Y4"")"),0.0)</f>
        <v>0</v>
      </c>
      <c r="AZ76" s="59">
        <f>IFERROR(__xludf.DUMMYFUNCTION("IMPORTRANGE(""1PYshLg1OXx1pJptcckl0-wsx1cq1FqXl7CB7pBkMyXw"",""2026-27!Y3"")"),0.0)</f>
        <v>0</v>
      </c>
      <c r="BA76" s="59">
        <f>IFERROR(__xludf.DUMMYFUNCTION("IMPORTRANGE(""1PYshLg1OXx1pJptcckl0-wsx1cq1FqXl7CB7pBkMyXw"",""2026-27!Z4"")"),0.0)</f>
        <v>0</v>
      </c>
      <c r="BB76" s="59">
        <f>IFERROR(__xludf.DUMMYFUNCTION("IMPORTRANGE(""1PYshLg1OXx1pJptcckl0-wsx1cq1FqXl7CB7pBkMyXw"",""2026-27!Z3"")"),0.0)</f>
        <v>0</v>
      </c>
      <c r="BC76" s="63" t="str">
        <f t="shared" si="86"/>
        <v/>
      </c>
      <c r="BD76" s="59">
        <f>IFERROR(__xludf.DUMMYFUNCTION("IMPORTRANGE(""1PYshLg1OXx1pJptcckl0-wsx1cq1FqXl7CB7pBkMyXw"",""2026-27!AA4"")"),0.0)</f>
        <v>0</v>
      </c>
      <c r="BE76" s="59">
        <f>IFERROR(__xludf.DUMMYFUNCTION("IMPORTRANGE(""1PYshLg1OXx1pJptcckl0-wsx1cq1FqXl7CB7pBkMyXw"",""2026-27!AA3"")"),0.0)</f>
        <v>0</v>
      </c>
      <c r="BF76" s="59">
        <f>IFERROR(__xludf.DUMMYFUNCTION("IMPORTRANGE(""1PYshLg1OXx1pJptcckl0-wsx1cq1FqXl7CB7pBkMyXw"",""2026-27!AB4"")"),0.0)</f>
        <v>0</v>
      </c>
      <c r="BG76" s="59">
        <f>IFERROR(__xludf.DUMMYFUNCTION("IMPORTRANGE(""1PYshLg1OXx1pJptcckl0-wsx1cq1FqXl7CB7pBkMyXw"",""2026-27!AB3"")"),0.0)</f>
        <v>0</v>
      </c>
      <c r="BH76" s="59">
        <f>IFERROR(__xludf.DUMMYFUNCTION("IMPORTRANGE(""1PYshLg1OXx1pJptcckl0-wsx1cq1FqXl7CB7pBkMyXw"",""2026-27!AC4"")"),0.0)</f>
        <v>0</v>
      </c>
      <c r="BI76" s="59">
        <f>IFERROR(__xludf.DUMMYFUNCTION("IMPORTRANGE(""1PYshLg1OXx1pJptcckl0-wsx1cq1FqXl7CB7pBkMyXw"",""2026-27!AC3"")"),0.0)</f>
        <v>0</v>
      </c>
      <c r="BJ76" s="63" t="str">
        <f t="shared" si="87"/>
        <v/>
      </c>
      <c r="BK76" s="59">
        <f>IFERROR(__xludf.DUMMYFUNCTION("IMPORTRANGE(""1PYshLg1OXx1pJptcckl0-wsx1cq1FqXl7CB7pBkMyXw"",""2026-27!AD4"")"),0.0)</f>
        <v>0</v>
      </c>
      <c r="BL76" s="59">
        <f>IFERROR(__xludf.DUMMYFUNCTION("IMPORTRANGE(""1PYshLg1OXx1pJptcckl0-wsx1cq1FqXl7CB7pBkMyXw"",""2026-27!AD3"")"),0.0)</f>
        <v>0</v>
      </c>
      <c r="BM76" s="59">
        <f>IFERROR(__xludf.DUMMYFUNCTION("IMPORTRANGE(""1PYshLg1OXx1pJptcckl0-wsx1cq1FqXl7CB7pBkMyXw"",""2026-27!AE4"")"),0.0)</f>
        <v>0</v>
      </c>
      <c r="BN76" s="59">
        <f>IFERROR(__xludf.DUMMYFUNCTION("IMPORTRANGE(""1PYshLg1OXx1pJptcckl0-wsx1cq1FqXl7CB7pBkMyXw"",""2026-27!AE3"")"),0.0)</f>
        <v>0</v>
      </c>
      <c r="BO76" s="59">
        <f>IFERROR(__xludf.DUMMYFUNCTION("IMPORTRANGE(""1PYshLg1OXx1pJptcckl0-wsx1cq1FqXl7CB7pBkMyXw"",""2026-27!AF4"")"),0.0)</f>
        <v>0</v>
      </c>
      <c r="BP76" s="59">
        <f>IFERROR(__xludf.DUMMYFUNCTION("IMPORTRANGE(""1PYshLg1OXx1pJptcckl0-wsx1cq1FqXl7CB7pBkMyXw"",""2026-27!AF3"")"),0.0)</f>
        <v>0</v>
      </c>
      <c r="BQ76" s="63" t="str">
        <f t="shared" si="88"/>
        <v/>
      </c>
      <c r="BR76" s="59">
        <f>IFERROR(__xludf.DUMMYFUNCTION("IMPORTRANGE(""1PYshLg1OXx1pJptcckl0-wsx1cq1FqXl7CB7pBkMyXw"",""2026-27!AG4"")"),0.0)</f>
        <v>0</v>
      </c>
      <c r="BS76" s="59">
        <f>IFERROR(__xludf.DUMMYFUNCTION("IMPORTRANGE(""1PYshLg1OXx1pJptcckl0-wsx1cq1FqXl7CB7pBkMyXw"",""2026-27!AG3"")"),0.0)</f>
        <v>0</v>
      </c>
      <c r="BT76" s="59">
        <f>IFERROR(__xludf.DUMMYFUNCTION("IMPORTRANGE(""1PYshLg1OXx1pJptcckl0-wsx1cq1FqXl7CB7pBkMyXw"",""2026-27!AH4"")"),0.0)</f>
        <v>0</v>
      </c>
      <c r="BU76" s="59">
        <f>IFERROR(__xludf.DUMMYFUNCTION("IMPORTRANGE(""1PYshLg1OXx1pJptcckl0-wsx1cq1FqXl7CB7pBkMyXw"",""2026-27!AH3"")"),0.0)</f>
        <v>0</v>
      </c>
      <c r="BV76" s="59">
        <f>IFERROR(__xludf.DUMMYFUNCTION("IMPORTRANGE(""1PYshLg1OXx1pJptcckl0-wsx1cq1FqXl7CB7pBkMyXw"",""2026-27!AI4"")"),0.0)</f>
        <v>0</v>
      </c>
      <c r="BW76" s="59">
        <f>IFERROR(__xludf.DUMMYFUNCTION("IMPORTRANGE(""1PYshLg1OXx1pJptcckl0-wsx1cq1FqXl7CB7pBkMyXw"",""2026-27!AI3"")"),0.0)</f>
        <v>0</v>
      </c>
      <c r="BX76" s="63" t="str">
        <f t="shared" si="89"/>
        <v/>
      </c>
      <c r="BY76" s="59">
        <f>IFERROR(__xludf.DUMMYFUNCTION("IMPORTRANGE(""1PYshLg1OXx1pJptcckl0-wsx1cq1FqXl7CB7pBkMyXw"",""2026-27!AJ4"")"),0.0)</f>
        <v>0</v>
      </c>
      <c r="BZ76" s="59">
        <f>IFERROR(__xludf.DUMMYFUNCTION("IMPORTRANGE(""1PYshLg1OXx1pJptcckl0-wsx1cq1FqXl7CB7pBkMyXw"",""2026-27!AJ3"")"),0.0)</f>
        <v>0</v>
      </c>
      <c r="CA76" s="59">
        <f>IFERROR(__xludf.DUMMYFUNCTION("IMPORTRANGE(""1PYshLg1OXx1pJptcckl0-wsx1cq1FqXl7CB7pBkMyXw"",""2026-27!AK4"")"),0.0)</f>
        <v>0</v>
      </c>
      <c r="CB76" s="59">
        <f>IFERROR(__xludf.DUMMYFUNCTION("IMPORTRANGE(""1PYshLg1OXx1pJptcckl0-wsx1cq1FqXl7CB7pBkMyXw"",""2026-27!AK3"")"),0.0)</f>
        <v>0</v>
      </c>
      <c r="CC76" s="59">
        <f>IFERROR(__xludf.DUMMYFUNCTION("IMPORTRANGE(""1PYshLg1OXx1pJptcckl0-wsx1cq1FqXl7CB7pBkMyXw"",""2026-27!AL4"")"),0.0)</f>
        <v>0</v>
      </c>
      <c r="CD76" s="59">
        <f>IFERROR(__xludf.DUMMYFUNCTION("IMPORTRANGE(""1PYshLg1OXx1pJptcckl0-wsx1cq1FqXl7CB7pBkMyXw"",""2026-27!AL3"")"),0.0)</f>
        <v>0</v>
      </c>
      <c r="CE76" s="63" t="str">
        <f t="shared" si="90"/>
        <v/>
      </c>
      <c r="CF76" s="59">
        <f>IFERROR(__xludf.DUMMYFUNCTION("IMPORTRANGE(""1PYshLg1OXx1pJptcckl0-wsx1cq1FqXl7CB7pBkMyXw"",""2026-27!AM4"")"),0.0)</f>
        <v>0</v>
      </c>
      <c r="CG76" s="59">
        <f>IFERROR(__xludf.DUMMYFUNCTION("IMPORTRANGE(""1PYshLg1OXx1pJptcckl0-wsx1cq1FqXl7CB7pBkMyXw"",""2026-27!AM3"")"),0.0)</f>
        <v>0</v>
      </c>
      <c r="CH76" s="59">
        <f>IFERROR(__xludf.DUMMYFUNCTION("IMPORTRANGE(""1PYshLg1OXx1pJptcckl0-wsx1cq1FqXl7CB7pBkMyXw"",""2026-27!AN4"")"),0.0)</f>
        <v>0</v>
      </c>
      <c r="CI76" s="59">
        <f>IFERROR(__xludf.DUMMYFUNCTION("IMPORTRANGE(""1PYshLg1OXx1pJptcckl0-wsx1cq1FqXl7CB7pBkMyXw"",""2026-27!AN3"")"),0.0)</f>
        <v>0</v>
      </c>
      <c r="CJ76" s="59">
        <f>IFERROR(__xludf.DUMMYFUNCTION("IMPORTRANGE(""1PYshLg1OXx1pJptcckl0-wsx1cq1FqXl7CB7pBkMyXw"",""2026-27!AO4"")"),0.0)</f>
        <v>0</v>
      </c>
      <c r="CK76" s="59">
        <f>IFERROR(__xludf.DUMMYFUNCTION("IMPORTRANGE(""1PYshLg1OXx1pJptcckl0-wsx1cq1FqXl7CB7pBkMyXw"",""2026-27!AO3"")"),0.0)</f>
        <v>0</v>
      </c>
      <c r="CL76" s="63" t="str">
        <f t="shared" si="91"/>
        <v/>
      </c>
      <c r="CM76" s="59">
        <f>IFERROR(__xludf.DUMMYFUNCTION("IMPORTRANGE(""1PYshLg1OXx1pJptcckl0-wsx1cq1FqXl7CB7pBkMyXw"",""2026-27!AP4"")"),0.0)</f>
        <v>0</v>
      </c>
      <c r="CN76" s="59">
        <f>IFERROR(__xludf.DUMMYFUNCTION("IMPORTRANGE(""1PYshLg1OXx1pJptcckl0-wsx1cq1FqXl7CB7pBkMyXw"",""2026-27!AP3"")"),0.0)</f>
        <v>0</v>
      </c>
      <c r="CO76" s="59">
        <f>IFERROR(__xludf.DUMMYFUNCTION("IMPORTRANGE(""1PYshLg1OXx1pJptcckl0-wsx1cq1FqXl7CB7pBkMyXw"",""2026-27!AQ4"")"),0.0)</f>
        <v>0</v>
      </c>
      <c r="CP76" s="59">
        <f>IFERROR(__xludf.DUMMYFUNCTION("IMPORTRANGE(""1PYshLg1OXx1pJptcckl0-wsx1cq1FqXl7CB7pBkMyXw"",""2026-27!AQ3"")"),0.0)</f>
        <v>0</v>
      </c>
      <c r="CQ76" s="59">
        <f>IFERROR(__xludf.DUMMYFUNCTION("IMPORTRANGE(""1PYshLg1OXx1pJptcckl0-wsx1cq1FqXl7CB7pBkMyXw"",""2026-27!AR4"")"),0.0)</f>
        <v>0</v>
      </c>
      <c r="CR76" s="59">
        <f>IFERROR(__xludf.DUMMYFUNCTION("IMPORTRANGE(""1PYshLg1OXx1pJptcckl0-wsx1cq1FqXl7CB7pBkMyXw"",""2026-27!AR3"")"),0.0)</f>
        <v>0</v>
      </c>
      <c r="CS76" s="63" t="str">
        <f t="shared" si="92"/>
        <v/>
      </c>
      <c r="CT76" s="59">
        <f>IFERROR(__xludf.DUMMYFUNCTION("IMPORTRANGE(""1PYshLg1OXx1pJptcckl0-wsx1cq1FqXl7CB7pBkMyXw"",""2026-27!AS4"")"),0.0)</f>
        <v>0</v>
      </c>
      <c r="CU76" s="59">
        <f>IFERROR(__xludf.DUMMYFUNCTION("IMPORTRANGE(""1PYshLg1OXx1pJptcckl0-wsx1cq1FqXl7CB7pBkMyXw"",""2026-27!AS3"")"),0.0)</f>
        <v>0</v>
      </c>
      <c r="CV76" s="64"/>
    </row>
    <row r="77">
      <c r="A77" s="1"/>
      <c r="B77" s="41"/>
      <c r="C77" s="109" t="s">
        <v>158</v>
      </c>
      <c r="D77" s="54"/>
      <c r="E77" s="54"/>
      <c r="F77" s="80"/>
      <c r="G77" s="66"/>
      <c r="H77" s="66"/>
      <c r="I77" s="57"/>
      <c r="J77" s="58">
        <v>1500000.0</v>
      </c>
      <c r="K77" s="61"/>
      <c r="L77" s="61"/>
      <c r="M77" s="61"/>
      <c r="N77" s="60"/>
      <c r="O77" s="61"/>
      <c r="P77" s="59"/>
      <c r="Q77" s="59"/>
      <c r="R77" s="59"/>
      <c r="S77" s="59"/>
      <c r="T77" s="62"/>
      <c r="U77" s="59"/>
      <c r="V77" s="85"/>
      <c r="W77" s="59"/>
      <c r="X77" s="85"/>
      <c r="Y77" s="59"/>
      <c r="Z77" s="59"/>
      <c r="AA77" s="62"/>
      <c r="AB77" s="59"/>
      <c r="AC77" s="59"/>
      <c r="AD77" s="59"/>
      <c r="AE77" s="59"/>
      <c r="AF77" s="59"/>
      <c r="AG77" s="59"/>
      <c r="AH77" s="62"/>
      <c r="AI77" s="59"/>
      <c r="AJ77" s="59"/>
      <c r="AK77" s="59"/>
      <c r="AL77" s="59"/>
      <c r="AM77" s="61"/>
      <c r="AN77" s="59"/>
      <c r="AO77" s="62"/>
      <c r="AP77" s="59"/>
      <c r="AQ77" s="59"/>
      <c r="AR77" s="59"/>
      <c r="AS77" s="59"/>
      <c r="AT77" s="61"/>
      <c r="AU77" s="59"/>
      <c r="AV77" s="62"/>
      <c r="AW77" s="59"/>
      <c r="AX77" s="59"/>
      <c r="AY77" s="59"/>
      <c r="AZ77" s="59"/>
      <c r="BA77" s="61"/>
      <c r="BB77" s="59"/>
      <c r="BC77" s="63"/>
      <c r="BD77" s="59"/>
      <c r="BE77" s="59"/>
      <c r="BF77" s="59"/>
      <c r="BG77" s="59"/>
      <c r="BH77" s="59"/>
      <c r="BI77" s="59"/>
      <c r="BJ77" s="63"/>
      <c r="BK77" s="59"/>
      <c r="BL77" s="59"/>
      <c r="BM77" s="59"/>
      <c r="BN77" s="59"/>
      <c r="BO77" s="59"/>
      <c r="BP77" s="59"/>
      <c r="BQ77" s="63"/>
      <c r="BR77" s="59"/>
      <c r="BS77" s="59"/>
      <c r="BT77" s="59"/>
      <c r="BU77" s="59"/>
      <c r="BV77" s="59"/>
      <c r="BW77" s="59"/>
      <c r="BX77" s="63"/>
      <c r="BY77" s="59"/>
      <c r="BZ77" s="59"/>
      <c r="CA77" s="59"/>
      <c r="CB77" s="59"/>
      <c r="CC77" s="59"/>
      <c r="CD77" s="59"/>
      <c r="CE77" s="63"/>
      <c r="CF77" s="59"/>
      <c r="CG77" s="59"/>
      <c r="CH77" s="59"/>
      <c r="CI77" s="59"/>
      <c r="CJ77" s="59"/>
      <c r="CK77" s="59"/>
      <c r="CL77" s="63"/>
      <c r="CM77" s="59"/>
      <c r="CN77" s="59"/>
      <c r="CO77" s="59"/>
      <c r="CP77" s="59"/>
      <c r="CQ77" s="59"/>
      <c r="CR77" s="59"/>
      <c r="CS77" s="63"/>
      <c r="CT77" s="59"/>
      <c r="CU77" s="59"/>
      <c r="CV77" s="64"/>
    </row>
    <row r="78">
      <c r="A78" s="1"/>
      <c r="B78" s="47"/>
      <c r="C78" s="104" t="s">
        <v>159</v>
      </c>
      <c r="D78" s="54"/>
      <c r="E78" s="54"/>
      <c r="F78" s="80"/>
      <c r="G78" s="66"/>
      <c r="H78" s="66"/>
      <c r="I78" s="57"/>
      <c r="J78" s="58">
        <v>1200000.0</v>
      </c>
      <c r="K78" s="61"/>
      <c r="L78" s="61"/>
      <c r="M78" s="61"/>
      <c r="N78" s="60"/>
      <c r="O78" s="61"/>
      <c r="P78" s="59"/>
      <c r="Q78" s="59"/>
      <c r="R78" s="59"/>
      <c r="S78" s="59"/>
      <c r="T78" s="62"/>
      <c r="U78" s="59"/>
      <c r="V78" s="85"/>
      <c r="W78" s="59"/>
      <c r="X78" s="85"/>
      <c r="Y78" s="59"/>
      <c r="Z78" s="59"/>
      <c r="AA78" s="62"/>
      <c r="AB78" s="59"/>
      <c r="AC78" s="59"/>
      <c r="AD78" s="59"/>
      <c r="AE78" s="59"/>
      <c r="AF78" s="59"/>
      <c r="AG78" s="59"/>
      <c r="AH78" s="62"/>
      <c r="AI78" s="59"/>
      <c r="AJ78" s="59"/>
      <c r="AK78" s="59"/>
      <c r="AL78" s="59"/>
      <c r="AM78" s="61"/>
      <c r="AN78" s="59"/>
      <c r="AO78" s="62"/>
      <c r="AP78" s="59"/>
      <c r="AQ78" s="59"/>
      <c r="AR78" s="59"/>
      <c r="AS78" s="59"/>
      <c r="AT78" s="61"/>
      <c r="AU78" s="59"/>
      <c r="AV78" s="62"/>
      <c r="AW78" s="59"/>
      <c r="AX78" s="59"/>
      <c r="AY78" s="59"/>
      <c r="AZ78" s="59"/>
      <c r="BA78" s="61"/>
      <c r="BB78" s="59"/>
      <c r="BC78" s="63"/>
      <c r="BD78" s="59"/>
      <c r="BE78" s="59"/>
      <c r="BF78" s="59"/>
      <c r="BG78" s="59"/>
      <c r="BH78" s="59"/>
      <c r="BI78" s="59"/>
      <c r="BJ78" s="63"/>
      <c r="BK78" s="59"/>
      <c r="BL78" s="59"/>
      <c r="BM78" s="59"/>
      <c r="BN78" s="59"/>
      <c r="BO78" s="59"/>
      <c r="BP78" s="59"/>
      <c r="BQ78" s="63"/>
      <c r="BR78" s="59"/>
      <c r="BS78" s="59"/>
      <c r="BT78" s="59"/>
      <c r="BU78" s="59"/>
      <c r="BV78" s="59"/>
      <c r="BW78" s="59"/>
      <c r="BX78" s="63"/>
      <c r="BY78" s="59"/>
      <c r="BZ78" s="59"/>
      <c r="CA78" s="59"/>
      <c r="CB78" s="59"/>
      <c r="CC78" s="59"/>
      <c r="CD78" s="59"/>
      <c r="CE78" s="63"/>
      <c r="CF78" s="59"/>
      <c r="CG78" s="59"/>
      <c r="CH78" s="59"/>
      <c r="CI78" s="59"/>
      <c r="CJ78" s="59"/>
      <c r="CK78" s="59"/>
      <c r="CL78" s="63"/>
      <c r="CM78" s="59"/>
      <c r="CN78" s="59"/>
      <c r="CO78" s="59"/>
      <c r="CP78" s="59"/>
      <c r="CQ78" s="59"/>
      <c r="CR78" s="59"/>
      <c r="CS78" s="63"/>
      <c r="CT78" s="59"/>
      <c r="CU78" s="59"/>
      <c r="CV78" s="64"/>
    </row>
    <row r="79">
      <c r="A79" s="1" t="s">
        <v>160</v>
      </c>
      <c r="B79" s="110" t="s">
        <v>160</v>
      </c>
      <c r="C79" s="68" t="s">
        <v>161</v>
      </c>
      <c r="D79" s="54" t="s">
        <v>162</v>
      </c>
      <c r="E79" s="54">
        <v>9.332180661E9</v>
      </c>
      <c r="F79" s="80">
        <v>39859.0</v>
      </c>
      <c r="G79" s="66"/>
      <c r="H79" s="66"/>
      <c r="I79" s="57">
        <v>56000.0</v>
      </c>
      <c r="J79" s="58">
        <v>5000000.0</v>
      </c>
      <c r="K79" s="61">
        <f>IFERROR(__xludf.DUMMYFUNCTION("IMPORTRANGE(""https://docs.google.com/spreadsheets/d/1xiD-ftAMw5fqqFj6Gxi4X1d9CquBqV8fA6bcw0GeCQ8/edit#gid=599214790"",""2026-27!A3"")"),94.0)</f>
        <v>94</v>
      </c>
      <c r="L79" s="61">
        <f>IFERROR(__xludf.DUMMYFUNCTION("IMPORTRANGE(""https://docs.google.com/spreadsheets/d/1xiD-ftAMw5fqqFj6Gxi4X1d9CquBqV8fA6bcw0GeCQ8/edit#gid=599214790"",""2026-27!G4"")"),6.089E7)</f>
        <v>60890000</v>
      </c>
      <c r="M79" s="61">
        <f t="shared" ref="M79:M132" si="97">SUM(R79+Y79+AF79+AM79+AT79+BA79+BH79+BO79+BV79+CC79+CJ79+CQ79)</f>
        <v>8561254.25</v>
      </c>
      <c r="N79" s="60">
        <f t="shared" ref="N79:N136" si="98">iferror(O79/L79,"")</f>
        <v>0.1455601905</v>
      </c>
      <c r="O79" s="61">
        <f t="shared" ref="O79:O132" si="99">SUM(U79,AB79,AI79,AP79,AW79,BD79,BK79,BR79,BY79,CF79,CM79,CT79)</f>
        <v>8863160</v>
      </c>
      <c r="P79" s="59">
        <f>IFERROR(__xludf.DUMMYFUNCTION("IMPORTRANGE(""https://docs.google.com/spreadsheets/d/1xiD-ftAMw5fqqFj6Gxi4X1d9CquBqV8fA6bcw0GeCQ8/edit#gid=599214790"",""2026-27!J4"")"),4189000.0)</f>
        <v>4189000</v>
      </c>
      <c r="Q79" s="59">
        <f>IFERROR(__xludf.DUMMYFUNCTION("IMPORTRANGE(""https://docs.google.com/spreadsheets/d/1xiD-ftAMw5fqqFj6Gxi4X1d9CquBqV8fA6bcw0GeCQ8/edit#gid=599214790"",""2026-27!J3"")"),81.0)</f>
        <v>81</v>
      </c>
      <c r="R79" s="59">
        <f>IFERROR(__xludf.DUMMYFUNCTION("IMPORTRANGE(""https://docs.google.com/spreadsheets/d/1xiD-ftAMw5fqqFj6Gxi4X1d9CquBqV8fA6bcw0GeCQ8/edit#gid=599214790"",""2026-27!K4"")"),1246626.0899999999)</f>
        <v>1246626.09</v>
      </c>
      <c r="S79" s="59">
        <f>IFERROR(__xludf.DUMMYFUNCTION("IMPORTRANGE(""https://docs.google.com/spreadsheets/d/1xiD-ftAMw5fqqFj6Gxi4X1d9CquBqV8fA6bcw0GeCQ8/edit#gid=599214790"",""2026-27!K3"")"),12.0)</f>
        <v>12</v>
      </c>
      <c r="T79" s="62">
        <f t="shared" ref="T79:T136" si="100">IFERROR((U79/P79),"")</f>
        <v>0.5533189305</v>
      </c>
      <c r="U79" s="59">
        <f>IFERROR(__xludf.DUMMYFUNCTION("IMPORTRANGE(""https://docs.google.com/spreadsheets/d/1xiD-ftAMw5fqqFj6Gxi4X1d9CquBqV8fA6bcw0GeCQ8/edit#gid=599214790"",""2026-27!L4"")"),2317853.0)</f>
        <v>2317853</v>
      </c>
      <c r="V79" s="85">
        <f>IFERROR(__xludf.DUMMYFUNCTION("IMPORTRANGE(""https://docs.google.com/spreadsheets/d/1xiD-ftAMw5fqqFj6Gxi4X1d9CquBqV8fA6bcw0GeCQ8/edit#gid=599214790"",""2026-27!L3"")"),21.0)</f>
        <v>21</v>
      </c>
      <c r="W79" s="59">
        <f>IFERROR(__xludf.DUMMYFUNCTION("IMPORTRANGE(""https://docs.google.com/spreadsheets/d/1xiD-ftAMw5fqqFj6Gxi4X1d9CquBqV8fA6bcw0GeCQ8/edit#gid=599214790"",""2026-27!M4"")"),4229000.0)</f>
        <v>4229000</v>
      </c>
      <c r="X79" s="85">
        <f>IFERROR(__xludf.DUMMYFUNCTION("IMPORTRANGE(""https://docs.google.com/spreadsheets/d/1xiD-ftAMw5fqqFj6Gxi4X1d9CquBqV8fA6bcw0GeCQ8/edit#gid=599214790"",""2026-27!M3"")"),81.0)</f>
        <v>81</v>
      </c>
      <c r="Y79" s="59">
        <f>IFERROR(__xludf.DUMMYFUNCTION("importrange(""https://docs.google.com/spreadsheets/d/1xiD-ftAMw5fqqFj6Gxi4X1d9CquBqV8fA6bcw0GeCQ8/edit#gid=599214790"",""2026-27!n4"")"),3784894.66)</f>
        <v>3784894.66</v>
      </c>
      <c r="Z79" s="59">
        <f>IFERROR(__xludf.DUMMYFUNCTION("importrange(""https://docs.google.com/spreadsheets/d/1xiD-ftAMw5fqqFj6Gxi4X1d9CquBqV8fA6bcw0GeCQ8/edit#gid=599214790"",""2026-27!n3"")"),24.0)</f>
        <v>24</v>
      </c>
      <c r="AA79" s="62">
        <f t="shared" ref="AA79:AA136" si="101">IFERROR((AB79/W79),"")</f>
        <v>0.8068964294</v>
      </c>
      <c r="AB79" s="59">
        <f>IFERROR(__xludf.DUMMYFUNCTION("importrange(""https://docs.google.com/spreadsheets/d/1xiD-ftAMw5fqqFj6Gxi4X1d9CquBqV8fA6bcw0GeCQ8/edit#gid=599214790"",""2026-27!o4"")"),3412365.0)</f>
        <v>3412365</v>
      </c>
      <c r="AC79" s="59">
        <f>IFERROR(__xludf.DUMMYFUNCTION("importrange(""https://docs.google.com/spreadsheets/d/1xiD-ftAMw5fqqFj6Gxi4X1d9CquBqV8fA6bcw0GeCQ8/edit#gid=599214790"",""2026-27!o3"")"),27.0)</f>
        <v>27</v>
      </c>
      <c r="AD79" s="59">
        <f>IFERROR(__xludf.DUMMYFUNCTION("importrange(""https://docs.google.com/spreadsheets/d/1xiD-ftAMw5fqqFj6Gxi4X1d9CquBqV8fA6bcw0GeCQ8/edit#gid=599214790"",""2026-27!p4"")"),5034000.0)</f>
        <v>5034000</v>
      </c>
      <c r="AE79" s="59">
        <f>IFERROR(__xludf.DUMMYFUNCTION("importrange(""https://docs.google.com/spreadsheets/d/1xiD-ftAMw5fqqFj6Gxi4X1d9CquBqV8fA6bcw0GeCQ8/edit#gid=599214790"",""2026-27!p3"")"),89.0)</f>
        <v>89</v>
      </c>
      <c r="AF79" s="59">
        <f>IFERROR(__xludf.DUMMYFUNCTION("importrange(""https://docs.google.com/spreadsheets/d/1xiD-ftAMw5fqqFj6Gxi4X1d9CquBqV8fA6bcw0GeCQ8/edit#gid=599214790"",""2026-27!q4"")"),3529733.5)</f>
        <v>3529733.5</v>
      </c>
      <c r="AG79" s="59">
        <f>IFERROR(__xludf.DUMMYFUNCTION("importrange(""https://docs.google.com/spreadsheets/d/1xiD-ftAMw5fqqFj6Gxi4X1d9CquBqV8fA6bcw0GeCQ8/edit#gid=599214790"",""2026-27!q3"")"),29.0)</f>
        <v>29</v>
      </c>
      <c r="AH79" s="62">
        <f t="shared" ref="AH79:AH136" si="102">IFERROR((AI79/AD79),"")</f>
        <v>0.6223563766</v>
      </c>
      <c r="AI79" s="59">
        <f>IFERROR(__xludf.DUMMYFUNCTION("importrange(""https://docs.google.com/spreadsheets/d/1xiD-ftAMw5fqqFj6Gxi4X1d9CquBqV8fA6bcw0GeCQ8/edit#gid=599214790"",""2026-27!r4"")"),3132942.0)</f>
        <v>3132942</v>
      </c>
      <c r="AJ79" s="59">
        <f>IFERROR(__xludf.DUMMYFUNCTION("importrange(""https://docs.google.com/spreadsheets/d/1xiD-ftAMw5fqqFj6Gxi4X1d9CquBqV8fA6bcw0GeCQ8/edit#gid=599214790"",""2026-27!r3"")"),29.0)</f>
        <v>29</v>
      </c>
      <c r="AK79" s="59">
        <f>IFERROR(__xludf.DUMMYFUNCTION("importrange(""https://docs.google.com/spreadsheets/d/1xiD-ftAMw5fqqFj6Gxi4X1d9CquBqV8fA6bcw0GeCQ8/edit#gid=599214790"",""2026-27!s4"")"),5084000.0)</f>
        <v>5084000</v>
      </c>
      <c r="AL79" s="59">
        <f>IFERROR(__xludf.DUMMYFUNCTION("importrange(""https://docs.google.com/spreadsheets/d/1xiD-ftAMw5fqqFj6Gxi4X1d9CquBqV8fA6bcw0GeCQ8/edit#gid=599214790"",""2026-27!s3"")"),93.0)</f>
        <v>93</v>
      </c>
      <c r="AM79" s="61">
        <f>IFERROR(__xludf.DUMMYFUNCTION("importrange(""https://docs.google.com/spreadsheets/d/1xiD-ftAMw5fqqFj6Gxi4X1d9CquBqV8fA6bcw0GeCQ8/edit#gid=599214790"",""2026-27!t4"")"),0.0)</f>
        <v>0</v>
      </c>
      <c r="AN79" s="59">
        <f>IFERROR(__xludf.DUMMYFUNCTION("importrange(""https://docs.google.com/spreadsheets/d/1xiD-ftAMw5fqqFj6Gxi4X1d9CquBqV8fA6bcw0GeCQ8/edit#gid=599214790"",""2026-27!t3"")"),0.0)</f>
        <v>0</v>
      </c>
      <c r="AO79" s="62">
        <f t="shared" ref="AO79:AO136" si="103">IFERROR((AP79/AK79),"")</f>
        <v>0</v>
      </c>
      <c r="AP79" s="59">
        <f>IFERROR(__xludf.DUMMYFUNCTION("importrange(""https://docs.google.com/spreadsheets/d/1xiD-ftAMw5fqqFj6Gxi4X1d9CquBqV8fA6bcw0GeCQ8/edit#gid=599214790"",""2026-27!u4"")"),0.0)</f>
        <v>0</v>
      </c>
      <c r="AQ79" s="59">
        <f>IFERROR(__xludf.DUMMYFUNCTION("importrange(""https://docs.google.com/spreadsheets/d/1xiD-ftAMw5fqqFj6Gxi4X1d9CquBqV8fA6bcw0GeCQ8/edit#gid=599214790"",""2026-27!u3"")"),0.0)</f>
        <v>0</v>
      </c>
      <c r="AR79" s="59">
        <f>IFERROR(__xludf.DUMMYFUNCTION("importrange(""https://docs.google.com/spreadsheets/d/1xiD-ftAMw5fqqFj6Gxi4X1d9CquBqV8fA6bcw0GeCQ8/edit#gid=599214790"",""2026-27!v4"")"),5104000.0)</f>
        <v>5104000</v>
      </c>
      <c r="AS79" s="59">
        <f>IFERROR(__xludf.DUMMYFUNCTION("importrange(""https://docs.google.com/spreadsheets/d/1xiD-ftAMw5fqqFj6Gxi4X1d9CquBqV8fA6bcw0GeCQ8/edit#gid=599214790"",""2026-27!v3"")"),93.0)</f>
        <v>93</v>
      </c>
      <c r="AT79" s="61">
        <f>IFERROR(__xludf.DUMMYFUNCTION("importrange(""https://docs.google.com/spreadsheets/d/1xiD-ftAMw5fqqFj6Gxi4X1d9CquBqV8fA6bcw0GeCQ8/edit#gid=599214790"",""2026-27!w4"")"),0.0)</f>
        <v>0</v>
      </c>
      <c r="AU79" s="59">
        <f>IFERROR(__xludf.DUMMYFUNCTION("importrange(""https://docs.google.com/spreadsheets/d/1xiD-ftAMw5fqqFj6Gxi4X1d9CquBqV8fA6bcw0GeCQ8/edit#gid=599214790"",""2026-27!w3"")"),0.0)</f>
        <v>0</v>
      </c>
      <c r="AV79" s="62">
        <f t="shared" ref="AV79:AV136" si="104">IFERROR((AW79/AR79),"")</f>
        <v>0</v>
      </c>
      <c r="AW79" s="59">
        <f>IFERROR(__xludf.DUMMYFUNCTION("importrange(""https://docs.google.com/spreadsheets/d/1xiD-ftAMw5fqqFj6Gxi4X1d9CquBqV8fA6bcw0GeCQ8/edit#gid=599214790"",""2026-27!x4"")"),0.0)</f>
        <v>0</v>
      </c>
      <c r="AX79" s="59">
        <f>IFERROR(__xludf.DUMMYFUNCTION("importrange(""https://docs.google.com/spreadsheets/d/1xiD-ftAMw5fqqFj6Gxi4X1d9CquBqV8fA6bcw0GeCQ8/edit#gid=599214790"",""2026-27!x3"")"),0.0)</f>
        <v>0</v>
      </c>
      <c r="AY79" s="59">
        <f>IFERROR(__xludf.DUMMYFUNCTION("importrange(""https://docs.google.com/spreadsheets/d/1xiD-ftAMw5fqqFj6Gxi4X1d9CquBqV8fA6bcw0GeCQ8/edit#gid=599214790"",""2026-27!y4"")"),5104000.0)</f>
        <v>5104000</v>
      </c>
      <c r="AZ79" s="59">
        <f>IFERROR(__xludf.DUMMYFUNCTION("importrange(""https://docs.google.com/spreadsheets/d/1xiD-ftAMw5fqqFj6Gxi4X1d9CquBqV8fA6bcw0GeCQ8/edit#gid=599214790"",""2026-27!y3"")"),93.0)</f>
        <v>93</v>
      </c>
      <c r="BA79" s="61">
        <f>IFERROR(__xludf.DUMMYFUNCTION("importrange(""https://docs.google.com/spreadsheets/d/1xiD-ftAMw5fqqFj6Gxi4X1d9CquBqV8fA6bcw0GeCQ8/edit#gid=599214790"",""2026-27!z4"")"),0.0)</f>
        <v>0</v>
      </c>
      <c r="BB79" s="59">
        <f>IFERROR(__xludf.DUMMYFUNCTION("importrange(""https://docs.google.com/spreadsheets/d/1xiD-ftAMw5fqqFj6Gxi4X1d9CquBqV8fA6bcw0GeCQ8/edit#gid=599214790"",""2026-27!z3"")"),0.0)</f>
        <v>0</v>
      </c>
      <c r="BC79" s="63">
        <f t="shared" ref="BC79:BC136" si="105">IFERROR((BD79/AY79),"")</f>
        <v>0</v>
      </c>
      <c r="BD79" s="59">
        <f>IFERROR(__xludf.DUMMYFUNCTION("importrange(""https://docs.google.com/spreadsheets/d/1xiD-ftAMw5fqqFj6Gxi4X1d9CquBqV8fA6bcw0GeCQ8/edit#gid=599214790"",""2026-27!aa4"")"),0.0)</f>
        <v>0</v>
      </c>
      <c r="BE79" s="59">
        <f>IFERROR(__xludf.DUMMYFUNCTION("importrange(""https://docs.google.com/spreadsheets/d/1xiD-ftAMw5fqqFj6Gxi4X1d9CquBqV8fA6bcw0GeCQ8/edit#gid=599214790"",""2026-27!aa3"")"),0.0)</f>
        <v>0</v>
      </c>
      <c r="BF79" s="59">
        <f>IFERROR(__xludf.DUMMYFUNCTION("importrange(""https://docs.google.com/spreadsheets/d/1xiD-ftAMw5fqqFj6Gxi4X1d9CquBqV8fA6bcw0GeCQ8/edit#gid=599214790"",""2026-27!ab4"")"),5104000.0)</f>
        <v>5104000</v>
      </c>
      <c r="BG79" s="59">
        <f>IFERROR(__xludf.DUMMYFUNCTION("importrange(""https://docs.google.com/spreadsheets/d/1xiD-ftAMw5fqqFj6Gxi4X1d9CquBqV8fA6bcw0GeCQ8/edit#gid=599214790"",""2026-27!ab3"")"),93.0)</f>
        <v>93</v>
      </c>
      <c r="BH79" s="59">
        <f>IFERROR(__xludf.DUMMYFUNCTION("importrange(""https://docs.google.com/spreadsheets/d/1xiD-ftAMw5fqqFj6Gxi4X1d9CquBqV8fA6bcw0GeCQ8/edit#gid=599214790"",""2026-27!ac4"")"),0.0)</f>
        <v>0</v>
      </c>
      <c r="BI79" s="59">
        <f>IFERROR(__xludf.DUMMYFUNCTION("importrange(""https://docs.google.com/spreadsheets/d/1xiD-ftAMw5fqqFj6Gxi4X1d9CquBqV8fA6bcw0GeCQ8/edit#gid=599214790"",""2026-27!ac3"")"),0.0)</f>
        <v>0</v>
      </c>
      <c r="BJ79" s="63">
        <f t="shared" ref="BJ79:BJ136" si="106">IFERROR((BK79/BF79),"")</f>
        <v>0</v>
      </c>
      <c r="BK79" s="59">
        <f>IFERROR(__xludf.DUMMYFUNCTION("importrange(""https://docs.google.com/spreadsheets/d/1xiD-ftAMw5fqqFj6Gxi4X1d9CquBqV8fA6bcw0GeCQ8/edit#gid=599214790"",""2026-27!ad4"")"),0.0)</f>
        <v>0</v>
      </c>
      <c r="BL79" s="59">
        <f>IFERROR(__xludf.DUMMYFUNCTION("importrange(""https://docs.google.com/spreadsheets/d/1xiD-ftAMw5fqqFj6Gxi4X1d9CquBqV8fA6bcw0GeCQ8/edit#gid=599214790"",""2026-27!ad3"")"),0.0)</f>
        <v>0</v>
      </c>
      <c r="BM79" s="59">
        <f>IFERROR(__xludf.DUMMYFUNCTION("importrange(""https://docs.google.com/spreadsheets/d/1xiD-ftAMw5fqqFj6Gxi4X1d9CquBqV8fA6bcw0GeCQ8/edit#gid=599214790"",""2026-27!ae4"")"),5104000.0)</f>
        <v>5104000</v>
      </c>
      <c r="BN79" s="59">
        <f>IFERROR(__xludf.DUMMYFUNCTION("importrange(""https://docs.google.com/spreadsheets/d/1xiD-ftAMw5fqqFj6Gxi4X1d9CquBqV8fA6bcw0GeCQ8/edit#gid=599214790"",""2026-27!ae3"")"),93.0)</f>
        <v>93</v>
      </c>
      <c r="BO79" s="59">
        <f>IFERROR(__xludf.DUMMYFUNCTION("importrange(""https://docs.google.com/spreadsheets/d/1xiD-ftAMw5fqqFj6Gxi4X1d9CquBqV8fA6bcw0GeCQ8/edit#gid=599214790"",""2026-27!af4"")"),0.0)</f>
        <v>0</v>
      </c>
      <c r="BP79" s="59">
        <f>IFERROR(__xludf.DUMMYFUNCTION("importrange(""https://docs.google.com/spreadsheets/d/1xiD-ftAMw5fqqFj6Gxi4X1d9CquBqV8fA6bcw0GeCQ8/edit#gid=599214790"",""2026-27!af3"")"),0.0)</f>
        <v>0</v>
      </c>
      <c r="BQ79" s="63">
        <f t="shared" ref="BQ79:BQ136" si="107">IFERROR((BR79/BM79),"")</f>
        <v>0</v>
      </c>
      <c r="BR79" s="59">
        <f>IFERROR(__xludf.DUMMYFUNCTION("importrange(""https://docs.google.com/spreadsheets/d/1xiD-ftAMw5fqqFj6Gxi4X1d9CquBqV8fA6bcw0GeCQ8/edit#gid=599214790"",""2026-27!ag4"")"),0.0)</f>
        <v>0</v>
      </c>
      <c r="BS79" s="59">
        <f>IFERROR(__xludf.DUMMYFUNCTION("importrange(""https://docs.google.com/spreadsheets/d/1xiD-ftAMw5fqqFj6Gxi4X1d9CquBqV8fA6bcw0GeCQ8/edit#gid=599214790"",""2026-27!ag3"")"),0.0)</f>
        <v>0</v>
      </c>
      <c r="BT79" s="59">
        <f>IFERROR(__xludf.DUMMYFUNCTION("importrange(""https://docs.google.com/spreadsheets/d/1xiD-ftAMw5fqqFj6Gxi4X1d9CquBqV8fA6bcw0GeCQ8/edit#gid=599214790"",""2026-27!ah4"")"),5104000.0)</f>
        <v>5104000</v>
      </c>
      <c r="BU79" s="59">
        <f>IFERROR(__xludf.DUMMYFUNCTION("importrange(""https://docs.google.com/spreadsheets/d/1xiD-ftAMw5fqqFj6Gxi4X1d9CquBqV8fA6bcw0GeCQ8/edit#gid=599214790"",""2026-27!ah3"")"),93.0)</f>
        <v>93</v>
      </c>
      <c r="BV79" s="59">
        <f>IFERROR(__xludf.DUMMYFUNCTION("importrange(""https://docs.google.com/spreadsheets/d/1xiD-ftAMw5fqqFj6Gxi4X1d9CquBqV8fA6bcw0GeCQ8/edit#gid=599214790"",""2026-27!ai4"")"),0.0)</f>
        <v>0</v>
      </c>
      <c r="BW79" s="59">
        <f>IFERROR(__xludf.DUMMYFUNCTION("importrange(""https://docs.google.com/spreadsheets/d/1xiD-ftAMw5fqqFj6Gxi4X1d9CquBqV8fA6bcw0GeCQ8/edit#gid=599214790"",""2026-27!ai3"")"),0.0)</f>
        <v>0</v>
      </c>
      <c r="BX79" s="63">
        <f t="shared" ref="BX79:BX136" si="108">IFERROR((BY79/BT79),"")</f>
        <v>0</v>
      </c>
      <c r="BY79" s="59">
        <f>IFERROR(__xludf.DUMMYFUNCTION("importrange(""https://docs.google.com/spreadsheets/d/1xiD-ftAMw5fqqFj6Gxi4X1d9CquBqV8fA6bcw0GeCQ8/edit#gid=599214790"",""2026-27!aj4"")"),0.0)</f>
        <v>0</v>
      </c>
      <c r="BZ79" s="59">
        <f>IFERROR(__xludf.DUMMYFUNCTION("importrange(""https://docs.google.com/spreadsheets/d/1xiD-ftAMw5fqqFj6Gxi4X1d9CquBqV8fA6bcw0GeCQ8/edit#gid=599214790"",""2026-27!aj3"")"),0.0)</f>
        <v>0</v>
      </c>
      <c r="CA79" s="59">
        <f>IFERROR(__xludf.DUMMYFUNCTION("importrange(""https://docs.google.com/spreadsheets/d/1xiD-ftAMw5fqqFj6Gxi4X1d9CquBqV8fA6bcw0GeCQ8/edit#gid=599214790"",""2026-27!ak4"")"),5122000.0)</f>
        <v>5122000</v>
      </c>
      <c r="CB79" s="59">
        <f>IFERROR(__xludf.DUMMYFUNCTION("importrange(""https://docs.google.com/spreadsheets/d/1xiD-ftAMw5fqqFj6Gxi4X1d9CquBqV8fA6bcw0GeCQ8/edit#gid=599214790"",""2026-27!ak3"")"),93.0)</f>
        <v>93</v>
      </c>
      <c r="CC79" s="59">
        <f>IFERROR(__xludf.DUMMYFUNCTION("importrange(""https://docs.google.com/spreadsheets/d/1xiD-ftAMw5fqqFj6Gxi4X1d9CquBqV8fA6bcw0GeCQ8/edit#gid=599214790"",""2026-27!al4"")"),0.0)</f>
        <v>0</v>
      </c>
      <c r="CD79" s="59">
        <f>IFERROR(__xludf.DUMMYFUNCTION("importrange(""https://docs.google.com/spreadsheets/d/1xiD-ftAMw5fqqFj6Gxi4X1d9CquBqV8fA6bcw0GeCQ8/edit#gid=599214790"",""2026-27!ai3"")"),0.0)</f>
        <v>0</v>
      </c>
      <c r="CE79" s="63">
        <f t="shared" ref="CE79:CE136" si="109">IFERROR((CF79/CA79),"")</f>
        <v>0</v>
      </c>
      <c r="CF79" s="59">
        <f>IFERROR(__xludf.DUMMYFUNCTION("importrange(""https://docs.google.com/spreadsheets/d/1xiD-ftAMw5fqqFj6Gxi4X1d9CquBqV8fA6bcw0GeCQ8/edit#gid=599214790"",""2026-27!am4"")"),0.0)</f>
        <v>0</v>
      </c>
      <c r="CG79" s="59">
        <f>IFERROR(__xludf.DUMMYFUNCTION("importrange(""https://docs.google.com/spreadsheets/d/1xiD-ftAMw5fqqFj6Gxi4X1d9CquBqV8fA6bcw0GeCQ8/edit#gid=599214790"",""2026-27!am3"")"),0.0)</f>
        <v>0</v>
      </c>
      <c r="CH79" s="59">
        <f>IFERROR(__xludf.DUMMYFUNCTION("importrange(""https://docs.google.com/spreadsheets/d/1xiD-ftAMw5fqqFj6Gxi4X1d9CquBqV8fA6bcw0GeCQ8/edit#gid=599214790"",""2026-27!an4"")"),5112000.0)</f>
        <v>5112000</v>
      </c>
      <c r="CI79" s="59">
        <f>IFERROR(__xludf.DUMMYFUNCTION("importrange(""https://docs.google.com/spreadsheets/d/1xiD-ftAMw5fqqFj6Gxi4X1d9CquBqV8fA6bcw0GeCQ8/edit#gid=599214790"",""2026-27!an3"")"),93.0)</f>
        <v>93</v>
      </c>
      <c r="CJ79" s="59">
        <f>IFERROR(__xludf.DUMMYFUNCTION("importrange(""https://docs.google.com/spreadsheets/d/1xiD-ftAMw5fqqFj6Gxi4X1d9CquBqV8fA6bcw0GeCQ8/edit#gid=599214790"",""2026-27!ao4"")"),0.0)</f>
        <v>0</v>
      </c>
      <c r="CK79" s="59">
        <f>IFERROR(__xludf.DUMMYFUNCTION("importrange(""https://docs.google.com/spreadsheets/d/1xiD-ftAMw5fqqFj6Gxi4X1d9CquBqV8fA6bcw0GeCQ8/edit#gid=599214790"",""2026-27!ao3"")"),0.0)</f>
        <v>0</v>
      </c>
      <c r="CL79" s="63">
        <f t="shared" ref="CL79:CL136" si="110">IFERROR((CM79/CH79),"")</f>
        <v>0</v>
      </c>
      <c r="CM79" s="59">
        <f>IFERROR(__xludf.DUMMYFUNCTION("importrange(""https://docs.google.com/spreadsheets/d/1xiD-ftAMw5fqqFj6Gxi4X1d9CquBqV8fA6bcw0GeCQ8/edit#gid=599214790"",""2026-27!ap4"")"),0.0)</f>
        <v>0</v>
      </c>
      <c r="CN79" s="59">
        <f>IFERROR(__xludf.DUMMYFUNCTION("importrange(""https://docs.google.com/spreadsheets/d/1xiD-ftAMw5fqqFj6Gxi4X1d9CquBqV8fA6bcw0GeCQ8/edit#gid=599214790"",""2026-27!ap3"")"),0.0)</f>
        <v>0</v>
      </c>
      <c r="CO79" s="59">
        <f>IFERROR(__xludf.DUMMYFUNCTION("importrange(""https://docs.google.com/spreadsheets/d/1xiD-ftAMw5fqqFj6Gxi4X1d9CquBqV8fA6bcw0GeCQ8/edit#gid=599214790"",""2026-27!aq4"")"),6668000.0)</f>
        <v>6668000</v>
      </c>
      <c r="CP79" s="59">
        <f>IFERROR(__xludf.DUMMYFUNCTION("importrange(""https://docs.google.com/spreadsheets/d/1xiD-ftAMw5fqqFj6Gxi4X1d9CquBqV8fA6bcw0GeCQ8/edit#gid=599214790"",""2026-27!aq3"")"),93.0)</f>
        <v>93</v>
      </c>
      <c r="CQ79" s="59">
        <f>IFERROR(__xludf.DUMMYFUNCTION("importrange(""https://docs.google.com/spreadsheets/d/1xiD-ftAMw5fqqFj6Gxi4X1d9CquBqV8fA6bcw0GeCQ8/edit#gid=599214790"",""2026-27!ar4"")"),0.0)</f>
        <v>0</v>
      </c>
      <c r="CR79" s="59">
        <f>IFERROR(__xludf.DUMMYFUNCTION("importrange(""https://docs.google.com/spreadsheets/d/1xiD-ftAMw5fqqFj6Gxi4X1d9CquBqV8fA6bcw0GeCQ8/edit#gid=599214790"",""2026-27!ar3"")"),0.0)</f>
        <v>0</v>
      </c>
      <c r="CS79" s="63">
        <f t="shared" ref="CS79:CS136" si="111">IFERROR((CT79/CO79),"")</f>
        <v>0</v>
      </c>
      <c r="CT79" s="59">
        <f>IFERROR(__xludf.DUMMYFUNCTION("importrange(""https://docs.google.com/spreadsheets/d/1xiD-ftAMw5fqqFj6Gxi4X1d9CquBqV8fA6bcw0GeCQ8/edit#gid=599214790"",""2026-27!as4"")"),0.0)</f>
        <v>0</v>
      </c>
      <c r="CU79" s="59">
        <f>IFERROR(__xludf.DUMMYFUNCTION("importrange(""https://docs.google.com/spreadsheets/d/1xiD-ftAMw5fqqFj6Gxi4X1d9CquBqV8fA6bcw0GeCQ8/edit#gid=599214790"",""2026-27!as3"")"),0.0)</f>
        <v>0</v>
      </c>
      <c r="CV79" s="64"/>
    </row>
    <row r="80">
      <c r="A80" s="1" t="s">
        <v>160</v>
      </c>
      <c r="B80" s="41"/>
      <c r="C80" s="68" t="s">
        <v>163</v>
      </c>
      <c r="D80" s="54" t="s">
        <v>164</v>
      </c>
      <c r="E80" s="54">
        <v>9.378139552E9</v>
      </c>
      <c r="F80" s="80">
        <v>41159.0</v>
      </c>
      <c r="G80" s="66"/>
      <c r="H80" s="66"/>
      <c r="I80" s="57">
        <v>72335.0</v>
      </c>
      <c r="J80" s="58">
        <v>6000000.0</v>
      </c>
      <c r="K80" s="61">
        <f>IFERROR(__xludf.DUMMYFUNCTION("IMPORTRANGE(""https://docs.google.com/spreadsheets/d/1yLhrKcjt1xaec0PTD-O5wT7tbQk_0C0O53JVUJ107no/edit#gid=79001435"",""2026-27!A3"")"),97.0)</f>
        <v>97</v>
      </c>
      <c r="L80" s="61">
        <f>IFERROR(__xludf.DUMMYFUNCTION("IMPORTRANGE(""https://docs.google.com/spreadsheets/d/1yLhrKcjt1xaec0PTD-O5wT7tbQk_0C0O53JVUJ107no/edit#gid=79001435"",""2026-27!G4"")"),6.36E7)</f>
        <v>63600000</v>
      </c>
      <c r="M80" s="61">
        <f t="shared" si="97"/>
        <v>4282163.26</v>
      </c>
      <c r="N80" s="60">
        <f t="shared" si="98"/>
        <v>0.07509377358</v>
      </c>
      <c r="O80" s="61">
        <f t="shared" si="99"/>
        <v>4775964</v>
      </c>
      <c r="P80" s="59">
        <f>IFERROR(__xludf.DUMMYFUNCTION("IMPORTRANGE(""https://docs.google.com/spreadsheets/d/1yLhrKcjt1xaec0PTD-O5wT7tbQk_0C0O53JVUJ107no/edit#gid=79001435"",""2026-27!J4"")"),5283338.0)</f>
        <v>5283338</v>
      </c>
      <c r="Q80" s="59">
        <f>IFERROR(__xludf.DUMMYFUNCTION("IMPORTRANGE(""https://docs.google.com/spreadsheets/d/1yLhrKcjt1xaec0PTD-O5wT7tbQk_0C0O53JVUJ107no/edit#gid=79001435"",""2026-27!J3"")"),94.0)</f>
        <v>94</v>
      </c>
      <c r="R80" s="59">
        <f>IFERROR(__xludf.DUMMYFUNCTION("IMPORTRANGE(""https://docs.google.com/spreadsheets/d/1yLhrKcjt1xaec0PTD-O5wT7tbQk_0C0O53JVUJ107no/edit#gid=79001435"",""2026-27!K4"")"),628156.8)</f>
        <v>628156.8</v>
      </c>
      <c r="S80" s="59">
        <f>IFERROR(__xludf.DUMMYFUNCTION("IMPORTRANGE(""https://docs.google.com/spreadsheets/d/1yLhrKcjt1xaec0PTD-O5wT7tbQk_0C0O53JVUJ107no/edit#gid=79001435"",""2026-27!K3"")"),4.0)</f>
        <v>4</v>
      </c>
      <c r="T80" s="62">
        <f t="shared" si="100"/>
        <v>0.348959881</v>
      </c>
      <c r="U80" s="59">
        <f>IFERROR(__xludf.DUMMYFUNCTION("IMPORTRANGE(""https://docs.google.com/spreadsheets/d/1yLhrKcjt1xaec0PTD-O5wT7tbQk_0C0O53JVUJ107no/edit#gid=79001435"",""2026-27!L4"")"),1843673.0)</f>
        <v>1843673</v>
      </c>
      <c r="V80" s="85">
        <f>IFERROR(__xludf.DUMMYFUNCTION("IMPORTRANGE(""https://docs.google.com/spreadsheets/d/1yLhrKcjt1xaec0PTD-O5wT7tbQk_0C0O53JVUJ107no/edit#gid=79001435"",""2026-27!L3"")"),18.0)</f>
        <v>18</v>
      </c>
      <c r="W80" s="59">
        <f>IFERROR(__xludf.DUMMYFUNCTION("IMPORTRANGE(""https://docs.google.com/spreadsheets/d/1yLhrKcjt1xaec0PTD-O5wT7tbQk_0C0O53JVUJ107no/edit#gid=79001435"",""2026-27!M4"")"),5283338.0)</f>
        <v>5283338</v>
      </c>
      <c r="X80" s="85">
        <f>IFERROR(__xludf.DUMMYFUNCTION("IMPORTRANGE(""https://docs.google.com/spreadsheets/d/1yLhrKcjt1xaec0PTD-O5wT7tbQk_0C0O53JVUJ107no/edit#gid=79001435"",""2026-27!M3"")"),94.0)</f>
        <v>94</v>
      </c>
      <c r="Y80" s="59">
        <f>IFERROR(__xludf.DUMMYFUNCTION("importrange(""https://docs.google.com/spreadsheets/d/1yLhrKcjt1xaec0PTD-O5wT7tbQk_0C0O53JVUJ107no/edit#gid=79001435"",""2026-27!n4"")"),2096238.98)</f>
        <v>2096238.98</v>
      </c>
      <c r="Z80" s="59">
        <f>IFERROR(__xludf.DUMMYFUNCTION("importrange(""https://docs.google.com/spreadsheets/d/1yLhrKcjt1xaec0PTD-O5wT7tbQk_0C0O53JVUJ107no/edit#gid=79001435"",""2026-27!n3"")"),10.0)</f>
        <v>10</v>
      </c>
      <c r="AA80" s="62">
        <f t="shared" si="101"/>
        <v>0.55500727</v>
      </c>
      <c r="AB80" s="59">
        <f>IFERROR(__xludf.DUMMYFUNCTION("importrange(""https://docs.google.com/spreadsheets/d/1yLhrKcjt1xaec0PTD-O5wT7tbQk_0C0O53JVUJ107no/edit#gid=79001435"",""2026-27!o4"")"),2932291.0)</f>
        <v>2932291</v>
      </c>
      <c r="AC80" s="59">
        <f>IFERROR(__xludf.DUMMYFUNCTION("importrange(""https://docs.google.com/spreadsheets/d/1yLhrKcjt1xaec0PTD-O5wT7tbQk_0C0O53JVUJ107no/edit#gid=79001435"",""2026-27!o3"")"),26.0)</f>
        <v>26</v>
      </c>
      <c r="AD80" s="59">
        <f>IFERROR(__xludf.DUMMYFUNCTION("importrange(""https://docs.google.com/spreadsheets/d/1yLhrKcjt1xaec0PTD-O5wT7tbQk_0C0O53JVUJ107no/edit#gid=79001435"",""2026-27!p4"")"),5283338.0)</f>
        <v>5283338</v>
      </c>
      <c r="AE80" s="59">
        <f>IFERROR(__xludf.DUMMYFUNCTION("importrange(""https://docs.google.com/spreadsheets/d/1yLhrKcjt1xaec0PTD-O5wT7tbQk_0C0O53JVUJ107no/edit#gid=79001435"",""2026-27!p3"")"),94.0)</f>
        <v>94</v>
      </c>
      <c r="AF80" s="59">
        <f>IFERROR(__xludf.DUMMYFUNCTION("importrange(""https://docs.google.com/spreadsheets/d/1yLhrKcjt1xaec0PTD-O5wT7tbQk_0C0O53JVUJ107no/edit#gid=79001435"",""2026-27!q4"")"),1557767.4800000002)</f>
        <v>1557767.48</v>
      </c>
      <c r="AG80" s="59">
        <f>IFERROR(__xludf.DUMMYFUNCTION("importrange(""https://docs.google.com/spreadsheets/d/1yLhrKcjt1xaec0PTD-O5wT7tbQk_0C0O53JVUJ107no/edit#gid=79001435"",""2026-27!q3"")"),8.0)</f>
        <v>8</v>
      </c>
      <c r="AH80" s="62">
        <f t="shared" si="102"/>
        <v>0</v>
      </c>
      <c r="AI80" s="59">
        <f>IFERROR(__xludf.DUMMYFUNCTION("importrange(""https://docs.google.com/spreadsheets/d/1yLhrKcjt1xaec0PTD-O5wT7tbQk_0C0O53JVUJ107no/edit#gid=79001435"",""2026-27!r4"")"),0.0)</f>
        <v>0</v>
      </c>
      <c r="AJ80" s="59">
        <f>IFERROR(__xludf.DUMMYFUNCTION("importrange(""https://docs.google.com/spreadsheets/d/1yLhrKcjt1xaec0PTD-O5wT7tbQk_0C0O53JVUJ107no/edit#gid=79001435"",""2026-27!r3"")"),0.0)</f>
        <v>0</v>
      </c>
      <c r="AK80" s="59">
        <f>IFERROR(__xludf.DUMMYFUNCTION("importrange(""https://docs.google.com/spreadsheets/d/1yLhrKcjt1xaec0PTD-O5wT7tbQk_0C0O53JVUJ107no/edit#gid=79001435"",""2026-27!s4"")"),5283338.0)</f>
        <v>5283338</v>
      </c>
      <c r="AL80" s="59">
        <f>IFERROR(__xludf.DUMMYFUNCTION("importrange(""https://docs.google.com/spreadsheets/d/1yLhrKcjt1xaec0PTD-O5wT7tbQk_0C0O53JVUJ107no/edit#gid=79001435"",""2026-27!s3"")"),94.0)</f>
        <v>94</v>
      </c>
      <c r="AM80" s="61">
        <f>IFERROR(__xludf.DUMMYFUNCTION("importrange(""https://docs.google.com/spreadsheets/d/1yLhrKcjt1xaec0PTD-O5wT7tbQk_0C0O53JVUJ107no/edit#gid=79001435"",""2026-27!t4"")"),0.0)</f>
        <v>0</v>
      </c>
      <c r="AN80" s="59">
        <f>IFERROR(__xludf.DUMMYFUNCTION("importrange(""https://docs.google.com/spreadsheets/d/1yLhrKcjt1xaec0PTD-O5wT7tbQk_0C0O53JVUJ107no/edit#gid=79001435"",""2026-27!t3"")"),0.0)</f>
        <v>0</v>
      </c>
      <c r="AO80" s="62">
        <f t="shared" si="103"/>
        <v>0</v>
      </c>
      <c r="AP80" s="59">
        <f>IFERROR(__xludf.DUMMYFUNCTION("importrange(""https://docs.google.com/spreadsheets/d/1yLhrKcjt1xaec0PTD-O5wT7tbQk_0C0O53JVUJ107no/edit#gid=79001435"",""2026-27!u4"")"),0.0)</f>
        <v>0</v>
      </c>
      <c r="AQ80" s="59">
        <f>IFERROR(__xludf.DUMMYFUNCTION("importrange(""https://docs.google.com/spreadsheets/d/1yLhrKcjt1xaec0PTD-O5wT7tbQk_0C0O53JVUJ107no/edit#gid=79001435"",""2026-27!u3"")"),0.0)</f>
        <v>0</v>
      </c>
      <c r="AR80" s="59">
        <f>IFERROR(__xludf.DUMMYFUNCTION("importrange(""https://docs.google.com/spreadsheets/d/1yLhrKcjt1xaec0PTD-O5wT7tbQk_0C0O53JVUJ107no/edit#gid=79001435"",""2026-27!v4"")"),5283338.0)</f>
        <v>5283338</v>
      </c>
      <c r="AS80" s="59">
        <f>IFERROR(__xludf.DUMMYFUNCTION("importrange(""https://docs.google.com/spreadsheets/d/1yLhrKcjt1xaec0PTD-O5wT7tbQk_0C0O53JVUJ107no/edit#gid=79001435"",""2026-27!v3"")"),94.0)</f>
        <v>94</v>
      </c>
      <c r="AT80" s="61">
        <f>IFERROR(__xludf.DUMMYFUNCTION("importrange(""https://docs.google.com/spreadsheets/d/1yLhrKcjt1xaec0PTD-O5wT7tbQk_0C0O53JVUJ107no/edit#gid=79001435"",""2026-27!w4"")"),0.0)</f>
        <v>0</v>
      </c>
      <c r="AU80" s="59">
        <f>IFERROR(__xludf.DUMMYFUNCTION("importrange(""https://docs.google.com/spreadsheets/d/1yLhrKcjt1xaec0PTD-O5wT7tbQk_0C0O53JVUJ107no/edit#gid=79001435"",""2026-27!w3"")"),0.0)</f>
        <v>0</v>
      </c>
      <c r="AV80" s="62">
        <f t="shared" si="104"/>
        <v>0</v>
      </c>
      <c r="AW80" s="59">
        <f>IFERROR(__xludf.DUMMYFUNCTION("importrange(""https://docs.google.com/spreadsheets/d/1yLhrKcjt1xaec0PTD-O5wT7tbQk_0C0O53JVUJ107no/edit#gid=79001435"",""2026-27!x4"")"),0.0)</f>
        <v>0</v>
      </c>
      <c r="AX80" s="59">
        <f>IFERROR(__xludf.DUMMYFUNCTION("importrange(""https://docs.google.com/spreadsheets/d/1yLhrKcjt1xaec0PTD-O5wT7tbQk_0C0O53JVUJ107no/edit#gid=79001435"",""2026-27!x3"")"),0.0)</f>
        <v>0</v>
      </c>
      <c r="AY80" s="59">
        <f>IFERROR(__xludf.DUMMYFUNCTION("importrange(""https://docs.google.com/spreadsheets/d/1yLhrKcjt1xaec0PTD-O5wT7tbQk_0C0O53JVUJ107no/edit#gid=79001435"",""2026-27!y4"")"),5283338.0)</f>
        <v>5283338</v>
      </c>
      <c r="AZ80" s="59">
        <f>IFERROR(__xludf.DUMMYFUNCTION("importrange(""https://docs.google.com/spreadsheets/d/1yLhrKcjt1xaec0PTD-O5wT7tbQk_0C0O53JVUJ107no/edit#gid=79001435"",""2026-27!y3"")"),94.0)</f>
        <v>94</v>
      </c>
      <c r="BA80" s="61">
        <f>IFERROR(__xludf.DUMMYFUNCTION("importrange(""https://docs.google.com/spreadsheets/d/1yLhrKcjt1xaec0PTD-O5wT7tbQk_0C0O53JVUJ107no/edit#gid=79001435"",""2026-27!z4"")"),0.0)</f>
        <v>0</v>
      </c>
      <c r="BB80" s="59">
        <f>IFERROR(__xludf.DUMMYFUNCTION("importrange(""https://docs.google.com/spreadsheets/d/1yLhrKcjt1xaec0PTD-O5wT7tbQk_0C0O53JVUJ107no/edit#gid=79001435"",""2026-27!z3"")"),0.0)</f>
        <v>0</v>
      </c>
      <c r="BC80" s="63">
        <f t="shared" si="105"/>
        <v>0</v>
      </c>
      <c r="BD80" s="59">
        <f>IFERROR(__xludf.DUMMYFUNCTION("importrange(""https://docs.google.com/spreadsheets/d/1yLhrKcjt1xaec0PTD-O5wT7tbQk_0C0O53JVUJ107no/edit#gid=79001435"",""2026-27!aa4"")"),0.0)</f>
        <v>0</v>
      </c>
      <c r="BE80" s="59">
        <f>IFERROR(__xludf.DUMMYFUNCTION("importrange(""https://docs.google.com/spreadsheets/d/1yLhrKcjt1xaec0PTD-O5wT7tbQk_0C0O53JVUJ107no/edit#gid=79001435"",""2026-27!aa3"")"),0.0)</f>
        <v>0</v>
      </c>
      <c r="BF80" s="59">
        <f>IFERROR(__xludf.DUMMYFUNCTION("importrange(""https://docs.google.com/spreadsheets/d/1yLhrKcjt1xaec0PTD-O5wT7tbQk_0C0O53JVUJ107no/edit#gid=79001435"",""2026-27!ab4"")"),5283338.0)</f>
        <v>5283338</v>
      </c>
      <c r="BG80" s="59">
        <f>IFERROR(__xludf.DUMMYFUNCTION("importrange(""https://docs.google.com/spreadsheets/d/1yLhrKcjt1xaec0PTD-O5wT7tbQk_0C0O53JVUJ107no/edit#gid=79001435"",""2026-27!ab3"")"),94.0)</f>
        <v>94</v>
      </c>
      <c r="BH80" s="59">
        <f>IFERROR(__xludf.DUMMYFUNCTION("importrange(""https://docs.google.com/spreadsheets/d/1yLhrKcjt1xaec0PTD-O5wT7tbQk_0C0O53JVUJ107no/edit#gid=79001435"",""2026-27!ac4"")"),0.0)</f>
        <v>0</v>
      </c>
      <c r="BI80" s="59">
        <f>IFERROR(__xludf.DUMMYFUNCTION("importrange(""https://docs.google.com/spreadsheets/d/1yLhrKcjt1xaec0PTD-O5wT7tbQk_0C0O53JVUJ107no/edit#gid=79001435"",""2026-27!ac3"")"),0.0)</f>
        <v>0</v>
      </c>
      <c r="BJ80" s="63">
        <f t="shared" si="106"/>
        <v>0</v>
      </c>
      <c r="BK80" s="59">
        <f>IFERROR(__xludf.DUMMYFUNCTION("importrange(""https://docs.google.com/spreadsheets/d/1yLhrKcjt1xaec0PTD-O5wT7tbQk_0C0O53JVUJ107no/edit#gid=79001435"",""2026-27!ad4"")"),0.0)</f>
        <v>0</v>
      </c>
      <c r="BL80" s="59">
        <f>IFERROR(__xludf.DUMMYFUNCTION("importrange(""https://docs.google.com/spreadsheets/d/1yLhrKcjt1xaec0PTD-O5wT7tbQk_0C0O53JVUJ107no/edit#gid=79001435"",""2026-27!ad3"")"),0.0)</f>
        <v>0</v>
      </c>
      <c r="BM80" s="59">
        <f>IFERROR(__xludf.DUMMYFUNCTION("importrange(""https://docs.google.com/spreadsheets/d/1yLhrKcjt1xaec0PTD-O5wT7tbQk_0C0O53JVUJ107no/edit#gid=79001435"",""2026-27!ae4"")"),5283338.0)</f>
        <v>5283338</v>
      </c>
      <c r="BN80" s="59">
        <f>IFERROR(__xludf.DUMMYFUNCTION("importrange(""https://docs.google.com/spreadsheets/d/1yLhrKcjt1xaec0PTD-O5wT7tbQk_0C0O53JVUJ107no/edit#gid=79001435"",""2026-27!ae3"")"),94.0)</f>
        <v>94</v>
      </c>
      <c r="BO80" s="59">
        <f>IFERROR(__xludf.DUMMYFUNCTION("importrange(""https://docs.google.com/spreadsheets/d/1yLhrKcjt1xaec0PTD-O5wT7tbQk_0C0O53JVUJ107no/edit#gid=79001435"",""2026-27!af4"")"),0.0)</f>
        <v>0</v>
      </c>
      <c r="BP80" s="59">
        <f>IFERROR(__xludf.DUMMYFUNCTION("importrange(""https://docs.google.com/spreadsheets/d/1yLhrKcjt1xaec0PTD-O5wT7tbQk_0C0O53JVUJ107no/edit#gid=79001435"",""2026-27!af3"")"),0.0)</f>
        <v>0</v>
      </c>
      <c r="BQ80" s="63">
        <f t="shared" si="107"/>
        <v>0</v>
      </c>
      <c r="BR80" s="59">
        <f>IFERROR(__xludf.DUMMYFUNCTION("importrange(""https://docs.google.com/spreadsheets/d/1yLhrKcjt1xaec0PTD-O5wT7tbQk_0C0O53JVUJ107no/edit#gid=79001435"",""2026-27!ag4"")"),0.0)</f>
        <v>0</v>
      </c>
      <c r="BS80" s="59">
        <f>IFERROR(__xludf.DUMMYFUNCTION("importrange(""https://docs.google.com/spreadsheets/d/1yLhrKcjt1xaec0PTD-O5wT7tbQk_0C0O53JVUJ107no/edit#gid=79001435"",""2026-27!ag3"")"),0.0)</f>
        <v>0</v>
      </c>
      <c r="BT80" s="59">
        <f>IFERROR(__xludf.DUMMYFUNCTION("importrange(""https://docs.google.com/spreadsheets/d/1yLhrKcjt1xaec0PTD-O5wT7tbQk_0C0O53JVUJ107no/edit#gid=79001435"",""2026-27!ah4"")"),5283338.0)</f>
        <v>5283338</v>
      </c>
      <c r="BU80" s="59">
        <f>IFERROR(__xludf.DUMMYFUNCTION("importrange(""https://docs.google.com/spreadsheets/d/1yLhrKcjt1xaec0PTD-O5wT7tbQk_0C0O53JVUJ107no/edit#gid=79001435"",""2026-27!ah3"")"),94.0)</f>
        <v>94</v>
      </c>
      <c r="BV80" s="59">
        <f>IFERROR(__xludf.DUMMYFUNCTION("importrange(""https://docs.google.com/spreadsheets/d/1yLhrKcjt1xaec0PTD-O5wT7tbQk_0C0O53JVUJ107no/edit#gid=79001435"",""2026-27!ai4"")"),0.0)</f>
        <v>0</v>
      </c>
      <c r="BW80" s="59">
        <f>IFERROR(__xludf.DUMMYFUNCTION("importrange(""https://docs.google.com/spreadsheets/d/1yLhrKcjt1xaec0PTD-O5wT7tbQk_0C0O53JVUJ107no/edit#gid=79001435"",""2026-27!ai3"")"),0.0)</f>
        <v>0</v>
      </c>
      <c r="BX80" s="63">
        <f t="shared" si="108"/>
        <v>0</v>
      </c>
      <c r="BY80" s="59">
        <f>IFERROR(__xludf.DUMMYFUNCTION("importrange(""https://docs.google.com/spreadsheets/d/1yLhrKcjt1xaec0PTD-O5wT7tbQk_0C0O53JVUJ107no/edit#gid=79001435"",""2026-27!aj4"")"),0.0)</f>
        <v>0</v>
      </c>
      <c r="BZ80" s="59">
        <f>IFERROR(__xludf.DUMMYFUNCTION("importrange(""https://docs.google.com/spreadsheets/d/1yLhrKcjt1xaec0PTD-O5wT7tbQk_0C0O53JVUJ107no/edit#gid=79001435"",""2026-27!aj3"")"),0.0)</f>
        <v>0</v>
      </c>
      <c r="CA80" s="59">
        <f>IFERROR(__xludf.DUMMYFUNCTION("importrange(""https://docs.google.com/spreadsheets/d/1yLhrKcjt1xaec0PTD-O5wT7tbQk_0C0O53JVUJ107no/edit#gid=79001435"",""2026-27!ak4"")"),5283338.0)</f>
        <v>5283338</v>
      </c>
      <c r="CB80" s="59">
        <f>IFERROR(__xludf.DUMMYFUNCTION("importrange(""https://docs.google.com/spreadsheets/d/1yLhrKcjt1xaec0PTD-O5wT7tbQk_0C0O53JVUJ107no/edit#gid=79001435"",""2026-27!ak3"")"),94.0)</f>
        <v>94</v>
      </c>
      <c r="CC80" s="59">
        <f>IFERROR(__xludf.DUMMYFUNCTION("importrange(""https://docs.google.com/spreadsheets/d/1yLhrKcjt1xaec0PTD-O5wT7tbQk_0C0O53JVUJ107no/edit#gid=79001435"",""2026-27!al4"")"),0.0)</f>
        <v>0</v>
      </c>
      <c r="CD80" s="59">
        <f>IFERROR(__xludf.DUMMYFUNCTION("importrange(""https://docs.google.com/spreadsheets/d/1yLhrKcjt1xaec0PTD-O5wT7tbQk_0C0O53JVUJ107no/edit#gid=79001435"",""2026-27!ai3"")"),0.0)</f>
        <v>0</v>
      </c>
      <c r="CE80" s="63">
        <f t="shared" si="109"/>
        <v>0</v>
      </c>
      <c r="CF80" s="59">
        <f>IFERROR(__xludf.DUMMYFUNCTION("importrange(""https://docs.google.com/spreadsheets/d/1yLhrKcjt1xaec0PTD-O5wT7tbQk_0C0O53JVUJ107no/edit#gid=79001435"",""2026-27!am4"")"),0.0)</f>
        <v>0</v>
      </c>
      <c r="CG80" s="59">
        <f>IFERROR(__xludf.DUMMYFUNCTION("importrange(""https://docs.google.com/spreadsheets/d/1yLhrKcjt1xaec0PTD-O5wT7tbQk_0C0O53JVUJ107no/edit#gid=79001435"",""2026-27!am3"")"),0.0)</f>
        <v>0</v>
      </c>
      <c r="CH80" s="59">
        <f>IFERROR(__xludf.DUMMYFUNCTION("importrange(""https://docs.google.com/spreadsheets/d/1yLhrKcjt1xaec0PTD-O5wT7tbQk_0C0O53JVUJ107no/edit#gid=79001435"",""2026-27!an4"")"),5283338.0)</f>
        <v>5283338</v>
      </c>
      <c r="CI80" s="59">
        <f>IFERROR(__xludf.DUMMYFUNCTION("importrange(""https://docs.google.com/spreadsheets/d/1yLhrKcjt1xaec0PTD-O5wT7tbQk_0C0O53JVUJ107no/edit#gid=79001435"",""2026-27!an3"")"),94.0)</f>
        <v>94</v>
      </c>
      <c r="CJ80" s="59">
        <f>IFERROR(__xludf.DUMMYFUNCTION("importrange(""https://docs.google.com/spreadsheets/d/1yLhrKcjt1xaec0PTD-O5wT7tbQk_0C0O53JVUJ107no/edit#gid=79001435"",""2026-27!ao4"")"),0.0)</f>
        <v>0</v>
      </c>
      <c r="CK80" s="59">
        <f>IFERROR(__xludf.DUMMYFUNCTION("importrange(""https://docs.google.com/spreadsheets/d/1yLhrKcjt1xaec0PTD-O5wT7tbQk_0C0O53JVUJ107no/edit#gid=79001435"",""2026-27!ao3"")"),0.0)</f>
        <v>0</v>
      </c>
      <c r="CL80" s="63">
        <f t="shared" si="110"/>
        <v>0</v>
      </c>
      <c r="CM80" s="59">
        <f>IFERROR(__xludf.DUMMYFUNCTION("importrange(""https://docs.google.com/spreadsheets/d/1yLhrKcjt1xaec0PTD-O5wT7tbQk_0C0O53JVUJ107no/edit#gid=79001435"",""2026-27!ap4"")"),0.0)</f>
        <v>0</v>
      </c>
      <c r="CN80" s="59">
        <f>IFERROR(__xludf.DUMMYFUNCTION("importrange(""https://docs.google.com/spreadsheets/d/1yLhrKcjt1xaec0PTD-O5wT7tbQk_0C0O53JVUJ107no/edit#gid=79001435"",""2026-27!ap3"")"),0.0)</f>
        <v>0</v>
      </c>
      <c r="CO80" s="59">
        <f>IFERROR(__xludf.DUMMYFUNCTION("importrange(""https://docs.google.com/spreadsheets/d/1yLhrKcjt1xaec0PTD-O5wT7tbQk_0C0O53JVUJ107no/edit#gid=79001435"",""2026-27!aq4"")"),5283338.0)</f>
        <v>5283338</v>
      </c>
      <c r="CP80" s="59">
        <f>IFERROR(__xludf.DUMMYFUNCTION("importrange(""https://docs.google.com/spreadsheets/d/1yLhrKcjt1xaec0PTD-O5wT7tbQk_0C0O53JVUJ107no/edit#gid=79001435"",""2026-27!aq3"")"),94.0)</f>
        <v>94</v>
      </c>
      <c r="CQ80" s="59">
        <f>IFERROR(__xludf.DUMMYFUNCTION("importrange(""https://docs.google.com/spreadsheets/d/1yLhrKcjt1xaec0PTD-O5wT7tbQk_0C0O53JVUJ107no/edit#gid=79001435"",""2026-27!ar4"")"),0.0)</f>
        <v>0</v>
      </c>
      <c r="CR80" s="59">
        <f>IFERROR(__xludf.DUMMYFUNCTION("importrange(""https://docs.google.com/spreadsheets/d/1yLhrKcjt1xaec0PTD-O5wT7tbQk_0C0O53JVUJ107no/edit#gid=79001435"",""2026-27!ar3"")"),0.0)</f>
        <v>0</v>
      </c>
      <c r="CS80" s="63">
        <f t="shared" si="111"/>
        <v>0</v>
      </c>
      <c r="CT80" s="59">
        <f>IFERROR(__xludf.DUMMYFUNCTION("importrange(""https://docs.google.com/spreadsheets/d/1yLhrKcjt1xaec0PTD-O5wT7tbQk_0C0O53JVUJ107no/edit#gid=79001435"",""2026-27!as4"")"),0.0)</f>
        <v>0</v>
      </c>
      <c r="CU80" s="59">
        <f>IFERROR(__xludf.DUMMYFUNCTION("importrange(""https://docs.google.com/spreadsheets/d/1yLhrKcjt1xaec0PTD-O5wT7tbQk_0C0O53JVUJ107no/edit#gid=79001435"",""2026-27!as3"")"),0.0)</f>
        <v>0</v>
      </c>
      <c r="CV80" s="64"/>
    </row>
    <row r="81">
      <c r="A81" s="1" t="s">
        <v>160</v>
      </c>
      <c r="B81" s="41"/>
      <c r="C81" s="68" t="s">
        <v>165</v>
      </c>
      <c r="D81" s="54" t="s">
        <v>162</v>
      </c>
      <c r="E81" s="54">
        <v>9.831147525E9</v>
      </c>
      <c r="F81" s="80">
        <v>41400.0</v>
      </c>
      <c r="G81" s="66"/>
      <c r="H81" s="66"/>
      <c r="I81" s="57">
        <v>74167.0</v>
      </c>
      <c r="J81" s="58">
        <v>8516667.0</v>
      </c>
      <c r="K81" s="61">
        <f>IFERROR(__xludf.DUMMYFUNCTION("IMPORTRANGE(""https://docs.google.com/spreadsheets/d/1rAogo87KmLoM9x6aHBi4Bu9Yxi5qzdkfU9lA5e8X9NY/edit#gid=13496163530"",""2026-27!A3"")"),55.0)</f>
        <v>55</v>
      </c>
      <c r="L81" s="61">
        <f>IFERROR(__xludf.DUMMYFUNCTION("IMPORTRANGE(""https://docs.google.com/spreadsheets/d/1rAogo87KmLoM9x6aHBi4Bu9Yxi5qzdkfU9lA5e8X9NY/edit#gid=13496163530"",""2026-27!G4"")"),7.727357E7)</f>
        <v>77273570</v>
      </c>
      <c r="M81" s="61">
        <f t="shared" si="97"/>
        <v>12473293.89</v>
      </c>
      <c r="N81" s="60">
        <f t="shared" si="98"/>
        <v>0.09245840201</v>
      </c>
      <c r="O81" s="61">
        <f t="shared" si="99"/>
        <v>7144590.8</v>
      </c>
      <c r="P81" s="59">
        <f>IFERROR(__xludf.DUMMYFUNCTION("IMPORTRANGE(""https://docs.google.com/spreadsheets/d/1rAogo87KmLoM9x6aHBi4Bu9Yxi5qzdkfU9lA5e8X9NY/edit#gid=13496163530"",""2026-27!J4"")"),6439447.0)</f>
        <v>6439447</v>
      </c>
      <c r="Q81" s="59">
        <f>IFERROR(__xludf.DUMMYFUNCTION("IMPORTRANGE(""https://docs.google.com/spreadsheets/d/1rAogo87KmLoM9x6aHBi4Bu9Yxi5qzdkfU9lA5e8X9NY/edit#gid=13496163530"",""2026-27!J3"")"),39.0)</f>
        <v>39</v>
      </c>
      <c r="R81" s="59">
        <f>IFERROR(__xludf.DUMMYFUNCTION("IMPORTRANGE(""https://docs.google.com/spreadsheets/d/1rAogo87KmLoM9x6aHBi4Bu9Yxi5qzdkfU9lA5e8X9NY/edit#gid=13496163530"",""2026-27!K4"")"),2912355.94)</f>
        <v>2912355.94</v>
      </c>
      <c r="S81" s="59">
        <f>IFERROR(__xludf.DUMMYFUNCTION("IMPORTRANGE(""https://docs.google.com/spreadsheets/d/1rAogo87KmLoM9x6aHBi4Bu9Yxi5qzdkfU9lA5e8X9NY/edit#gid=13496163530"",""2026-27!K3"")"),18.0)</f>
        <v>18</v>
      </c>
      <c r="T81" s="62">
        <f t="shared" si="100"/>
        <v>0.446446069</v>
      </c>
      <c r="U81" s="59">
        <f>IFERROR(__xludf.DUMMYFUNCTION("IMPORTRANGE(""https://docs.google.com/spreadsheets/d/1rAogo87KmLoM9x6aHBi4Bu9Yxi5qzdkfU9lA5e8X9NY/edit#gid=13496163530"",""2026-27!L4"")"),2874865.8)</f>
        <v>2874865.8</v>
      </c>
      <c r="V81" s="85">
        <f>IFERROR(__xludf.DUMMYFUNCTION("IMPORTRANGE(""https://docs.google.com/spreadsheets/d/1rAogo87KmLoM9x6aHBi4Bu9Yxi5qzdkfU9lA5e8X9NY/edit#gid=13496163530"",""2026-27!L3"")"),18.0)</f>
        <v>18</v>
      </c>
      <c r="W81" s="59">
        <f>IFERROR(__xludf.DUMMYFUNCTION("IMPORTRANGE(""https://docs.google.com/spreadsheets/d/1rAogo87KmLoM9x6aHBi4Bu9Yxi5qzdkfU9lA5e8X9NY/edit#gid=13496163530"",""2026-27!M4"")"),6439447.0)</f>
        <v>6439447</v>
      </c>
      <c r="X81" s="85">
        <f>IFERROR(__xludf.DUMMYFUNCTION("IMPORTRANGE(""https://docs.google.com/spreadsheets/d/1rAogo87KmLoM9x6aHBi4Bu9Yxi5qzdkfU9lA5e8X9NY/edit#gid=13496163530"",""2026-27!M3"")"),39.0)</f>
        <v>39</v>
      </c>
      <c r="Y81" s="59">
        <f>IFERROR(__xludf.DUMMYFUNCTION("importrange(""https://docs.google.com/spreadsheets/d/1rAogo87KmLoM9x6aHBi4Bu9Yxi5qzdkfU9lA5e8X9NY/edit#gid=13496163530"",""2026-27!n4"")"),4147068.3899999997)</f>
        <v>4147068.39</v>
      </c>
      <c r="Z81" s="59">
        <f>IFERROR(__xludf.DUMMYFUNCTION("importrange(""https://docs.google.com/spreadsheets/d/1rAogo87KmLoM9x6aHBi4Bu9Yxi5qzdkfU9lA5e8X9NY/edit#gid=13496163530"",""2026-27!n3"")"),28.0)</f>
        <v>28</v>
      </c>
      <c r="AA81" s="62">
        <f t="shared" si="101"/>
        <v>0.6630577129</v>
      </c>
      <c r="AB81" s="59">
        <f>IFERROR(__xludf.DUMMYFUNCTION("importrange(""https://docs.google.com/spreadsheets/d/1rAogo87KmLoM9x6aHBi4Bu9Yxi5qzdkfU9lA5e8X9NY/edit#gid=13496163530"",""2026-27!o4"")"),4269725.0)</f>
        <v>4269725</v>
      </c>
      <c r="AC81" s="59">
        <f>IFERROR(__xludf.DUMMYFUNCTION("importrange(""https://docs.google.com/spreadsheets/d/1rAogo87KmLoM9x6aHBi4Bu9Yxi5qzdkfU9lA5e8X9NY/edit#gid=13496163530"",""2026-27!o3"")"),28.0)</f>
        <v>28</v>
      </c>
      <c r="AD81" s="59">
        <f>IFERROR(__xludf.DUMMYFUNCTION("importrange(""https://docs.google.com/spreadsheets/d/1rAogo87KmLoM9x6aHBi4Bu9Yxi5qzdkfU9lA5e8X9NY/edit#gid=13496163530"",""2026-27!p4"")"),6439447.0)</f>
        <v>6439447</v>
      </c>
      <c r="AE81" s="59">
        <f>IFERROR(__xludf.DUMMYFUNCTION("importrange(""https://docs.google.com/spreadsheets/d/1rAogo87KmLoM9x6aHBi4Bu9Yxi5qzdkfU9lA5e8X9NY/edit#gid=13496163530"",""2026-27!p3"")"),39.0)</f>
        <v>39</v>
      </c>
      <c r="AF81" s="59">
        <f>IFERROR(__xludf.DUMMYFUNCTION("importrange(""https://docs.google.com/spreadsheets/d/1rAogo87KmLoM9x6aHBi4Bu9Yxi5qzdkfU9lA5e8X9NY/edit#gid=13496163530"",""2026-27!q4"")"),5413869.56)</f>
        <v>5413869.56</v>
      </c>
      <c r="AG81" s="59">
        <f>IFERROR(__xludf.DUMMYFUNCTION("importrange(""https://docs.google.com/spreadsheets/d/1rAogo87KmLoM9x6aHBi4Bu9Yxi5qzdkfU9lA5e8X9NY/edit#gid=13496163530"",""2026-27!q3"")"),31.0)</f>
        <v>31</v>
      </c>
      <c r="AH81" s="62">
        <f t="shared" si="102"/>
        <v>0</v>
      </c>
      <c r="AI81" s="59">
        <f>IFERROR(__xludf.DUMMYFUNCTION("importrange(""https://docs.google.com/spreadsheets/d/1rAogo87KmLoM9x6aHBi4Bu9Yxi5qzdkfU9lA5e8X9NY/edit#gid=13496163530"",""2026-27!r4"")"),0.0)</f>
        <v>0</v>
      </c>
      <c r="AJ81" s="59">
        <f>IFERROR(__xludf.DUMMYFUNCTION("importrange(""https://docs.google.com/spreadsheets/d/1rAogo87KmLoM9x6aHBi4Bu9Yxi5qzdkfU9lA5e8X9NY/edit#gid=13496163530"",""2026-27!r3"")"),0.0)</f>
        <v>0</v>
      </c>
      <c r="AK81" s="59">
        <f>IFERROR(__xludf.DUMMYFUNCTION("importrange(""https://docs.google.com/spreadsheets/d/1rAogo87KmLoM9x6aHBi4Bu9Yxi5qzdkfU9lA5e8X9NY/edit#gid=13496163530"",""2026-27!s4"")"),0.0)</f>
        <v>0</v>
      </c>
      <c r="AL81" s="59">
        <f>IFERROR(__xludf.DUMMYFUNCTION("importrange(""https://docs.google.com/spreadsheets/d/1rAogo87KmLoM9x6aHBi4Bu9Yxi5qzdkfU9lA5e8X9NY/edit#gid=13496163530"",""2026-27!s3"")"),0.0)</f>
        <v>0</v>
      </c>
      <c r="AM81" s="61">
        <f>IFERROR(__xludf.DUMMYFUNCTION("importrange(""https://docs.google.com/spreadsheets/d/1rAogo87KmLoM9x6aHBi4Bu9Yxi5qzdkfU9lA5e8X9NY/edit#gid=13496163530"",""2026-27!t4"")"),0.0)</f>
        <v>0</v>
      </c>
      <c r="AN81" s="59">
        <f>IFERROR(__xludf.DUMMYFUNCTION("importrange(""https://docs.google.com/spreadsheets/d/1rAogo87KmLoM9x6aHBi4Bu9Yxi5qzdkfU9lA5e8X9NY/edit#gid=13496163530"",""2026-27!t3"")"),0.0)</f>
        <v>0</v>
      </c>
      <c r="AO81" s="62" t="str">
        <f t="shared" si="103"/>
        <v/>
      </c>
      <c r="AP81" s="59">
        <f>IFERROR(__xludf.DUMMYFUNCTION("importrange(""https://docs.google.com/spreadsheets/d/1rAogo87KmLoM9x6aHBi4Bu9Yxi5qzdkfU9lA5e8X9NY/edit#gid=13496163530"",""2026-27!u4"")"),0.0)</f>
        <v>0</v>
      </c>
      <c r="AQ81" s="59">
        <f>IFERROR(__xludf.DUMMYFUNCTION("importrange(""https://docs.google.com/spreadsheets/d/1rAogo87KmLoM9x6aHBi4Bu9Yxi5qzdkfU9lA5e8X9NY/edit#gid=13496163530"",""2026-27!u3"")"),0.0)</f>
        <v>0</v>
      </c>
      <c r="AR81" s="59">
        <f>IFERROR(__xludf.DUMMYFUNCTION("importrange(""https://docs.google.com/spreadsheets/d/1rAogo87KmLoM9x6aHBi4Bu9Yxi5qzdkfU9lA5e8X9NY/edit#gid=13496163530"",""2026-27!v4"")"),0.0)</f>
        <v>0</v>
      </c>
      <c r="AS81" s="59">
        <f>IFERROR(__xludf.DUMMYFUNCTION("importrange(""https://docs.google.com/spreadsheets/d/1rAogo87KmLoM9x6aHBi4Bu9Yxi5qzdkfU9lA5e8X9NY/edit#gid=13496163530"",""2026-27!v3"")"),0.0)</f>
        <v>0</v>
      </c>
      <c r="AT81" s="61">
        <f>IFERROR(__xludf.DUMMYFUNCTION("importrange(""https://docs.google.com/spreadsheets/d/1rAogo87KmLoM9x6aHBi4Bu9Yxi5qzdkfU9lA5e8X9NY/edit#gid=13496163530"",""2026-27!w4"")"),0.0)</f>
        <v>0</v>
      </c>
      <c r="AU81" s="59">
        <f>IFERROR(__xludf.DUMMYFUNCTION("importrange(""https://docs.google.com/spreadsheets/d/1rAogo87KmLoM9x6aHBi4Bu9Yxi5qzdkfU9lA5e8X9NY/edit#gid=13496163530"",""2026-27!w3"")"),0.0)</f>
        <v>0</v>
      </c>
      <c r="AV81" s="62" t="str">
        <f t="shared" si="104"/>
        <v/>
      </c>
      <c r="AW81" s="59">
        <f>IFERROR(__xludf.DUMMYFUNCTION("importrange(""https://docs.google.com/spreadsheets/d/1rAogo87KmLoM9x6aHBi4Bu9Yxi5qzdkfU9lA5e8X9NY/edit#gid=13496163530"",""2026-27!x4"")"),0.0)</f>
        <v>0</v>
      </c>
      <c r="AX81" s="59">
        <f>IFERROR(__xludf.DUMMYFUNCTION("importrange(""https://docs.google.com/spreadsheets/d/1rAogo87KmLoM9x6aHBi4Bu9Yxi5qzdkfU9lA5e8X9NY/edit#gid=13496163530"",""2026-27!x3"")"),0.0)</f>
        <v>0</v>
      </c>
      <c r="AY81" s="59">
        <f>IFERROR(__xludf.DUMMYFUNCTION("importrange(""https://docs.google.com/spreadsheets/d/1rAogo87KmLoM9x6aHBi4Bu9Yxi5qzdkfU9lA5e8X9NY/edit#gid=13496163530"",""2026-27!y4"")"),0.0)</f>
        <v>0</v>
      </c>
      <c r="AZ81" s="59">
        <f>IFERROR(__xludf.DUMMYFUNCTION("importrange(""https://docs.google.com/spreadsheets/d/1rAogo87KmLoM9x6aHBi4Bu9Yxi5qzdkfU9lA5e8X9NY/edit#gid=13496163530"",""2026-27!y3"")"),0.0)</f>
        <v>0</v>
      </c>
      <c r="BA81" s="61">
        <f>IFERROR(__xludf.DUMMYFUNCTION("importrange(""https://docs.google.com/spreadsheets/d/1rAogo87KmLoM9x6aHBi4Bu9Yxi5qzdkfU9lA5e8X9NY/edit#gid=13496163530"",""2026-27!z4"")"),0.0)</f>
        <v>0</v>
      </c>
      <c r="BB81" s="59">
        <f>IFERROR(__xludf.DUMMYFUNCTION("importrange(""https://docs.google.com/spreadsheets/d/1rAogo87KmLoM9x6aHBi4Bu9Yxi5qzdkfU9lA5e8X9NY/edit#gid=13496163530"",""2026-27!z3"")"),0.0)</f>
        <v>0</v>
      </c>
      <c r="BC81" s="63" t="str">
        <f t="shared" si="105"/>
        <v/>
      </c>
      <c r="BD81" s="59">
        <f>IFERROR(__xludf.DUMMYFUNCTION("importrange(""https://docs.google.com/spreadsheets/d/1rAogo87KmLoM9x6aHBi4Bu9Yxi5qzdkfU9lA5e8X9NY/edit#gid=13496163530"",""2026-27!aa4"")"),0.0)</f>
        <v>0</v>
      </c>
      <c r="BE81" s="59">
        <f>IFERROR(__xludf.DUMMYFUNCTION("importrange(""https://docs.google.com/spreadsheets/d/1rAogo87KmLoM9x6aHBi4Bu9Yxi5qzdkfU9lA5e8X9NY/edit#gid=13496163530"",""2026-27!aa3"")"),0.0)</f>
        <v>0</v>
      </c>
      <c r="BF81" s="59">
        <f>IFERROR(__xludf.DUMMYFUNCTION("importrange(""https://docs.google.com/spreadsheets/d/1rAogo87KmLoM9x6aHBi4Bu9Yxi5qzdkfU9lA5e8X9NY/edit#gid=13496163530"",""2026-27!ab4"")"),0.0)</f>
        <v>0</v>
      </c>
      <c r="BG81" s="59">
        <f>IFERROR(__xludf.DUMMYFUNCTION("importrange(""https://docs.google.com/spreadsheets/d/1rAogo87KmLoM9x6aHBi4Bu9Yxi5qzdkfU9lA5e8X9NY/edit#gid=13496163530"",""2026-27!ab3"")"),0.0)</f>
        <v>0</v>
      </c>
      <c r="BH81" s="59">
        <f>IFERROR(__xludf.DUMMYFUNCTION("importrange(""https://docs.google.com/spreadsheets/d/1rAogo87KmLoM9x6aHBi4Bu9Yxi5qzdkfU9lA5e8X9NY/edit#gid=13496163530"",""2026-27!ac4"")"),0.0)</f>
        <v>0</v>
      </c>
      <c r="BI81" s="59">
        <f>IFERROR(__xludf.DUMMYFUNCTION("importrange(""https://docs.google.com/spreadsheets/d/1rAogo87KmLoM9x6aHBi4Bu9Yxi5qzdkfU9lA5e8X9NY/edit#gid=13496163530"",""2026-27!ac3"")"),0.0)</f>
        <v>0</v>
      </c>
      <c r="BJ81" s="63" t="str">
        <f t="shared" si="106"/>
        <v/>
      </c>
      <c r="BK81" s="59">
        <f>IFERROR(__xludf.DUMMYFUNCTION("importrange(""https://docs.google.com/spreadsheets/d/1rAogo87KmLoM9x6aHBi4Bu9Yxi5qzdkfU9lA5e8X9NY/edit#gid=13496163530"",""2026-27!ad4"")"),0.0)</f>
        <v>0</v>
      </c>
      <c r="BL81" s="59">
        <f>IFERROR(__xludf.DUMMYFUNCTION("importrange(""https://docs.google.com/spreadsheets/d/1rAogo87KmLoM9x6aHBi4Bu9Yxi5qzdkfU9lA5e8X9NY/edit#gid=13496163530"",""2026-27!ad3"")"),0.0)</f>
        <v>0</v>
      </c>
      <c r="BM81" s="59">
        <f>IFERROR(__xludf.DUMMYFUNCTION("importrange(""https://docs.google.com/spreadsheets/d/1rAogo87KmLoM9x6aHBi4Bu9Yxi5qzdkfU9lA5e8X9NY/edit#gid=13496163530"",""2026-27!ae4"")"),0.0)</f>
        <v>0</v>
      </c>
      <c r="BN81" s="59">
        <f>IFERROR(__xludf.DUMMYFUNCTION("importrange(""https://docs.google.com/spreadsheets/d/1rAogo87KmLoM9x6aHBi4Bu9Yxi5qzdkfU9lA5e8X9NY/edit#gid=13496163530"",""2026-27!ae3"")"),0.0)</f>
        <v>0</v>
      </c>
      <c r="BO81" s="59">
        <f>IFERROR(__xludf.DUMMYFUNCTION("importrange(""https://docs.google.com/spreadsheets/d/1rAogo87KmLoM9x6aHBi4Bu9Yxi5qzdkfU9lA5e8X9NY/edit#gid=13496163530"",""2026-27!af4"")"),0.0)</f>
        <v>0</v>
      </c>
      <c r="BP81" s="59">
        <f>IFERROR(__xludf.DUMMYFUNCTION("importrange(""https://docs.google.com/spreadsheets/d/1rAogo87KmLoM9x6aHBi4Bu9Yxi5qzdkfU9lA5e8X9NY/edit#gid=13496163530"",""2026-27!af3"")"),0.0)</f>
        <v>0</v>
      </c>
      <c r="BQ81" s="63" t="str">
        <f t="shared" si="107"/>
        <v/>
      </c>
      <c r="BR81" s="59">
        <f>IFERROR(__xludf.DUMMYFUNCTION("importrange(""https://docs.google.com/spreadsheets/d/1rAogo87KmLoM9x6aHBi4Bu9Yxi5qzdkfU9lA5e8X9NY/edit#gid=13496163530"",""2026-27!ag4"")"),0.0)</f>
        <v>0</v>
      </c>
      <c r="BS81" s="59">
        <f>IFERROR(__xludf.DUMMYFUNCTION("importrange(""https://docs.google.com/spreadsheets/d/1rAogo87KmLoM9x6aHBi4Bu9Yxi5qzdkfU9lA5e8X9NY/edit#gid=13496163530"",""2026-27!ag3"")"),0.0)</f>
        <v>0</v>
      </c>
      <c r="BT81" s="59">
        <f>IFERROR(__xludf.DUMMYFUNCTION("importrange(""https://docs.google.com/spreadsheets/d/1rAogo87KmLoM9x6aHBi4Bu9Yxi5qzdkfU9lA5e8X9NY/edit#gid=13496163530"",""2026-27!ah4"")"),0.0)</f>
        <v>0</v>
      </c>
      <c r="BU81" s="59">
        <f>IFERROR(__xludf.DUMMYFUNCTION("importrange(""https://docs.google.com/spreadsheets/d/1rAogo87KmLoM9x6aHBi4Bu9Yxi5qzdkfU9lA5e8X9NY/edit#gid=13496163530"",""2026-27!ah3"")"),0.0)</f>
        <v>0</v>
      </c>
      <c r="BV81" s="59">
        <f>IFERROR(__xludf.DUMMYFUNCTION("importrange(""https://docs.google.com/spreadsheets/d/1rAogo87KmLoM9x6aHBi4Bu9Yxi5qzdkfU9lA5e8X9NY/edit#gid=13496163530"",""2026-27!ai4"")"),0.0)</f>
        <v>0</v>
      </c>
      <c r="BW81" s="59">
        <f>IFERROR(__xludf.DUMMYFUNCTION("importrange(""https://docs.google.com/spreadsheets/d/1rAogo87KmLoM9x6aHBi4Bu9Yxi5qzdkfU9lA5e8X9NY/edit#gid=13496163530"",""2026-27!ai3"")"),0.0)</f>
        <v>0</v>
      </c>
      <c r="BX81" s="63" t="str">
        <f t="shared" si="108"/>
        <v/>
      </c>
      <c r="BY81" s="59">
        <f>IFERROR(__xludf.DUMMYFUNCTION("importrange(""https://docs.google.com/spreadsheets/d/1rAogo87KmLoM9x6aHBi4Bu9Yxi5qzdkfU9lA5e8X9NY/edit#gid=13496163530"",""2026-27!aj4"")"),0.0)</f>
        <v>0</v>
      </c>
      <c r="BZ81" s="59">
        <f>IFERROR(__xludf.DUMMYFUNCTION("importrange(""https://docs.google.com/spreadsheets/d/1rAogo87KmLoM9x6aHBi4Bu9Yxi5qzdkfU9lA5e8X9NY/edit#gid=13496163530"",""2026-27!aj3"")"),0.0)</f>
        <v>0</v>
      </c>
      <c r="CA81" s="59">
        <f>IFERROR(__xludf.DUMMYFUNCTION("importrange(""https://docs.google.com/spreadsheets/d/1rAogo87KmLoM9x6aHBi4Bu9Yxi5qzdkfU9lA5e8X9NY/edit#gid=13496163530"",""2026-27!ak4"")"),0.0)</f>
        <v>0</v>
      </c>
      <c r="CB81" s="59">
        <f>IFERROR(__xludf.DUMMYFUNCTION("importrange(""https://docs.google.com/spreadsheets/d/1rAogo87KmLoM9x6aHBi4Bu9Yxi5qzdkfU9lA5e8X9NY/edit#gid=13496163530"",""2026-27!ak3"")"),0.0)</f>
        <v>0</v>
      </c>
      <c r="CC81" s="59">
        <f>IFERROR(__xludf.DUMMYFUNCTION("importrange(""https://docs.google.com/spreadsheets/d/1rAogo87KmLoM9x6aHBi4Bu9Yxi5qzdkfU9lA5e8X9NY/edit#gid=13496163530"",""2026-27!al4"")"),0.0)</f>
        <v>0</v>
      </c>
      <c r="CD81" s="59">
        <f>IFERROR(__xludf.DUMMYFUNCTION("importrange(""https://docs.google.com/spreadsheets/d/1rAogo87KmLoM9x6aHBi4Bu9Yxi5qzdkfU9lA5e8X9NY/edit#gid=13496163530"",""2026-27!ai3"")"),0.0)</f>
        <v>0</v>
      </c>
      <c r="CE81" s="63" t="str">
        <f t="shared" si="109"/>
        <v/>
      </c>
      <c r="CF81" s="59">
        <f>IFERROR(__xludf.DUMMYFUNCTION("importrange(""https://docs.google.com/spreadsheets/d/1rAogo87KmLoM9x6aHBi4Bu9Yxi5qzdkfU9lA5e8X9NY/edit#gid=13496163530"",""2026-27!am4"")"),0.0)</f>
        <v>0</v>
      </c>
      <c r="CG81" s="59">
        <f>IFERROR(__xludf.DUMMYFUNCTION("importrange(""https://docs.google.com/spreadsheets/d/1rAogo87KmLoM9x6aHBi4Bu9Yxi5qzdkfU9lA5e8X9NY/edit#gid=13496163530"",""2026-27!am3"")"),0.0)</f>
        <v>0</v>
      </c>
      <c r="CH81" s="59">
        <f>IFERROR(__xludf.DUMMYFUNCTION("importrange(""https://docs.google.com/spreadsheets/d/1rAogo87KmLoM9x6aHBi4Bu9Yxi5qzdkfU9lA5e8X9NY/edit#gid=13496163530"",""2026-27!an4"")"),0.0)</f>
        <v>0</v>
      </c>
      <c r="CI81" s="59">
        <f>IFERROR(__xludf.DUMMYFUNCTION("importrange(""https://docs.google.com/spreadsheets/d/1rAogo87KmLoM9x6aHBi4Bu9Yxi5qzdkfU9lA5e8X9NY/edit#gid=13496163530"",""2026-27!an3"")"),0.0)</f>
        <v>0</v>
      </c>
      <c r="CJ81" s="59">
        <f>IFERROR(__xludf.DUMMYFUNCTION("importrange(""https://docs.google.com/spreadsheets/d/1rAogo87KmLoM9x6aHBi4Bu9Yxi5qzdkfU9lA5e8X9NY/edit#gid=13496163530"",""2026-27!ao4"")"),0.0)</f>
        <v>0</v>
      </c>
      <c r="CK81" s="59">
        <f>IFERROR(__xludf.DUMMYFUNCTION("importrange(""https://docs.google.com/spreadsheets/d/1rAogo87KmLoM9x6aHBi4Bu9Yxi5qzdkfU9lA5e8X9NY/edit#gid=13496163530"",""2026-27!ao3"")"),0.0)</f>
        <v>0</v>
      </c>
      <c r="CL81" s="63" t="str">
        <f t="shared" si="110"/>
        <v/>
      </c>
      <c r="CM81" s="59">
        <f>IFERROR(__xludf.DUMMYFUNCTION("importrange(""https://docs.google.com/spreadsheets/d/1rAogo87KmLoM9x6aHBi4Bu9Yxi5qzdkfU9lA5e8X9NY/edit#gid=13496163530"",""2026-27!ap4"")"),0.0)</f>
        <v>0</v>
      </c>
      <c r="CN81" s="59">
        <f>IFERROR(__xludf.DUMMYFUNCTION("importrange(""https://docs.google.com/spreadsheets/d/1rAogo87KmLoM9x6aHBi4Bu9Yxi5qzdkfU9lA5e8X9NY/edit#gid=13496163530"",""2026-27!ap3"")"),0.0)</f>
        <v>0</v>
      </c>
      <c r="CO81" s="59">
        <f>IFERROR(__xludf.DUMMYFUNCTION("importrange(""https://docs.google.com/spreadsheets/d/1rAogo87KmLoM9x6aHBi4Bu9Yxi5qzdkfU9lA5e8X9NY/edit#gid=13496163530"",""2026-27!aq4"")"),0.0)</f>
        <v>0</v>
      </c>
      <c r="CP81" s="59">
        <f>IFERROR(__xludf.DUMMYFUNCTION("importrange(""https://docs.google.com/spreadsheets/d/1rAogo87KmLoM9x6aHBi4Bu9Yxi5qzdkfU9lA5e8X9NY/edit#gid=13496163530"",""2026-27!aq3"")"),0.0)</f>
        <v>0</v>
      </c>
      <c r="CQ81" s="59">
        <f>IFERROR(__xludf.DUMMYFUNCTION("importrange(""https://docs.google.com/spreadsheets/d/1rAogo87KmLoM9x6aHBi4Bu9Yxi5qzdkfU9lA5e8X9NY/edit#gid=13496163530"",""2026-27!ar4"")"),0.0)</f>
        <v>0</v>
      </c>
      <c r="CR81" s="59">
        <f>IFERROR(__xludf.DUMMYFUNCTION("importrange(""https://docs.google.com/spreadsheets/d/1rAogo87KmLoM9x6aHBi4Bu9Yxi5qzdkfU9lA5e8X9NY/edit#gid=13496163530"",""2026-27!ar3"")"),0.0)</f>
        <v>0</v>
      </c>
      <c r="CS81" s="63" t="str">
        <f t="shared" si="111"/>
        <v/>
      </c>
      <c r="CT81" s="59">
        <f>IFERROR(__xludf.DUMMYFUNCTION("importrange(""https://docs.google.com/spreadsheets/d/1rAogo87KmLoM9x6aHBi4Bu9Yxi5qzdkfU9lA5e8X9NY/edit#gid=13496163530"",""2026-27!as4"")"),0.0)</f>
        <v>0</v>
      </c>
      <c r="CU81" s="59">
        <f>IFERROR(__xludf.DUMMYFUNCTION("importrange(""https://docs.google.com/spreadsheets/d/1rAogo87KmLoM9x6aHBi4Bu9Yxi5qzdkfU9lA5e8X9NY/edit#gid=13496163530"",""2026-27!as3"")"),0.0)</f>
        <v>0</v>
      </c>
      <c r="CV81" s="64"/>
    </row>
    <row r="82">
      <c r="A82" s="1" t="s">
        <v>160</v>
      </c>
      <c r="B82" s="41"/>
      <c r="C82" s="68" t="s">
        <v>166</v>
      </c>
      <c r="D82" s="54" t="s">
        <v>167</v>
      </c>
      <c r="E82" s="54">
        <v>9.337378915E9</v>
      </c>
      <c r="F82" s="80">
        <v>41563.0</v>
      </c>
      <c r="G82" s="66"/>
      <c r="H82" s="66"/>
      <c r="I82" s="57">
        <v>42167.0</v>
      </c>
      <c r="J82" s="58">
        <v>2500000.0</v>
      </c>
      <c r="K82" s="61">
        <f>IFERROR(__xludf.DUMMYFUNCTION("IMPORTRANGE(""1zKPpIRi__6SVbgTzjvO6O1sQo3DfJF5zbe0T4GU19c0"",""2026-27!A3"")"),41.0)</f>
        <v>41</v>
      </c>
      <c r="L82" s="61">
        <f>IFERROR(__xludf.DUMMYFUNCTION("IMPORTRANGE(""1zKPpIRi__6SVbgTzjvO6O1sQo3DfJF5zbe0T4GU19c0"",""2026-27!G4"")"),3.0E7)</f>
        <v>30000000</v>
      </c>
      <c r="M82" s="61">
        <f t="shared" si="97"/>
        <v>7565298.24</v>
      </c>
      <c r="N82" s="60">
        <f t="shared" si="98"/>
        <v>0.1939967693</v>
      </c>
      <c r="O82" s="61">
        <f t="shared" si="99"/>
        <v>5819903.08</v>
      </c>
      <c r="P82" s="59">
        <f>IFERROR(__xludf.DUMMYFUNCTION("IMPORTRANGE(""1zKPpIRi__6SVbgTzjvO6O1sQo3DfJF5zbe0T4GU19c0"",""2026-27!J4"")"),2510000.0)</f>
        <v>2510000</v>
      </c>
      <c r="Q82" s="59">
        <f>IFERROR(__xludf.DUMMYFUNCTION("IMPORTRANGE(""1zKPpIRi__6SVbgTzjvO6O1sQo3DfJF5zbe0T4GU19c0"",""2026-27!J3"")"),31.0)</f>
        <v>31</v>
      </c>
      <c r="R82" s="59">
        <f>IFERROR(__xludf.DUMMYFUNCTION("IMPORTRANGE(""1zKPpIRi__6SVbgTzjvO6O1sQo3DfJF5zbe0T4GU19c0"",""2026-27!K4"")"),2336159.66)</f>
        <v>2336159.66</v>
      </c>
      <c r="S82" s="59">
        <f>IFERROR(__xludf.DUMMYFUNCTION("IMPORTRANGE(""1zKPpIRi__6SVbgTzjvO6O1sQo3DfJF5zbe0T4GU19c0"",""2026-27!K3"")"),14.0)</f>
        <v>14</v>
      </c>
      <c r="T82" s="62">
        <f t="shared" si="100"/>
        <v>0.7730752948</v>
      </c>
      <c r="U82" s="59">
        <f>IFERROR(__xludf.DUMMYFUNCTION("IMPORTRANGE(""1zKPpIRi__6SVbgTzjvO6O1sQo3DfJF5zbe0T4GU19c0"",""2026-27!L4"")"),1940418.9900000002)</f>
        <v>1940418.99</v>
      </c>
      <c r="V82" s="85">
        <f>IFERROR(__xludf.DUMMYFUNCTION("IMPORTRANGE(""1zKPpIRi__6SVbgTzjvO6O1sQo3DfJF5zbe0T4GU19c0"",""2026-27!L3"")"),14.0)</f>
        <v>14</v>
      </c>
      <c r="W82" s="59">
        <f>IFERROR(__xludf.DUMMYFUNCTION("IMPORTRANGE(""1zKPpIRi__6SVbgTzjvO6O1sQo3DfJF5zbe0T4GU19c0"",""2026-27!M4"")"),2420000.0)</f>
        <v>2420000</v>
      </c>
      <c r="X82" s="85">
        <f>IFERROR(__xludf.DUMMYFUNCTION("IMPORTRANGE(""1zKPpIRi__6SVbgTzjvO6O1sQo3DfJF5zbe0T4GU19c0"",""2026-27!M3"")"),31.0)</f>
        <v>31</v>
      </c>
      <c r="Y82" s="59">
        <f>IFERROR(__xludf.DUMMYFUNCTION("importrange(""1zKPpIRi__6SVbgTzjvO6O1sQo3DfJF5zbe0T4GU19c0"",""2026-27!n4"")"),2357902.7399999998)</f>
        <v>2357902.74</v>
      </c>
      <c r="Z82" s="59">
        <f>IFERROR(__xludf.DUMMYFUNCTION("importrange(""1zKPpIRi__6SVbgTzjvO6O1sQo3DfJF5zbe0T4GU19c0"",""2026-27!n3"")"),14.0)</f>
        <v>14</v>
      </c>
      <c r="AA82" s="62">
        <f t="shared" si="101"/>
        <v>0.7208927893</v>
      </c>
      <c r="AB82" s="59">
        <f>IFERROR(__xludf.DUMMYFUNCTION("importrange(""1zKPpIRi__6SVbgTzjvO6O1sQo3DfJF5zbe0T4GU19c0"",""2026-27!o4"")"),1744560.55)</f>
        <v>1744560.55</v>
      </c>
      <c r="AC82" s="59">
        <f>IFERROR(__xludf.DUMMYFUNCTION("importrange(""1zKPpIRi__6SVbgTzjvO6O1sQo3DfJF5zbe0T4GU19c0"",""2026-27!o3"")"),14.0)</f>
        <v>14</v>
      </c>
      <c r="AD82" s="59">
        <f>IFERROR(__xludf.DUMMYFUNCTION("importrange(""1zKPpIRi__6SVbgTzjvO6O1sQo3DfJF5zbe0T4GU19c0"",""2026-27!p4"")"),2670000.0)</f>
        <v>2670000</v>
      </c>
      <c r="AE82" s="59">
        <f>IFERROR(__xludf.DUMMYFUNCTION("importrange(""1zKPpIRi__6SVbgTzjvO6O1sQo3DfJF5zbe0T4GU19c0"",""2026-27!p3"")"),31.0)</f>
        <v>31</v>
      </c>
      <c r="AF82" s="59">
        <f>IFERROR(__xludf.DUMMYFUNCTION("importrange(""1zKPpIRi__6SVbgTzjvO6O1sQo3DfJF5zbe0T4GU19c0"",""2026-27!q4"")"),2871235.8400000003)</f>
        <v>2871235.84</v>
      </c>
      <c r="AG82" s="59">
        <f>IFERROR(__xludf.DUMMYFUNCTION("importrange(""1zKPpIRi__6SVbgTzjvO6O1sQo3DfJF5zbe0T4GU19c0"",""2026-27!q3"")"),15.0)</f>
        <v>15</v>
      </c>
      <c r="AH82" s="62">
        <f t="shared" si="102"/>
        <v>0.7995968315</v>
      </c>
      <c r="AI82" s="59">
        <f>IFERROR(__xludf.DUMMYFUNCTION("importrange(""1zKPpIRi__6SVbgTzjvO6O1sQo3DfJF5zbe0T4GU19c0"",""2026-27!r4"")"),2134923.54)</f>
        <v>2134923.54</v>
      </c>
      <c r="AJ82" s="59">
        <f>IFERROR(__xludf.DUMMYFUNCTION("importrange(""1zKPpIRi__6SVbgTzjvO6O1sQo3DfJF5zbe0T4GU19c0"",""2026-27!r3"")"),16.0)</f>
        <v>16</v>
      </c>
      <c r="AK82" s="59">
        <f>IFERROR(__xludf.DUMMYFUNCTION("importrange(""1zKPpIRi__6SVbgTzjvO6O1sQo3DfJF5zbe0T4GU19c0"",""2026-27!s4"")"),2090000.0)</f>
        <v>2090000</v>
      </c>
      <c r="AL82" s="59">
        <f>IFERROR(__xludf.DUMMYFUNCTION("importrange(""1zKPpIRi__6SVbgTzjvO6O1sQo3DfJF5zbe0T4GU19c0"",""2026-27!s3"")"),32.0)</f>
        <v>32</v>
      </c>
      <c r="AM82" s="61">
        <f>IFERROR(__xludf.DUMMYFUNCTION("importrange(""1zKPpIRi__6SVbgTzjvO6O1sQo3DfJF5zbe0T4GU19c0"",""2026-27!t4"")"),0.0)</f>
        <v>0</v>
      </c>
      <c r="AN82" s="59">
        <f>IFERROR(__xludf.DUMMYFUNCTION("importrange(""1zKPpIRi__6SVbgTzjvO6O1sQo3DfJF5zbe0T4GU19c0"",""2026-27!t3"")"),0.0)</f>
        <v>0</v>
      </c>
      <c r="AO82" s="62">
        <f t="shared" si="103"/>
        <v>0</v>
      </c>
      <c r="AP82" s="59">
        <f>IFERROR(__xludf.DUMMYFUNCTION("importrange(""1zKPpIRi__6SVbgTzjvO6O1sQo3DfJF5zbe0T4GU19c0"",""2026-27!u4"")"),0.0)</f>
        <v>0</v>
      </c>
      <c r="AQ82" s="59">
        <f>IFERROR(__xludf.DUMMYFUNCTION("importrange(""1zKPpIRi__6SVbgTzjvO6O1sQo3DfJF5zbe0T4GU19c0"",""2026-27!u3"")"),0.0)</f>
        <v>0</v>
      </c>
      <c r="AR82" s="59">
        <f>IFERROR(__xludf.DUMMYFUNCTION("importrange(""1zKPpIRi__6SVbgTzjvO6O1sQo3DfJF5zbe0T4GU19c0"",""2026-27!v4"")"),1960000.0)</f>
        <v>1960000</v>
      </c>
      <c r="AS82" s="59">
        <f>IFERROR(__xludf.DUMMYFUNCTION("importrange(""1zKPpIRi__6SVbgTzjvO6O1sQo3DfJF5zbe0T4GU19c0"",""2026-27!v3"")"),31.0)</f>
        <v>31</v>
      </c>
      <c r="AT82" s="61">
        <f>IFERROR(__xludf.DUMMYFUNCTION("importrange(""1zKPpIRi__6SVbgTzjvO6O1sQo3DfJF5zbe0T4GU19c0"",""2026-27!w4"")"),0.0)</f>
        <v>0</v>
      </c>
      <c r="AU82" s="59">
        <f>IFERROR(__xludf.DUMMYFUNCTION("importrange(""1zKPpIRi__6SVbgTzjvO6O1sQo3DfJF5zbe0T4GU19c0"",""2026-27!w3"")"),0.0)</f>
        <v>0</v>
      </c>
      <c r="AV82" s="62">
        <f t="shared" si="104"/>
        <v>0</v>
      </c>
      <c r="AW82" s="59">
        <f>IFERROR(__xludf.DUMMYFUNCTION("importrange(""1zKPpIRi__6SVbgTzjvO6O1sQo3DfJF5zbe0T4GU19c0"",""2026-27!x4"")"),0.0)</f>
        <v>0</v>
      </c>
      <c r="AX82" s="59">
        <f>IFERROR(__xludf.DUMMYFUNCTION("importrange(""1zKPpIRi__6SVbgTzjvO6O1sQo3DfJF5zbe0T4GU19c0"",""2026-27!x3"")"),0.0)</f>
        <v>0</v>
      </c>
      <c r="AY82" s="59">
        <f>IFERROR(__xludf.DUMMYFUNCTION("importrange(""1zKPpIRi__6SVbgTzjvO6O1sQo3DfJF5zbe0T4GU19c0"",""2026-27!y4"")"),2220000.0)</f>
        <v>2220000</v>
      </c>
      <c r="AZ82" s="59">
        <f>IFERROR(__xludf.DUMMYFUNCTION("importrange(""1zKPpIRi__6SVbgTzjvO6O1sQo3DfJF5zbe0T4GU19c0"",""2026-27!y3"")"),31.0)</f>
        <v>31</v>
      </c>
      <c r="BA82" s="61">
        <f>IFERROR(__xludf.DUMMYFUNCTION("importrange(""1zKPpIRi__6SVbgTzjvO6O1sQo3DfJF5zbe0T4GU19c0"",""2026-27!z4"")"),0.0)</f>
        <v>0</v>
      </c>
      <c r="BB82" s="59">
        <f>IFERROR(__xludf.DUMMYFUNCTION("importrange(""1zKPpIRi__6SVbgTzjvO6O1sQo3DfJF5zbe0T4GU19c0"",""2026-27!z3"")"),0.0)</f>
        <v>0</v>
      </c>
      <c r="BC82" s="63">
        <f t="shared" si="105"/>
        <v>0</v>
      </c>
      <c r="BD82" s="59">
        <f>IFERROR(__xludf.DUMMYFUNCTION("importrange(""1zKPpIRi__6SVbgTzjvO6O1sQo3DfJF5zbe0T4GU19c0"",""2026-27!aa4"")"),0.0)</f>
        <v>0</v>
      </c>
      <c r="BE82" s="59">
        <f>IFERROR(__xludf.DUMMYFUNCTION("importrange(""1zKPpIRi__6SVbgTzjvO6O1sQo3DfJF5zbe0T4GU19c0"",""2026-27!aa3"")"),0.0)</f>
        <v>0</v>
      </c>
      <c r="BF82" s="59">
        <f>IFERROR(__xludf.DUMMYFUNCTION("importrange(""1zKPpIRi__6SVbgTzjvO6O1sQo3DfJF5zbe0T4GU19c0"",""2026-27!ab4"")"),2150000.0)</f>
        <v>2150000</v>
      </c>
      <c r="BG82" s="59">
        <f>IFERROR(__xludf.DUMMYFUNCTION("importrange(""1zKPpIRi__6SVbgTzjvO6O1sQo3DfJF5zbe0T4GU19c0"",""2026-27!ab3"")"),31.0)</f>
        <v>31</v>
      </c>
      <c r="BH82" s="59">
        <f>IFERROR(__xludf.DUMMYFUNCTION("importrange(""1zKPpIRi__6SVbgTzjvO6O1sQo3DfJF5zbe0T4GU19c0"",""2026-27!ac4"")"),0.0)</f>
        <v>0</v>
      </c>
      <c r="BI82" s="59">
        <f>IFERROR(__xludf.DUMMYFUNCTION("importrange(""1zKPpIRi__6SVbgTzjvO6O1sQo3DfJF5zbe0T4GU19c0"",""2026-27!ac3"")"),0.0)</f>
        <v>0</v>
      </c>
      <c r="BJ82" s="63">
        <f t="shared" si="106"/>
        <v>0</v>
      </c>
      <c r="BK82" s="59">
        <f>IFERROR(__xludf.DUMMYFUNCTION("importrange(""1zKPpIRi__6SVbgTzjvO6O1sQo3DfJF5zbe0T4GU19c0"",""2026-27!ad4"")"),0.0)</f>
        <v>0</v>
      </c>
      <c r="BL82" s="59">
        <f>IFERROR(__xludf.DUMMYFUNCTION("importrange(""1zKPpIRi__6SVbgTzjvO6O1sQo3DfJF5zbe0T4GU19c0"",""2026-27!ad3"")"),0.0)</f>
        <v>0</v>
      </c>
      <c r="BM82" s="59">
        <f>IFERROR(__xludf.DUMMYFUNCTION("importrange(""1zKPpIRi__6SVbgTzjvO6O1sQo3DfJF5zbe0T4GU19c0"",""2026-27!ae4"")"),2200000.0)</f>
        <v>2200000</v>
      </c>
      <c r="BN82" s="59">
        <f>IFERROR(__xludf.DUMMYFUNCTION("importrange(""1zKPpIRi__6SVbgTzjvO6O1sQo3DfJF5zbe0T4GU19c0"",""2026-27!ae3"")"),31.0)</f>
        <v>31</v>
      </c>
      <c r="BO82" s="59">
        <f>IFERROR(__xludf.DUMMYFUNCTION("importrange(""1zKPpIRi__6SVbgTzjvO6O1sQo3DfJF5zbe0T4GU19c0"",""2026-27!af4"")"),0.0)</f>
        <v>0</v>
      </c>
      <c r="BP82" s="59">
        <f>IFERROR(__xludf.DUMMYFUNCTION("importrange(""1zKPpIRi__6SVbgTzjvO6O1sQo3DfJF5zbe0T4GU19c0"",""2026-27!af3"")"),0.0)</f>
        <v>0</v>
      </c>
      <c r="BQ82" s="63">
        <f t="shared" si="107"/>
        <v>0</v>
      </c>
      <c r="BR82" s="59">
        <f>IFERROR(__xludf.DUMMYFUNCTION("importrange(""1zKPpIRi__6SVbgTzjvO6O1sQo3DfJF5zbe0T4GU19c0"",""2026-27!ag4"")"),0.0)</f>
        <v>0</v>
      </c>
      <c r="BS82" s="59">
        <f>IFERROR(__xludf.DUMMYFUNCTION("importrange(""1zKPpIRi__6SVbgTzjvO6O1sQo3DfJF5zbe0T4GU19c0"",""2026-27!ag3"")"),0.0)</f>
        <v>0</v>
      </c>
      <c r="BT82" s="59">
        <f>IFERROR(__xludf.DUMMYFUNCTION("importrange(""1zKPpIRi__6SVbgTzjvO6O1sQo3DfJF5zbe0T4GU19c0"",""2026-27!ah4"")"),2500000.0)</f>
        <v>2500000</v>
      </c>
      <c r="BU82" s="59">
        <f>IFERROR(__xludf.DUMMYFUNCTION("importrange(""1zKPpIRi__6SVbgTzjvO6O1sQo3DfJF5zbe0T4GU19c0"",""2026-27!ah3"")"),31.0)</f>
        <v>31</v>
      </c>
      <c r="BV82" s="59">
        <f>IFERROR(__xludf.DUMMYFUNCTION("importrange(""1zKPpIRi__6SVbgTzjvO6O1sQo3DfJF5zbe0T4GU19c0"",""2026-27!ai4"")"),0.0)</f>
        <v>0</v>
      </c>
      <c r="BW82" s="59">
        <f>IFERROR(__xludf.DUMMYFUNCTION("importrange(""1zKPpIRi__6SVbgTzjvO6O1sQo3DfJF5zbe0T4GU19c0"",""2026-27!ai3"")"),0.0)</f>
        <v>0</v>
      </c>
      <c r="BX82" s="63">
        <f t="shared" si="108"/>
        <v>0</v>
      </c>
      <c r="BY82" s="59">
        <f>IFERROR(__xludf.DUMMYFUNCTION("importrange(""1zKPpIRi__6SVbgTzjvO6O1sQo3DfJF5zbe0T4GU19c0"",""2026-27!aj4"")"),0.0)</f>
        <v>0</v>
      </c>
      <c r="BZ82" s="59">
        <f>IFERROR(__xludf.DUMMYFUNCTION("importrange(""1zKPpIRi__6SVbgTzjvO6O1sQo3DfJF5zbe0T4GU19c0"",""2026-27!aj3"")"),0.0)</f>
        <v>0</v>
      </c>
      <c r="CA82" s="59">
        <f>IFERROR(__xludf.DUMMYFUNCTION("importrange(""1zKPpIRi__6SVbgTzjvO6O1sQo3DfJF5zbe0T4GU19c0"",""2026-27!ak4"")"),2780000.0)</f>
        <v>2780000</v>
      </c>
      <c r="CB82" s="59">
        <f>IFERROR(__xludf.DUMMYFUNCTION("importrange(""1zKPpIRi__6SVbgTzjvO6O1sQo3DfJF5zbe0T4GU19c0"",""2026-27!ak3"")"),31.0)</f>
        <v>31</v>
      </c>
      <c r="CC82" s="59">
        <f>IFERROR(__xludf.DUMMYFUNCTION("importrange(""1zKPpIRi__6SVbgTzjvO6O1sQo3DfJF5zbe0T4GU19c0"",""2026-27!al4"")"),0.0)</f>
        <v>0</v>
      </c>
      <c r="CD82" s="59">
        <f>IFERROR(__xludf.DUMMYFUNCTION("importrange(""1zKPpIRi__6SVbgTzjvO6O1sQo3DfJF5zbe0T4GU19c0"",""2026-27!ai3"")"),0.0)</f>
        <v>0</v>
      </c>
      <c r="CE82" s="63">
        <f t="shared" si="109"/>
        <v>0</v>
      </c>
      <c r="CF82" s="59">
        <f>IFERROR(__xludf.DUMMYFUNCTION("importrange(""1zKPpIRi__6SVbgTzjvO6O1sQo3DfJF5zbe0T4GU19c0"",""2026-27!am4"")"),0.0)</f>
        <v>0</v>
      </c>
      <c r="CG82" s="59">
        <f>IFERROR(__xludf.DUMMYFUNCTION("importrange(""1zKPpIRi__6SVbgTzjvO6O1sQo3DfJF5zbe0T4GU19c0"",""2026-27!am3"")"),0.0)</f>
        <v>0</v>
      </c>
      <c r="CH82" s="59">
        <f>IFERROR(__xludf.DUMMYFUNCTION("importrange(""1zKPpIRi__6SVbgTzjvO6O1sQo3DfJF5zbe0T4GU19c0"",""2026-27!an4"")"),2930000.0)</f>
        <v>2930000</v>
      </c>
      <c r="CI82" s="59">
        <f>IFERROR(__xludf.DUMMYFUNCTION("importrange(""1zKPpIRi__6SVbgTzjvO6O1sQo3DfJF5zbe0T4GU19c0"",""2026-27!an3"")"),31.0)</f>
        <v>31</v>
      </c>
      <c r="CJ82" s="59">
        <f>IFERROR(__xludf.DUMMYFUNCTION("importrange(""1zKPpIRi__6SVbgTzjvO6O1sQo3DfJF5zbe0T4GU19c0"",""2026-27!ao4"")"),0.0)</f>
        <v>0</v>
      </c>
      <c r="CK82" s="59">
        <f>IFERROR(__xludf.DUMMYFUNCTION("importrange(""1zKPpIRi__6SVbgTzjvO6O1sQo3DfJF5zbe0T4GU19c0"",""2026-27!ao3"")"),0.0)</f>
        <v>0</v>
      </c>
      <c r="CL82" s="63">
        <f t="shared" si="110"/>
        <v>0</v>
      </c>
      <c r="CM82" s="59">
        <f>IFERROR(__xludf.DUMMYFUNCTION("importrange(""1zKPpIRi__6SVbgTzjvO6O1sQo3DfJF5zbe0T4GU19c0"",""2026-27!ap4"")"),0.0)</f>
        <v>0</v>
      </c>
      <c r="CN82" s="59">
        <f>IFERROR(__xludf.DUMMYFUNCTION("importrange(""1zKPpIRi__6SVbgTzjvO6O1sQo3DfJF5zbe0T4GU19c0"",""2026-27!ap3"")"),0.0)</f>
        <v>0</v>
      </c>
      <c r="CO82" s="59">
        <f>IFERROR(__xludf.DUMMYFUNCTION("importrange(""1zKPpIRi__6SVbgTzjvO6O1sQo3DfJF5zbe0T4GU19c0"",""2026-27!aq4"")"),3610000.0)</f>
        <v>3610000</v>
      </c>
      <c r="CP82" s="59">
        <f>IFERROR(__xludf.DUMMYFUNCTION("importrange(""1zKPpIRi__6SVbgTzjvO6O1sQo3DfJF5zbe0T4GU19c0"",""2026-27!aq3"")"),31.0)</f>
        <v>31</v>
      </c>
      <c r="CQ82" s="59">
        <f>IFERROR(__xludf.DUMMYFUNCTION("importrange(""1zKPpIRi__6SVbgTzjvO6O1sQo3DfJF5zbe0T4GU19c0"",""2026-27!ar4"")"),0.0)</f>
        <v>0</v>
      </c>
      <c r="CR82" s="59">
        <f>IFERROR(__xludf.DUMMYFUNCTION("importrange(""1zKPpIRi__6SVbgTzjvO6O1sQo3DfJF5zbe0T4GU19c0"",""2026-27!ar3"")"),0.0)</f>
        <v>0</v>
      </c>
      <c r="CS82" s="63">
        <f t="shared" si="111"/>
        <v>0</v>
      </c>
      <c r="CT82" s="59">
        <f>IFERROR(__xludf.DUMMYFUNCTION("importrange(""1zKPpIRi__6SVbgTzjvO6O1sQo3DfJF5zbe0T4GU19c0"",""2026-27!as4"")"),0.0)</f>
        <v>0</v>
      </c>
      <c r="CU82" s="59">
        <f>IFERROR(__xludf.DUMMYFUNCTION("importrange(""1zKPpIRi__6SVbgTzjvO6O1sQo3DfJF5zbe0T4GU19c0"",""2026-27!as3"")"),0.0)</f>
        <v>0</v>
      </c>
      <c r="CV82" s="64"/>
    </row>
    <row r="83">
      <c r="A83" s="1" t="s">
        <v>160</v>
      </c>
      <c r="B83" s="41"/>
      <c r="C83" s="68" t="s">
        <v>168</v>
      </c>
      <c r="D83" s="54" t="s">
        <v>169</v>
      </c>
      <c r="E83" s="54">
        <v>9.378289552E9</v>
      </c>
      <c r="F83" s="80">
        <v>41791.0</v>
      </c>
      <c r="G83" s="66"/>
      <c r="H83" s="66"/>
      <c r="I83" s="57">
        <v>78085.0</v>
      </c>
      <c r="J83" s="58">
        <v>9166667.0</v>
      </c>
      <c r="K83" s="61">
        <f>IFERROR(__xludf.DUMMYFUNCTION("IMPORTRANGE(""1Cvkmf9XW8YyoV2xL1JRa6rQ8PUxQVh1SUrLGjS3xCGY"",""2026-27!A3"")"),104.0)</f>
        <v>104</v>
      </c>
      <c r="L83" s="61">
        <f>IFERROR(__xludf.DUMMYFUNCTION("IMPORTRANGE(""1Cvkmf9XW8YyoV2xL1JRa6rQ8PUxQVh1SUrLGjS3xCGY"",""2026-27!G4"")"),1.104484638E8)</f>
        <v>110448463.8</v>
      </c>
      <c r="M83" s="61">
        <f t="shared" si="97"/>
        <v>18587947.29</v>
      </c>
      <c r="N83" s="60">
        <f t="shared" si="98"/>
        <v>0.1591992355</v>
      </c>
      <c r="O83" s="61">
        <f t="shared" si="99"/>
        <v>17583311</v>
      </c>
      <c r="P83" s="59">
        <f>IFERROR(__xludf.DUMMYFUNCTION("IMPORTRANGE(""1Cvkmf9XW8YyoV2xL1JRa6rQ8PUxQVh1SUrLGjS3xCGY"",""2026-27!J4"")"),9104038.650000004)</f>
        <v>9104038.65</v>
      </c>
      <c r="Q83" s="59">
        <f>IFERROR(__xludf.DUMMYFUNCTION("IMPORTRANGE(""1Cvkmf9XW8YyoV2xL1JRa6rQ8PUxQVh1SUrLGjS3xCGY"",""2026-27!J3"")"),74.0)</f>
        <v>74</v>
      </c>
      <c r="R83" s="59">
        <f>IFERROR(__xludf.DUMMYFUNCTION("IMPORTRANGE(""1Cvkmf9XW8YyoV2xL1JRa6rQ8PUxQVh1SUrLGjS3xCGY"",""2026-27!K4"")"),2277059.94)</f>
        <v>2277059.94</v>
      </c>
      <c r="S83" s="59">
        <f>IFERROR(__xludf.DUMMYFUNCTION("IMPORTRANGE(""1Cvkmf9XW8YyoV2xL1JRa6rQ8PUxQVh1SUrLGjS3xCGY"",""2026-27!K3"")"),18.0)</f>
        <v>18</v>
      </c>
      <c r="T83" s="62">
        <f t="shared" si="100"/>
        <v>0.2738779014</v>
      </c>
      <c r="U83" s="59">
        <f>IFERROR(__xludf.DUMMYFUNCTION("IMPORTRANGE(""1Cvkmf9XW8YyoV2xL1JRa6rQ8PUxQVh1SUrLGjS3xCGY"",""2026-27!L4"")"),2493395.0)</f>
        <v>2493395</v>
      </c>
      <c r="V83" s="85">
        <f>IFERROR(__xludf.DUMMYFUNCTION("IMPORTRANGE(""1Cvkmf9XW8YyoV2xL1JRa6rQ8PUxQVh1SUrLGjS3xCGY"",""2026-27!L3"")"),24.0)</f>
        <v>24</v>
      </c>
      <c r="W83" s="59">
        <f>IFERROR(__xludf.DUMMYFUNCTION("IMPORTRANGE(""1Cvkmf9XW8YyoV2xL1JRa6rQ8PUxQVh1SUrLGjS3xCGY"",""2026-27!M4"")"),9204038.650000004)</f>
        <v>9204038.65</v>
      </c>
      <c r="X83" s="85">
        <f>IFERROR(__xludf.DUMMYFUNCTION("IMPORTRANGE(""1Cvkmf9XW8YyoV2xL1JRa6rQ8PUxQVh1SUrLGjS3xCGY"",""2026-27!M3"")"),74.0)</f>
        <v>74</v>
      </c>
      <c r="Y83" s="59">
        <f>IFERROR(__xludf.DUMMYFUNCTION("importrange(""1Cvkmf9XW8YyoV2xL1JRa6rQ8PUxQVh1SUrLGjS3xCGY"",""2026-27!n4"")"),7466327.77)</f>
        <v>7466327.77</v>
      </c>
      <c r="Z83" s="59">
        <f>IFERROR(__xludf.DUMMYFUNCTION("importrange(""1Cvkmf9XW8YyoV2xL1JRa6rQ8PUxQVh1SUrLGjS3xCGY"",""2026-27!n3"")"),48.0)</f>
        <v>48</v>
      </c>
      <c r="AA83" s="62">
        <f t="shared" si="101"/>
        <v>0.7416983196</v>
      </c>
      <c r="AB83" s="59">
        <f>IFERROR(__xludf.DUMMYFUNCTION("importrange(""1Cvkmf9XW8YyoV2xL1JRa6rQ8PUxQVh1SUrLGjS3xCGY"",""2026-27!o4"")"),6826620.0)</f>
        <v>6826620</v>
      </c>
      <c r="AC83" s="59">
        <f>IFERROR(__xludf.DUMMYFUNCTION("importrange(""1Cvkmf9XW8YyoV2xL1JRa6rQ8PUxQVh1SUrLGjS3xCGY"",""2026-27!o3"")"),43.0)</f>
        <v>43</v>
      </c>
      <c r="AD83" s="59">
        <f>IFERROR(__xludf.DUMMYFUNCTION("importrange(""1Cvkmf9XW8YyoV2xL1JRa6rQ8PUxQVh1SUrLGjS3xCGY"",""2026-27!p4"")"),9304038.650000004)</f>
        <v>9304038.65</v>
      </c>
      <c r="AE83" s="59">
        <f>IFERROR(__xludf.DUMMYFUNCTION("importrange(""1Cvkmf9XW8YyoV2xL1JRa6rQ8PUxQVh1SUrLGjS3xCGY"",""2026-27!p3"")"),74.0)</f>
        <v>74</v>
      </c>
      <c r="AF83" s="59">
        <f>IFERROR(__xludf.DUMMYFUNCTION("importrange(""1Cvkmf9XW8YyoV2xL1JRa6rQ8PUxQVh1SUrLGjS3xCGY"",""2026-27!q4"")"),8844559.579999996)</f>
        <v>8844559.58</v>
      </c>
      <c r="AG83" s="59">
        <f>IFERROR(__xludf.DUMMYFUNCTION("importrange(""1Cvkmf9XW8YyoV2xL1JRa6rQ8PUxQVh1SUrLGjS3xCGY"",""2026-27!q3"")"),54.0)</f>
        <v>54</v>
      </c>
      <c r="AH83" s="62">
        <f t="shared" si="102"/>
        <v>0.8881407645</v>
      </c>
      <c r="AI83" s="59">
        <f>IFERROR(__xludf.DUMMYFUNCTION("importrange(""1Cvkmf9XW8YyoV2xL1JRa6rQ8PUxQVh1SUrLGjS3xCGY"",""2026-27!r4"")"),8263296.0)</f>
        <v>8263296</v>
      </c>
      <c r="AJ83" s="59">
        <f>IFERROR(__xludf.DUMMYFUNCTION("importrange(""1Cvkmf9XW8YyoV2xL1JRa6rQ8PUxQVh1SUrLGjS3xCGY"",""2026-27!r3"")"),49.0)</f>
        <v>49</v>
      </c>
      <c r="AK83" s="59">
        <f>IFERROR(__xludf.DUMMYFUNCTION("importrange(""1Cvkmf9XW8YyoV2xL1JRa6rQ8PUxQVh1SUrLGjS3xCGY"",""2026-27!s4"")"),9204038.650000004)</f>
        <v>9204038.65</v>
      </c>
      <c r="AL83" s="59">
        <f>IFERROR(__xludf.DUMMYFUNCTION("importrange(""1Cvkmf9XW8YyoV2xL1JRa6rQ8PUxQVh1SUrLGjS3xCGY"",""2026-27!s3"")"),74.0)</f>
        <v>74</v>
      </c>
      <c r="AM83" s="61">
        <f>IFERROR(__xludf.DUMMYFUNCTION("importrange(""1Cvkmf9XW8YyoV2xL1JRa6rQ8PUxQVh1SUrLGjS3xCGY"",""2026-27!t4"")"),0.0)</f>
        <v>0</v>
      </c>
      <c r="AN83" s="59">
        <f>IFERROR(__xludf.DUMMYFUNCTION("importrange(""1Cvkmf9XW8YyoV2xL1JRa6rQ8PUxQVh1SUrLGjS3xCGY"",""2026-27!t3"")"),0.0)</f>
        <v>0</v>
      </c>
      <c r="AO83" s="62">
        <f t="shared" si="103"/>
        <v>0</v>
      </c>
      <c r="AP83" s="59">
        <f>IFERROR(__xludf.DUMMYFUNCTION("importrange(""1Cvkmf9XW8YyoV2xL1JRa6rQ8PUxQVh1SUrLGjS3xCGY"",""2026-27!u4"")"),0.0)</f>
        <v>0</v>
      </c>
      <c r="AQ83" s="59">
        <f>IFERROR(__xludf.DUMMYFUNCTION("importrange(""1Cvkmf9XW8YyoV2xL1JRa6rQ8PUxQVh1SUrLGjS3xCGY"",""2026-27!u3"")"),0.0)</f>
        <v>0</v>
      </c>
      <c r="AR83" s="59">
        <f>IFERROR(__xludf.DUMMYFUNCTION("importrange(""1Cvkmf9XW8YyoV2xL1JRa6rQ8PUxQVh1SUrLGjS3xCGY"",""2026-27!v4"")"),9204038.650000004)</f>
        <v>9204038.65</v>
      </c>
      <c r="AS83" s="59">
        <f>IFERROR(__xludf.DUMMYFUNCTION("importrange(""1Cvkmf9XW8YyoV2xL1JRa6rQ8PUxQVh1SUrLGjS3xCGY"",""2026-27!v3"")"),74.0)</f>
        <v>74</v>
      </c>
      <c r="AT83" s="61">
        <f>IFERROR(__xludf.DUMMYFUNCTION("importrange(""1Cvkmf9XW8YyoV2xL1JRa6rQ8PUxQVh1SUrLGjS3xCGY"",""2026-27!w4"")"),0.0)</f>
        <v>0</v>
      </c>
      <c r="AU83" s="59">
        <f>IFERROR(__xludf.DUMMYFUNCTION("importrange(""1Cvkmf9XW8YyoV2xL1JRa6rQ8PUxQVh1SUrLGjS3xCGY"",""2026-27!w3"")"),0.0)</f>
        <v>0</v>
      </c>
      <c r="AV83" s="62">
        <f t="shared" si="104"/>
        <v>0</v>
      </c>
      <c r="AW83" s="59">
        <f>IFERROR(__xludf.DUMMYFUNCTION("importrange(""1Cvkmf9XW8YyoV2xL1JRa6rQ8PUxQVh1SUrLGjS3xCGY"",""2026-27!x4"")"),0.0)</f>
        <v>0</v>
      </c>
      <c r="AX83" s="59">
        <f>IFERROR(__xludf.DUMMYFUNCTION("importrange(""1Cvkmf9XW8YyoV2xL1JRa6rQ8PUxQVh1SUrLGjS3xCGY"",""2026-27!x3"")"),0.0)</f>
        <v>0</v>
      </c>
      <c r="AY83" s="59">
        <f>IFERROR(__xludf.DUMMYFUNCTION("importrange(""1Cvkmf9XW8YyoV2xL1JRa6rQ8PUxQVh1SUrLGjS3xCGY"",""2026-27!y4"")"),9204038.650000004)</f>
        <v>9204038.65</v>
      </c>
      <c r="AZ83" s="59">
        <f>IFERROR(__xludf.DUMMYFUNCTION("importrange(""1Cvkmf9XW8YyoV2xL1JRa6rQ8PUxQVh1SUrLGjS3xCGY"",""2026-27!y3"")"),74.0)</f>
        <v>74</v>
      </c>
      <c r="BA83" s="61">
        <f>IFERROR(__xludf.DUMMYFUNCTION("importrange(""1Cvkmf9XW8YyoV2xL1JRa6rQ8PUxQVh1SUrLGjS3xCGY"",""2026-27!z4"")"),0.0)</f>
        <v>0</v>
      </c>
      <c r="BB83" s="59">
        <f>IFERROR(__xludf.DUMMYFUNCTION("importrange(""1Cvkmf9XW8YyoV2xL1JRa6rQ8PUxQVh1SUrLGjS3xCGY"",""2026-27!z3"")"),0.0)</f>
        <v>0</v>
      </c>
      <c r="BC83" s="63">
        <f t="shared" si="105"/>
        <v>0</v>
      </c>
      <c r="BD83" s="59">
        <f>IFERROR(__xludf.DUMMYFUNCTION("importrange(""1Cvkmf9XW8YyoV2xL1JRa6rQ8PUxQVh1SUrLGjS3xCGY"",""2026-27!aa4"")"),0.0)</f>
        <v>0</v>
      </c>
      <c r="BE83" s="59">
        <f>IFERROR(__xludf.DUMMYFUNCTION("importrange(""1Cvkmf9XW8YyoV2xL1JRa6rQ8PUxQVh1SUrLGjS3xCGY"",""2026-27!aa3"")"),0.0)</f>
        <v>0</v>
      </c>
      <c r="BF83" s="59">
        <f>IFERROR(__xludf.DUMMYFUNCTION("importrange(""1Cvkmf9XW8YyoV2xL1JRa6rQ8PUxQVh1SUrLGjS3xCGY"",""2026-27!ab4"")"),9204038.650000004)</f>
        <v>9204038.65</v>
      </c>
      <c r="BG83" s="59">
        <f>IFERROR(__xludf.DUMMYFUNCTION("importrange(""1Cvkmf9XW8YyoV2xL1JRa6rQ8PUxQVh1SUrLGjS3xCGY"",""2026-27!ab3"")"),74.0)</f>
        <v>74</v>
      </c>
      <c r="BH83" s="59">
        <f>IFERROR(__xludf.DUMMYFUNCTION("importrange(""1Cvkmf9XW8YyoV2xL1JRa6rQ8PUxQVh1SUrLGjS3xCGY"",""2026-27!ac4"")"),0.0)</f>
        <v>0</v>
      </c>
      <c r="BI83" s="59">
        <f>IFERROR(__xludf.DUMMYFUNCTION("importrange(""1Cvkmf9XW8YyoV2xL1JRa6rQ8PUxQVh1SUrLGjS3xCGY"",""2026-27!ac3"")"),0.0)</f>
        <v>0</v>
      </c>
      <c r="BJ83" s="63">
        <f t="shared" si="106"/>
        <v>0</v>
      </c>
      <c r="BK83" s="59">
        <f>IFERROR(__xludf.DUMMYFUNCTION("importrange(""1Cvkmf9XW8YyoV2xL1JRa6rQ8PUxQVh1SUrLGjS3xCGY"",""2026-27!ad4"")"),0.0)</f>
        <v>0</v>
      </c>
      <c r="BL83" s="59">
        <f>IFERROR(__xludf.DUMMYFUNCTION("importrange(""1Cvkmf9XW8YyoV2xL1JRa6rQ8PUxQVh1SUrLGjS3xCGY"",""2026-27!ad3"")"),0.0)</f>
        <v>0</v>
      </c>
      <c r="BM83" s="59">
        <f>IFERROR(__xludf.DUMMYFUNCTION("importrange(""1Cvkmf9XW8YyoV2xL1JRa6rQ8PUxQVh1SUrLGjS3xCGY"",""2026-27!ae4"")"),9204038.650000004)</f>
        <v>9204038.65</v>
      </c>
      <c r="BN83" s="59">
        <f>IFERROR(__xludf.DUMMYFUNCTION("importrange(""1Cvkmf9XW8YyoV2xL1JRa6rQ8PUxQVh1SUrLGjS3xCGY"",""2026-27!ae3"")"),74.0)</f>
        <v>74</v>
      </c>
      <c r="BO83" s="59">
        <f>IFERROR(__xludf.DUMMYFUNCTION("importrange(""1Cvkmf9XW8YyoV2xL1JRa6rQ8PUxQVh1SUrLGjS3xCGY"",""2026-27!af4"")"),0.0)</f>
        <v>0</v>
      </c>
      <c r="BP83" s="59">
        <f>IFERROR(__xludf.DUMMYFUNCTION("importrange(""1Cvkmf9XW8YyoV2xL1JRa6rQ8PUxQVh1SUrLGjS3xCGY"",""2026-27!af3"")"),0.0)</f>
        <v>0</v>
      </c>
      <c r="BQ83" s="63">
        <f t="shared" si="107"/>
        <v>0</v>
      </c>
      <c r="BR83" s="59">
        <f>IFERROR(__xludf.DUMMYFUNCTION("importrange(""1Cvkmf9XW8YyoV2xL1JRa6rQ8PUxQVh1SUrLGjS3xCGY"",""2026-27!ag4"")"),0.0)</f>
        <v>0</v>
      </c>
      <c r="BS83" s="59">
        <f>IFERROR(__xludf.DUMMYFUNCTION("importrange(""1Cvkmf9XW8YyoV2xL1JRa6rQ8PUxQVh1SUrLGjS3xCGY"",""2026-27!ag3"")"),0.0)</f>
        <v>0</v>
      </c>
      <c r="BT83" s="59">
        <f>IFERROR(__xludf.DUMMYFUNCTION("importrange(""1Cvkmf9XW8YyoV2xL1JRa6rQ8PUxQVh1SUrLGjS3xCGY"",""2026-27!ah4"")"),9204038.650000004)</f>
        <v>9204038.65</v>
      </c>
      <c r="BU83" s="59">
        <f>IFERROR(__xludf.DUMMYFUNCTION("importrange(""1Cvkmf9XW8YyoV2xL1JRa6rQ8PUxQVh1SUrLGjS3xCGY"",""2026-27!ah3"")"),74.0)</f>
        <v>74</v>
      </c>
      <c r="BV83" s="59">
        <f>IFERROR(__xludf.DUMMYFUNCTION("importrange(""1Cvkmf9XW8YyoV2xL1JRa6rQ8PUxQVh1SUrLGjS3xCGY"",""2026-27!ai4"")"),0.0)</f>
        <v>0</v>
      </c>
      <c r="BW83" s="59">
        <f>IFERROR(__xludf.DUMMYFUNCTION("importrange(""1Cvkmf9XW8YyoV2xL1JRa6rQ8PUxQVh1SUrLGjS3xCGY"",""2026-27!ai3"")"),0.0)</f>
        <v>0</v>
      </c>
      <c r="BX83" s="63">
        <f t="shared" si="108"/>
        <v>0</v>
      </c>
      <c r="BY83" s="59">
        <f>IFERROR(__xludf.DUMMYFUNCTION("importrange(""1Cvkmf9XW8YyoV2xL1JRa6rQ8PUxQVh1SUrLGjS3xCGY"",""2026-27!aj4"")"),0.0)</f>
        <v>0</v>
      </c>
      <c r="BZ83" s="59">
        <f>IFERROR(__xludf.DUMMYFUNCTION("importrange(""1Cvkmf9XW8YyoV2xL1JRa6rQ8PUxQVh1SUrLGjS3xCGY"",""2026-27!aj3"")"),0.0)</f>
        <v>0</v>
      </c>
      <c r="CA83" s="59">
        <f>IFERROR(__xludf.DUMMYFUNCTION("importrange(""1Cvkmf9XW8YyoV2xL1JRa6rQ8PUxQVh1SUrLGjS3xCGY"",""2026-27!ak4"")"),9204038.650000004)</f>
        <v>9204038.65</v>
      </c>
      <c r="CB83" s="59">
        <f>IFERROR(__xludf.DUMMYFUNCTION("importrange(""1Cvkmf9XW8YyoV2xL1JRa6rQ8PUxQVh1SUrLGjS3xCGY"",""2026-27!ak3"")"),74.0)</f>
        <v>74</v>
      </c>
      <c r="CC83" s="59">
        <f>IFERROR(__xludf.DUMMYFUNCTION("importrange(""1Cvkmf9XW8YyoV2xL1JRa6rQ8PUxQVh1SUrLGjS3xCGY"",""2026-27!al4"")"),0.0)</f>
        <v>0</v>
      </c>
      <c r="CD83" s="59">
        <f>IFERROR(__xludf.DUMMYFUNCTION("importrange(""1Cvkmf9XW8YyoV2xL1JRa6rQ8PUxQVh1SUrLGjS3xCGY"",""2026-27!ai3"")"),0.0)</f>
        <v>0</v>
      </c>
      <c r="CE83" s="63">
        <f t="shared" si="109"/>
        <v>0</v>
      </c>
      <c r="CF83" s="59">
        <f>IFERROR(__xludf.DUMMYFUNCTION("importrange(""1Cvkmf9XW8YyoV2xL1JRa6rQ8PUxQVh1SUrLGjS3xCGY"",""2026-27!am4"")"),0.0)</f>
        <v>0</v>
      </c>
      <c r="CG83" s="59">
        <f>IFERROR(__xludf.DUMMYFUNCTION("importrange(""1Cvkmf9XW8YyoV2xL1JRa6rQ8PUxQVh1SUrLGjS3xCGY"",""2026-27!am3"")"),0.0)</f>
        <v>0</v>
      </c>
      <c r="CH83" s="59">
        <f>IFERROR(__xludf.DUMMYFUNCTION("importrange(""1Cvkmf9XW8YyoV2xL1JRa6rQ8PUxQVh1SUrLGjS3xCGY"",""2026-27!an4"")"),9204038.650000004)</f>
        <v>9204038.65</v>
      </c>
      <c r="CI83" s="59">
        <f>IFERROR(__xludf.DUMMYFUNCTION("importrange(""1Cvkmf9XW8YyoV2xL1JRa6rQ8PUxQVh1SUrLGjS3xCGY"",""2026-27!an3"")"),74.0)</f>
        <v>74</v>
      </c>
      <c r="CJ83" s="59">
        <f>IFERROR(__xludf.DUMMYFUNCTION("importrange(""1Cvkmf9XW8YyoV2xL1JRa6rQ8PUxQVh1SUrLGjS3xCGY"",""2026-27!ao4"")"),0.0)</f>
        <v>0</v>
      </c>
      <c r="CK83" s="59">
        <f>IFERROR(__xludf.DUMMYFUNCTION("importrange(""1Cvkmf9XW8YyoV2xL1JRa6rQ8PUxQVh1SUrLGjS3xCGY"",""2026-27!ao3"")"),0.0)</f>
        <v>0</v>
      </c>
      <c r="CL83" s="63">
        <f t="shared" si="110"/>
        <v>0</v>
      </c>
      <c r="CM83" s="59">
        <f>IFERROR(__xludf.DUMMYFUNCTION("importrange(""1Cvkmf9XW8YyoV2xL1JRa6rQ8PUxQVh1SUrLGjS3xCGY"",""2026-27!ap4"")"),0.0)</f>
        <v>0</v>
      </c>
      <c r="CN83" s="59">
        <f>IFERROR(__xludf.DUMMYFUNCTION("importrange(""1Cvkmf9XW8YyoV2xL1JRa6rQ8PUxQVh1SUrLGjS3xCGY"",""2026-27!ap3"")"),0.0)</f>
        <v>0</v>
      </c>
      <c r="CO83" s="59">
        <f>IFERROR(__xludf.DUMMYFUNCTION("importrange(""1Cvkmf9XW8YyoV2xL1JRa6rQ8PUxQVh1SUrLGjS3xCGY"",""2026-27!aq4"")"),9204038.650000004)</f>
        <v>9204038.65</v>
      </c>
      <c r="CP83" s="59">
        <f>IFERROR(__xludf.DUMMYFUNCTION("importrange(""1Cvkmf9XW8YyoV2xL1JRa6rQ8PUxQVh1SUrLGjS3xCGY"",""2026-27!aq3"")"),74.0)</f>
        <v>74</v>
      </c>
      <c r="CQ83" s="59">
        <f>IFERROR(__xludf.DUMMYFUNCTION("importrange(""1Cvkmf9XW8YyoV2xL1JRa6rQ8PUxQVh1SUrLGjS3xCGY"",""2026-27!ar4"")"),0.0)</f>
        <v>0</v>
      </c>
      <c r="CR83" s="59">
        <f>IFERROR(__xludf.DUMMYFUNCTION("importrange(""1Cvkmf9XW8YyoV2xL1JRa6rQ8PUxQVh1SUrLGjS3xCGY"",""2026-27!ar3"")"),0.0)</f>
        <v>0</v>
      </c>
      <c r="CS83" s="63">
        <f t="shared" si="111"/>
        <v>0</v>
      </c>
      <c r="CT83" s="59">
        <f>IFERROR(__xludf.DUMMYFUNCTION("importrange(""1Cvkmf9XW8YyoV2xL1JRa6rQ8PUxQVh1SUrLGjS3xCGY"",""2026-27!as4"")"),0.0)</f>
        <v>0</v>
      </c>
      <c r="CU83" s="59">
        <f>IFERROR(__xludf.DUMMYFUNCTION("importrange(""1Cvkmf9XW8YyoV2xL1JRa6rQ8PUxQVh1SUrLGjS3xCGY"",""2026-27!as3"")"),0.0)</f>
        <v>0</v>
      </c>
      <c r="CV83" s="64"/>
    </row>
    <row r="84">
      <c r="A84" s="1" t="s">
        <v>160</v>
      </c>
      <c r="B84" s="41"/>
      <c r="C84" s="68" t="s">
        <v>170</v>
      </c>
      <c r="D84" s="54" t="s">
        <v>162</v>
      </c>
      <c r="E84" s="54">
        <v>9.083471702E9</v>
      </c>
      <c r="F84" s="80">
        <v>42660.0</v>
      </c>
      <c r="G84" s="66"/>
      <c r="H84" s="66"/>
      <c r="I84" s="57">
        <v>40500.0</v>
      </c>
      <c r="J84" s="58">
        <v>3750000.0</v>
      </c>
      <c r="K84" s="61">
        <f>IFERROR(__xludf.DUMMYFUNCTION("IMPORTRANGE(""1FGGDrtOqFXFnIAqpV4VK1I_FD986CaP6bQUHv8xEIys"",""2026-27!A3"")"),41.0)</f>
        <v>41</v>
      </c>
      <c r="L84" s="61">
        <f>IFERROR(__xludf.DUMMYFUNCTION("IMPORTRANGE(""1FGGDrtOqFXFnIAqpV4VK1I_FD986CaP6bQUHv8xEIys"",""2026-27!G4"")"),3.715E7)</f>
        <v>37150000</v>
      </c>
      <c r="M84" s="61">
        <f t="shared" si="97"/>
        <v>9030102.23</v>
      </c>
      <c r="N84" s="60">
        <f t="shared" si="98"/>
        <v>0.106409502</v>
      </c>
      <c r="O84" s="61">
        <f t="shared" si="99"/>
        <v>3953113</v>
      </c>
      <c r="P84" s="59">
        <f>IFERROR(__xludf.DUMMYFUNCTION("IMPORTRANGE(""1FGGDrtOqFXFnIAqpV4VK1I_FD986CaP6bQUHv8xEIys"",""2026-27!J4"")"),4446322.0)</f>
        <v>4446322</v>
      </c>
      <c r="Q84" s="59">
        <f>IFERROR(__xludf.DUMMYFUNCTION("IMPORTRANGE(""1FGGDrtOqFXFnIAqpV4VK1I_FD986CaP6bQUHv8xEIys"",""2026-27!J3"")"),41.0)</f>
        <v>41</v>
      </c>
      <c r="R84" s="59">
        <f>IFERROR(__xludf.DUMMYFUNCTION("IMPORTRANGE(""1FGGDrtOqFXFnIAqpV4VK1I_FD986CaP6bQUHv8xEIys"",""2026-27!K4"")"),3083823.6499999994)</f>
        <v>3083823.65</v>
      </c>
      <c r="S84" s="59">
        <f>IFERROR(__xludf.DUMMYFUNCTION("IMPORTRANGE(""1FGGDrtOqFXFnIAqpV4VK1I_FD986CaP6bQUHv8xEIys"",""2026-27!K3"")"),23.0)</f>
        <v>23</v>
      </c>
      <c r="T84" s="62">
        <f t="shared" si="100"/>
        <v>0.5119084943</v>
      </c>
      <c r="U84" s="59">
        <f>IFERROR(__xludf.DUMMYFUNCTION("IMPORTRANGE(""1FGGDrtOqFXFnIAqpV4VK1I_FD986CaP6bQUHv8xEIys"",""2026-27!L4"")"),2276110.0)</f>
        <v>2276110</v>
      </c>
      <c r="V84" s="85">
        <f>IFERROR(__xludf.DUMMYFUNCTION("IMPORTRANGE(""1FGGDrtOqFXFnIAqpV4VK1I_FD986CaP6bQUHv8xEIys"",""2026-27!L3"")"),24.0)</f>
        <v>24</v>
      </c>
      <c r="W84" s="59">
        <f>IFERROR(__xludf.DUMMYFUNCTION("IMPORTRANGE(""1FGGDrtOqFXFnIAqpV4VK1I_FD986CaP6bQUHv8xEIys"",""2026-27!M4"")"),4446322.0)</f>
        <v>4446322</v>
      </c>
      <c r="X84" s="85">
        <f>IFERROR(__xludf.DUMMYFUNCTION("IMPORTRANGE(""1FGGDrtOqFXFnIAqpV4VK1I_FD986CaP6bQUHv8xEIys"",""2026-27!M3"")"),41.0)</f>
        <v>41</v>
      </c>
      <c r="Y84" s="59">
        <f>IFERROR(__xludf.DUMMYFUNCTION("importrange(""1FGGDrtOqFXFnIAqpV4VK1I_FD986CaP6bQUHv8xEIys"",""2026-27!n4"")"),2029890.4599999997)</f>
        <v>2029890.46</v>
      </c>
      <c r="Z84" s="59">
        <f>IFERROR(__xludf.DUMMYFUNCTION("importrange(""1FGGDrtOqFXFnIAqpV4VK1I_FD986CaP6bQUHv8xEIys"",""2026-27!n3"")"),21.0)</f>
        <v>21</v>
      </c>
      <c r="AA84" s="62">
        <f t="shared" si="101"/>
        <v>0.3771663411</v>
      </c>
      <c r="AB84" s="59">
        <f>IFERROR(__xludf.DUMMYFUNCTION("importrange(""1FGGDrtOqFXFnIAqpV4VK1I_FD986CaP6bQUHv8xEIys"",""2026-27!o4"")"),1677003.0)</f>
        <v>1677003</v>
      </c>
      <c r="AC84" s="59">
        <f>IFERROR(__xludf.DUMMYFUNCTION("importrange(""1FGGDrtOqFXFnIAqpV4VK1I_FD986CaP6bQUHv8xEIys"",""2026-27!o3"")"),23.0)</f>
        <v>23</v>
      </c>
      <c r="AD84" s="59">
        <f>IFERROR(__xludf.DUMMYFUNCTION("importrange(""1FGGDrtOqFXFnIAqpV4VK1I_FD986CaP6bQUHv8xEIys"",""2026-27!p4"")"),4446322.0)</f>
        <v>4446322</v>
      </c>
      <c r="AE84" s="59">
        <f>IFERROR(__xludf.DUMMYFUNCTION("importrange(""1FGGDrtOqFXFnIAqpV4VK1I_FD986CaP6bQUHv8xEIys"",""2026-27!p3"")"),41.0)</f>
        <v>41</v>
      </c>
      <c r="AF84" s="59">
        <f>IFERROR(__xludf.DUMMYFUNCTION("importrange(""1FGGDrtOqFXFnIAqpV4VK1I_FD986CaP6bQUHv8xEIys"",""2026-27!q4"")"),3916388.1199999996)</f>
        <v>3916388.12</v>
      </c>
      <c r="AG84" s="59">
        <f>IFERROR(__xludf.DUMMYFUNCTION("importrange(""1FGGDrtOqFXFnIAqpV4VK1I_FD986CaP6bQUHv8xEIys"",""2026-27!q3"")"),25.0)</f>
        <v>25</v>
      </c>
      <c r="AH84" s="62">
        <f t="shared" si="102"/>
        <v>0</v>
      </c>
      <c r="AI84" s="59">
        <f>IFERROR(__xludf.DUMMYFUNCTION("importrange(""1FGGDrtOqFXFnIAqpV4VK1I_FD986CaP6bQUHv8xEIys"",""2026-27!r4"")"),0.0)</f>
        <v>0</v>
      </c>
      <c r="AJ84" s="59">
        <f>IFERROR(__xludf.DUMMYFUNCTION("importrange(""1FGGDrtOqFXFnIAqpV4VK1I_FD986CaP6bQUHv8xEIys"",""2026-27!r3"")"),0.0)</f>
        <v>0</v>
      </c>
      <c r="AK84" s="59">
        <f>IFERROR(__xludf.DUMMYFUNCTION("importrange(""1FGGDrtOqFXFnIAqpV4VK1I_FD986CaP6bQUHv8xEIys"",""2026-27!s4"")"),4446322.0)</f>
        <v>4446322</v>
      </c>
      <c r="AL84" s="59">
        <f>IFERROR(__xludf.DUMMYFUNCTION("importrange(""1FGGDrtOqFXFnIAqpV4VK1I_FD986CaP6bQUHv8xEIys"",""2026-27!s3"")"),41.0)</f>
        <v>41</v>
      </c>
      <c r="AM84" s="61">
        <f>IFERROR(__xludf.DUMMYFUNCTION("importrange(""1FGGDrtOqFXFnIAqpV4VK1I_FD986CaP6bQUHv8xEIys"",""2026-27!t4"")"),0.0)</f>
        <v>0</v>
      </c>
      <c r="AN84" s="59">
        <f>IFERROR(__xludf.DUMMYFUNCTION("importrange(""1FGGDrtOqFXFnIAqpV4VK1I_FD986CaP6bQUHv8xEIys"",""2026-27!t3"")"),0.0)</f>
        <v>0</v>
      </c>
      <c r="AO84" s="62">
        <f t="shared" si="103"/>
        <v>0</v>
      </c>
      <c r="AP84" s="59">
        <f>IFERROR(__xludf.DUMMYFUNCTION("importrange(""1FGGDrtOqFXFnIAqpV4VK1I_FD986CaP6bQUHv8xEIys"",""2026-27!u4"")"),0.0)</f>
        <v>0</v>
      </c>
      <c r="AQ84" s="59">
        <f>IFERROR(__xludf.DUMMYFUNCTION("importrange(""1FGGDrtOqFXFnIAqpV4VK1I_FD986CaP6bQUHv8xEIys"",""2026-27!u3"")"),0.0)</f>
        <v>0</v>
      </c>
      <c r="AR84" s="59">
        <f>IFERROR(__xludf.DUMMYFUNCTION("importrange(""1FGGDrtOqFXFnIAqpV4VK1I_FD986CaP6bQUHv8xEIys"",""2026-27!v4"")"),4446322.0)</f>
        <v>4446322</v>
      </c>
      <c r="AS84" s="59">
        <f>IFERROR(__xludf.DUMMYFUNCTION("importrange(""1FGGDrtOqFXFnIAqpV4VK1I_FD986CaP6bQUHv8xEIys"",""2026-27!v3"")"),41.0)</f>
        <v>41</v>
      </c>
      <c r="AT84" s="61">
        <f>IFERROR(__xludf.DUMMYFUNCTION("importrange(""1FGGDrtOqFXFnIAqpV4VK1I_FD986CaP6bQUHv8xEIys"",""2026-27!w4"")"),0.0)</f>
        <v>0</v>
      </c>
      <c r="AU84" s="59">
        <f>IFERROR(__xludf.DUMMYFUNCTION("importrange(""1FGGDrtOqFXFnIAqpV4VK1I_FD986CaP6bQUHv8xEIys"",""2026-27!w3"")"),0.0)</f>
        <v>0</v>
      </c>
      <c r="AV84" s="62">
        <f t="shared" si="104"/>
        <v>0</v>
      </c>
      <c r="AW84" s="59">
        <f>IFERROR(__xludf.DUMMYFUNCTION("importrange(""1FGGDrtOqFXFnIAqpV4VK1I_FD986CaP6bQUHv8xEIys"",""2026-27!x4"")"),0.0)</f>
        <v>0</v>
      </c>
      <c r="AX84" s="59">
        <f>IFERROR(__xludf.DUMMYFUNCTION("importrange(""1FGGDrtOqFXFnIAqpV4VK1I_FD986CaP6bQUHv8xEIys"",""2026-27!x3"")"),0.0)</f>
        <v>0</v>
      </c>
      <c r="AY84" s="59">
        <f>IFERROR(__xludf.DUMMYFUNCTION("importrange(""1FGGDrtOqFXFnIAqpV4VK1I_FD986CaP6bQUHv8xEIys"",""2026-27!y4"")"),4446322.0)</f>
        <v>4446322</v>
      </c>
      <c r="AZ84" s="59">
        <f>IFERROR(__xludf.DUMMYFUNCTION("importrange(""1FGGDrtOqFXFnIAqpV4VK1I_FD986CaP6bQUHv8xEIys"",""2026-27!y3"")"),41.0)</f>
        <v>41</v>
      </c>
      <c r="BA84" s="61">
        <f>IFERROR(__xludf.DUMMYFUNCTION("importrange(""1FGGDrtOqFXFnIAqpV4VK1I_FD986CaP6bQUHv8xEIys"",""2026-27!z4"")"),0.0)</f>
        <v>0</v>
      </c>
      <c r="BB84" s="59">
        <f>IFERROR(__xludf.DUMMYFUNCTION("importrange(""1FGGDrtOqFXFnIAqpV4VK1I_FD986CaP6bQUHv8xEIys"",""2026-27!z3"")"),0.0)</f>
        <v>0</v>
      </c>
      <c r="BC84" s="63">
        <f t="shared" si="105"/>
        <v>0</v>
      </c>
      <c r="BD84" s="59">
        <f>IFERROR(__xludf.DUMMYFUNCTION("importrange(""1FGGDrtOqFXFnIAqpV4VK1I_FD986CaP6bQUHv8xEIys"",""2026-27!aa4"")"),0.0)</f>
        <v>0</v>
      </c>
      <c r="BE84" s="59">
        <f>IFERROR(__xludf.DUMMYFUNCTION("importrange(""1FGGDrtOqFXFnIAqpV4VK1I_FD986CaP6bQUHv8xEIys"",""2026-27!aa3"")"),0.0)</f>
        <v>0</v>
      </c>
      <c r="BF84" s="59">
        <f>IFERROR(__xludf.DUMMYFUNCTION("importrange(""1FGGDrtOqFXFnIAqpV4VK1I_FD986CaP6bQUHv8xEIys"",""2026-27!ab4"")"),4446322.0)</f>
        <v>4446322</v>
      </c>
      <c r="BG84" s="59">
        <f>IFERROR(__xludf.DUMMYFUNCTION("importrange(""1FGGDrtOqFXFnIAqpV4VK1I_FD986CaP6bQUHv8xEIys"",""2026-27!ab3"")"),41.0)</f>
        <v>41</v>
      </c>
      <c r="BH84" s="59">
        <f>IFERROR(__xludf.DUMMYFUNCTION("importrange(""1FGGDrtOqFXFnIAqpV4VK1I_FD986CaP6bQUHv8xEIys"",""2026-27!ac4"")"),0.0)</f>
        <v>0</v>
      </c>
      <c r="BI84" s="59">
        <f>IFERROR(__xludf.DUMMYFUNCTION("importrange(""1FGGDrtOqFXFnIAqpV4VK1I_FD986CaP6bQUHv8xEIys"",""2026-27!ac3"")"),0.0)</f>
        <v>0</v>
      </c>
      <c r="BJ84" s="63">
        <f t="shared" si="106"/>
        <v>0</v>
      </c>
      <c r="BK84" s="59">
        <f>IFERROR(__xludf.DUMMYFUNCTION("importrange(""1FGGDrtOqFXFnIAqpV4VK1I_FD986CaP6bQUHv8xEIys"",""2026-27!ad4"")"),0.0)</f>
        <v>0</v>
      </c>
      <c r="BL84" s="59">
        <f>IFERROR(__xludf.DUMMYFUNCTION("importrange(""1FGGDrtOqFXFnIAqpV4VK1I_FD986CaP6bQUHv8xEIys"",""2026-27!ad3"")"),0.0)</f>
        <v>0</v>
      </c>
      <c r="BM84" s="59">
        <f>IFERROR(__xludf.DUMMYFUNCTION("importrange(""1FGGDrtOqFXFnIAqpV4VK1I_FD986CaP6bQUHv8xEIys"",""2026-27!ae4"")"),4446322.0)</f>
        <v>4446322</v>
      </c>
      <c r="BN84" s="59">
        <f>IFERROR(__xludf.DUMMYFUNCTION("importrange(""1FGGDrtOqFXFnIAqpV4VK1I_FD986CaP6bQUHv8xEIys"",""2026-27!ae3"")"),41.0)</f>
        <v>41</v>
      </c>
      <c r="BO84" s="59">
        <f>IFERROR(__xludf.DUMMYFUNCTION("importrange(""1FGGDrtOqFXFnIAqpV4VK1I_FD986CaP6bQUHv8xEIys"",""2026-27!af4"")"),0.0)</f>
        <v>0</v>
      </c>
      <c r="BP84" s="59">
        <f>IFERROR(__xludf.DUMMYFUNCTION("importrange(""1FGGDrtOqFXFnIAqpV4VK1I_FD986CaP6bQUHv8xEIys"",""2026-27!af3"")"),0.0)</f>
        <v>0</v>
      </c>
      <c r="BQ84" s="63">
        <f t="shared" si="107"/>
        <v>0</v>
      </c>
      <c r="BR84" s="59">
        <f>IFERROR(__xludf.DUMMYFUNCTION("importrange(""1FGGDrtOqFXFnIAqpV4VK1I_FD986CaP6bQUHv8xEIys"",""2026-27!ag4"")"),0.0)</f>
        <v>0</v>
      </c>
      <c r="BS84" s="59">
        <f>IFERROR(__xludf.DUMMYFUNCTION("importrange(""1FGGDrtOqFXFnIAqpV4VK1I_FD986CaP6bQUHv8xEIys"",""2026-27!ag3"")"),0.0)</f>
        <v>0</v>
      </c>
      <c r="BT84" s="59">
        <f>IFERROR(__xludf.DUMMYFUNCTION("importrange(""1FGGDrtOqFXFnIAqpV4VK1I_FD986CaP6bQUHv8xEIys"",""2026-27!ah4"")"),4446322.0)</f>
        <v>4446322</v>
      </c>
      <c r="BU84" s="59">
        <f>IFERROR(__xludf.DUMMYFUNCTION("importrange(""1FGGDrtOqFXFnIAqpV4VK1I_FD986CaP6bQUHv8xEIys"",""2026-27!ah3"")"),41.0)</f>
        <v>41</v>
      </c>
      <c r="BV84" s="59">
        <f>IFERROR(__xludf.DUMMYFUNCTION("importrange(""1FGGDrtOqFXFnIAqpV4VK1I_FD986CaP6bQUHv8xEIys"",""2026-27!ai4"")"),0.0)</f>
        <v>0</v>
      </c>
      <c r="BW84" s="59">
        <f>IFERROR(__xludf.DUMMYFUNCTION("importrange(""1FGGDrtOqFXFnIAqpV4VK1I_FD986CaP6bQUHv8xEIys"",""2026-27!ai3"")"),0.0)</f>
        <v>0</v>
      </c>
      <c r="BX84" s="63">
        <f t="shared" si="108"/>
        <v>0</v>
      </c>
      <c r="BY84" s="59">
        <f>IFERROR(__xludf.DUMMYFUNCTION("importrange(""1FGGDrtOqFXFnIAqpV4VK1I_FD986CaP6bQUHv8xEIys"",""2026-27!aj4"")"),0.0)</f>
        <v>0</v>
      </c>
      <c r="BZ84" s="59">
        <f>IFERROR(__xludf.DUMMYFUNCTION("importrange(""1FGGDrtOqFXFnIAqpV4VK1I_FD986CaP6bQUHv8xEIys"",""2026-27!aj3"")"),0.0)</f>
        <v>0</v>
      </c>
      <c r="CA84" s="59">
        <f>IFERROR(__xludf.DUMMYFUNCTION("importrange(""1FGGDrtOqFXFnIAqpV4VK1I_FD986CaP6bQUHv8xEIys"",""2026-27!ak4"")"),4446322.0)</f>
        <v>4446322</v>
      </c>
      <c r="CB84" s="59">
        <f>IFERROR(__xludf.DUMMYFUNCTION("importrange(""1FGGDrtOqFXFnIAqpV4VK1I_FD986CaP6bQUHv8xEIys"",""2026-27!ak3"")"),41.0)</f>
        <v>41</v>
      </c>
      <c r="CC84" s="59">
        <f>IFERROR(__xludf.DUMMYFUNCTION("importrange(""1FGGDrtOqFXFnIAqpV4VK1I_FD986CaP6bQUHv8xEIys"",""2026-27!al4"")"),0.0)</f>
        <v>0</v>
      </c>
      <c r="CD84" s="59">
        <f>IFERROR(__xludf.DUMMYFUNCTION("importrange(""1FGGDrtOqFXFnIAqpV4VK1I_FD986CaP6bQUHv8xEIys"",""2026-27!ai3"")"),0.0)</f>
        <v>0</v>
      </c>
      <c r="CE84" s="63">
        <f t="shared" si="109"/>
        <v>0</v>
      </c>
      <c r="CF84" s="59">
        <f>IFERROR(__xludf.DUMMYFUNCTION("importrange(""1FGGDrtOqFXFnIAqpV4VK1I_FD986CaP6bQUHv8xEIys"",""2026-27!am4"")"),0.0)</f>
        <v>0</v>
      </c>
      <c r="CG84" s="59">
        <f>IFERROR(__xludf.DUMMYFUNCTION("importrange(""1FGGDrtOqFXFnIAqpV4VK1I_FD986CaP6bQUHv8xEIys"",""2026-27!am3"")"),0.0)</f>
        <v>0</v>
      </c>
      <c r="CH84" s="59">
        <f>IFERROR(__xludf.DUMMYFUNCTION("importrange(""1FGGDrtOqFXFnIAqpV4VK1I_FD986CaP6bQUHv8xEIys"",""2026-27!an4"")"),4446322.0)</f>
        <v>4446322</v>
      </c>
      <c r="CI84" s="59">
        <f>IFERROR(__xludf.DUMMYFUNCTION("importrange(""1FGGDrtOqFXFnIAqpV4VK1I_FD986CaP6bQUHv8xEIys"",""2026-27!an3"")"),41.0)</f>
        <v>41</v>
      </c>
      <c r="CJ84" s="59">
        <f>IFERROR(__xludf.DUMMYFUNCTION("importrange(""1FGGDrtOqFXFnIAqpV4VK1I_FD986CaP6bQUHv8xEIys"",""2026-27!ao4"")"),0.0)</f>
        <v>0</v>
      </c>
      <c r="CK84" s="59">
        <f>IFERROR(__xludf.DUMMYFUNCTION("importrange(""1FGGDrtOqFXFnIAqpV4VK1I_FD986CaP6bQUHv8xEIys"",""2026-27!ao3"")"),0.0)</f>
        <v>0</v>
      </c>
      <c r="CL84" s="63">
        <f t="shared" si="110"/>
        <v>0</v>
      </c>
      <c r="CM84" s="59">
        <f>IFERROR(__xludf.DUMMYFUNCTION("importrange(""1FGGDrtOqFXFnIAqpV4VK1I_FD986CaP6bQUHv8xEIys"",""2026-27!ap4"")"),0.0)</f>
        <v>0</v>
      </c>
      <c r="CN84" s="59">
        <f>IFERROR(__xludf.DUMMYFUNCTION("importrange(""1FGGDrtOqFXFnIAqpV4VK1I_FD986CaP6bQUHv8xEIys"",""2026-27!ap3"")"),0.0)</f>
        <v>0</v>
      </c>
      <c r="CO84" s="59">
        <f>IFERROR(__xludf.DUMMYFUNCTION("importrange(""1FGGDrtOqFXFnIAqpV4VK1I_FD986CaP6bQUHv8xEIys"",""2026-27!aq4"")"),4446322.0)</f>
        <v>4446322</v>
      </c>
      <c r="CP84" s="59">
        <f>IFERROR(__xludf.DUMMYFUNCTION("importrange(""1FGGDrtOqFXFnIAqpV4VK1I_FD986CaP6bQUHv8xEIys"",""2026-27!aq3"")"),41.0)</f>
        <v>41</v>
      </c>
      <c r="CQ84" s="59">
        <f>IFERROR(__xludf.DUMMYFUNCTION("importrange(""1FGGDrtOqFXFnIAqpV4VK1I_FD986CaP6bQUHv8xEIys"",""2026-27!ar4"")"),0.0)</f>
        <v>0</v>
      </c>
      <c r="CR84" s="59">
        <f>IFERROR(__xludf.DUMMYFUNCTION("importrange(""1FGGDrtOqFXFnIAqpV4VK1I_FD986CaP6bQUHv8xEIys"",""2026-27!ar3"")"),0.0)</f>
        <v>0</v>
      </c>
      <c r="CS84" s="63">
        <f t="shared" si="111"/>
        <v>0</v>
      </c>
      <c r="CT84" s="59">
        <f>IFERROR(__xludf.DUMMYFUNCTION("importrange(""1FGGDrtOqFXFnIAqpV4VK1I_FD986CaP6bQUHv8xEIys"",""2026-27!as4"")"),0.0)</f>
        <v>0</v>
      </c>
      <c r="CU84" s="59">
        <f>IFERROR(__xludf.DUMMYFUNCTION("importrange(""1FGGDrtOqFXFnIAqpV4VK1I_FD986CaP6bQUHv8xEIys"",""2026-27!as3"")"),0.0)</f>
        <v>0</v>
      </c>
      <c r="CV84" s="64"/>
    </row>
    <row r="85">
      <c r="A85" s="1" t="s">
        <v>160</v>
      </c>
      <c r="B85" s="41"/>
      <c r="C85" s="68" t="s">
        <v>171</v>
      </c>
      <c r="D85" s="54" t="s">
        <v>164</v>
      </c>
      <c r="E85" s="54">
        <v>9.614809189E9</v>
      </c>
      <c r="F85" s="80">
        <v>42826.0</v>
      </c>
      <c r="G85" s="66"/>
      <c r="H85" s="66"/>
      <c r="I85" s="57">
        <v>57500.0</v>
      </c>
      <c r="J85" s="58">
        <v>3333333.0</v>
      </c>
      <c r="K85" s="61">
        <f>IFERROR(__xludf.DUMMYFUNCTION("IMPORTRANGE(""19sd98Ma-lKiTrPsBhkwCFf0ACdf0Xphg3rWCORyhIMY"",""2026-27!A3"")"),101.0)</f>
        <v>101</v>
      </c>
      <c r="L85" s="61">
        <f>IFERROR(__xludf.DUMMYFUNCTION("IMPORTRANGE(""19sd98Ma-lKiTrPsBhkwCFf0ACdf0Xphg3rWCORyhIMY"",""2026-27!G4"")"),8.055E7)</f>
        <v>80550000</v>
      </c>
      <c r="M85" s="61">
        <f t="shared" si="97"/>
        <v>7255691.63</v>
      </c>
      <c r="N85" s="60">
        <f t="shared" si="98"/>
        <v>0.02986593209</v>
      </c>
      <c r="O85" s="61">
        <f t="shared" si="99"/>
        <v>2405700.83</v>
      </c>
      <c r="P85" s="59">
        <f>IFERROR(__xludf.DUMMYFUNCTION("IMPORTRANGE(""19sd98Ma-lKiTrPsBhkwCFf0ACdf0Xphg3rWCORyhIMY"",""2026-27!J4"")"),0.0)</f>
        <v>0</v>
      </c>
      <c r="Q85" s="59">
        <f>IFERROR(__xludf.DUMMYFUNCTION("IMPORTRANGE(""19sd98Ma-lKiTrPsBhkwCFf0ACdf0Xphg3rWCORyhIMY"",""2026-27!J3"")"),0.0)</f>
        <v>0</v>
      </c>
      <c r="R85" s="59">
        <f>IFERROR(__xludf.DUMMYFUNCTION("IMPORTRANGE(""19sd98Ma-lKiTrPsBhkwCFf0ACdf0Xphg3rWCORyhIMY"",""2026-27!K4"")"),1405659.59)</f>
        <v>1405659.59</v>
      </c>
      <c r="S85" s="59">
        <f>IFERROR(__xludf.DUMMYFUNCTION("IMPORTRANGE(""19sd98Ma-lKiTrPsBhkwCFf0ACdf0Xphg3rWCORyhIMY"",""2026-27!K3"")"),3.0)</f>
        <v>3</v>
      </c>
      <c r="T85" s="62" t="str">
        <f t="shared" si="100"/>
        <v/>
      </c>
      <c r="U85" s="59">
        <f>IFERROR(__xludf.DUMMYFUNCTION("IMPORTRANGE(""19sd98Ma-lKiTrPsBhkwCFf0ACdf0Xphg3rWCORyhIMY"",""2026-27!L4"")"),1223562.37)</f>
        <v>1223562.37</v>
      </c>
      <c r="V85" s="85">
        <f>IFERROR(__xludf.DUMMYFUNCTION("IMPORTRANGE(""19sd98Ma-lKiTrPsBhkwCFf0ACdf0Xphg3rWCORyhIMY"",""2026-27!L3"")"),12.0)</f>
        <v>12</v>
      </c>
      <c r="W85" s="59">
        <f>IFERROR(__xludf.DUMMYFUNCTION("IMPORTRANGE(""19sd98Ma-lKiTrPsBhkwCFf0ACdf0Xphg3rWCORyhIMY"",""2026-27!M4"")"),0.0)</f>
        <v>0</v>
      </c>
      <c r="X85" s="85">
        <f>IFERROR(__xludf.DUMMYFUNCTION("IMPORTRANGE(""19sd98Ma-lKiTrPsBhkwCFf0ACdf0Xphg3rWCORyhIMY"",""2026-27!M3"")"),0.0)</f>
        <v>0</v>
      </c>
      <c r="Y85" s="59">
        <f>IFERROR(__xludf.DUMMYFUNCTION("importrange(""19sd98Ma-lKiTrPsBhkwCFf0ACdf0Xphg3rWCORyhIMY"",""2026-27!n4"")"),2671684.01)</f>
        <v>2671684.01</v>
      </c>
      <c r="Z85" s="59">
        <f>IFERROR(__xludf.DUMMYFUNCTION("importrange(""19sd98Ma-lKiTrPsBhkwCFf0ACdf0Xphg3rWCORyhIMY"",""2026-27!n3"")"),10.0)</f>
        <v>10</v>
      </c>
      <c r="AA85" s="62" t="str">
        <f t="shared" si="101"/>
        <v/>
      </c>
      <c r="AB85" s="59">
        <f>IFERROR(__xludf.DUMMYFUNCTION("importrange(""19sd98Ma-lKiTrPsBhkwCFf0ACdf0Xphg3rWCORyhIMY"",""2026-27!o4"")"),1182138.46)</f>
        <v>1182138.46</v>
      </c>
      <c r="AC85" s="59">
        <f>IFERROR(__xludf.DUMMYFUNCTION("importrange(""19sd98Ma-lKiTrPsBhkwCFf0ACdf0Xphg3rWCORyhIMY"",""2026-27!o3"")"),6.0)</f>
        <v>6</v>
      </c>
      <c r="AD85" s="59">
        <f>IFERROR(__xludf.DUMMYFUNCTION("importrange(""19sd98Ma-lKiTrPsBhkwCFf0ACdf0Xphg3rWCORyhIMY"",""2026-27!p4"")"),0.0)</f>
        <v>0</v>
      </c>
      <c r="AE85" s="59">
        <f>IFERROR(__xludf.DUMMYFUNCTION("importrange(""19sd98Ma-lKiTrPsBhkwCFf0ACdf0Xphg3rWCORyhIMY"",""2026-27!p3"")"),0.0)</f>
        <v>0</v>
      </c>
      <c r="AF85" s="59">
        <f>IFERROR(__xludf.DUMMYFUNCTION("importrange(""19sd98Ma-lKiTrPsBhkwCFf0ACdf0Xphg3rWCORyhIMY"",""2026-27!q4"")"),3178348.03)</f>
        <v>3178348.03</v>
      </c>
      <c r="AG85" s="59">
        <f>IFERROR(__xludf.DUMMYFUNCTION("importrange(""19sd98Ma-lKiTrPsBhkwCFf0ACdf0Xphg3rWCORyhIMY"",""2026-27!q3"")"),11.0)</f>
        <v>11</v>
      </c>
      <c r="AH85" s="62" t="str">
        <f t="shared" si="102"/>
        <v/>
      </c>
      <c r="AI85" s="59">
        <f>IFERROR(__xludf.DUMMYFUNCTION("importrange(""19sd98Ma-lKiTrPsBhkwCFf0ACdf0Xphg3rWCORyhIMY"",""2026-27!r4"")"),0.0)</f>
        <v>0</v>
      </c>
      <c r="AJ85" s="59">
        <f>IFERROR(__xludf.DUMMYFUNCTION("importrange(""19sd98Ma-lKiTrPsBhkwCFf0ACdf0Xphg3rWCORyhIMY"",""2026-27!r3"")"),0.0)</f>
        <v>0</v>
      </c>
      <c r="AK85" s="59">
        <f>IFERROR(__xludf.DUMMYFUNCTION("importrange(""19sd98Ma-lKiTrPsBhkwCFf0ACdf0Xphg3rWCORyhIMY"",""2026-27!s4"")"),0.0)</f>
        <v>0</v>
      </c>
      <c r="AL85" s="59">
        <f>IFERROR(__xludf.DUMMYFUNCTION("importrange(""19sd98Ma-lKiTrPsBhkwCFf0ACdf0Xphg3rWCORyhIMY"",""2026-27!s3"")"),0.0)</f>
        <v>0</v>
      </c>
      <c r="AM85" s="61">
        <f>IFERROR(__xludf.DUMMYFUNCTION("importrange(""19sd98Ma-lKiTrPsBhkwCFf0ACdf0Xphg3rWCORyhIMY"",""2026-27!t4"")"),0.0)</f>
        <v>0</v>
      </c>
      <c r="AN85" s="59">
        <f>IFERROR(__xludf.DUMMYFUNCTION("importrange(""19sd98Ma-lKiTrPsBhkwCFf0ACdf0Xphg3rWCORyhIMY"",""2026-27!t3"")"),0.0)</f>
        <v>0</v>
      </c>
      <c r="AO85" s="62" t="str">
        <f t="shared" si="103"/>
        <v/>
      </c>
      <c r="AP85" s="59">
        <f>IFERROR(__xludf.DUMMYFUNCTION("importrange(""19sd98Ma-lKiTrPsBhkwCFf0ACdf0Xphg3rWCORyhIMY"",""2026-27!u4"")"),0.0)</f>
        <v>0</v>
      </c>
      <c r="AQ85" s="59">
        <f>IFERROR(__xludf.DUMMYFUNCTION("importrange(""19sd98Ma-lKiTrPsBhkwCFf0ACdf0Xphg3rWCORyhIMY"",""2026-27!u3"")"),0.0)</f>
        <v>0</v>
      </c>
      <c r="AR85" s="59">
        <f>IFERROR(__xludf.DUMMYFUNCTION("importrange(""19sd98Ma-lKiTrPsBhkwCFf0ACdf0Xphg3rWCORyhIMY"",""2026-27!v4"")"),0.0)</f>
        <v>0</v>
      </c>
      <c r="AS85" s="59">
        <f>IFERROR(__xludf.DUMMYFUNCTION("importrange(""19sd98Ma-lKiTrPsBhkwCFf0ACdf0Xphg3rWCORyhIMY"",""2026-27!v3"")"),0.0)</f>
        <v>0</v>
      </c>
      <c r="AT85" s="61">
        <f>IFERROR(__xludf.DUMMYFUNCTION("importrange(""19sd98Ma-lKiTrPsBhkwCFf0ACdf0Xphg3rWCORyhIMY"",""2026-27!w4"")"),0.0)</f>
        <v>0</v>
      </c>
      <c r="AU85" s="59">
        <f>IFERROR(__xludf.DUMMYFUNCTION("importrange(""19sd98Ma-lKiTrPsBhkwCFf0ACdf0Xphg3rWCORyhIMY"",""2026-27!w3"")"),0.0)</f>
        <v>0</v>
      </c>
      <c r="AV85" s="62" t="str">
        <f t="shared" si="104"/>
        <v/>
      </c>
      <c r="AW85" s="59">
        <f>IFERROR(__xludf.DUMMYFUNCTION("importrange(""19sd98Ma-lKiTrPsBhkwCFf0ACdf0Xphg3rWCORyhIMY"",""2026-27!x4"")"),0.0)</f>
        <v>0</v>
      </c>
      <c r="AX85" s="59">
        <f>IFERROR(__xludf.DUMMYFUNCTION("importrange(""19sd98Ma-lKiTrPsBhkwCFf0ACdf0Xphg3rWCORyhIMY"",""2026-27!x3"")"),0.0)</f>
        <v>0</v>
      </c>
      <c r="AY85" s="59">
        <f>IFERROR(__xludf.DUMMYFUNCTION("importrange(""19sd98Ma-lKiTrPsBhkwCFf0ACdf0Xphg3rWCORyhIMY"",""2026-27!y4"")"),0.0)</f>
        <v>0</v>
      </c>
      <c r="AZ85" s="59">
        <f>IFERROR(__xludf.DUMMYFUNCTION("importrange(""19sd98Ma-lKiTrPsBhkwCFf0ACdf0Xphg3rWCORyhIMY"",""2026-27!y3"")"),0.0)</f>
        <v>0</v>
      </c>
      <c r="BA85" s="61">
        <f>IFERROR(__xludf.DUMMYFUNCTION("importrange(""19sd98Ma-lKiTrPsBhkwCFf0ACdf0Xphg3rWCORyhIMY"",""2026-27!z4"")"),0.0)</f>
        <v>0</v>
      </c>
      <c r="BB85" s="59">
        <f>IFERROR(__xludf.DUMMYFUNCTION("importrange(""19sd98Ma-lKiTrPsBhkwCFf0ACdf0Xphg3rWCORyhIMY"",""2026-27!z3"")"),0.0)</f>
        <v>0</v>
      </c>
      <c r="BC85" s="63" t="str">
        <f t="shared" si="105"/>
        <v/>
      </c>
      <c r="BD85" s="59">
        <f>IFERROR(__xludf.DUMMYFUNCTION("importrange(""19sd98Ma-lKiTrPsBhkwCFf0ACdf0Xphg3rWCORyhIMY"",""2026-27!aa4"")"),0.0)</f>
        <v>0</v>
      </c>
      <c r="BE85" s="59">
        <f>IFERROR(__xludf.DUMMYFUNCTION("importrange(""19sd98Ma-lKiTrPsBhkwCFf0ACdf0Xphg3rWCORyhIMY"",""2026-27!aa3"")"),0.0)</f>
        <v>0</v>
      </c>
      <c r="BF85" s="59">
        <f>IFERROR(__xludf.DUMMYFUNCTION("importrange(""19sd98Ma-lKiTrPsBhkwCFf0ACdf0Xphg3rWCORyhIMY"",""2026-27!ab4"")"),0.0)</f>
        <v>0</v>
      </c>
      <c r="BG85" s="59">
        <f>IFERROR(__xludf.DUMMYFUNCTION("importrange(""19sd98Ma-lKiTrPsBhkwCFf0ACdf0Xphg3rWCORyhIMY"",""2026-27!ab3"")"),0.0)</f>
        <v>0</v>
      </c>
      <c r="BH85" s="59">
        <f>IFERROR(__xludf.DUMMYFUNCTION("importrange(""19sd98Ma-lKiTrPsBhkwCFf0ACdf0Xphg3rWCORyhIMY"",""2026-27!ac4"")"),0.0)</f>
        <v>0</v>
      </c>
      <c r="BI85" s="59">
        <f>IFERROR(__xludf.DUMMYFUNCTION("importrange(""19sd98Ma-lKiTrPsBhkwCFf0ACdf0Xphg3rWCORyhIMY"",""2026-27!ac3"")"),0.0)</f>
        <v>0</v>
      </c>
      <c r="BJ85" s="63" t="str">
        <f t="shared" si="106"/>
        <v/>
      </c>
      <c r="BK85" s="59">
        <f>IFERROR(__xludf.DUMMYFUNCTION("importrange(""19sd98Ma-lKiTrPsBhkwCFf0ACdf0Xphg3rWCORyhIMY"",""2026-27!ad4"")"),0.0)</f>
        <v>0</v>
      </c>
      <c r="BL85" s="59">
        <f>IFERROR(__xludf.DUMMYFUNCTION("importrange(""19sd98Ma-lKiTrPsBhkwCFf0ACdf0Xphg3rWCORyhIMY"",""2026-27!ad3"")"),0.0)</f>
        <v>0</v>
      </c>
      <c r="BM85" s="59">
        <f>IFERROR(__xludf.DUMMYFUNCTION("importrange(""19sd98Ma-lKiTrPsBhkwCFf0ACdf0Xphg3rWCORyhIMY"",""2026-27!ae4"")"),0.0)</f>
        <v>0</v>
      </c>
      <c r="BN85" s="59">
        <f>IFERROR(__xludf.DUMMYFUNCTION("importrange(""19sd98Ma-lKiTrPsBhkwCFf0ACdf0Xphg3rWCORyhIMY"",""2026-27!ae3"")"),0.0)</f>
        <v>0</v>
      </c>
      <c r="BO85" s="59">
        <f>IFERROR(__xludf.DUMMYFUNCTION("importrange(""19sd98Ma-lKiTrPsBhkwCFf0ACdf0Xphg3rWCORyhIMY"",""2026-27!af4"")"),0.0)</f>
        <v>0</v>
      </c>
      <c r="BP85" s="59">
        <f>IFERROR(__xludf.DUMMYFUNCTION("importrange(""19sd98Ma-lKiTrPsBhkwCFf0ACdf0Xphg3rWCORyhIMY"",""2026-27!af3"")"),0.0)</f>
        <v>0</v>
      </c>
      <c r="BQ85" s="63" t="str">
        <f t="shared" si="107"/>
        <v/>
      </c>
      <c r="BR85" s="59">
        <f>IFERROR(__xludf.DUMMYFUNCTION("importrange(""19sd98Ma-lKiTrPsBhkwCFf0ACdf0Xphg3rWCORyhIMY"",""2026-27!ag4"")"),0.0)</f>
        <v>0</v>
      </c>
      <c r="BS85" s="59">
        <f>IFERROR(__xludf.DUMMYFUNCTION("importrange(""19sd98Ma-lKiTrPsBhkwCFf0ACdf0Xphg3rWCORyhIMY"",""2026-27!ag3"")"),0.0)</f>
        <v>0</v>
      </c>
      <c r="BT85" s="59">
        <f>IFERROR(__xludf.DUMMYFUNCTION("importrange(""19sd98Ma-lKiTrPsBhkwCFf0ACdf0Xphg3rWCORyhIMY"",""2026-27!ah4"")"),0.0)</f>
        <v>0</v>
      </c>
      <c r="BU85" s="59">
        <f>IFERROR(__xludf.DUMMYFUNCTION("importrange(""19sd98Ma-lKiTrPsBhkwCFf0ACdf0Xphg3rWCORyhIMY"",""2026-27!ah3"")"),0.0)</f>
        <v>0</v>
      </c>
      <c r="BV85" s="59">
        <f>IFERROR(__xludf.DUMMYFUNCTION("importrange(""19sd98Ma-lKiTrPsBhkwCFf0ACdf0Xphg3rWCORyhIMY"",""2026-27!ai4"")"),0.0)</f>
        <v>0</v>
      </c>
      <c r="BW85" s="59">
        <f>IFERROR(__xludf.DUMMYFUNCTION("importrange(""19sd98Ma-lKiTrPsBhkwCFf0ACdf0Xphg3rWCORyhIMY"",""2026-27!ai3"")"),0.0)</f>
        <v>0</v>
      </c>
      <c r="BX85" s="63" t="str">
        <f t="shared" si="108"/>
        <v/>
      </c>
      <c r="BY85" s="59">
        <f>IFERROR(__xludf.DUMMYFUNCTION("importrange(""19sd98Ma-lKiTrPsBhkwCFf0ACdf0Xphg3rWCORyhIMY"",""2026-27!aj4"")"),0.0)</f>
        <v>0</v>
      </c>
      <c r="BZ85" s="59">
        <f>IFERROR(__xludf.DUMMYFUNCTION("importrange(""19sd98Ma-lKiTrPsBhkwCFf0ACdf0Xphg3rWCORyhIMY"",""2026-27!aj3"")"),0.0)</f>
        <v>0</v>
      </c>
      <c r="CA85" s="59">
        <f>IFERROR(__xludf.DUMMYFUNCTION("importrange(""19sd98Ma-lKiTrPsBhkwCFf0ACdf0Xphg3rWCORyhIMY"",""2026-27!ak4"")"),0.0)</f>
        <v>0</v>
      </c>
      <c r="CB85" s="59">
        <f>IFERROR(__xludf.DUMMYFUNCTION("importrange(""19sd98Ma-lKiTrPsBhkwCFf0ACdf0Xphg3rWCORyhIMY"",""2026-27!ak3"")"),0.0)</f>
        <v>0</v>
      </c>
      <c r="CC85" s="59">
        <f>IFERROR(__xludf.DUMMYFUNCTION("importrange(""19sd98Ma-lKiTrPsBhkwCFf0ACdf0Xphg3rWCORyhIMY"",""2026-27!al4"")"),0.0)</f>
        <v>0</v>
      </c>
      <c r="CD85" s="59">
        <f>IFERROR(__xludf.DUMMYFUNCTION("importrange(""19sd98Ma-lKiTrPsBhkwCFf0ACdf0Xphg3rWCORyhIMY"",""2026-27!ai3"")"),0.0)</f>
        <v>0</v>
      </c>
      <c r="CE85" s="63" t="str">
        <f t="shared" si="109"/>
        <v/>
      </c>
      <c r="CF85" s="59">
        <f>IFERROR(__xludf.DUMMYFUNCTION("importrange(""19sd98Ma-lKiTrPsBhkwCFf0ACdf0Xphg3rWCORyhIMY"",""2026-27!am4"")"),0.0)</f>
        <v>0</v>
      </c>
      <c r="CG85" s="59">
        <f>IFERROR(__xludf.DUMMYFUNCTION("importrange(""19sd98Ma-lKiTrPsBhkwCFf0ACdf0Xphg3rWCORyhIMY"",""2026-27!am3"")"),0.0)</f>
        <v>0</v>
      </c>
      <c r="CH85" s="59">
        <f>IFERROR(__xludf.DUMMYFUNCTION("importrange(""19sd98Ma-lKiTrPsBhkwCFf0ACdf0Xphg3rWCORyhIMY"",""2026-27!an4"")"),0.0)</f>
        <v>0</v>
      </c>
      <c r="CI85" s="59">
        <f>IFERROR(__xludf.DUMMYFUNCTION("importrange(""19sd98Ma-lKiTrPsBhkwCFf0ACdf0Xphg3rWCORyhIMY"",""2026-27!an3"")"),0.0)</f>
        <v>0</v>
      </c>
      <c r="CJ85" s="59">
        <f>IFERROR(__xludf.DUMMYFUNCTION("importrange(""19sd98Ma-lKiTrPsBhkwCFf0ACdf0Xphg3rWCORyhIMY"",""2026-27!ao4"")"),0.0)</f>
        <v>0</v>
      </c>
      <c r="CK85" s="59">
        <f>IFERROR(__xludf.DUMMYFUNCTION("importrange(""19sd98Ma-lKiTrPsBhkwCFf0ACdf0Xphg3rWCORyhIMY"",""2026-27!ao3"")"),0.0)</f>
        <v>0</v>
      </c>
      <c r="CL85" s="63" t="str">
        <f t="shared" si="110"/>
        <v/>
      </c>
      <c r="CM85" s="59">
        <f>IFERROR(__xludf.DUMMYFUNCTION("importrange(""19sd98Ma-lKiTrPsBhkwCFf0ACdf0Xphg3rWCORyhIMY"",""2026-27!ap4"")"),0.0)</f>
        <v>0</v>
      </c>
      <c r="CN85" s="59">
        <f>IFERROR(__xludf.DUMMYFUNCTION("importrange(""19sd98Ma-lKiTrPsBhkwCFf0ACdf0Xphg3rWCORyhIMY"",""2026-27!ap3"")"),0.0)</f>
        <v>0</v>
      </c>
      <c r="CO85" s="59">
        <f>IFERROR(__xludf.DUMMYFUNCTION("importrange(""19sd98Ma-lKiTrPsBhkwCFf0ACdf0Xphg3rWCORyhIMY"",""2026-27!aq4"")"),0.0)</f>
        <v>0</v>
      </c>
      <c r="CP85" s="59">
        <f>IFERROR(__xludf.DUMMYFUNCTION("importrange(""19sd98Ma-lKiTrPsBhkwCFf0ACdf0Xphg3rWCORyhIMY"",""2026-27!aq3"")"),0.0)</f>
        <v>0</v>
      </c>
      <c r="CQ85" s="59">
        <f>IFERROR(__xludf.DUMMYFUNCTION("importrange(""19sd98Ma-lKiTrPsBhkwCFf0ACdf0Xphg3rWCORyhIMY"",""2026-27!ar4"")"),0.0)</f>
        <v>0</v>
      </c>
      <c r="CR85" s="59">
        <f>IFERROR(__xludf.DUMMYFUNCTION("importrange(""19sd98Ma-lKiTrPsBhkwCFf0ACdf0Xphg3rWCORyhIMY"",""2026-27!ar3"")"),0.0)</f>
        <v>0</v>
      </c>
      <c r="CS85" s="63" t="str">
        <f t="shared" si="111"/>
        <v/>
      </c>
      <c r="CT85" s="59">
        <f>IFERROR(__xludf.DUMMYFUNCTION("importrange(""19sd98Ma-lKiTrPsBhkwCFf0ACdf0Xphg3rWCORyhIMY"",""2026-27!as4"")"),0.0)</f>
        <v>0</v>
      </c>
      <c r="CU85" s="59">
        <f>IFERROR(__xludf.DUMMYFUNCTION("importrange(""19sd98Ma-lKiTrPsBhkwCFf0ACdf0Xphg3rWCORyhIMY"",""2026-27!as3"")"),0.0)</f>
        <v>0</v>
      </c>
      <c r="CV85" s="64"/>
    </row>
    <row r="86">
      <c r="A86" s="1" t="s">
        <v>160</v>
      </c>
      <c r="B86" s="41"/>
      <c r="C86" s="68" t="s">
        <v>172</v>
      </c>
      <c r="D86" s="54" t="s">
        <v>164</v>
      </c>
      <c r="E86" s="54">
        <v>8.327639846E9</v>
      </c>
      <c r="F86" s="80">
        <v>43119.0</v>
      </c>
      <c r="G86" s="66"/>
      <c r="H86" s="66"/>
      <c r="I86" s="57">
        <v>52500.0</v>
      </c>
      <c r="J86" s="58">
        <v>5833333.0</v>
      </c>
      <c r="K86" s="61">
        <f>IFERROR(__xludf.DUMMYFUNCTION("IMPORTRANGE(""https://docs.google.com/spreadsheets/d/1XBfiSuCmqOXHpS2F64iSZHyqzwuIwsQyxjk4aAoupus/edit#gid=2045373746"",""2026-27!A3"")"),50.0)</f>
        <v>50</v>
      </c>
      <c r="L86" s="61">
        <f>IFERROR(__xludf.DUMMYFUNCTION("IMPORTRANGE(""https://docs.google.com/spreadsheets/d/1XBfiSuCmqOXHpS2F64iSZHyqzwuIwsQyxjk4aAoupus/edit#gid=2045373746"",""2026-27!G4"")"),9650000.0)</f>
        <v>9650000</v>
      </c>
      <c r="M86" s="61">
        <f t="shared" si="97"/>
        <v>980666</v>
      </c>
      <c r="N86" s="60">
        <f t="shared" si="98"/>
        <v>0.3189937824</v>
      </c>
      <c r="O86" s="61">
        <f t="shared" si="99"/>
        <v>3078290</v>
      </c>
      <c r="P86" s="59">
        <f>IFERROR(__xludf.DUMMYFUNCTION("IMPORTRANGE(""https://docs.google.com/spreadsheets/d/1XBfiSuCmqOXHpS2F64iSZHyqzwuIwsQyxjk4aAoupus/edit#gid=2045373746"",""2026-27!J4"")"),608000.0)</f>
        <v>608000</v>
      </c>
      <c r="Q86" s="59">
        <f>IFERROR(__xludf.DUMMYFUNCTION("IMPORTRANGE(""https://docs.google.com/spreadsheets/d/1XBfiSuCmqOXHpS2F64iSZHyqzwuIwsQyxjk4aAoupus/edit#gid=2045373746"",""2026-27!J3"")"),4.0)</f>
        <v>4</v>
      </c>
      <c r="R86" s="59">
        <f>IFERROR(__xludf.DUMMYFUNCTION("IMPORTRANGE(""https://docs.google.com/spreadsheets/d/1XBfiSuCmqOXHpS2F64iSZHyqzwuIwsQyxjk4aAoupus/edit#gid=2045373746"",""2026-27!K4"")"),0.0)</f>
        <v>0</v>
      </c>
      <c r="S86" s="59">
        <f>IFERROR(__xludf.DUMMYFUNCTION("IMPORTRANGE(""https://docs.google.com/spreadsheets/d/1XBfiSuCmqOXHpS2F64iSZHyqzwuIwsQyxjk4aAoupus/edit#gid=2045373746"",""2026-27!K3"")"),0.0)</f>
        <v>0</v>
      </c>
      <c r="T86" s="62">
        <f t="shared" si="100"/>
        <v>3.371710526</v>
      </c>
      <c r="U86" s="59">
        <f>IFERROR(__xludf.DUMMYFUNCTION("IMPORTRANGE(""https://docs.google.com/spreadsheets/d/1XBfiSuCmqOXHpS2F64iSZHyqzwuIwsQyxjk4aAoupus/edit#gid=2045373746"",""2026-27!L4"")"),2050000.0)</f>
        <v>2050000</v>
      </c>
      <c r="V86" s="85">
        <f>IFERROR(__xludf.DUMMYFUNCTION("IMPORTRANGE(""https://docs.google.com/spreadsheets/d/1XBfiSuCmqOXHpS2F64iSZHyqzwuIwsQyxjk4aAoupus/edit#gid=2045373746"",""2026-27!L3"")"),4.0)</f>
        <v>4</v>
      </c>
      <c r="W86" s="59">
        <f>IFERROR(__xludf.DUMMYFUNCTION("IMPORTRANGE(""https://docs.google.com/spreadsheets/d/1XBfiSuCmqOXHpS2F64iSZHyqzwuIwsQyxjk4aAoupus/edit#gid=2045373746"",""2026-27!M4"")"),758000.0)</f>
        <v>758000</v>
      </c>
      <c r="X86" s="85">
        <f>IFERROR(__xludf.DUMMYFUNCTION("IMPORTRANGE(""https://docs.google.com/spreadsheets/d/1XBfiSuCmqOXHpS2F64iSZHyqzwuIwsQyxjk4aAoupus/edit#gid=2045373746"",""2026-27!M3"")"),6.0)</f>
        <v>6</v>
      </c>
      <c r="Y86" s="59">
        <f>IFERROR(__xludf.DUMMYFUNCTION("importrange(""https://docs.google.com/spreadsheets/d/1XBfiSuCmqOXHpS2F64iSZHyqzwuIwsQyxjk4aAoupus/edit#gid=2045373746"",""2026-27!n4"")"),980666.0)</f>
        <v>980666</v>
      </c>
      <c r="Z86" s="59">
        <f>IFERROR(__xludf.DUMMYFUNCTION("importrange(""https://docs.google.com/spreadsheets/d/1XBfiSuCmqOXHpS2F64iSZHyqzwuIwsQyxjk4aAoupus/edit#gid=2045373746"",""2026-27!n3"")"),1.0)</f>
        <v>1</v>
      </c>
      <c r="AA86" s="62">
        <f t="shared" si="101"/>
        <v>1.356583113</v>
      </c>
      <c r="AB86" s="59">
        <f>IFERROR(__xludf.DUMMYFUNCTION("importrange(""https://docs.google.com/spreadsheets/d/1XBfiSuCmqOXHpS2F64iSZHyqzwuIwsQyxjk4aAoupus/edit#gid=2045373746"",""2026-27!o4"")"),1028290.0)</f>
        <v>1028290</v>
      </c>
      <c r="AC86" s="59">
        <f>IFERROR(__xludf.DUMMYFUNCTION("importrange(""https://docs.google.com/spreadsheets/d/1XBfiSuCmqOXHpS2F64iSZHyqzwuIwsQyxjk4aAoupus/edit#gid=2045373746"",""2026-27!o3"")"),3.0)</f>
        <v>3</v>
      </c>
      <c r="AD86" s="59">
        <f>IFERROR(__xludf.DUMMYFUNCTION("importrange(""https://docs.google.com/spreadsheets/d/1XBfiSuCmqOXHpS2F64iSZHyqzwuIwsQyxjk4aAoupus/edit#gid=2045373746"",""2026-27!p4"")"),708000.0)</f>
        <v>708000</v>
      </c>
      <c r="AE86" s="59">
        <f>IFERROR(__xludf.DUMMYFUNCTION("importrange(""https://docs.google.com/spreadsheets/d/1XBfiSuCmqOXHpS2F64iSZHyqzwuIwsQyxjk4aAoupus/edit#gid=2045373746"",""2026-27!p3"")"),5.0)</f>
        <v>5</v>
      </c>
      <c r="AF86" s="59">
        <f>IFERROR(__xludf.DUMMYFUNCTION("importrange(""https://docs.google.com/spreadsheets/d/1XBfiSuCmqOXHpS2F64iSZHyqzwuIwsQyxjk4aAoupus/edit#gid=2045373746"",""2026-27!q4"")"),0.0)</f>
        <v>0</v>
      </c>
      <c r="AG86" s="59">
        <f>IFERROR(__xludf.DUMMYFUNCTION("importrange(""https://docs.google.com/spreadsheets/d/1XBfiSuCmqOXHpS2F64iSZHyqzwuIwsQyxjk4aAoupus/edit#gid=2045373746"",""2026-27!q3"")"),0.0)</f>
        <v>0</v>
      </c>
      <c r="AH86" s="62">
        <f t="shared" si="102"/>
        <v>0</v>
      </c>
      <c r="AI86" s="59">
        <f>IFERROR(__xludf.DUMMYFUNCTION("importrange(""https://docs.google.com/spreadsheets/d/1XBfiSuCmqOXHpS2F64iSZHyqzwuIwsQyxjk4aAoupus/edit#gid=2045373746"",""2026-27!r4"")"),0.0)</f>
        <v>0</v>
      </c>
      <c r="AJ86" s="59">
        <f>IFERROR(__xludf.DUMMYFUNCTION("importrange(""https://docs.google.com/spreadsheets/d/1XBfiSuCmqOXHpS2F64iSZHyqzwuIwsQyxjk4aAoupus/edit#gid=2045373746"",""2026-27!r3"")"),0.0)</f>
        <v>0</v>
      </c>
      <c r="AK86" s="59">
        <f>IFERROR(__xludf.DUMMYFUNCTION("importrange(""https://docs.google.com/spreadsheets/d/1XBfiSuCmqOXHpS2F64iSZHyqzwuIwsQyxjk4aAoupus/edit#gid=2045373746"",""2026-27!s4"")"),688000.0)</f>
        <v>688000</v>
      </c>
      <c r="AL86" s="59">
        <f>IFERROR(__xludf.DUMMYFUNCTION("importrange(""https://docs.google.com/spreadsheets/d/1XBfiSuCmqOXHpS2F64iSZHyqzwuIwsQyxjk4aAoupus/edit#gid=2045373746"",""2026-27!s3"")"),6.0)</f>
        <v>6</v>
      </c>
      <c r="AM86" s="61">
        <f>IFERROR(__xludf.DUMMYFUNCTION("importrange(""https://docs.google.com/spreadsheets/d/1XBfiSuCmqOXHpS2F64iSZHyqzwuIwsQyxjk4aAoupus/edit#gid=2045373746"",""2026-27!t4"")"),0.0)</f>
        <v>0</v>
      </c>
      <c r="AN86" s="59">
        <f>IFERROR(__xludf.DUMMYFUNCTION("importrange(""https://docs.google.com/spreadsheets/d/1XBfiSuCmqOXHpS2F64iSZHyqzwuIwsQyxjk4aAoupus/edit#gid=2045373746"",""2026-27!t3"")"),0.0)</f>
        <v>0</v>
      </c>
      <c r="AO86" s="62">
        <f t="shared" si="103"/>
        <v>0</v>
      </c>
      <c r="AP86" s="59">
        <f>IFERROR(__xludf.DUMMYFUNCTION("importrange(""https://docs.google.com/spreadsheets/d/1XBfiSuCmqOXHpS2F64iSZHyqzwuIwsQyxjk4aAoupus/edit#gid=2045373746"",""2026-27!u4"")"),0.0)</f>
        <v>0</v>
      </c>
      <c r="AQ86" s="59">
        <f>IFERROR(__xludf.DUMMYFUNCTION("importrange(""https://docs.google.com/spreadsheets/d/1XBfiSuCmqOXHpS2F64iSZHyqzwuIwsQyxjk4aAoupus/edit#gid=2045373746"",""2026-27!u3"")"),0.0)</f>
        <v>0</v>
      </c>
      <c r="AR86" s="59">
        <f>IFERROR(__xludf.DUMMYFUNCTION("importrange(""https://docs.google.com/spreadsheets/d/1XBfiSuCmqOXHpS2F64iSZHyqzwuIwsQyxjk4aAoupus/edit#gid=2045373746"",""2026-27!v4"")"),608000.0)</f>
        <v>608000</v>
      </c>
      <c r="AS86" s="59">
        <f>IFERROR(__xludf.DUMMYFUNCTION("importrange(""https://docs.google.com/spreadsheets/d/1XBfiSuCmqOXHpS2F64iSZHyqzwuIwsQyxjk4aAoupus/edit#gid=2045373746"",""2026-27!v3"")"),4.0)</f>
        <v>4</v>
      </c>
      <c r="AT86" s="61">
        <f>IFERROR(__xludf.DUMMYFUNCTION("importrange(""https://docs.google.com/spreadsheets/d/1XBfiSuCmqOXHpS2F64iSZHyqzwuIwsQyxjk4aAoupus/edit#gid=2045373746"",""2026-27!w4"")"),0.0)</f>
        <v>0</v>
      </c>
      <c r="AU86" s="59">
        <f>IFERROR(__xludf.DUMMYFUNCTION("importrange(""https://docs.google.com/spreadsheets/d/1XBfiSuCmqOXHpS2F64iSZHyqzwuIwsQyxjk4aAoupus/edit#gid=2045373746"",""2026-27!w3"")"),0.0)</f>
        <v>0</v>
      </c>
      <c r="AV86" s="62">
        <f t="shared" si="104"/>
        <v>0</v>
      </c>
      <c r="AW86" s="59">
        <f>IFERROR(__xludf.DUMMYFUNCTION("importrange(""https://docs.google.com/spreadsheets/d/1XBfiSuCmqOXHpS2F64iSZHyqzwuIwsQyxjk4aAoupus/edit#gid=2045373746"",""2026-27!x4"")"),0.0)</f>
        <v>0</v>
      </c>
      <c r="AX86" s="59">
        <f>IFERROR(__xludf.DUMMYFUNCTION("importrange(""https://docs.google.com/spreadsheets/d/1XBfiSuCmqOXHpS2F64iSZHyqzwuIwsQyxjk4aAoupus/edit#gid=2045373746"",""2026-27!x3"")"),0.0)</f>
        <v>0</v>
      </c>
      <c r="AY86" s="59">
        <f>IFERROR(__xludf.DUMMYFUNCTION("importrange(""https://docs.google.com/spreadsheets/d/1XBfiSuCmqOXHpS2F64iSZHyqzwuIwsQyxjk4aAoupus/edit#gid=2045373746"",""2026-27!y4"")"),758000.0)</f>
        <v>758000</v>
      </c>
      <c r="AZ86" s="59">
        <f>IFERROR(__xludf.DUMMYFUNCTION("importrange(""https://docs.google.com/spreadsheets/d/1XBfiSuCmqOXHpS2F64iSZHyqzwuIwsQyxjk4aAoupus/edit#gid=2045373746"",""2026-27!y3"")"),6.0)</f>
        <v>6</v>
      </c>
      <c r="BA86" s="61">
        <f>IFERROR(__xludf.DUMMYFUNCTION("importrange(""https://docs.google.com/spreadsheets/d/1XBfiSuCmqOXHpS2F64iSZHyqzwuIwsQyxjk4aAoupus/edit#gid=2045373746"",""2026-27!z4"")"),0.0)</f>
        <v>0</v>
      </c>
      <c r="BB86" s="59">
        <f>IFERROR(__xludf.DUMMYFUNCTION("importrange(""https://docs.google.com/spreadsheets/d/1XBfiSuCmqOXHpS2F64iSZHyqzwuIwsQyxjk4aAoupus/edit#gid=2045373746"",""2026-27!z3"")"),0.0)</f>
        <v>0</v>
      </c>
      <c r="BC86" s="63">
        <f t="shared" si="105"/>
        <v>0</v>
      </c>
      <c r="BD86" s="59">
        <f>IFERROR(__xludf.DUMMYFUNCTION("importrange(""https://docs.google.com/spreadsheets/d/1XBfiSuCmqOXHpS2F64iSZHyqzwuIwsQyxjk4aAoupus/edit#gid=2045373746"",""2026-27!aa4"")"),0.0)</f>
        <v>0</v>
      </c>
      <c r="BE86" s="59">
        <f>IFERROR(__xludf.DUMMYFUNCTION("importrange(""https://docs.google.com/spreadsheets/d/1XBfiSuCmqOXHpS2F64iSZHyqzwuIwsQyxjk4aAoupus/edit#gid=2045373746"",""2026-27!aa3"")"),0.0)</f>
        <v>0</v>
      </c>
      <c r="BF86" s="59">
        <f>IFERROR(__xludf.DUMMYFUNCTION("importrange(""https://docs.google.com/spreadsheets/d/1XBfiSuCmqOXHpS2F64iSZHyqzwuIwsQyxjk4aAoupus/edit#gid=2045373746"",""2026-27!ab4"")"),1008000.0)</f>
        <v>1008000</v>
      </c>
      <c r="BG86" s="59">
        <f>IFERROR(__xludf.DUMMYFUNCTION("importrange(""https://docs.google.com/spreadsheets/d/1XBfiSuCmqOXHpS2F64iSZHyqzwuIwsQyxjk4aAoupus/edit#gid=2045373746"",""2026-27!ab3"")"),5.0)</f>
        <v>5</v>
      </c>
      <c r="BH86" s="59">
        <f>IFERROR(__xludf.DUMMYFUNCTION("importrange(""https://docs.google.com/spreadsheets/d/1XBfiSuCmqOXHpS2F64iSZHyqzwuIwsQyxjk4aAoupus/edit#gid=2045373746"",""2026-27!ac4"")"),0.0)</f>
        <v>0</v>
      </c>
      <c r="BI86" s="59">
        <f>IFERROR(__xludf.DUMMYFUNCTION("importrange(""https://docs.google.com/spreadsheets/d/1XBfiSuCmqOXHpS2F64iSZHyqzwuIwsQyxjk4aAoupus/edit#gid=2045373746"",""2026-27!ac3"")"),0.0)</f>
        <v>0</v>
      </c>
      <c r="BJ86" s="63">
        <f t="shared" si="106"/>
        <v>0</v>
      </c>
      <c r="BK86" s="59">
        <f>IFERROR(__xludf.DUMMYFUNCTION("importrange(""https://docs.google.com/spreadsheets/d/1XBfiSuCmqOXHpS2F64iSZHyqzwuIwsQyxjk4aAoupus/edit#gid=2045373746"",""2026-27!ad4"")"),0.0)</f>
        <v>0</v>
      </c>
      <c r="BL86" s="59">
        <f>IFERROR(__xludf.DUMMYFUNCTION("importrange(""https://docs.google.com/spreadsheets/d/1XBfiSuCmqOXHpS2F64iSZHyqzwuIwsQyxjk4aAoupus/edit#gid=2045373746"",""2026-27!ad3"")"),0.0)</f>
        <v>0</v>
      </c>
      <c r="BM86" s="59">
        <f>IFERROR(__xludf.DUMMYFUNCTION("importrange(""https://docs.google.com/spreadsheets/d/1XBfiSuCmqOXHpS2F64iSZHyqzwuIwsQyxjk4aAoupus/edit#gid=2045373746"",""2026-27!ae4"")"),658000.0)</f>
        <v>658000</v>
      </c>
      <c r="BN86" s="59">
        <f>IFERROR(__xludf.DUMMYFUNCTION("importrange(""https://docs.google.com/spreadsheets/d/1XBfiSuCmqOXHpS2F64iSZHyqzwuIwsQyxjk4aAoupus/edit#gid=2045373746"",""2026-27!ae3"")"),5.0)</f>
        <v>5</v>
      </c>
      <c r="BO86" s="59">
        <f>IFERROR(__xludf.DUMMYFUNCTION("importrange(""https://docs.google.com/spreadsheets/d/1XBfiSuCmqOXHpS2F64iSZHyqzwuIwsQyxjk4aAoupus/edit#gid=2045373746"",""2026-27!af4"")"),0.0)</f>
        <v>0</v>
      </c>
      <c r="BP86" s="59">
        <f>IFERROR(__xludf.DUMMYFUNCTION("importrange(""https://docs.google.com/spreadsheets/d/1XBfiSuCmqOXHpS2F64iSZHyqzwuIwsQyxjk4aAoupus/edit#gid=2045373746"",""2026-27!af3"")"),0.0)</f>
        <v>0</v>
      </c>
      <c r="BQ86" s="63">
        <f t="shared" si="107"/>
        <v>0</v>
      </c>
      <c r="BR86" s="59">
        <f>IFERROR(__xludf.DUMMYFUNCTION("importrange(""https://docs.google.com/spreadsheets/d/1XBfiSuCmqOXHpS2F64iSZHyqzwuIwsQyxjk4aAoupus/edit#gid=2045373746"",""2026-27!ag4"")"),0.0)</f>
        <v>0</v>
      </c>
      <c r="BS86" s="59">
        <f>IFERROR(__xludf.DUMMYFUNCTION("importrange(""https://docs.google.com/spreadsheets/d/1XBfiSuCmqOXHpS2F64iSZHyqzwuIwsQyxjk4aAoupus/edit#gid=2045373746"",""2026-27!ag3"")"),0.0)</f>
        <v>0</v>
      </c>
      <c r="BT86" s="59">
        <f>IFERROR(__xludf.DUMMYFUNCTION("importrange(""https://docs.google.com/spreadsheets/d/1XBfiSuCmqOXHpS2F64iSZHyqzwuIwsQyxjk4aAoupus/edit#gid=2045373746"",""2026-27!ah4"")"),708000.0)</f>
        <v>708000</v>
      </c>
      <c r="BU86" s="59">
        <f>IFERROR(__xludf.DUMMYFUNCTION("importrange(""https://docs.google.com/spreadsheets/d/1XBfiSuCmqOXHpS2F64iSZHyqzwuIwsQyxjk4aAoupus/edit#gid=2045373746"",""2026-27!ah3"")"),5.0)</f>
        <v>5</v>
      </c>
      <c r="BV86" s="59">
        <f>IFERROR(__xludf.DUMMYFUNCTION("importrange(""https://docs.google.com/spreadsheets/d/1XBfiSuCmqOXHpS2F64iSZHyqzwuIwsQyxjk4aAoupus/edit#gid=2045373746"",""2026-27!ai4"")"),0.0)</f>
        <v>0</v>
      </c>
      <c r="BW86" s="59">
        <f>IFERROR(__xludf.DUMMYFUNCTION("importrange(""https://docs.google.com/spreadsheets/d/1XBfiSuCmqOXHpS2F64iSZHyqzwuIwsQyxjk4aAoupus/edit#gid=2045373746"",""2026-27!ai3"")"),0.0)</f>
        <v>0</v>
      </c>
      <c r="BX86" s="63">
        <f t="shared" si="108"/>
        <v>0</v>
      </c>
      <c r="BY86" s="59">
        <f>IFERROR(__xludf.DUMMYFUNCTION("importrange(""https://docs.google.com/spreadsheets/d/1XBfiSuCmqOXHpS2F64iSZHyqzwuIwsQyxjk4aAoupus/edit#gid=2045373746"",""2026-27!aj4"")"),0.0)</f>
        <v>0</v>
      </c>
      <c r="BZ86" s="59">
        <f>IFERROR(__xludf.DUMMYFUNCTION("importrange(""https://docs.google.com/spreadsheets/d/1XBfiSuCmqOXHpS2F64iSZHyqzwuIwsQyxjk4aAoupus/edit#gid=2045373746"",""2026-27!aj3"")"),0.0)</f>
        <v>0</v>
      </c>
      <c r="CA86" s="59">
        <f>IFERROR(__xludf.DUMMYFUNCTION("importrange(""https://docs.google.com/spreadsheets/d/1XBfiSuCmqOXHpS2F64iSZHyqzwuIwsQyxjk4aAoupus/edit#gid=2045373746"",""2026-27!ak4"")"),658000.0)</f>
        <v>658000</v>
      </c>
      <c r="CB86" s="59">
        <f>IFERROR(__xludf.DUMMYFUNCTION("importrange(""https://docs.google.com/spreadsheets/d/1XBfiSuCmqOXHpS2F64iSZHyqzwuIwsQyxjk4aAoupus/edit#gid=2045373746"",""2026-27!ak3"")"),5.0)</f>
        <v>5</v>
      </c>
      <c r="CC86" s="59">
        <f>IFERROR(__xludf.DUMMYFUNCTION("importrange(""https://docs.google.com/spreadsheets/d/1XBfiSuCmqOXHpS2F64iSZHyqzwuIwsQyxjk4aAoupus/edit#gid=2045373746"",""2026-27!al4"")"),0.0)</f>
        <v>0</v>
      </c>
      <c r="CD86" s="59">
        <f>IFERROR(__xludf.DUMMYFUNCTION("importrange(""https://docs.google.com/spreadsheets/d/1XBfiSuCmqOXHpS2F64iSZHyqzwuIwsQyxjk4aAoupus/edit#gid=2045373746"",""2026-27!ai3"")"),0.0)</f>
        <v>0</v>
      </c>
      <c r="CE86" s="63">
        <f t="shared" si="109"/>
        <v>0</v>
      </c>
      <c r="CF86" s="59">
        <f>IFERROR(__xludf.DUMMYFUNCTION("importrange(""https://docs.google.com/spreadsheets/d/1XBfiSuCmqOXHpS2F64iSZHyqzwuIwsQyxjk4aAoupus/edit#gid=2045373746"",""2026-27!am4"")"),0.0)</f>
        <v>0</v>
      </c>
      <c r="CG86" s="59">
        <f>IFERROR(__xludf.DUMMYFUNCTION("importrange(""https://docs.google.com/spreadsheets/d/1XBfiSuCmqOXHpS2F64iSZHyqzwuIwsQyxjk4aAoupus/edit#gid=2045373746"",""2026-27!am3"")"),0.0)</f>
        <v>0</v>
      </c>
      <c r="CH86" s="59">
        <f>IFERROR(__xludf.DUMMYFUNCTION("importrange(""https://docs.google.com/spreadsheets/d/1XBfiSuCmqOXHpS2F64iSZHyqzwuIwsQyxjk4aAoupus/edit#gid=2045373746"",""2026-27!an4"")"),708000.0)</f>
        <v>708000</v>
      </c>
      <c r="CI86" s="59">
        <f>IFERROR(__xludf.DUMMYFUNCTION("importrange(""https://docs.google.com/spreadsheets/d/1XBfiSuCmqOXHpS2F64iSZHyqzwuIwsQyxjk4aAoupus/edit#gid=2045373746"",""2026-27!an3"")"),5.0)</f>
        <v>5</v>
      </c>
      <c r="CJ86" s="59">
        <f>IFERROR(__xludf.DUMMYFUNCTION("importrange(""https://docs.google.com/spreadsheets/d/1XBfiSuCmqOXHpS2F64iSZHyqzwuIwsQyxjk4aAoupus/edit#gid=2045373746"",""2026-27!ao4"")"),0.0)</f>
        <v>0</v>
      </c>
      <c r="CK86" s="59">
        <f>IFERROR(__xludf.DUMMYFUNCTION("importrange(""https://docs.google.com/spreadsheets/d/1XBfiSuCmqOXHpS2F64iSZHyqzwuIwsQyxjk4aAoupus/edit#gid=2045373746"",""2026-27!ao3"")"),0.0)</f>
        <v>0</v>
      </c>
      <c r="CL86" s="63">
        <f t="shared" si="110"/>
        <v>0</v>
      </c>
      <c r="CM86" s="59">
        <f>IFERROR(__xludf.DUMMYFUNCTION("importrange(""https://docs.google.com/spreadsheets/d/1XBfiSuCmqOXHpS2F64iSZHyqzwuIwsQyxjk4aAoupus/edit#gid=2045373746"",""2026-27!ap4"")"),0.0)</f>
        <v>0</v>
      </c>
      <c r="CN86" s="59">
        <f>IFERROR(__xludf.DUMMYFUNCTION("importrange(""https://docs.google.com/spreadsheets/d/1XBfiSuCmqOXHpS2F64iSZHyqzwuIwsQyxjk4aAoupus/edit#gid=2045373746"",""2026-27!ap3"")"),0.0)</f>
        <v>0</v>
      </c>
      <c r="CO86" s="59">
        <f>IFERROR(__xludf.DUMMYFUNCTION("importrange(""https://docs.google.com/spreadsheets/d/1XBfiSuCmqOXHpS2F64iSZHyqzwuIwsQyxjk4aAoupus/edit#gid=2045373746"",""2026-27!aq4"")"),1458000.0)</f>
        <v>1458000</v>
      </c>
      <c r="CP86" s="59">
        <f>IFERROR(__xludf.DUMMYFUNCTION("importrange(""https://docs.google.com/spreadsheets/d/1XBfiSuCmqOXHpS2F64iSZHyqzwuIwsQyxjk4aAoupus/edit#gid=2045373746"",""2026-27!aq3"")"),7.0)</f>
        <v>7</v>
      </c>
      <c r="CQ86" s="59">
        <f>IFERROR(__xludf.DUMMYFUNCTION("importrange(""https://docs.google.com/spreadsheets/d/1XBfiSuCmqOXHpS2F64iSZHyqzwuIwsQyxjk4aAoupus/edit#gid=2045373746"",""2026-27!ar4"")"),0.0)</f>
        <v>0</v>
      </c>
      <c r="CR86" s="59">
        <f>IFERROR(__xludf.DUMMYFUNCTION("importrange(""https://docs.google.com/spreadsheets/d/1XBfiSuCmqOXHpS2F64iSZHyqzwuIwsQyxjk4aAoupus/edit#gid=2045373746"",""2026-27!ar3"")"),0.0)</f>
        <v>0</v>
      </c>
      <c r="CS86" s="63">
        <f t="shared" si="111"/>
        <v>0</v>
      </c>
      <c r="CT86" s="59">
        <f>IFERROR(__xludf.DUMMYFUNCTION("importrange(""https://docs.google.com/spreadsheets/d/1XBfiSuCmqOXHpS2F64iSZHyqzwuIwsQyxjk4aAoupus/edit#gid=2045373746"",""2026-27!as4"")"),0.0)</f>
        <v>0</v>
      </c>
      <c r="CU86" s="59">
        <f>IFERROR(__xludf.DUMMYFUNCTION("importrange(""https://docs.google.com/spreadsheets/d/1XBfiSuCmqOXHpS2F64iSZHyqzwuIwsQyxjk4aAoupus/edit#gid=2045373746"",""2026-27!as3"")"),0.0)</f>
        <v>0</v>
      </c>
      <c r="CV86" s="64"/>
    </row>
    <row r="87">
      <c r="A87" s="1" t="s">
        <v>160</v>
      </c>
      <c r="B87" s="41"/>
      <c r="C87" s="68" t="s">
        <v>173</v>
      </c>
      <c r="D87" s="54" t="s">
        <v>164</v>
      </c>
      <c r="E87" s="54">
        <v>7.001864342E9</v>
      </c>
      <c r="F87" s="80">
        <v>43255.0</v>
      </c>
      <c r="G87" s="66"/>
      <c r="H87" s="66"/>
      <c r="I87" s="57">
        <v>39584.0</v>
      </c>
      <c r="J87" s="58">
        <v>4166667.0</v>
      </c>
      <c r="K87" s="61">
        <f>IFERROR(__xludf.DUMMYFUNCTION("IMPORTRANGE(""https://docs.google.com/spreadsheets/d/1gBSOlfPBM0xWQ6uvhSlxXPJioEdKdIHOyJPiizY4W2o/edit#gid=1392985815"",""2026-27!A3"")"),150.0)</f>
        <v>150</v>
      </c>
      <c r="L87" s="61">
        <f>IFERROR(__xludf.DUMMYFUNCTION("IMPORTRANGE(""https://docs.google.com/spreadsheets/d/1gBSOlfPBM0xWQ6uvhSlxXPJioEdKdIHOyJPiizY4W2o/edit#gid=1392985815"",""2026-27!G4"")"),7.2575002E7)</f>
        <v>72575002</v>
      </c>
      <c r="M87" s="61">
        <f t="shared" si="97"/>
        <v>2885213.21</v>
      </c>
      <c r="N87" s="60">
        <f t="shared" si="98"/>
        <v>0.04325448038</v>
      </c>
      <c r="O87" s="61">
        <f t="shared" si="99"/>
        <v>3139194</v>
      </c>
      <c r="P87" s="59">
        <f>IFERROR(__xludf.DUMMYFUNCTION("IMPORTRANGE(""https://docs.google.com/spreadsheets/d/1gBSOlfPBM0xWQ6uvhSlxXPJioEdKdIHOyJPiizY4W2o/edit#gid=1392985815"",""2026-27!J4"")"),4230000.0)</f>
        <v>4230000</v>
      </c>
      <c r="Q87" s="59">
        <f>IFERROR(__xludf.DUMMYFUNCTION("IMPORTRANGE(""https://docs.google.com/spreadsheets/d/1gBSOlfPBM0xWQ6uvhSlxXPJioEdKdIHOyJPiizY4W2o/edit#gid=1392985815"",""2026-27!J3"")"),47.0)</f>
        <v>47</v>
      </c>
      <c r="R87" s="59">
        <f>IFERROR(__xludf.DUMMYFUNCTION("IMPORTRANGE(""https://docs.google.com/spreadsheets/d/1gBSOlfPBM0xWQ6uvhSlxXPJioEdKdIHOyJPiizY4W2o/edit#gid=1392985815"",""2026-27!K4"")"),687228.84)</f>
        <v>687228.84</v>
      </c>
      <c r="S87" s="59">
        <f>IFERROR(__xludf.DUMMYFUNCTION("IMPORTRANGE(""https://docs.google.com/spreadsheets/d/1gBSOlfPBM0xWQ6uvhSlxXPJioEdKdIHOyJPiizY4W2o/edit#gid=1392985815"",""2026-27!K3"")"),5.0)</f>
        <v>5</v>
      </c>
      <c r="T87" s="62">
        <f t="shared" si="100"/>
        <v>0.2831761229</v>
      </c>
      <c r="U87" s="59">
        <f>IFERROR(__xludf.DUMMYFUNCTION("IMPORTRANGE(""https://docs.google.com/spreadsheets/d/1gBSOlfPBM0xWQ6uvhSlxXPJioEdKdIHOyJPiizY4W2o/edit#gid=1392985815"",""2026-27!L4"")"),1197835.0)</f>
        <v>1197835</v>
      </c>
      <c r="V87" s="85">
        <f>IFERROR(__xludf.DUMMYFUNCTION("IMPORTRANGE(""https://docs.google.com/spreadsheets/d/1gBSOlfPBM0xWQ6uvhSlxXPJioEdKdIHOyJPiizY4W2o/edit#gid=1392985815"",""2026-27!L3"")"),20.0)</f>
        <v>20</v>
      </c>
      <c r="W87" s="59">
        <f>IFERROR(__xludf.DUMMYFUNCTION("IMPORTRANGE(""https://docs.google.com/spreadsheets/d/1gBSOlfPBM0xWQ6uvhSlxXPJioEdKdIHOyJPiizY4W2o/edit#gid=1392985815"",""2026-27!M4"")"),4510000.0)</f>
        <v>4510000</v>
      </c>
      <c r="X87" s="85">
        <f>IFERROR(__xludf.DUMMYFUNCTION("IMPORTRANGE(""https://docs.google.com/spreadsheets/d/1gBSOlfPBM0xWQ6uvhSlxXPJioEdKdIHOyJPiizY4W2o/edit#gid=1392985815"",""2026-27!M3"")"),46.0)</f>
        <v>46</v>
      </c>
      <c r="Y87" s="59">
        <f>IFERROR(__xludf.DUMMYFUNCTION("importrange(""https://docs.google.com/spreadsheets/d/1gBSOlfPBM0xWQ6uvhSlxXPJioEdKdIHOyJPiizY4W2o/edit#gid=1392985815"",""2026-27!n4"")"),1759175.1199999999)</f>
        <v>1759175.12</v>
      </c>
      <c r="Z87" s="59">
        <f>IFERROR(__xludf.DUMMYFUNCTION("importrange(""https://docs.google.com/spreadsheets/d/1gBSOlfPBM0xWQ6uvhSlxXPJioEdKdIHOyJPiizY4W2o/edit#gid=1392985815"",""2026-27!n3"")"),14.0)</f>
        <v>14</v>
      </c>
      <c r="AA87" s="62">
        <f t="shared" si="101"/>
        <v>0.430456541</v>
      </c>
      <c r="AB87" s="59">
        <f>IFERROR(__xludf.DUMMYFUNCTION("importrange(""https://docs.google.com/spreadsheets/d/1gBSOlfPBM0xWQ6uvhSlxXPJioEdKdIHOyJPiizY4W2o/edit#gid=1392985815"",""2026-27!o4"")"),1941359.0)</f>
        <v>1941359</v>
      </c>
      <c r="AC87" s="59">
        <f>IFERROR(__xludf.DUMMYFUNCTION("importrange(""https://docs.google.com/spreadsheets/d/1gBSOlfPBM0xWQ6uvhSlxXPJioEdKdIHOyJPiizY4W2o/edit#gid=1392985815"",""2026-27!o3"")"),30.0)</f>
        <v>30</v>
      </c>
      <c r="AD87" s="59">
        <f>IFERROR(__xludf.DUMMYFUNCTION("importrange(""https://docs.google.com/spreadsheets/d/1gBSOlfPBM0xWQ6uvhSlxXPJioEdKdIHOyJPiizY4W2o/edit#gid=1392985815"",""2026-27!p4"")"),5565000.0)</f>
        <v>5565000</v>
      </c>
      <c r="AE87" s="59">
        <f>IFERROR(__xludf.DUMMYFUNCTION("importrange(""https://docs.google.com/spreadsheets/d/1gBSOlfPBM0xWQ6uvhSlxXPJioEdKdIHOyJPiizY4W2o/edit#gid=1392985815"",""2026-27!p3"")"),46.0)</f>
        <v>46</v>
      </c>
      <c r="AF87" s="59">
        <f>IFERROR(__xludf.DUMMYFUNCTION("importrange(""https://docs.google.com/spreadsheets/d/1gBSOlfPBM0xWQ6uvhSlxXPJioEdKdIHOyJPiizY4W2o/edit#gid=1392985815"",""2026-27!q4"")"),438809.25)</f>
        <v>438809.25</v>
      </c>
      <c r="AG87" s="59">
        <f>IFERROR(__xludf.DUMMYFUNCTION("importrange(""https://docs.google.com/spreadsheets/d/1gBSOlfPBM0xWQ6uvhSlxXPJioEdKdIHOyJPiizY4W2o/edit#gid=1392985815"",""2026-27!q3"")"),4.0)</f>
        <v>4</v>
      </c>
      <c r="AH87" s="62">
        <f t="shared" si="102"/>
        <v>0</v>
      </c>
      <c r="AI87" s="59">
        <f>IFERROR(__xludf.DUMMYFUNCTION("importrange(""https://docs.google.com/spreadsheets/d/1gBSOlfPBM0xWQ6uvhSlxXPJioEdKdIHOyJPiizY4W2o/edit#gid=1392985815"",""2026-27!r4"")"),0.0)</f>
        <v>0</v>
      </c>
      <c r="AJ87" s="59">
        <f>IFERROR(__xludf.DUMMYFUNCTION("importrange(""https://docs.google.com/spreadsheets/d/1gBSOlfPBM0xWQ6uvhSlxXPJioEdKdIHOyJPiizY4W2o/edit#gid=1392985815"",""2026-27!r3"")"),0.0)</f>
        <v>0</v>
      </c>
      <c r="AK87" s="59">
        <f>IFERROR(__xludf.DUMMYFUNCTION("importrange(""https://docs.google.com/spreadsheets/d/1gBSOlfPBM0xWQ6uvhSlxXPJioEdKdIHOyJPiizY4W2o/edit#gid=1392985815"",""2026-27!s4"")"),4310000.0)</f>
        <v>4310000</v>
      </c>
      <c r="AL87" s="59">
        <f>IFERROR(__xludf.DUMMYFUNCTION("importrange(""https://docs.google.com/spreadsheets/d/1gBSOlfPBM0xWQ6uvhSlxXPJioEdKdIHOyJPiizY4W2o/edit#gid=1392985815"",""2026-27!s3"")"),41.0)</f>
        <v>41</v>
      </c>
      <c r="AM87" s="61">
        <f>IFERROR(__xludf.DUMMYFUNCTION("importrange(""https://docs.google.com/spreadsheets/d/1gBSOlfPBM0xWQ6uvhSlxXPJioEdKdIHOyJPiizY4W2o/edit#gid=1392985815"",""2026-27!t4"")"),0.0)</f>
        <v>0</v>
      </c>
      <c r="AN87" s="59">
        <f>IFERROR(__xludf.DUMMYFUNCTION("importrange(""https://docs.google.com/spreadsheets/d/1gBSOlfPBM0xWQ6uvhSlxXPJioEdKdIHOyJPiizY4W2o/edit#gid=1392985815"",""2026-27!t3"")"),0.0)</f>
        <v>0</v>
      </c>
      <c r="AO87" s="62">
        <f t="shared" si="103"/>
        <v>0</v>
      </c>
      <c r="AP87" s="59">
        <f>IFERROR(__xludf.DUMMYFUNCTION("importrange(""https://docs.google.com/spreadsheets/d/1gBSOlfPBM0xWQ6uvhSlxXPJioEdKdIHOyJPiizY4W2o/edit#gid=1392985815"",""2026-27!u4"")"),0.0)</f>
        <v>0</v>
      </c>
      <c r="AQ87" s="59">
        <f>IFERROR(__xludf.DUMMYFUNCTION("importrange(""https://docs.google.com/spreadsheets/d/1gBSOlfPBM0xWQ6uvhSlxXPJioEdKdIHOyJPiizY4W2o/edit#gid=1392985815"",""2026-27!u3"")"),0.0)</f>
        <v>0</v>
      </c>
      <c r="AR87" s="59">
        <f>IFERROR(__xludf.DUMMYFUNCTION("importrange(""https://docs.google.com/spreadsheets/d/1gBSOlfPBM0xWQ6uvhSlxXPJioEdKdIHOyJPiizY4W2o/edit#gid=1392985815"",""2026-27!v4"")"),4690000.0)</f>
        <v>4690000</v>
      </c>
      <c r="AS87" s="59">
        <f>IFERROR(__xludf.DUMMYFUNCTION("importrange(""https://docs.google.com/spreadsheets/d/1gBSOlfPBM0xWQ6uvhSlxXPJioEdKdIHOyJPiizY4W2o/edit#gid=1392985815"",""2026-27!v3"")"),42.0)</f>
        <v>42</v>
      </c>
      <c r="AT87" s="61">
        <f>IFERROR(__xludf.DUMMYFUNCTION("importrange(""https://docs.google.com/spreadsheets/d/1gBSOlfPBM0xWQ6uvhSlxXPJioEdKdIHOyJPiizY4W2o/edit#gid=1392985815"",""2026-27!w4"")"),0.0)</f>
        <v>0</v>
      </c>
      <c r="AU87" s="59">
        <f>IFERROR(__xludf.DUMMYFUNCTION("importrange(""https://docs.google.com/spreadsheets/d/1gBSOlfPBM0xWQ6uvhSlxXPJioEdKdIHOyJPiizY4W2o/edit#gid=1392985815"",""2026-27!w3"")"),0.0)</f>
        <v>0</v>
      </c>
      <c r="AV87" s="62">
        <f t="shared" si="104"/>
        <v>0</v>
      </c>
      <c r="AW87" s="59">
        <f>IFERROR(__xludf.DUMMYFUNCTION("importrange(""https://docs.google.com/spreadsheets/d/1gBSOlfPBM0xWQ6uvhSlxXPJioEdKdIHOyJPiizY4W2o/edit#gid=1392985815"",""2026-27!x4"")"),0.0)</f>
        <v>0</v>
      </c>
      <c r="AX87" s="59">
        <f>IFERROR(__xludf.DUMMYFUNCTION("importrange(""https://docs.google.com/spreadsheets/d/1gBSOlfPBM0xWQ6uvhSlxXPJioEdKdIHOyJPiizY4W2o/edit#gid=1392985815"",""2026-27!x3"")"),0.0)</f>
        <v>0</v>
      </c>
      <c r="AY87" s="59">
        <f>IFERROR(__xludf.DUMMYFUNCTION("importrange(""https://docs.google.com/spreadsheets/d/1gBSOlfPBM0xWQ6uvhSlxXPJioEdKdIHOyJPiizY4W2o/edit#gid=1392985815"",""2026-27!y4"")"),5515000.0)</f>
        <v>5515000</v>
      </c>
      <c r="AZ87" s="59">
        <f>IFERROR(__xludf.DUMMYFUNCTION("importrange(""https://docs.google.com/spreadsheets/d/1gBSOlfPBM0xWQ6uvhSlxXPJioEdKdIHOyJPiizY4W2o/edit#gid=1392985815"",""2026-27!y3"")"),44.0)</f>
        <v>44</v>
      </c>
      <c r="BA87" s="61">
        <f>IFERROR(__xludf.DUMMYFUNCTION("importrange(""https://docs.google.com/spreadsheets/d/1gBSOlfPBM0xWQ6uvhSlxXPJioEdKdIHOyJPiizY4W2o/edit#gid=1392985815"",""2026-27!z4"")"),0.0)</f>
        <v>0</v>
      </c>
      <c r="BB87" s="59">
        <f>IFERROR(__xludf.DUMMYFUNCTION("importrange(""https://docs.google.com/spreadsheets/d/1gBSOlfPBM0xWQ6uvhSlxXPJioEdKdIHOyJPiizY4W2o/edit#gid=1392985815"",""2026-27!z3"")"),0.0)</f>
        <v>0</v>
      </c>
      <c r="BC87" s="63">
        <f t="shared" si="105"/>
        <v>0</v>
      </c>
      <c r="BD87" s="59">
        <f>IFERROR(__xludf.DUMMYFUNCTION("importrange(""https://docs.google.com/spreadsheets/d/1gBSOlfPBM0xWQ6uvhSlxXPJioEdKdIHOyJPiizY4W2o/edit#gid=1392985815"",""2026-27!aa4"")"),0.0)</f>
        <v>0</v>
      </c>
      <c r="BE87" s="59">
        <f>IFERROR(__xludf.DUMMYFUNCTION("importrange(""https://docs.google.com/spreadsheets/d/1gBSOlfPBM0xWQ6uvhSlxXPJioEdKdIHOyJPiizY4W2o/edit#gid=1392985815"",""2026-27!aa3"")"),0.0)</f>
        <v>0</v>
      </c>
      <c r="BF87" s="59">
        <f>IFERROR(__xludf.DUMMYFUNCTION("importrange(""https://docs.google.com/spreadsheets/d/1gBSOlfPBM0xWQ6uvhSlxXPJioEdKdIHOyJPiizY4W2o/edit#gid=1392985815"",""2026-27!ab4"")"),4260000.0)</f>
        <v>4260000</v>
      </c>
      <c r="BG87" s="59">
        <f>IFERROR(__xludf.DUMMYFUNCTION("importrange(""https://docs.google.com/spreadsheets/d/1gBSOlfPBM0xWQ6uvhSlxXPJioEdKdIHOyJPiizY4W2o/edit#gid=1392985815"",""2026-27!ab3"")"),40.0)</f>
        <v>40</v>
      </c>
      <c r="BH87" s="59">
        <f>IFERROR(__xludf.DUMMYFUNCTION("importrange(""https://docs.google.com/spreadsheets/d/1gBSOlfPBM0xWQ6uvhSlxXPJioEdKdIHOyJPiizY4W2o/edit#gid=1392985815"",""2026-27!ac4"")"),0.0)</f>
        <v>0</v>
      </c>
      <c r="BI87" s="59">
        <f>IFERROR(__xludf.DUMMYFUNCTION("importrange(""https://docs.google.com/spreadsheets/d/1gBSOlfPBM0xWQ6uvhSlxXPJioEdKdIHOyJPiizY4W2o/edit#gid=1392985815"",""2026-27!ac3"")"),0.0)</f>
        <v>0</v>
      </c>
      <c r="BJ87" s="63">
        <f t="shared" si="106"/>
        <v>0</v>
      </c>
      <c r="BK87" s="59">
        <f>IFERROR(__xludf.DUMMYFUNCTION("importrange(""https://docs.google.com/spreadsheets/d/1gBSOlfPBM0xWQ6uvhSlxXPJioEdKdIHOyJPiizY4W2o/edit#gid=1392985815"",""2026-27!ad4"")"),0.0)</f>
        <v>0</v>
      </c>
      <c r="BL87" s="59">
        <f>IFERROR(__xludf.DUMMYFUNCTION("importrange(""https://docs.google.com/spreadsheets/d/1gBSOlfPBM0xWQ6uvhSlxXPJioEdKdIHOyJPiizY4W2o/edit#gid=1392985815"",""2026-27!ad3"")"),0.0)</f>
        <v>0</v>
      </c>
      <c r="BM87" s="59">
        <f>IFERROR(__xludf.DUMMYFUNCTION("importrange(""https://docs.google.com/spreadsheets/d/1gBSOlfPBM0xWQ6uvhSlxXPJioEdKdIHOyJPiizY4W2o/edit#gid=1392985815"",""2026-27!ae4"")"),4640000.0)</f>
        <v>4640000</v>
      </c>
      <c r="BN87" s="59">
        <f>IFERROR(__xludf.DUMMYFUNCTION("importrange(""https://docs.google.com/spreadsheets/d/1gBSOlfPBM0xWQ6uvhSlxXPJioEdKdIHOyJPiizY4W2o/edit#gid=1392985815"",""2026-27!ae3"")"),42.0)</f>
        <v>42</v>
      </c>
      <c r="BO87" s="59">
        <f>IFERROR(__xludf.DUMMYFUNCTION("importrange(""https://docs.google.com/spreadsheets/d/1gBSOlfPBM0xWQ6uvhSlxXPJioEdKdIHOyJPiizY4W2o/edit#gid=1392985815"",""2026-27!af4"")"),0.0)</f>
        <v>0</v>
      </c>
      <c r="BP87" s="59">
        <f>IFERROR(__xludf.DUMMYFUNCTION("importrange(""https://docs.google.com/spreadsheets/d/1gBSOlfPBM0xWQ6uvhSlxXPJioEdKdIHOyJPiizY4W2o/edit#gid=1392985815"",""2026-27!af3"")"),0.0)</f>
        <v>0</v>
      </c>
      <c r="BQ87" s="63">
        <f t="shared" si="107"/>
        <v>0</v>
      </c>
      <c r="BR87" s="59">
        <f>IFERROR(__xludf.DUMMYFUNCTION("importrange(""https://docs.google.com/spreadsheets/d/1gBSOlfPBM0xWQ6uvhSlxXPJioEdKdIHOyJPiizY4W2o/edit#gid=1392985815"",""2026-27!ag4"")"),0.0)</f>
        <v>0</v>
      </c>
      <c r="BS87" s="59">
        <f>IFERROR(__xludf.DUMMYFUNCTION("importrange(""https://docs.google.com/spreadsheets/d/1gBSOlfPBM0xWQ6uvhSlxXPJioEdKdIHOyJPiizY4W2o/edit#gid=1392985815"",""2026-27!ag3"")"),0.0)</f>
        <v>0</v>
      </c>
      <c r="BT87" s="59">
        <f>IFERROR(__xludf.DUMMYFUNCTION("importrange(""https://docs.google.com/spreadsheets/d/1gBSOlfPBM0xWQ6uvhSlxXPJioEdKdIHOyJPiizY4W2o/edit#gid=1392985815"",""2026-27!ah4"")"),5515000.0)</f>
        <v>5515000</v>
      </c>
      <c r="BU87" s="59">
        <f>IFERROR(__xludf.DUMMYFUNCTION("importrange(""https://docs.google.com/spreadsheets/d/1gBSOlfPBM0xWQ6uvhSlxXPJioEdKdIHOyJPiizY4W2o/edit#gid=1392985815"",""2026-27!ah3"")"),43.0)</f>
        <v>43</v>
      </c>
      <c r="BV87" s="59">
        <f>IFERROR(__xludf.DUMMYFUNCTION("importrange(""https://docs.google.com/spreadsheets/d/1gBSOlfPBM0xWQ6uvhSlxXPJioEdKdIHOyJPiizY4W2o/edit#gid=1392985815"",""2026-27!ai4"")"),0.0)</f>
        <v>0</v>
      </c>
      <c r="BW87" s="59">
        <f>IFERROR(__xludf.DUMMYFUNCTION("importrange(""https://docs.google.com/spreadsheets/d/1gBSOlfPBM0xWQ6uvhSlxXPJioEdKdIHOyJPiizY4W2o/edit#gid=1392985815"",""2026-27!ai3"")"),0.0)</f>
        <v>0</v>
      </c>
      <c r="BX87" s="63">
        <f t="shared" si="108"/>
        <v>0</v>
      </c>
      <c r="BY87" s="59">
        <f>IFERROR(__xludf.DUMMYFUNCTION("importrange(""https://docs.google.com/spreadsheets/d/1gBSOlfPBM0xWQ6uvhSlxXPJioEdKdIHOyJPiizY4W2o/edit#gid=1392985815"",""2026-27!aj4"")"),0.0)</f>
        <v>0</v>
      </c>
      <c r="BZ87" s="59">
        <f>IFERROR(__xludf.DUMMYFUNCTION("importrange(""https://docs.google.com/spreadsheets/d/1gBSOlfPBM0xWQ6uvhSlxXPJioEdKdIHOyJPiizY4W2o/edit#gid=1392985815"",""2026-27!aj3"")"),0.0)</f>
        <v>0</v>
      </c>
      <c r="CA87" s="59">
        <f>IFERROR(__xludf.DUMMYFUNCTION("importrange(""https://docs.google.com/spreadsheets/d/1gBSOlfPBM0xWQ6uvhSlxXPJioEdKdIHOyJPiizY4W2o/edit#gid=1392985815"",""2026-27!ak4"")"),4980000.0)</f>
        <v>4980000</v>
      </c>
      <c r="CB87" s="59">
        <f>IFERROR(__xludf.DUMMYFUNCTION("importrange(""https://docs.google.com/spreadsheets/d/1gBSOlfPBM0xWQ6uvhSlxXPJioEdKdIHOyJPiizY4W2o/edit#gid=1392985815"",""2026-27!ak3"")"),44.0)</f>
        <v>44</v>
      </c>
      <c r="CC87" s="59">
        <f>IFERROR(__xludf.DUMMYFUNCTION("importrange(""https://docs.google.com/spreadsheets/d/1gBSOlfPBM0xWQ6uvhSlxXPJioEdKdIHOyJPiizY4W2o/edit#gid=1392985815"",""2026-27!al4"")"),0.0)</f>
        <v>0</v>
      </c>
      <c r="CD87" s="59">
        <f>IFERROR(__xludf.DUMMYFUNCTION("importrange(""https://docs.google.com/spreadsheets/d/1gBSOlfPBM0xWQ6uvhSlxXPJioEdKdIHOyJPiizY4W2o/edit#gid=1392985815"",""2026-27!ai3"")"),0.0)</f>
        <v>0</v>
      </c>
      <c r="CE87" s="63">
        <f t="shared" si="109"/>
        <v>0</v>
      </c>
      <c r="CF87" s="59">
        <f>IFERROR(__xludf.DUMMYFUNCTION("importrange(""https://docs.google.com/spreadsheets/d/1gBSOlfPBM0xWQ6uvhSlxXPJioEdKdIHOyJPiizY4W2o/edit#gid=1392985815"",""2026-27!am4"")"),0.0)</f>
        <v>0</v>
      </c>
      <c r="CG87" s="59">
        <f>IFERROR(__xludf.DUMMYFUNCTION("importrange(""https://docs.google.com/spreadsheets/d/1gBSOlfPBM0xWQ6uvhSlxXPJioEdKdIHOyJPiizY4W2o/edit#gid=1392985815"",""2026-27!am3"")"),0.0)</f>
        <v>0</v>
      </c>
      <c r="CH87" s="59">
        <f>IFERROR(__xludf.DUMMYFUNCTION("importrange(""https://docs.google.com/spreadsheets/d/1gBSOlfPBM0xWQ6uvhSlxXPJioEdKdIHOyJPiizY4W2o/edit#gid=1392985815"",""2026-27!an4"")"),5385000.0)</f>
        <v>5385000</v>
      </c>
      <c r="CI87" s="59">
        <f>IFERROR(__xludf.DUMMYFUNCTION("importrange(""https://docs.google.com/spreadsheets/d/1gBSOlfPBM0xWQ6uvhSlxXPJioEdKdIHOyJPiizY4W2o/edit#gid=1392985815"",""2026-27!an3"")"),45.0)</f>
        <v>45</v>
      </c>
      <c r="CJ87" s="59">
        <f>IFERROR(__xludf.DUMMYFUNCTION("importrange(""https://docs.google.com/spreadsheets/d/1gBSOlfPBM0xWQ6uvhSlxXPJioEdKdIHOyJPiizY4W2o/edit#gid=1392985815"",""2026-27!ao4"")"),0.0)</f>
        <v>0</v>
      </c>
      <c r="CK87" s="59">
        <f>IFERROR(__xludf.DUMMYFUNCTION("importrange(""https://docs.google.com/spreadsheets/d/1gBSOlfPBM0xWQ6uvhSlxXPJioEdKdIHOyJPiizY4W2o/edit#gid=1392985815"",""2026-27!ao3"")"),0.0)</f>
        <v>0</v>
      </c>
      <c r="CL87" s="63">
        <f t="shared" si="110"/>
        <v>0</v>
      </c>
      <c r="CM87" s="59">
        <f>IFERROR(__xludf.DUMMYFUNCTION("importrange(""https://docs.google.com/spreadsheets/d/1gBSOlfPBM0xWQ6uvhSlxXPJioEdKdIHOyJPiizY4W2o/edit#gid=1392985815"",""2026-27!ap4"")"),0.0)</f>
        <v>0</v>
      </c>
      <c r="CN87" s="59">
        <f>IFERROR(__xludf.DUMMYFUNCTION("importrange(""https://docs.google.com/spreadsheets/d/1gBSOlfPBM0xWQ6uvhSlxXPJioEdKdIHOyJPiizY4W2o/edit#gid=1392985815"",""2026-27!ap3"")"),0.0)</f>
        <v>0</v>
      </c>
      <c r="CO87" s="59">
        <f>IFERROR(__xludf.DUMMYFUNCTION("importrange(""https://docs.google.com/spreadsheets/d/1gBSOlfPBM0xWQ6uvhSlxXPJioEdKdIHOyJPiizY4W2o/edit#gid=1392985815"",""2026-27!aq4"")"),6840000.0)</f>
        <v>6840000</v>
      </c>
      <c r="CP87" s="59">
        <f>IFERROR(__xludf.DUMMYFUNCTION("importrange(""https://docs.google.com/spreadsheets/d/1gBSOlfPBM0xWQ6uvhSlxXPJioEdKdIHOyJPiizY4W2o/edit#gid=1392985815"",""2026-27!aq3"")"),45.0)</f>
        <v>45</v>
      </c>
      <c r="CQ87" s="59">
        <f>IFERROR(__xludf.DUMMYFUNCTION("importrange(""https://docs.google.com/spreadsheets/d/1gBSOlfPBM0xWQ6uvhSlxXPJioEdKdIHOyJPiizY4W2o/edit#gid=1392985815"",""2026-27!ar4"")"),0.0)</f>
        <v>0</v>
      </c>
      <c r="CR87" s="59">
        <f>IFERROR(__xludf.DUMMYFUNCTION("importrange(""https://docs.google.com/spreadsheets/d/1gBSOlfPBM0xWQ6uvhSlxXPJioEdKdIHOyJPiizY4W2o/edit#gid=1392985815"",""2026-27!ar3"")"),0.0)</f>
        <v>0</v>
      </c>
      <c r="CS87" s="63">
        <f t="shared" si="111"/>
        <v>0</v>
      </c>
      <c r="CT87" s="59">
        <f>IFERROR(__xludf.DUMMYFUNCTION("importrange(""https://docs.google.com/spreadsheets/d/1gBSOlfPBM0xWQ6uvhSlxXPJioEdKdIHOyJPiizY4W2o/edit#gid=1392985815"",""2026-27!as4"")"),0.0)</f>
        <v>0</v>
      </c>
      <c r="CU87" s="59">
        <f>IFERROR(__xludf.DUMMYFUNCTION("importrange(""https://docs.google.com/spreadsheets/d/1gBSOlfPBM0xWQ6uvhSlxXPJioEdKdIHOyJPiizY4W2o/edit#gid=1392985815"",""2026-27!as3"")"),0.0)</f>
        <v>0</v>
      </c>
      <c r="CV87" s="64"/>
    </row>
    <row r="88">
      <c r="A88" s="1" t="s">
        <v>160</v>
      </c>
      <c r="B88" s="41"/>
      <c r="C88" s="68" t="s">
        <v>174</v>
      </c>
      <c r="D88" s="54" t="s">
        <v>175</v>
      </c>
      <c r="E88" s="54">
        <v>9.43970183E9</v>
      </c>
      <c r="F88" s="80">
        <v>43480.0</v>
      </c>
      <c r="G88" s="66"/>
      <c r="H88" s="66"/>
      <c r="I88" s="57">
        <v>35417.0</v>
      </c>
      <c r="J88" s="58"/>
      <c r="K88" s="61">
        <f>IFERROR(__xludf.DUMMYFUNCTION("IMPORTRANGE(""https://docs.google.com/spreadsheets/d/12NAF1MMl-z3SV6fkAOrVJEa7ZNuEoTL4waKw4vXLNes/edit#gid=2107142997"",""2026-27!A3"")"),75.0)</f>
        <v>75</v>
      </c>
      <c r="L88" s="61">
        <f>IFERROR(__xludf.DUMMYFUNCTION("IMPORTRANGE(""https://docs.google.com/spreadsheets/d/12NAF1MMl-z3SV6fkAOrVJEa7ZNuEoTL4waKw4vXLNes/edit#gid=2107142997"",""2026-27!G4"")"),2.1060479264000002E7)</f>
        <v>21060479.26</v>
      </c>
      <c r="M88" s="61">
        <f t="shared" si="97"/>
        <v>9404291.24</v>
      </c>
      <c r="N88" s="60">
        <f t="shared" si="98"/>
        <v>0.1979827689</v>
      </c>
      <c r="O88" s="61">
        <f t="shared" si="99"/>
        <v>4169612</v>
      </c>
      <c r="P88" s="59">
        <f>IFERROR(__xludf.DUMMYFUNCTION("IMPORTRANGE(""https://docs.google.com/spreadsheets/d/12NAF1MMl-z3SV6fkAOrVJEa7ZNuEoTL4waKw4vXLNes/edit#gid=2107142997"",""2026-27!J4"")"),1755039.9386666664)</f>
        <v>1755039.939</v>
      </c>
      <c r="Q88" s="59">
        <f>IFERROR(__xludf.DUMMYFUNCTION("IMPORTRANGE(""https://docs.google.com/spreadsheets/d/12NAF1MMl-z3SV6fkAOrVJEa7ZNuEoTL4waKw4vXLNes/edit#gid=2107142997"",""2026-27!J3"")"),45.0)</f>
        <v>45</v>
      </c>
      <c r="R88" s="59">
        <f>IFERROR(__xludf.DUMMYFUNCTION("IMPORTRANGE(""https://docs.google.com/spreadsheets/d/12NAF1MMl-z3SV6fkAOrVJEa7ZNuEoTL4waKw4vXLNes/edit#gid=2107142997"",""2026-27!K4"")"),1038823.6600000001)</f>
        <v>1038823.66</v>
      </c>
      <c r="S88" s="59">
        <f>IFERROR(__xludf.DUMMYFUNCTION("IMPORTRANGE(""https://docs.google.com/spreadsheets/d/12NAF1MMl-z3SV6fkAOrVJEa7ZNuEoTL4waKw4vXLNes/edit#gid=2107142997"",""2026-27!K3"")"),18.0)</f>
        <v>18</v>
      </c>
      <c r="T88" s="62">
        <f t="shared" si="100"/>
        <v>0.5842602082</v>
      </c>
      <c r="U88" s="59">
        <f>IFERROR(__xludf.DUMMYFUNCTION("IMPORTRANGE(""https://docs.google.com/spreadsheets/d/12NAF1MMl-z3SV6fkAOrVJEa7ZNuEoTL4waKw4vXLNes/edit#gid=2107142997"",""2026-27!L4"")"),1025400.0)</f>
        <v>1025400</v>
      </c>
      <c r="V88" s="85">
        <f>IFERROR(__xludf.DUMMYFUNCTION("IMPORTRANGE(""https://docs.google.com/spreadsheets/d/12NAF1MMl-z3SV6fkAOrVJEa7ZNuEoTL4waKw4vXLNes/edit#gid=2107142997"",""2026-27!L3"")"),20.0)</f>
        <v>20</v>
      </c>
      <c r="W88" s="59">
        <f>IFERROR(__xludf.DUMMYFUNCTION("IMPORTRANGE(""https://docs.google.com/spreadsheets/d/12NAF1MMl-z3SV6fkAOrVJEa7ZNuEoTL4waKw4vXLNes/edit#gid=2107142997"",""2026-27!M4"")"),1755039.9386666664)</f>
        <v>1755039.939</v>
      </c>
      <c r="X88" s="85">
        <f>IFERROR(__xludf.DUMMYFUNCTION("IMPORTRANGE(""https://docs.google.com/spreadsheets/d/12NAF1MMl-z3SV6fkAOrVJEa7ZNuEoTL4waKw4vXLNes/edit#gid=2107142997"",""2026-27!M3"")"),45.0)</f>
        <v>45</v>
      </c>
      <c r="Y88" s="59">
        <f>IFERROR(__xludf.DUMMYFUNCTION("importrange(""https://docs.google.com/spreadsheets/d/12NAF1MMl-z3SV6fkAOrVJEa7ZNuEoTL4waKw4vXLNes/edit#gid=2107142997"",""2026-27!n4"")"),2704219.3)</f>
        <v>2704219.3</v>
      </c>
      <c r="Z88" s="59">
        <f>IFERROR(__xludf.DUMMYFUNCTION("importrange(""https://docs.google.com/spreadsheets/d/12NAF1MMl-z3SV6fkAOrVJEa7ZNuEoTL4waKw4vXLNes/edit#gid=2107142997"",""2026-27!n3"")"),20.0)</f>
        <v>20</v>
      </c>
      <c r="AA88" s="62">
        <f t="shared" si="101"/>
        <v>1.791533019</v>
      </c>
      <c r="AB88" s="59">
        <f>IFERROR(__xludf.DUMMYFUNCTION("importrange(""https://docs.google.com/spreadsheets/d/12NAF1MMl-z3SV6fkAOrVJEa7ZNuEoTL4waKw4vXLNes/edit#gid=2107142997"",""2026-27!o4"")"),3144212.0)</f>
        <v>3144212</v>
      </c>
      <c r="AC88" s="59">
        <f>IFERROR(__xludf.DUMMYFUNCTION("importrange(""https://docs.google.com/spreadsheets/d/12NAF1MMl-z3SV6fkAOrVJEa7ZNuEoTL4waKw4vXLNes/edit#gid=2107142997"",""2026-27!o3"")"),24.0)</f>
        <v>24</v>
      </c>
      <c r="AD88" s="59">
        <f>IFERROR(__xludf.DUMMYFUNCTION("importrange(""https://docs.google.com/spreadsheets/d/12NAF1MMl-z3SV6fkAOrVJEa7ZNuEoTL4waKw4vXLNes/edit#gid=2107142997"",""2026-27!p4"")"),1755039.9386666664)</f>
        <v>1755039.939</v>
      </c>
      <c r="AE88" s="59">
        <f>IFERROR(__xludf.DUMMYFUNCTION("importrange(""https://docs.google.com/spreadsheets/d/12NAF1MMl-z3SV6fkAOrVJEa7ZNuEoTL4waKw4vXLNes/edit#gid=2107142997"",""2026-27!p3"")"),45.0)</f>
        <v>45</v>
      </c>
      <c r="AF88" s="59">
        <f>IFERROR(__xludf.DUMMYFUNCTION("importrange(""https://docs.google.com/spreadsheets/d/12NAF1MMl-z3SV6fkAOrVJEa7ZNuEoTL4waKw4vXLNes/edit#gid=2107142997"",""2026-27!q4"")"),5661248.28)</f>
        <v>5661248.28</v>
      </c>
      <c r="AG88" s="59">
        <f>IFERROR(__xludf.DUMMYFUNCTION("importrange(""https://docs.google.com/spreadsheets/d/12NAF1MMl-z3SV6fkAOrVJEa7ZNuEoTL4waKw4vXLNes/edit#gid=2107142997"",""2026-27!q3"")"),36.0)</f>
        <v>36</v>
      </c>
      <c r="AH88" s="62">
        <f t="shared" si="102"/>
        <v>0</v>
      </c>
      <c r="AI88" s="59">
        <f>IFERROR(__xludf.DUMMYFUNCTION("importrange(""https://docs.google.com/spreadsheets/d/12NAF1MMl-z3SV6fkAOrVJEa7ZNuEoTL4waKw4vXLNes/edit#gid=2107142997"",""2026-27!r4"")"),0.0)</f>
        <v>0</v>
      </c>
      <c r="AJ88" s="59">
        <f>IFERROR(__xludf.DUMMYFUNCTION("importrange(""https://docs.google.com/spreadsheets/d/12NAF1MMl-z3SV6fkAOrVJEa7ZNuEoTL4waKw4vXLNes/edit#gid=2107142997"",""2026-27!r3"")"),0.0)</f>
        <v>0</v>
      </c>
      <c r="AK88" s="59">
        <f>IFERROR(__xludf.DUMMYFUNCTION("importrange(""https://docs.google.com/spreadsheets/d/12NAF1MMl-z3SV6fkAOrVJEa7ZNuEoTL4waKw4vXLNes/edit#gid=2107142997"",""2026-27!s4"")"),1755039.9386666664)</f>
        <v>1755039.939</v>
      </c>
      <c r="AL88" s="59">
        <f>IFERROR(__xludf.DUMMYFUNCTION("importrange(""https://docs.google.com/spreadsheets/d/12NAF1MMl-z3SV6fkAOrVJEa7ZNuEoTL4waKw4vXLNes/edit#gid=2107142997"",""2026-27!s3"")"),45.0)</f>
        <v>45</v>
      </c>
      <c r="AM88" s="61">
        <f>IFERROR(__xludf.DUMMYFUNCTION("importrange(""https://docs.google.com/spreadsheets/d/12NAF1MMl-z3SV6fkAOrVJEa7ZNuEoTL4waKw4vXLNes/edit#gid=2107142997"",""2026-27!t4"")"),0.0)</f>
        <v>0</v>
      </c>
      <c r="AN88" s="59">
        <f>IFERROR(__xludf.DUMMYFUNCTION("importrange(""https://docs.google.com/spreadsheets/d/12NAF1MMl-z3SV6fkAOrVJEa7ZNuEoTL4waKw4vXLNes/edit#gid=2107142997"",""2026-27!t3"")"),0.0)</f>
        <v>0</v>
      </c>
      <c r="AO88" s="62">
        <f t="shared" si="103"/>
        <v>0</v>
      </c>
      <c r="AP88" s="59">
        <f>IFERROR(__xludf.DUMMYFUNCTION("importrange(""https://docs.google.com/spreadsheets/d/12NAF1MMl-z3SV6fkAOrVJEa7ZNuEoTL4waKw4vXLNes/edit#gid=2107142997"",""2026-27!u4"")"),0.0)</f>
        <v>0</v>
      </c>
      <c r="AQ88" s="59">
        <f>IFERROR(__xludf.DUMMYFUNCTION("importrange(""https://docs.google.com/spreadsheets/d/12NAF1MMl-z3SV6fkAOrVJEa7ZNuEoTL4waKw4vXLNes/edit#gid=2107142997"",""2026-27!u3"")"),0.0)</f>
        <v>0</v>
      </c>
      <c r="AR88" s="59">
        <f>IFERROR(__xludf.DUMMYFUNCTION("importrange(""https://docs.google.com/spreadsheets/d/12NAF1MMl-z3SV6fkAOrVJEa7ZNuEoTL4waKw4vXLNes/edit#gid=2107142997"",""2026-27!v4"")"),1755039.9386666664)</f>
        <v>1755039.939</v>
      </c>
      <c r="AS88" s="59">
        <f>IFERROR(__xludf.DUMMYFUNCTION("importrange(""https://docs.google.com/spreadsheets/d/12NAF1MMl-z3SV6fkAOrVJEa7ZNuEoTL4waKw4vXLNes/edit#gid=2107142997"",""2026-27!v3"")"),45.0)</f>
        <v>45</v>
      </c>
      <c r="AT88" s="61">
        <f>IFERROR(__xludf.DUMMYFUNCTION("importrange(""https://docs.google.com/spreadsheets/d/12NAF1MMl-z3SV6fkAOrVJEa7ZNuEoTL4waKw4vXLNes/edit#gid=2107142997"",""2026-27!w4"")"),0.0)</f>
        <v>0</v>
      </c>
      <c r="AU88" s="59">
        <f>IFERROR(__xludf.DUMMYFUNCTION("importrange(""https://docs.google.com/spreadsheets/d/12NAF1MMl-z3SV6fkAOrVJEa7ZNuEoTL4waKw4vXLNes/edit#gid=2107142997"",""2026-27!w3"")"),0.0)</f>
        <v>0</v>
      </c>
      <c r="AV88" s="62">
        <f t="shared" si="104"/>
        <v>0</v>
      </c>
      <c r="AW88" s="59">
        <f>IFERROR(__xludf.DUMMYFUNCTION("importrange(""https://docs.google.com/spreadsheets/d/12NAF1MMl-z3SV6fkAOrVJEa7ZNuEoTL4waKw4vXLNes/edit#gid=2107142997"",""2026-27!x4"")"),0.0)</f>
        <v>0</v>
      </c>
      <c r="AX88" s="59">
        <f>IFERROR(__xludf.DUMMYFUNCTION("importrange(""https://docs.google.com/spreadsheets/d/12NAF1MMl-z3SV6fkAOrVJEa7ZNuEoTL4waKw4vXLNes/edit#gid=2107142997"",""2026-27!x3"")"),0.0)</f>
        <v>0</v>
      </c>
      <c r="AY88" s="59">
        <f>IFERROR(__xludf.DUMMYFUNCTION("importrange(""https://docs.google.com/spreadsheets/d/12NAF1MMl-z3SV6fkAOrVJEa7ZNuEoTL4waKw4vXLNes/edit#gid=2107142997"",""2026-27!y4"")"),1755039.9386666664)</f>
        <v>1755039.939</v>
      </c>
      <c r="AZ88" s="59">
        <f>IFERROR(__xludf.DUMMYFUNCTION("importrange(""https://docs.google.com/spreadsheets/d/12NAF1MMl-z3SV6fkAOrVJEa7ZNuEoTL4waKw4vXLNes/edit#gid=2107142997"",""2026-27!y3"")"),45.0)</f>
        <v>45</v>
      </c>
      <c r="BA88" s="61">
        <f>IFERROR(__xludf.DUMMYFUNCTION("importrange(""https://docs.google.com/spreadsheets/d/12NAF1MMl-z3SV6fkAOrVJEa7ZNuEoTL4waKw4vXLNes/edit#gid=2107142997"",""2026-27!z4"")"),0.0)</f>
        <v>0</v>
      </c>
      <c r="BB88" s="59">
        <f>IFERROR(__xludf.DUMMYFUNCTION("importrange(""https://docs.google.com/spreadsheets/d/12NAF1MMl-z3SV6fkAOrVJEa7ZNuEoTL4waKw4vXLNes/edit#gid=2107142997"",""2026-27!z3"")"),0.0)</f>
        <v>0</v>
      </c>
      <c r="BC88" s="63">
        <f t="shared" si="105"/>
        <v>0</v>
      </c>
      <c r="BD88" s="59">
        <f>IFERROR(__xludf.DUMMYFUNCTION("importrange(""https://docs.google.com/spreadsheets/d/12NAF1MMl-z3SV6fkAOrVJEa7ZNuEoTL4waKw4vXLNes/edit#gid=2107142997"",""2026-27!aa4"")"),0.0)</f>
        <v>0</v>
      </c>
      <c r="BE88" s="59">
        <f>IFERROR(__xludf.DUMMYFUNCTION("importrange(""https://docs.google.com/spreadsheets/d/12NAF1MMl-z3SV6fkAOrVJEa7ZNuEoTL4waKw4vXLNes/edit#gid=2107142997"",""2026-27!aa3"")"),0.0)</f>
        <v>0</v>
      </c>
      <c r="BF88" s="59">
        <f>IFERROR(__xludf.DUMMYFUNCTION("importrange(""https://docs.google.com/spreadsheets/d/12NAF1MMl-z3SV6fkAOrVJEa7ZNuEoTL4waKw4vXLNes/edit#gid=2107142997"",""2026-27!ab4"")"),1755039.9386666664)</f>
        <v>1755039.939</v>
      </c>
      <c r="BG88" s="59">
        <f>IFERROR(__xludf.DUMMYFUNCTION("importrange(""https://docs.google.com/spreadsheets/d/12NAF1MMl-z3SV6fkAOrVJEa7ZNuEoTL4waKw4vXLNes/edit#gid=2107142997"",""2026-27!ab3"")"),45.0)</f>
        <v>45</v>
      </c>
      <c r="BH88" s="59">
        <f>IFERROR(__xludf.DUMMYFUNCTION("importrange(""https://docs.google.com/spreadsheets/d/12NAF1MMl-z3SV6fkAOrVJEa7ZNuEoTL4waKw4vXLNes/edit#gid=2107142997"",""2026-27!ac4"")"),0.0)</f>
        <v>0</v>
      </c>
      <c r="BI88" s="59">
        <f>IFERROR(__xludf.DUMMYFUNCTION("importrange(""https://docs.google.com/spreadsheets/d/12NAF1MMl-z3SV6fkAOrVJEa7ZNuEoTL4waKw4vXLNes/edit#gid=2107142997"",""2026-27!ac3"")"),0.0)</f>
        <v>0</v>
      </c>
      <c r="BJ88" s="63">
        <f t="shared" si="106"/>
        <v>0</v>
      </c>
      <c r="BK88" s="59">
        <f>IFERROR(__xludf.DUMMYFUNCTION("importrange(""https://docs.google.com/spreadsheets/d/12NAF1MMl-z3SV6fkAOrVJEa7ZNuEoTL4waKw4vXLNes/edit#gid=2107142997"",""2026-27!ad4"")"),0.0)</f>
        <v>0</v>
      </c>
      <c r="BL88" s="59">
        <f>IFERROR(__xludf.DUMMYFUNCTION("importrange(""https://docs.google.com/spreadsheets/d/12NAF1MMl-z3SV6fkAOrVJEa7ZNuEoTL4waKw4vXLNes/edit#gid=2107142997"",""2026-27!ad3"")"),0.0)</f>
        <v>0</v>
      </c>
      <c r="BM88" s="59">
        <f>IFERROR(__xludf.DUMMYFUNCTION("importrange(""https://docs.google.com/spreadsheets/d/12NAF1MMl-z3SV6fkAOrVJEa7ZNuEoTL4waKw4vXLNes/edit#gid=2107142997"",""2026-27!ae4"")"),1755039.9386666664)</f>
        <v>1755039.939</v>
      </c>
      <c r="BN88" s="59">
        <f>IFERROR(__xludf.DUMMYFUNCTION("importrange(""https://docs.google.com/spreadsheets/d/12NAF1MMl-z3SV6fkAOrVJEa7ZNuEoTL4waKw4vXLNes/edit#gid=2107142997"",""2026-27!ae3"")"),45.0)</f>
        <v>45</v>
      </c>
      <c r="BO88" s="59">
        <f>IFERROR(__xludf.DUMMYFUNCTION("importrange(""https://docs.google.com/spreadsheets/d/12NAF1MMl-z3SV6fkAOrVJEa7ZNuEoTL4waKw4vXLNes/edit#gid=2107142997"",""2026-27!af4"")"),0.0)</f>
        <v>0</v>
      </c>
      <c r="BP88" s="59">
        <f>IFERROR(__xludf.DUMMYFUNCTION("importrange(""https://docs.google.com/spreadsheets/d/12NAF1MMl-z3SV6fkAOrVJEa7ZNuEoTL4waKw4vXLNes/edit#gid=2107142997"",""2026-27!af3"")"),0.0)</f>
        <v>0</v>
      </c>
      <c r="BQ88" s="63">
        <f t="shared" si="107"/>
        <v>0</v>
      </c>
      <c r="BR88" s="59">
        <f>IFERROR(__xludf.DUMMYFUNCTION("importrange(""https://docs.google.com/spreadsheets/d/12NAF1MMl-z3SV6fkAOrVJEa7ZNuEoTL4waKw4vXLNes/edit#gid=2107142997"",""2026-27!ag4"")"),0.0)</f>
        <v>0</v>
      </c>
      <c r="BS88" s="59">
        <f>IFERROR(__xludf.DUMMYFUNCTION("importrange(""https://docs.google.com/spreadsheets/d/12NAF1MMl-z3SV6fkAOrVJEa7ZNuEoTL4waKw4vXLNes/edit#gid=2107142997"",""2026-27!ag3"")"),0.0)</f>
        <v>0</v>
      </c>
      <c r="BT88" s="59">
        <f>IFERROR(__xludf.DUMMYFUNCTION("importrange(""https://docs.google.com/spreadsheets/d/12NAF1MMl-z3SV6fkAOrVJEa7ZNuEoTL4waKw4vXLNes/edit#gid=2107142997"",""2026-27!ah4"")"),1755039.9386666664)</f>
        <v>1755039.939</v>
      </c>
      <c r="BU88" s="59">
        <f>IFERROR(__xludf.DUMMYFUNCTION("importrange(""https://docs.google.com/spreadsheets/d/12NAF1MMl-z3SV6fkAOrVJEa7ZNuEoTL4waKw4vXLNes/edit#gid=2107142997"",""2026-27!ah3"")"),45.0)</f>
        <v>45</v>
      </c>
      <c r="BV88" s="59">
        <f>IFERROR(__xludf.DUMMYFUNCTION("importrange(""https://docs.google.com/spreadsheets/d/12NAF1MMl-z3SV6fkAOrVJEa7ZNuEoTL4waKw4vXLNes/edit#gid=2107142997"",""2026-27!ai4"")"),0.0)</f>
        <v>0</v>
      </c>
      <c r="BW88" s="59">
        <f>IFERROR(__xludf.DUMMYFUNCTION("importrange(""https://docs.google.com/spreadsheets/d/12NAF1MMl-z3SV6fkAOrVJEa7ZNuEoTL4waKw4vXLNes/edit#gid=2107142997"",""2026-27!ai3"")"),0.0)</f>
        <v>0</v>
      </c>
      <c r="BX88" s="63">
        <f t="shared" si="108"/>
        <v>0</v>
      </c>
      <c r="BY88" s="59">
        <f>IFERROR(__xludf.DUMMYFUNCTION("importrange(""https://docs.google.com/spreadsheets/d/12NAF1MMl-z3SV6fkAOrVJEa7ZNuEoTL4waKw4vXLNes/edit#gid=2107142997"",""2026-27!aj4"")"),0.0)</f>
        <v>0</v>
      </c>
      <c r="BZ88" s="59">
        <f>IFERROR(__xludf.DUMMYFUNCTION("importrange(""https://docs.google.com/spreadsheets/d/12NAF1MMl-z3SV6fkAOrVJEa7ZNuEoTL4waKw4vXLNes/edit#gid=2107142997"",""2026-27!aj3"")"),0.0)</f>
        <v>0</v>
      </c>
      <c r="CA88" s="59">
        <f>IFERROR(__xludf.DUMMYFUNCTION("importrange(""https://docs.google.com/spreadsheets/d/12NAF1MMl-z3SV6fkAOrVJEa7ZNuEoTL4waKw4vXLNes/edit#gid=2107142997"",""2026-27!ak4"")"),1755039.9386666664)</f>
        <v>1755039.939</v>
      </c>
      <c r="CB88" s="59">
        <f>IFERROR(__xludf.DUMMYFUNCTION("importrange(""https://docs.google.com/spreadsheets/d/12NAF1MMl-z3SV6fkAOrVJEa7ZNuEoTL4waKw4vXLNes/edit#gid=2107142997"",""2026-27!ak3"")"),45.0)</f>
        <v>45</v>
      </c>
      <c r="CC88" s="59">
        <f>IFERROR(__xludf.DUMMYFUNCTION("importrange(""https://docs.google.com/spreadsheets/d/12NAF1MMl-z3SV6fkAOrVJEa7ZNuEoTL4waKw4vXLNes/edit#gid=2107142997"",""2026-27!al4"")"),0.0)</f>
        <v>0</v>
      </c>
      <c r="CD88" s="59">
        <f>IFERROR(__xludf.DUMMYFUNCTION("importrange(""https://docs.google.com/spreadsheets/d/12NAF1MMl-z3SV6fkAOrVJEa7ZNuEoTL4waKw4vXLNes/edit#gid=2107142997"",""2026-27!ai3"")"),0.0)</f>
        <v>0</v>
      </c>
      <c r="CE88" s="63">
        <f t="shared" si="109"/>
        <v>0</v>
      </c>
      <c r="CF88" s="59">
        <f>IFERROR(__xludf.DUMMYFUNCTION("importrange(""https://docs.google.com/spreadsheets/d/12NAF1MMl-z3SV6fkAOrVJEa7ZNuEoTL4waKw4vXLNes/edit#gid=2107142997"",""2026-27!am4"")"),0.0)</f>
        <v>0</v>
      </c>
      <c r="CG88" s="59">
        <f>IFERROR(__xludf.DUMMYFUNCTION("importrange(""https://docs.google.com/spreadsheets/d/12NAF1MMl-z3SV6fkAOrVJEa7ZNuEoTL4waKw4vXLNes/edit#gid=2107142997"",""2026-27!am3"")"),0.0)</f>
        <v>0</v>
      </c>
      <c r="CH88" s="59">
        <f>IFERROR(__xludf.DUMMYFUNCTION("importrange(""https://docs.google.com/spreadsheets/d/12NAF1MMl-z3SV6fkAOrVJEa7ZNuEoTL4waKw4vXLNes/edit#gid=2107142997"",""2026-27!an4"")"),1755039.9386666664)</f>
        <v>1755039.939</v>
      </c>
      <c r="CI88" s="59">
        <f>IFERROR(__xludf.DUMMYFUNCTION("importrange(""https://docs.google.com/spreadsheets/d/12NAF1MMl-z3SV6fkAOrVJEa7ZNuEoTL4waKw4vXLNes/edit#gid=2107142997"",""2026-27!an3"")"),45.0)</f>
        <v>45</v>
      </c>
      <c r="CJ88" s="59">
        <f>IFERROR(__xludf.DUMMYFUNCTION("importrange(""https://docs.google.com/spreadsheets/d/12NAF1MMl-z3SV6fkAOrVJEa7ZNuEoTL4waKw4vXLNes/edit#gid=2107142997"",""2026-27!ao4"")"),0.0)</f>
        <v>0</v>
      </c>
      <c r="CK88" s="59">
        <f>IFERROR(__xludf.DUMMYFUNCTION("importrange(""https://docs.google.com/spreadsheets/d/12NAF1MMl-z3SV6fkAOrVJEa7ZNuEoTL4waKw4vXLNes/edit#gid=2107142997"",""2026-27!ao3"")"),0.0)</f>
        <v>0</v>
      </c>
      <c r="CL88" s="63">
        <f t="shared" si="110"/>
        <v>0</v>
      </c>
      <c r="CM88" s="59">
        <f>IFERROR(__xludf.DUMMYFUNCTION("importrange(""https://docs.google.com/spreadsheets/d/12NAF1MMl-z3SV6fkAOrVJEa7ZNuEoTL4waKw4vXLNes/edit#gid=2107142997"",""2026-27!ap4"")"),0.0)</f>
        <v>0</v>
      </c>
      <c r="CN88" s="59">
        <f>IFERROR(__xludf.DUMMYFUNCTION("importrange(""https://docs.google.com/spreadsheets/d/12NAF1MMl-z3SV6fkAOrVJEa7ZNuEoTL4waKw4vXLNes/edit#gid=2107142997"",""2026-27!ap3"")"),0.0)</f>
        <v>0</v>
      </c>
      <c r="CO88" s="59">
        <f>IFERROR(__xludf.DUMMYFUNCTION("importrange(""https://docs.google.com/spreadsheets/d/12NAF1MMl-z3SV6fkAOrVJEa7ZNuEoTL4waKw4vXLNes/edit#gid=2107142997"",""2026-27!aq4"")"),1755039.9386666664)</f>
        <v>1755039.939</v>
      </c>
      <c r="CP88" s="59">
        <f>IFERROR(__xludf.DUMMYFUNCTION("importrange(""https://docs.google.com/spreadsheets/d/12NAF1MMl-z3SV6fkAOrVJEa7ZNuEoTL4waKw4vXLNes/edit#gid=2107142997"",""2026-27!aq3"")"),45.0)</f>
        <v>45</v>
      </c>
      <c r="CQ88" s="59">
        <f>IFERROR(__xludf.DUMMYFUNCTION("importrange(""https://docs.google.com/spreadsheets/d/12NAF1MMl-z3SV6fkAOrVJEa7ZNuEoTL4waKw4vXLNes/edit#gid=2107142997"",""2026-27!ar4"")"),0.0)</f>
        <v>0</v>
      </c>
      <c r="CR88" s="59">
        <f>IFERROR(__xludf.DUMMYFUNCTION("importrange(""https://docs.google.com/spreadsheets/d/12NAF1MMl-z3SV6fkAOrVJEa7ZNuEoTL4waKw4vXLNes/edit#gid=2107142997"",""2026-27!ar3"")"),0.0)</f>
        <v>0</v>
      </c>
      <c r="CS88" s="63">
        <f t="shared" si="111"/>
        <v>0</v>
      </c>
      <c r="CT88" s="59">
        <f>IFERROR(__xludf.DUMMYFUNCTION("importrange(""https://docs.google.com/spreadsheets/d/12NAF1MMl-z3SV6fkAOrVJEa7ZNuEoTL4waKw4vXLNes/edit#gid=2107142997"",""2026-27!as4"")"),0.0)</f>
        <v>0</v>
      </c>
      <c r="CU88" s="59">
        <f>IFERROR(__xludf.DUMMYFUNCTION("importrange(""https://docs.google.com/spreadsheets/d/12NAF1MMl-z3SV6fkAOrVJEa7ZNuEoTL4waKw4vXLNes/edit#gid=2107142997"",""2026-27!as3"")"),0.0)</f>
        <v>0</v>
      </c>
      <c r="CV88" s="64"/>
    </row>
    <row r="89">
      <c r="A89" s="1" t="s">
        <v>160</v>
      </c>
      <c r="B89" s="41"/>
      <c r="C89" s="68" t="s">
        <v>176</v>
      </c>
      <c r="D89" s="54" t="s">
        <v>177</v>
      </c>
      <c r="E89" s="54">
        <v>9.437606263E9</v>
      </c>
      <c r="F89" s="80">
        <v>43710.0</v>
      </c>
      <c r="G89" s="66"/>
      <c r="H89" s="66"/>
      <c r="I89" s="57">
        <v>45167.0</v>
      </c>
      <c r="J89" s="58">
        <v>2200000.0</v>
      </c>
      <c r="K89" s="61">
        <f>IFERROR(__xludf.DUMMYFUNCTION("IMPORTRANGE(""https://docs.google.com/spreadsheets/d/1AEqUI2za5g6wYjXj1or87EmS_1Xr5zeTeh75HX6TIRs/edit#gid=1031176712"",""2026-27!A3"")"),47.0)</f>
        <v>47</v>
      </c>
      <c r="L89" s="61">
        <f>IFERROR(__xludf.DUMMYFUNCTION("IMPORTRANGE(""https://docs.google.com/spreadsheets/d/1AEqUI2za5g6wYjXj1or87EmS_1Xr5zeTeh75HX6TIRs/edit#gid=1031176712"",""2026-27!G4"")"),2.58E7)</f>
        <v>25800000</v>
      </c>
      <c r="M89" s="61">
        <f t="shared" si="97"/>
        <v>5014247.56</v>
      </c>
      <c r="N89" s="60">
        <f t="shared" si="98"/>
        <v>0.1005701163</v>
      </c>
      <c r="O89" s="61">
        <f t="shared" si="99"/>
        <v>2594709</v>
      </c>
      <c r="P89" s="59">
        <f>IFERROR(__xludf.DUMMYFUNCTION("IMPORTRANGE(""https://docs.google.com/spreadsheets/d/1AEqUI2za5g6wYjXj1or87EmS_1Xr5zeTeh75HX6TIRs/edit#gid=1031176712"",""2026-27!J4"")"),1804150.0)</f>
        <v>1804150</v>
      </c>
      <c r="Q89" s="59">
        <f>IFERROR(__xludf.DUMMYFUNCTION("IMPORTRANGE(""https://docs.google.com/spreadsheets/d/1AEqUI2za5g6wYjXj1or87EmS_1Xr5zeTeh75HX6TIRs/edit#gid=1031176712"",""2026-27!J3"")"),47.0)</f>
        <v>47</v>
      </c>
      <c r="R89" s="59">
        <f>IFERROR(__xludf.DUMMYFUNCTION("IMPORTRANGE(""https://docs.google.com/spreadsheets/d/1AEqUI2za5g6wYjXj1or87EmS_1Xr5zeTeh75HX6TIRs/edit#gid=1031176712"",""2026-27!K4"")"),1365417.36)</f>
        <v>1365417.36</v>
      </c>
      <c r="S89" s="59">
        <f>IFERROR(__xludf.DUMMYFUNCTION("IMPORTRANGE(""https://docs.google.com/spreadsheets/d/1AEqUI2za5g6wYjXj1or87EmS_1Xr5zeTeh75HX6TIRs/edit#gid=1031176712"",""2026-27!K3"")"),25.0)</f>
        <v>25</v>
      </c>
      <c r="T89" s="62">
        <f t="shared" si="100"/>
        <v>0.6866618629</v>
      </c>
      <c r="U89" s="59">
        <f>IFERROR(__xludf.DUMMYFUNCTION("IMPORTRANGE(""https://docs.google.com/spreadsheets/d/1AEqUI2za5g6wYjXj1or87EmS_1Xr5zeTeh75HX6TIRs/edit#gid=1031176712"",""2026-27!L4"")"),1238841.0)</f>
        <v>1238841</v>
      </c>
      <c r="V89" s="85">
        <f>IFERROR(__xludf.DUMMYFUNCTION("IMPORTRANGE(""https://docs.google.com/spreadsheets/d/1AEqUI2za5g6wYjXj1or87EmS_1Xr5zeTeh75HX6TIRs/edit#gid=1031176712"",""2026-27!L3"")"),27.0)</f>
        <v>27</v>
      </c>
      <c r="W89" s="59">
        <f>IFERROR(__xludf.DUMMYFUNCTION("IMPORTRANGE(""https://docs.google.com/spreadsheets/d/1AEqUI2za5g6wYjXj1or87EmS_1Xr5zeTeh75HX6TIRs/edit#gid=1031176712"",""2026-27!M4"")"),1804150.0)</f>
        <v>1804150</v>
      </c>
      <c r="X89" s="85">
        <f>IFERROR(__xludf.DUMMYFUNCTION("IMPORTRANGE(""https://docs.google.com/spreadsheets/d/1AEqUI2za5g6wYjXj1or87EmS_1Xr5zeTeh75HX6TIRs/edit#gid=1031176712"",""2026-27!M3"")"),47.0)</f>
        <v>47</v>
      </c>
      <c r="Y89" s="59">
        <f>IFERROR(__xludf.DUMMYFUNCTION("importrange(""https://docs.google.com/spreadsheets/d/1AEqUI2za5g6wYjXj1or87EmS_1Xr5zeTeh75HX6TIRs/edit#gid=1031176712"",""2026-27!n4"")"),1760934.04)</f>
        <v>1760934.04</v>
      </c>
      <c r="Z89" s="59">
        <f>IFERROR(__xludf.DUMMYFUNCTION("importrange(""https://docs.google.com/spreadsheets/d/1AEqUI2za5g6wYjXj1or87EmS_1Xr5zeTeh75HX6TIRs/edit#gid=1031176712"",""2026-27!n3"")"),28.0)</f>
        <v>28</v>
      </c>
      <c r="AA89" s="62">
        <f t="shared" si="101"/>
        <v>0.751527312</v>
      </c>
      <c r="AB89" s="59">
        <f>IFERROR(__xludf.DUMMYFUNCTION("importrange(""https://docs.google.com/spreadsheets/d/1AEqUI2za5g6wYjXj1or87EmS_1Xr5zeTeh75HX6TIRs/edit#gid=1031176712"",""2026-27!o4"")"),1355868.0)</f>
        <v>1355868</v>
      </c>
      <c r="AC89" s="59">
        <f>IFERROR(__xludf.DUMMYFUNCTION("importrange(""https://docs.google.com/spreadsheets/d/1AEqUI2za5g6wYjXj1or87EmS_1Xr5zeTeh75HX6TIRs/edit#gid=1031176712"",""2026-27!o3"")"),28.0)</f>
        <v>28</v>
      </c>
      <c r="AD89" s="59">
        <f>IFERROR(__xludf.DUMMYFUNCTION("importrange(""https://docs.google.com/spreadsheets/d/1AEqUI2za5g6wYjXj1or87EmS_1Xr5zeTeh75HX6TIRs/edit#gid=1031176712"",""2026-27!p4"")"),1804150.0)</f>
        <v>1804150</v>
      </c>
      <c r="AE89" s="59">
        <f>IFERROR(__xludf.DUMMYFUNCTION("importrange(""https://docs.google.com/spreadsheets/d/1AEqUI2za5g6wYjXj1or87EmS_1Xr5zeTeh75HX6TIRs/edit#gid=1031176712"",""2026-27!p3"")"),47.0)</f>
        <v>47</v>
      </c>
      <c r="AF89" s="59">
        <f>IFERROR(__xludf.DUMMYFUNCTION("importrange(""https://docs.google.com/spreadsheets/d/1AEqUI2za5g6wYjXj1or87EmS_1Xr5zeTeh75HX6TIRs/edit#gid=1031176712"",""2026-27!q4"")"),1887896.16)</f>
        <v>1887896.16</v>
      </c>
      <c r="AG89" s="59">
        <f>IFERROR(__xludf.DUMMYFUNCTION("importrange(""https://docs.google.com/spreadsheets/d/1AEqUI2za5g6wYjXj1or87EmS_1Xr5zeTeh75HX6TIRs/edit#gid=1031176712"",""2026-27!q3"")"),31.0)</f>
        <v>31</v>
      </c>
      <c r="AH89" s="62">
        <f t="shared" si="102"/>
        <v>0</v>
      </c>
      <c r="AI89" s="59">
        <f>IFERROR(__xludf.DUMMYFUNCTION("importrange(""https://docs.google.com/spreadsheets/d/1AEqUI2za5g6wYjXj1or87EmS_1Xr5zeTeh75HX6TIRs/edit#gid=1031176712"",""2026-27!r4"")"),0.0)</f>
        <v>0</v>
      </c>
      <c r="AJ89" s="59">
        <f>IFERROR(__xludf.DUMMYFUNCTION("importrange(""https://docs.google.com/spreadsheets/d/1AEqUI2za5g6wYjXj1or87EmS_1Xr5zeTeh75HX6TIRs/edit#gid=1031176712"",""2026-27!r3"")"),0.0)</f>
        <v>0</v>
      </c>
      <c r="AK89" s="59">
        <f>IFERROR(__xludf.DUMMYFUNCTION("importrange(""https://docs.google.com/spreadsheets/d/1AEqUI2za5g6wYjXj1or87EmS_1Xr5zeTeh75HX6TIRs/edit#gid=1031176712"",""2026-27!s4"")"),1804150.0)</f>
        <v>1804150</v>
      </c>
      <c r="AL89" s="59">
        <f>IFERROR(__xludf.DUMMYFUNCTION("importrange(""https://docs.google.com/spreadsheets/d/1AEqUI2za5g6wYjXj1or87EmS_1Xr5zeTeh75HX6TIRs/edit#gid=1031176712"",""2026-27!s3"")"),47.0)</f>
        <v>47</v>
      </c>
      <c r="AM89" s="61">
        <f>IFERROR(__xludf.DUMMYFUNCTION("importrange(""https://docs.google.com/spreadsheets/d/1AEqUI2za5g6wYjXj1or87EmS_1Xr5zeTeh75HX6TIRs/edit#gid=1031176712"",""2026-27!t4"")"),0.0)</f>
        <v>0</v>
      </c>
      <c r="AN89" s="59">
        <f>IFERROR(__xludf.DUMMYFUNCTION("importrange(""https://docs.google.com/spreadsheets/d/1AEqUI2za5g6wYjXj1or87EmS_1Xr5zeTeh75HX6TIRs/edit#gid=1031176712"",""2026-27!t3"")"),0.0)</f>
        <v>0</v>
      </c>
      <c r="AO89" s="62">
        <f t="shared" si="103"/>
        <v>0</v>
      </c>
      <c r="AP89" s="59">
        <f>IFERROR(__xludf.DUMMYFUNCTION("importrange(""https://docs.google.com/spreadsheets/d/1AEqUI2za5g6wYjXj1or87EmS_1Xr5zeTeh75HX6TIRs/edit#gid=1031176712"",""2026-27!u4"")"),0.0)</f>
        <v>0</v>
      </c>
      <c r="AQ89" s="59">
        <f>IFERROR(__xludf.DUMMYFUNCTION("importrange(""https://docs.google.com/spreadsheets/d/1AEqUI2za5g6wYjXj1or87EmS_1Xr5zeTeh75HX6TIRs/edit#gid=1031176712"",""2026-27!u3"")"),0.0)</f>
        <v>0</v>
      </c>
      <c r="AR89" s="59">
        <f>IFERROR(__xludf.DUMMYFUNCTION("importrange(""https://docs.google.com/spreadsheets/d/1AEqUI2za5g6wYjXj1or87EmS_1Xr5zeTeh75HX6TIRs/edit#gid=1031176712"",""2026-27!v4"")"),1804150.0)</f>
        <v>1804150</v>
      </c>
      <c r="AS89" s="59">
        <f>IFERROR(__xludf.DUMMYFUNCTION("importrange(""https://docs.google.com/spreadsheets/d/1AEqUI2za5g6wYjXj1or87EmS_1Xr5zeTeh75HX6TIRs/edit#gid=1031176712"",""2026-27!v3"")"),47.0)</f>
        <v>47</v>
      </c>
      <c r="AT89" s="61">
        <f>IFERROR(__xludf.DUMMYFUNCTION("importrange(""https://docs.google.com/spreadsheets/d/1AEqUI2za5g6wYjXj1or87EmS_1Xr5zeTeh75HX6TIRs/edit#gid=1031176712"",""2026-27!w4"")"),0.0)</f>
        <v>0</v>
      </c>
      <c r="AU89" s="59">
        <f>IFERROR(__xludf.DUMMYFUNCTION("importrange(""https://docs.google.com/spreadsheets/d/1AEqUI2za5g6wYjXj1or87EmS_1Xr5zeTeh75HX6TIRs/edit#gid=1031176712"",""2026-27!w3"")"),0.0)</f>
        <v>0</v>
      </c>
      <c r="AV89" s="62">
        <f t="shared" si="104"/>
        <v>0</v>
      </c>
      <c r="AW89" s="59">
        <f>IFERROR(__xludf.DUMMYFUNCTION("importrange(""https://docs.google.com/spreadsheets/d/1AEqUI2za5g6wYjXj1or87EmS_1Xr5zeTeh75HX6TIRs/edit#gid=1031176712"",""2026-27!x4"")"),0.0)</f>
        <v>0</v>
      </c>
      <c r="AX89" s="59">
        <f>IFERROR(__xludf.DUMMYFUNCTION("importrange(""https://docs.google.com/spreadsheets/d/1AEqUI2za5g6wYjXj1or87EmS_1Xr5zeTeh75HX6TIRs/edit#gid=1031176712"",""2026-27!x3"")"),0.0)</f>
        <v>0</v>
      </c>
      <c r="AY89" s="59">
        <f>IFERROR(__xludf.DUMMYFUNCTION("importrange(""https://docs.google.com/spreadsheets/d/1AEqUI2za5g6wYjXj1or87EmS_1Xr5zeTeh75HX6TIRs/edit#gid=1031176712"",""2026-27!y4"")"),1804150.0)</f>
        <v>1804150</v>
      </c>
      <c r="AZ89" s="59">
        <f>IFERROR(__xludf.DUMMYFUNCTION("importrange(""https://docs.google.com/spreadsheets/d/1AEqUI2za5g6wYjXj1or87EmS_1Xr5zeTeh75HX6TIRs/edit#gid=1031176712"",""2026-27!y3"")"),47.0)</f>
        <v>47</v>
      </c>
      <c r="BA89" s="61">
        <f>IFERROR(__xludf.DUMMYFUNCTION("importrange(""https://docs.google.com/spreadsheets/d/1AEqUI2za5g6wYjXj1or87EmS_1Xr5zeTeh75HX6TIRs/edit#gid=1031176712"",""2026-27!z4"")"),0.0)</f>
        <v>0</v>
      </c>
      <c r="BB89" s="59">
        <f>IFERROR(__xludf.DUMMYFUNCTION("importrange(""https://docs.google.com/spreadsheets/d/1AEqUI2za5g6wYjXj1or87EmS_1Xr5zeTeh75HX6TIRs/edit#gid=1031176712"",""2026-27!z3"")"),0.0)</f>
        <v>0</v>
      </c>
      <c r="BC89" s="63">
        <f t="shared" si="105"/>
        <v>0</v>
      </c>
      <c r="BD89" s="59">
        <f>IFERROR(__xludf.DUMMYFUNCTION("importrange(""https://docs.google.com/spreadsheets/d/1AEqUI2za5g6wYjXj1or87EmS_1Xr5zeTeh75HX6TIRs/edit#gid=1031176712"",""2026-27!aa4"")"),0.0)</f>
        <v>0</v>
      </c>
      <c r="BE89" s="59">
        <f>IFERROR(__xludf.DUMMYFUNCTION("importrange(""https://docs.google.com/spreadsheets/d/1AEqUI2za5g6wYjXj1or87EmS_1Xr5zeTeh75HX6TIRs/edit#gid=1031176712"",""2026-27!aa3"")"),0.0)</f>
        <v>0</v>
      </c>
      <c r="BF89" s="59">
        <f>IFERROR(__xludf.DUMMYFUNCTION("importrange(""https://docs.google.com/spreadsheets/d/1AEqUI2za5g6wYjXj1or87EmS_1Xr5zeTeh75HX6TIRs/edit#gid=1031176712"",""2026-27!ab4"")"),1804150.0)</f>
        <v>1804150</v>
      </c>
      <c r="BG89" s="59">
        <f>IFERROR(__xludf.DUMMYFUNCTION("importrange(""https://docs.google.com/spreadsheets/d/1AEqUI2za5g6wYjXj1or87EmS_1Xr5zeTeh75HX6TIRs/edit#gid=1031176712"",""2026-27!ab3"")"),47.0)</f>
        <v>47</v>
      </c>
      <c r="BH89" s="59">
        <f>IFERROR(__xludf.DUMMYFUNCTION("importrange(""https://docs.google.com/spreadsheets/d/1AEqUI2za5g6wYjXj1or87EmS_1Xr5zeTeh75HX6TIRs/edit#gid=1031176712"",""2026-27!ac4"")"),0.0)</f>
        <v>0</v>
      </c>
      <c r="BI89" s="59">
        <f>IFERROR(__xludf.DUMMYFUNCTION("importrange(""https://docs.google.com/spreadsheets/d/1AEqUI2za5g6wYjXj1or87EmS_1Xr5zeTeh75HX6TIRs/edit#gid=1031176712"",""2026-27!ac3"")"),0.0)</f>
        <v>0</v>
      </c>
      <c r="BJ89" s="63">
        <f t="shared" si="106"/>
        <v>0</v>
      </c>
      <c r="BK89" s="59">
        <f>IFERROR(__xludf.DUMMYFUNCTION("importrange(""https://docs.google.com/spreadsheets/d/1AEqUI2za5g6wYjXj1or87EmS_1Xr5zeTeh75HX6TIRs/edit#gid=1031176712"",""2026-27!ad4"")"),0.0)</f>
        <v>0</v>
      </c>
      <c r="BL89" s="59">
        <f>IFERROR(__xludf.DUMMYFUNCTION("importrange(""https://docs.google.com/spreadsheets/d/1AEqUI2za5g6wYjXj1or87EmS_1Xr5zeTeh75HX6TIRs/edit#gid=1031176712"",""2026-27!ad3"")"),0.0)</f>
        <v>0</v>
      </c>
      <c r="BM89" s="59">
        <f>IFERROR(__xludf.DUMMYFUNCTION("importrange(""https://docs.google.com/spreadsheets/d/1AEqUI2za5g6wYjXj1or87EmS_1Xr5zeTeh75HX6TIRs/edit#gid=1031176712"",""2026-27!ae4"")"),1804150.0)</f>
        <v>1804150</v>
      </c>
      <c r="BN89" s="59">
        <f>IFERROR(__xludf.DUMMYFUNCTION("importrange(""https://docs.google.com/spreadsheets/d/1AEqUI2za5g6wYjXj1or87EmS_1Xr5zeTeh75HX6TIRs/edit#gid=1031176712"",""2026-27!ae3"")"),47.0)</f>
        <v>47</v>
      </c>
      <c r="BO89" s="59">
        <f>IFERROR(__xludf.DUMMYFUNCTION("importrange(""https://docs.google.com/spreadsheets/d/1AEqUI2za5g6wYjXj1or87EmS_1Xr5zeTeh75HX6TIRs/edit#gid=1031176712"",""2026-27!af4"")"),0.0)</f>
        <v>0</v>
      </c>
      <c r="BP89" s="59">
        <f>IFERROR(__xludf.DUMMYFUNCTION("importrange(""https://docs.google.com/spreadsheets/d/1AEqUI2za5g6wYjXj1or87EmS_1Xr5zeTeh75HX6TIRs/edit#gid=1031176712"",""2026-27!af3"")"),0.0)</f>
        <v>0</v>
      </c>
      <c r="BQ89" s="63">
        <f t="shared" si="107"/>
        <v>0</v>
      </c>
      <c r="BR89" s="59">
        <f>IFERROR(__xludf.DUMMYFUNCTION("importrange(""https://docs.google.com/spreadsheets/d/1AEqUI2za5g6wYjXj1or87EmS_1Xr5zeTeh75HX6TIRs/edit#gid=1031176712"",""2026-27!ag4"")"),0.0)</f>
        <v>0</v>
      </c>
      <c r="BS89" s="59">
        <f>IFERROR(__xludf.DUMMYFUNCTION("importrange(""https://docs.google.com/spreadsheets/d/1AEqUI2za5g6wYjXj1or87EmS_1Xr5zeTeh75HX6TIRs/edit#gid=1031176712"",""2026-27!ag3"")"),0.0)</f>
        <v>0</v>
      </c>
      <c r="BT89" s="59">
        <f>IFERROR(__xludf.DUMMYFUNCTION("importrange(""https://docs.google.com/spreadsheets/d/1AEqUI2za5g6wYjXj1or87EmS_1Xr5zeTeh75HX6TIRs/edit#gid=1031176712"",""2026-27!ah4"")"),1804150.0)</f>
        <v>1804150</v>
      </c>
      <c r="BU89" s="59">
        <f>IFERROR(__xludf.DUMMYFUNCTION("importrange(""https://docs.google.com/spreadsheets/d/1AEqUI2za5g6wYjXj1or87EmS_1Xr5zeTeh75HX6TIRs/edit#gid=1031176712"",""2026-27!ah3"")"),47.0)</f>
        <v>47</v>
      </c>
      <c r="BV89" s="59">
        <f>IFERROR(__xludf.DUMMYFUNCTION("importrange(""https://docs.google.com/spreadsheets/d/1AEqUI2za5g6wYjXj1or87EmS_1Xr5zeTeh75HX6TIRs/edit#gid=1031176712"",""2026-27!ai4"")"),0.0)</f>
        <v>0</v>
      </c>
      <c r="BW89" s="59">
        <f>IFERROR(__xludf.DUMMYFUNCTION("importrange(""https://docs.google.com/spreadsheets/d/1AEqUI2za5g6wYjXj1or87EmS_1Xr5zeTeh75HX6TIRs/edit#gid=1031176712"",""2026-27!ai3"")"),0.0)</f>
        <v>0</v>
      </c>
      <c r="BX89" s="63">
        <f t="shared" si="108"/>
        <v>0</v>
      </c>
      <c r="BY89" s="59">
        <f>IFERROR(__xludf.DUMMYFUNCTION("importrange(""https://docs.google.com/spreadsheets/d/1AEqUI2za5g6wYjXj1or87EmS_1Xr5zeTeh75HX6TIRs/edit#gid=1031176712"",""2026-27!aj4"")"),0.0)</f>
        <v>0</v>
      </c>
      <c r="BZ89" s="59">
        <f>IFERROR(__xludf.DUMMYFUNCTION("importrange(""https://docs.google.com/spreadsheets/d/1AEqUI2za5g6wYjXj1or87EmS_1Xr5zeTeh75HX6TIRs/edit#gid=1031176712"",""2026-27!aj3"")"),0.0)</f>
        <v>0</v>
      </c>
      <c r="CA89" s="59">
        <f>IFERROR(__xludf.DUMMYFUNCTION("importrange(""https://docs.google.com/spreadsheets/d/1AEqUI2za5g6wYjXj1or87EmS_1Xr5zeTeh75HX6TIRs/edit#gid=1031176712"",""2026-27!ak4"")"),1804150.0)</f>
        <v>1804150</v>
      </c>
      <c r="CB89" s="59">
        <f>IFERROR(__xludf.DUMMYFUNCTION("importrange(""https://docs.google.com/spreadsheets/d/1AEqUI2za5g6wYjXj1or87EmS_1Xr5zeTeh75HX6TIRs/edit#gid=1031176712"",""2026-27!ak3"")"),47.0)</f>
        <v>47</v>
      </c>
      <c r="CC89" s="59">
        <f>IFERROR(__xludf.DUMMYFUNCTION("importrange(""https://docs.google.com/spreadsheets/d/1AEqUI2za5g6wYjXj1or87EmS_1Xr5zeTeh75HX6TIRs/edit#gid=1031176712"",""2026-27!al4"")"),0.0)</f>
        <v>0</v>
      </c>
      <c r="CD89" s="59">
        <f>IFERROR(__xludf.DUMMYFUNCTION("importrange(""https://docs.google.com/spreadsheets/d/1AEqUI2za5g6wYjXj1or87EmS_1Xr5zeTeh75HX6TIRs/edit#gid=1031176712"",""2026-27!ai3"")"),0.0)</f>
        <v>0</v>
      </c>
      <c r="CE89" s="63">
        <f t="shared" si="109"/>
        <v>0</v>
      </c>
      <c r="CF89" s="59">
        <f>IFERROR(__xludf.DUMMYFUNCTION("importrange(""https://docs.google.com/spreadsheets/d/1AEqUI2za5g6wYjXj1or87EmS_1Xr5zeTeh75HX6TIRs/edit#gid=1031176712"",""2026-27!am4"")"),0.0)</f>
        <v>0</v>
      </c>
      <c r="CG89" s="59">
        <f>IFERROR(__xludf.DUMMYFUNCTION("importrange(""https://docs.google.com/spreadsheets/d/1AEqUI2za5g6wYjXj1or87EmS_1Xr5zeTeh75HX6TIRs/edit#gid=1031176712"",""2026-27!am3"")"),0.0)</f>
        <v>0</v>
      </c>
      <c r="CH89" s="59">
        <f>IFERROR(__xludf.DUMMYFUNCTION("importrange(""https://docs.google.com/spreadsheets/d/1AEqUI2za5g6wYjXj1or87EmS_1Xr5zeTeh75HX6TIRs/edit#gid=1031176712"",""2026-27!an4"")"),1804150.0)</f>
        <v>1804150</v>
      </c>
      <c r="CI89" s="59">
        <f>IFERROR(__xludf.DUMMYFUNCTION("importrange(""https://docs.google.com/spreadsheets/d/1AEqUI2za5g6wYjXj1or87EmS_1Xr5zeTeh75HX6TIRs/edit#gid=1031176712"",""2026-27!an3"")"),47.0)</f>
        <v>47</v>
      </c>
      <c r="CJ89" s="59">
        <f>IFERROR(__xludf.DUMMYFUNCTION("importrange(""https://docs.google.com/spreadsheets/d/1AEqUI2za5g6wYjXj1or87EmS_1Xr5zeTeh75HX6TIRs/edit#gid=1031176712"",""2026-27!ao4"")"),0.0)</f>
        <v>0</v>
      </c>
      <c r="CK89" s="59">
        <f>IFERROR(__xludf.DUMMYFUNCTION("importrange(""https://docs.google.com/spreadsheets/d/1AEqUI2za5g6wYjXj1or87EmS_1Xr5zeTeh75HX6TIRs/edit#gid=1031176712"",""2026-27!ao3"")"),0.0)</f>
        <v>0</v>
      </c>
      <c r="CL89" s="63">
        <f t="shared" si="110"/>
        <v>0</v>
      </c>
      <c r="CM89" s="59">
        <f>IFERROR(__xludf.DUMMYFUNCTION("importrange(""https://docs.google.com/spreadsheets/d/1AEqUI2za5g6wYjXj1or87EmS_1Xr5zeTeh75HX6TIRs/edit#gid=1031176712"",""2026-27!ap4"")"),0.0)</f>
        <v>0</v>
      </c>
      <c r="CN89" s="59">
        <f>IFERROR(__xludf.DUMMYFUNCTION("importrange(""https://docs.google.com/spreadsheets/d/1AEqUI2za5g6wYjXj1or87EmS_1Xr5zeTeh75HX6TIRs/edit#gid=1031176712"",""2026-27!ap3"")"),0.0)</f>
        <v>0</v>
      </c>
      <c r="CO89" s="59">
        <f>IFERROR(__xludf.DUMMYFUNCTION("importrange(""https://docs.google.com/spreadsheets/d/1AEqUI2za5g6wYjXj1or87EmS_1Xr5zeTeh75HX6TIRs/edit#gid=1031176712"",""2026-27!aq4"")"),1804150.0)</f>
        <v>1804150</v>
      </c>
      <c r="CP89" s="59">
        <f>IFERROR(__xludf.DUMMYFUNCTION("importrange(""https://docs.google.com/spreadsheets/d/1AEqUI2za5g6wYjXj1or87EmS_1Xr5zeTeh75HX6TIRs/edit#gid=1031176712"",""2026-27!aq3"")"),47.0)</f>
        <v>47</v>
      </c>
      <c r="CQ89" s="59">
        <f>IFERROR(__xludf.DUMMYFUNCTION("importrange(""https://docs.google.com/spreadsheets/d/1AEqUI2za5g6wYjXj1or87EmS_1Xr5zeTeh75HX6TIRs/edit#gid=1031176712"",""2026-27!ar4"")"),0.0)</f>
        <v>0</v>
      </c>
      <c r="CR89" s="59">
        <f>IFERROR(__xludf.DUMMYFUNCTION("importrange(""https://docs.google.com/spreadsheets/d/1AEqUI2za5g6wYjXj1or87EmS_1Xr5zeTeh75HX6TIRs/edit#gid=1031176712"",""2026-27!ar3"")"),0.0)</f>
        <v>0</v>
      </c>
      <c r="CS89" s="63">
        <f t="shared" si="111"/>
        <v>0</v>
      </c>
      <c r="CT89" s="59">
        <f>IFERROR(__xludf.DUMMYFUNCTION("importrange(""https://docs.google.com/spreadsheets/d/1AEqUI2za5g6wYjXj1or87EmS_1Xr5zeTeh75HX6TIRs/edit#gid=1031176712"",""2026-27!as4"")"),0.0)</f>
        <v>0</v>
      </c>
      <c r="CU89" s="59">
        <f>IFERROR(__xludf.DUMMYFUNCTION("importrange(""https://docs.google.com/spreadsheets/d/1AEqUI2za5g6wYjXj1or87EmS_1Xr5zeTeh75HX6TIRs/edit#gid=1031176712"",""2026-27!as3"")"),0.0)</f>
        <v>0</v>
      </c>
      <c r="CV89" s="64"/>
    </row>
    <row r="90">
      <c r="A90" s="1" t="s">
        <v>160</v>
      </c>
      <c r="B90" s="41"/>
      <c r="C90" s="68" t="s">
        <v>178</v>
      </c>
      <c r="D90" s="54" t="s">
        <v>179</v>
      </c>
      <c r="E90" s="54">
        <v>7.54922226E9</v>
      </c>
      <c r="F90" s="80">
        <v>44166.0</v>
      </c>
      <c r="G90" s="66"/>
      <c r="H90" s="66"/>
      <c r="I90" s="57">
        <v>28335.0</v>
      </c>
      <c r="J90" s="58">
        <v>8250000.0</v>
      </c>
      <c r="K90" s="61">
        <f>IFERROR(__xludf.DUMMYFUNCTION("IMPORTRANGE(""https://docs.google.com/spreadsheets/d/1S4W1SsvjFN8z0hdXAYztswIPFnmI5owY4xgKT81w7ZE/edit#gid=546697419"",""2026-27!A3"")"),80.0)</f>
        <v>80</v>
      </c>
      <c r="L90" s="61">
        <f>IFERROR(__xludf.DUMMYFUNCTION("IMPORTRANGE(""https://docs.google.com/spreadsheets/d/1S4W1SsvjFN8z0hdXAYztswIPFnmI5owY4xgKT81w7ZE/edit#gid=546697419"",""2026-27!G4"")"),6.065E7)</f>
        <v>60650000</v>
      </c>
      <c r="M90" s="61">
        <f t="shared" si="97"/>
        <v>12828673.25</v>
      </c>
      <c r="N90" s="60">
        <f t="shared" si="98"/>
        <v>0.2693481946</v>
      </c>
      <c r="O90" s="61">
        <f t="shared" si="99"/>
        <v>16335968</v>
      </c>
      <c r="P90" s="59">
        <f>IFERROR(__xludf.DUMMYFUNCTION("IMPORTRANGE(""https://docs.google.com/spreadsheets/d/1S4W1SsvjFN8z0hdXAYztswIPFnmI5owY4xgKT81w7ZE/edit#gid=546697419"",""2026-27!J4"")"),3025000.0)</f>
        <v>3025000</v>
      </c>
      <c r="Q90" s="59">
        <f>IFERROR(__xludf.DUMMYFUNCTION("IMPORTRANGE(""https://docs.google.com/spreadsheets/d/1S4W1SsvjFN8z0hdXAYztswIPFnmI5owY4xgKT81w7ZE/edit#gid=546697419"",""2026-27!J3"")"),24.0)</f>
        <v>24</v>
      </c>
      <c r="R90" s="59">
        <f>IFERROR(__xludf.DUMMYFUNCTION("IMPORTRANGE(""https://docs.google.com/spreadsheets/d/1S4W1SsvjFN8z0hdXAYztswIPFnmI5owY4xgKT81w7ZE/edit#gid=546697419"",""2026-27!K4"")"),3280670.7400000007)</f>
        <v>3280670.74</v>
      </c>
      <c r="S90" s="59">
        <f>IFERROR(__xludf.DUMMYFUNCTION("IMPORTRANGE(""https://docs.google.com/spreadsheets/d/1S4W1SsvjFN8z0hdXAYztswIPFnmI5owY4xgKT81w7ZE/edit#gid=546697419"",""2026-27!K3"")"),30.0)</f>
        <v>30</v>
      </c>
      <c r="T90" s="62">
        <f t="shared" si="100"/>
        <v>1.469308099</v>
      </c>
      <c r="U90" s="59">
        <f>IFERROR(__xludf.DUMMYFUNCTION("IMPORTRANGE(""https://docs.google.com/spreadsheets/d/1S4W1SsvjFN8z0hdXAYztswIPFnmI5owY4xgKT81w7ZE/edit#gid=546697419"",""2026-27!L4"")"),4444657.0)</f>
        <v>4444657</v>
      </c>
      <c r="V90" s="85">
        <f>IFERROR(__xludf.DUMMYFUNCTION("IMPORTRANGE(""https://docs.google.com/spreadsheets/d/1S4W1SsvjFN8z0hdXAYztswIPFnmI5owY4xgKT81w7ZE/edit#gid=546697419"",""2026-27!L3"")"),47.0)</f>
        <v>47</v>
      </c>
      <c r="W90" s="59">
        <f>IFERROR(__xludf.DUMMYFUNCTION("IMPORTRANGE(""https://docs.google.com/spreadsheets/d/1S4W1SsvjFN8z0hdXAYztswIPFnmI5owY4xgKT81w7ZE/edit#gid=546697419"",""2026-27!M4"")"),5000000.0)</f>
        <v>5000000</v>
      </c>
      <c r="X90" s="85">
        <f>IFERROR(__xludf.DUMMYFUNCTION("IMPORTRANGE(""https://docs.google.com/spreadsheets/d/1S4W1SsvjFN8z0hdXAYztswIPFnmI5owY4xgKT81w7ZE/edit#gid=546697419"",""2026-27!M3"")"),46.0)</f>
        <v>46</v>
      </c>
      <c r="Y90" s="59">
        <f>IFERROR(__xludf.DUMMYFUNCTION("importrange(""https://docs.google.com/spreadsheets/d/1S4W1SsvjFN8z0hdXAYztswIPFnmI5owY4xgKT81w7ZE/edit#gid=546697419"",""2026-27!n4"")"),4467411.5200000005)</f>
        <v>4467411.52</v>
      </c>
      <c r="Z90" s="59">
        <f>IFERROR(__xludf.DUMMYFUNCTION("importrange(""https://docs.google.com/spreadsheets/d/1S4W1SsvjFN8z0hdXAYztswIPFnmI5owY4xgKT81w7ZE/edit#gid=546697419"",""2026-27!n3"")"),31.0)</f>
        <v>31</v>
      </c>
      <c r="AA90" s="62">
        <f t="shared" si="101"/>
        <v>1.0435828</v>
      </c>
      <c r="AB90" s="59">
        <f>IFERROR(__xludf.DUMMYFUNCTION("importrange(""https://docs.google.com/spreadsheets/d/1S4W1SsvjFN8z0hdXAYztswIPFnmI5owY4xgKT81w7ZE/edit#gid=546697419"",""2026-27!o4"")"),5217914.0)</f>
        <v>5217914</v>
      </c>
      <c r="AC90" s="59">
        <f>IFERROR(__xludf.DUMMYFUNCTION("importrange(""https://docs.google.com/spreadsheets/d/1S4W1SsvjFN8z0hdXAYztswIPFnmI5owY4xgKT81w7ZE/edit#gid=546697419"",""2026-27!o3"")"),36.0)</f>
        <v>36</v>
      </c>
      <c r="AD90" s="59">
        <f>IFERROR(__xludf.DUMMYFUNCTION("importrange(""https://docs.google.com/spreadsheets/d/1S4W1SsvjFN8z0hdXAYztswIPFnmI5owY4xgKT81w7ZE/edit#gid=546697419"",""2026-27!p4"")"),4300000.0)</f>
        <v>4300000</v>
      </c>
      <c r="AE90" s="59">
        <f>IFERROR(__xludf.DUMMYFUNCTION("importrange(""https://docs.google.com/spreadsheets/d/1S4W1SsvjFN8z0hdXAYztswIPFnmI5owY4xgKT81w7ZE/edit#gid=546697419"",""2026-27!p3"")"),39.0)</f>
        <v>39</v>
      </c>
      <c r="AF90" s="59">
        <f>IFERROR(__xludf.DUMMYFUNCTION("importrange(""https://docs.google.com/spreadsheets/d/1S4W1SsvjFN8z0hdXAYztswIPFnmI5owY4xgKT81w7ZE/edit#gid=546697419"",""2026-27!q4"")"),5080590.989999999)</f>
        <v>5080590.99</v>
      </c>
      <c r="AG90" s="59">
        <f>IFERROR(__xludf.DUMMYFUNCTION("importrange(""https://docs.google.com/spreadsheets/d/1S4W1SsvjFN8z0hdXAYztswIPFnmI5owY4xgKT81w7ZE/edit#gid=546697419"",""2026-27!q3"")"),42.0)</f>
        <v>42</v>
      </c>
      <c r="AH90" s="62">
        <f t="shared" si="102"/>
        <v>1.551952791</v>
      </c>
      <c r="AI90" s="59">
        <f>IFERROR(__xludf.DUMMYFUNCTION("importrange(""https://docs.google.com/spreadsheets/d/1S4W1SsvjFN8z0hdXAYztswIPFnmI5owY4xgKT81w7ZE/edit#gid=546697419"",""2026-27!r4"")"),6673397.0)</f>
        <v>6673397</v>
      </c>
      <c r="AJ90" s="59">
        <f>IFERROR(__xludf.DUMMYFUNCTION("importrange(""https://docs.google.com/spreadsheets/d/1S4W1SsvjFN8z0hdXAYztswIPFnmI5owY4xgKT81w7ZE/edit#gid=546697419"",""2026-27!r3"")"),47.0)</f>
        <v>47</v>
      </c>
      <c r="AK90" s="59">
        <f>IFERROR(__xludf.DUMMYFUNCTION("importrange(""https://docs.google.com/spreadsheets/d/1S4W1SsvjFN8z0hdXAYztswIPFnmI5owY4xgKT81w7ZE/edit#gid=546697419"",""2026-27!s4"")"),5575000.0)</f>
        <v>5575000</v>
      </c>
      <c r="AL90" s="59">
        <f>IFERROR(__xludf.DUMMYFUNCTION("importrange(""https://docs.google.com/spreadsheets/d/1S4W1SsvjFN8z0hdXAYztswIPFnmI5owY4xgKT81w7ZE/edit#gid=546697419"",""2026-27!s3"")"),51.0)</f>
        <v>51</v>
      </c>
      <c r="AM90" s="61">
        <f>IFERROR(__xludf.DUMMYFUNCTION("importrange(""https://docs.google.com/spreadsheets/d/1S4W1SsvjFN8z0hdXAYztswIPFnmI5owY4xgKT81w7ZE/edit#gid=546697419"",""2026-27!t4"")"),0.0)</f>
        <v>0</v>
      </c>
      <c r="AN90" s="59">
        <f>IFERROR(__xludf.DUMMYFUNCTION("importrange(""https://docs.google.com/spreadsheets/d/1S4W1SsvjFN8z0hdXAYztswIPFnmI5owY4xgKT81w7ZE/edit#gid=546697419"",""2026-27!t3"")"),0.0)</f>
        <v>0</v>
      </c>
      <c r="AO90" s="62">
        <f t="shared" si="103"/>
        <v>0</v>
      </c>
      <c r="AP90" s="59">
        <f>IFERROR(__xludf.DUMMYFUNCTION("importrange(""https://docs.google.com/spreadsheets/d/1S4W1SsvjFN8z0hdXAYztswIPFnmI5owY4xgKT81w7ZE/edit#gid=546697419"",""2026-27!u4"")"),0.0)</f>
        <v>0</v>
      </c>
      <c r="AQ90" s="59">
        <f>IFERROR(__xludf.DUMMYFUNCTION("importrange(""https://docs.google.com/spreadsheets/d/1S4W1SsvjFN8z0hdXAYztswIPFnmI5owY4xgKT81w7ZE/edit#gid=546697419"",""2026-27!u3"")"),0.0)</f>
        <v>0</v>
      </c>
      <c r="AR90" s="59">
        <f>IFERROR(__xludf.DUMMYFUNCTION("importrange(""https://docs.google.com/spreadsheets/d/1S4W1SsvjFN8z0hdXAYztswIPFnmI5owY4xgKT81w7ZE/edit#gid=546697419"",""2026-27!v4"")"),3800000.0)</f>
        <v>3800000</v>
      </c>
      <c r="AS90" s="59">
        <f>IFERROR(__xludf.DUMMYFUNCTION("importrange(""https://docs.google.com/spreadsheets/d/1S4W1SsvjFN8z0hdXAYztswIPFnmI5owY4xgKT81w7ZE/edit#gid=546697419"",""2026-27!v3"")"),32.0)</f>
        <v>32</v>
      </c>
      <c r="AT90" s="61">
        <f>IFERROR(__xludf.DUMMYFUNCTION("importrange(""https://docs.google.com/spreadsheets/d/1S4W1SsvjFN8z0hdXAYztswIPFnmI5owY4xgKT81w7ZE/edit#gid=546697419"",""2026-27!w4"")"),0.0)</f>
        <v>0</v>
      </c>
      <c r="AU90" s="59">
        <f>IFERROR(__xludf.DUMMYFUNCTION("importrange(""https://docs.google.com/spreadsheets/d/1S4W1SsvjFN8z0hdXAYztswIPFnmI5owY4xgKT81w7ZE/edit#gid=546697419"",""2026-27!w3"")"),0.0)</f>
        <v>0</v>
      </c>
      <c r="AV90" s="62">
        <f t="shared" si="104"/>
        <v>0</v>
      </c>
      <c r="AW90" s="59">
        <f>IFERROR(__xludf.DUMMYFUNCTION("importrange(""https://docs.google.com/spreadsheets/d/1S4W1SsvjFN8z0hdXAYztswIPFnmI5owY4xgKT81w7ZE/edit#gid=546697419"",""2026-27!x4"")"),0.0)</f>
        <v>0</v>
      </c>
      <c r="AX90" s="59">
        <f>IFERROR(__xludf.DUMMYFUNCTION("importrange(""https://docs.google.com/spreadsheets/d/1S4W1SsvjFN8z0hdXAYztswIPFnmI5owY4xgKT81w7ZE/edit#gid=546697419"",""2026-27!x3"")"),0.0)</f>
        <v>0</v>
      </c>
      <c r="AY90" s="59">
        <f>IFERROR(__xludf.DUMMYFUNCTION("importrange(""https://docs.google.com/spreadsheets/d/1S4W1SsvjFN8z0hdXAYztswIPFnmI5owY4xgKT81w7ZE/edit#gid=546697419"",""2026-27!y4"")"),6025000.0)</f>
        <v>6025000</v>
      </c>
      <c r="AZ90" s="59">
        <f>IFERROR(__xludf.DUMMYFUNCTION("importrange(""https://docs.google.com/spreadsheets/d/1S4W1SsvjFN8z0hdXAYztswIPFnmI5owY4xgKT81w7ZE/edit#gid=546697419"",""2026-27!y3"")"),58.0)</f>
        <v>58</v>
      </c>
      <c r="BA90" s="61">
        <f>IFERROR(__xludf.DUMMYFUNCTION("importrange(""https://docs.google.com/spreadsheets/d/1S4W1SsvjFN8z0hdXAYztswIPFnmI5owY4xgKT81w7ZE/edit#gid=546697419"",""2026-27!z4"")"),0.0)</f>
        <v>0</v>
      </c>
      <c r="BB90" s="59">
        <f>IFERROR(__xludf.DUMMYFUNCTION("importrange(""https://docs.google.com/spreadsheets/d/1S4W1SsvjFN8z0hdXAYztswIPFnmI5owY4xgKT81w7ZE/edit#gid=546697419"",""2026-27!z3"")"),0.0)</f>
        <v>0</v>
      </c>
      <c r="BC90" s="63">
        <f t="shared" si="105"/>
        <v>0</v>
      </c>
      <c r="BD90" s="59">
        <f>IFERROR(__xludf.DUMMYFUNCTION("importrange(""https://docs.google.com/spreadsheets/d/1S4W1SsvjFN8z0hdXAYztswIPFnmI5owY4xgKT81w7ZE/edit#gid=546697419"",""2026-27!aa4"")"),0.0)</f>
        <v>0</v>
      </c>
      <c r="BE90" s="59">
        <f>IFERROR(__xludf.DUMMYFUNCTION("importrange(""https://docs.google.com/spreadsheets/d/1S4W1SsvjFN8z0hdXAYztswIPFnmI5owY4xgKT81w7ZE/edit#gid=546697419"",""2026-27!aa3"")"),0.0)</f>
        <v>0</v>
      </c>
      <c r="BF90" s="59">
        <f>IFERROR(__xludf.DUMMYFUNCTION("importrange(""https://docs.google.com/spreadsheets/d/1S4W1SsvjFN8z0hdXAYztswIPFnmI5owY4xgKT81w7ZE/edit#gid=546697419"",""2026-27!ab4"")"),3800000.0)</f>
        <v>3800000</v>
      </c>
      <c r="BG90" s="59">
        <f>IFERROR(__xludf.DUMMYFUNCTION("importrange(""https://docs.google.com/spreadsheets/d/1S4W1SsvjFN8z0hdXAYztswIPFnmI5owY4xgKT81w7ZE/edit#gid=546697419"",""2026-27!ab3"")"),31.0)</f>
        <v>31</v>
      </c>
      <c r="BH90" s="59">
        <f>IFERROR(__xludf.DUMMYFUNCTION("importrange(""https://docs.google.com/spreadsheets/d/1S4W1SsvjFN8z0hdXAYztswIPFnmI5owY4xgKT81w7ZE/edit#gid=546697419"",""2026-27!ac4"")"),0.0)</f>
        <v>0</v>
      </c>
      <c r="BI90" s="59">
        <f>IFERROR(__xludf.DUMMYFUNCTION("importrange(""https://docs.google.com/spreadsheets/d/1S4W1SsvjFN8z0hdXAYztswIPFnmI5owY4xgKT81w7ZE/edit#gid=546697419"",""2026-27!ac3"")"),0.0)</f>
        <v>0</v>
      </c>
      <c r="BJ90" s="63">
        <f t="shared" si="106"/>
        <v>0</v>
      </c>
      <c r="BK90" s="59">
        <f>IFERROR(__xludf.DUMMYFUNCTION("importrange(""https://docs.google.com/spreadsheets/d/1S4W1SsvjFN8z0hdXAYztswIPFnmI5owY4xgKT81w7ZE/edit#gid=546697419"",""2026-27!ad4"")"),0.0)</f>
        <v>0</v>
      </c>
      <c r="BL90" s="59">
        <f>IFERROR(__xludf.DUMMYFUNCTION("importrange(""https://docs.google.com/spreadsheets/d/1S4W1SsvjFN8z0hdXAYztswIPFnmI5owY4xgKT81w7ZE/edit#gid=546697419"",""2026-27!ad3"")"),0.0)</f>
        <v>0</v>
      </c>
      <c r="BM90" s="59">
        <f>IFERROR(__xludf.DUMMYFUNCTION("importrange(""https://docs.google.com/spreadsheets/d/1S4W1SsvjFN8z0hdXAYztswIPFnmI5owY4xgKT81w7ZE/edit#gid=546697419"",""2026-27!ae4"")"),5525000.0)</f>
        <v>5525000</v>
      </c>
      <c r="BN90" s="59">
        <f>IFERROR(__xludf.DUMMYFUNCTION("importrange(""https://docs.google.com/spreadsheets/d/1S4W1SsvjFN8z0hdXAYztswIPFnmI5owY4xgKT81w7ZE/edit#gid=546697419"",""2026-27!ae3"")"),50.0)</f>
        <v>50</v>
      </c>
      <c r="BO90" s="59">
        <f>IFERROR(__xludf.DUMMYFUNCTION("importrange(""https://docs.google.com/spreadsheets/d/1S4W1SsvjFN8z0hdXAYztswIPFnmI5owY4xgKT81w7ZE/edit#gid=546697419"",""2026-27!af4"")"),0.0)</f>
        <v>0</v>
      </c>
      <c r="BP90" s="59">
        <f>IFERROR(__xludf.DUMMYFUNCTION("importrange(""https://docs.google.com/spreadsheets/d/1S4W1SsvjFN8z0hdXAYztswIPFnmI5owY4xgKT81w7ZE/edit#gid=546697419"",""2026-27!af3"")"),0.0)</f>
        <v>0</v>
      </c>
      <c r="BQ90" s="63">
        <f t="shared" si="107"/>
        <v>0</v>
      </c>
      <c r="BR90" s="59">
        <f>IFERROR(__xludf.DUMMYFUNCTION("importrange(""https://docs.google.com/spreadsheets/d/1S4W1SsvjFN8z0hdXAYztswIPFnmI5owY4xgKT81w7ZE/edit#gid=546697419"",""2026-27!ag4"")"),0.0)</f>
        <v>0</v>
      </c>
      <c r="BS90" s="59">
        <f>IFERROR(__xludf.DUMMYFUNCTION("importrange(""https://docs.google.com/spreadsheets/d/1S4W1SsvjFN8z0hdXAYztswIPFnmI5owY4xgKT81w7ZE/edit#gid=546697419"",""2026-27!ag3"")"),0.0)</f>
        <v>0</v>
      </c>
      <c r="BT90" s="59">
        <f>IFERROR(__xludf.DUMMYFUNCTION("importrange(""https://docs.google.com/spreadsheets/d/1S4W1SsvjFN8z0hdXAYztswIPFnmI5owY4xgKT81w7ZE/edit#gid=546697419"",""2026-27!ah4"")"),4750000.0)</f>
        <v>4750000</v>
      </c>
      <c r="BU90" s="59">
        <f>IFERROR(__xludf.DUMMYFUNCTION("importrange(""https://docs.google.com/spreadsheets/d/1S4W1SsvjFN8z0hdXAYztswIPFnmI5owY4xgKT81w7ZE/edit#gid=546697419"",""2026-27!ah3"")"),46.0)</f>
        <v>46</v>
      </c>
      <c r="BV90" s="59">
        <f>IFERROR(__xludf.DUMMYFUNCTION("importrange(""https://docs.google.com/spreadsheets/d/1S4W1SsvjFN8z0hdXAYztswIPFnmI5owY4xgKT81w7ZE/edit#gid=546697419"",""2026-27!ai4"")"),0.0)</f>
        <v>0</v>
      </c>
      <c r="BW90" s="59">
        <f>IFERROR(__xludf.DUMMYFUNCTION("importrange(""https://docs.google.com/spreadsheets/d/1S4W1SsvjFN8z0hdXAYztswIPFnmI5owY4xgKT81w7ZE/edit#gid=546697419"",""2026-27!ai3"")"),0.0)</f>
        <v>0</v>
      </c>
      <c r="BX90" s="63">
        <f t="shared" si="108"/>
        <v>0</v>
      </c>
      <c r="BY90" s="59">
        <f>IFERROR(__xludf.DUMMYFUNCTION("importrange(""https://docs.google.com/spreadsheets/d/1S4W1SsvjFN8z0hdXAYztswIPFnmI5owY4xgKT81w7ZE/edit#gid=546697419"",""2026-27!aj4"")"),0.0)</f>
        <v>0</v>
      </c>
      <c r="BZ90" s="59">
        <f>IFERROR(__xludf.DUMMYFUNCTION("importrange(""https://docs.google.com/spreadsheets/d/1S4W1SsvjFN8z0hdXAYztswIPFnmI5owY4xgKT81w7ZE/edit#gid=546697419"",""2026-27!aj3"")"),0.0)</f>
        <v>0</v>
      </c>
      <c r="CA90" s="59">
        <f>IFERROR(__xludf.DUMMYFUNCTION("importrange(""https://docs.google.com/spreadsheets/d/1S4W1SsvjFN8z0hdXAYztswIPFnmI5owY4xgKT81w7ZE/edit#gid=546697419"",""2026-27!ak4"")"),5925000.0)</f>
        <v>5925000</v>
      </c>
      <c r="CB90" s="59">
        <f>IFERROR(__xludf.DUMMYFUNCTION("importrange(""https://docs.google.com/spreadsheets/d/1S4W1SsvjFN8z0hdXAYztswIPFnmI5owY4xgKT81w7ZE/edit#gid=546697419"",""2026-27!ak3"")"),50.0)</f>
        <v>50</v>
      </c>
      <c r="CC90" s="59">
        <f>IFERROR(__xludf.DUMMYFUNCTION("importrange(""https://docs.google.com/spreadsheets/d/1S4W1SsvjFN8z0hdXAYztswIPFnmI5owY4xgKT81w7ZE/edit#gid=546697419"",""2026-27!al4"")"),0.0)</f>
        <v>0</v>
      </c>
      <c r="CD90" s="59">
        <f>IFERROR(__xludf.DUMMYFUNCTION("importrange(""https://docs.google.com/spreadsheets/d/1S4W1SsvjFN8z0hdXAYztswIPFnmI5owY4xgKT81w7ZE/edit#gid=546697419"",""2026-27!ai3"")"),0.0)</f>
        <v>0</v>
      </c>
      <c r="CE90" s="63">
        <f t="shared" si="109"/>
        <v>0</v>
      </c>
      <c r="CF90" s="59">
        <f>IFERROR(__xludf.DUMMYFUNCTION("importrange(""https://docs.google.com/spreadsheets/d/1S4W1SsvjFN8z0hdXAYztswIPFnmI5owY4xgKT81w7ZE/edit#gid=546697419"",""2026-27!am4"")"),0.0)</f>
        <v>0</v>
      </c>
      <c r="CG90" s="59">
        <f>IFERROR(__xludf.DUMMYFUNCTION("importrange(""https://docs.google.com/spreadsheets/d/1S4W1SsvjFN8z0hdXAYztswIPFnmI5owY4xgKT81w7ZE/edit#gid=546697419"",""2026-27!am3"")"),0.0)</f>
        <v>0</v>
      </c>
      <c r="CH90" s="59">
        <f>IFERROR(__xludf.DUMMYFUNCTION("importrange(""https://docs.google.com/spreadsheets/d/1S4W1SsvjFN8z0hdXAYztswIPFnmI5owY4xgKT81w7ZE/edit#gid=546697419"",""2026-27!an4"")"),4775000.0)</f>
        <v>4775000</v>
      </c>
      <c r="CI90" s="59">
        <f>IFERROR(__xludf.DUMMYFUNCTION("importrange(""https://docs.google.com/spreadsheets/d/1S4W1SsvjFN8z0hdXAYztswIPFnmI5owY4xgKT81w7ZE/edit#gid=546697419"",""2026-27!an3"")"),33.0)</f>
        <v>33</v>
      </c>
      <c r="CJ90" s="59">
        <f>IFERROR(__xludf.DUMMYFUNCTION("importrange(""https://docs.google.com/spreadsheets/d/1S4W1SsvjFN8z0hdXAYztswIPFnmI5owY4xgKT81w7ZE/edit#gid=546697419"",""2026-27!ao4"")"),0.0)</f>
        <v>0</v>
      </c>
      <c r="CK90" s="59">
        <f>IFERROR(__xludf.DUMMYFUNCTION("importrange(""https://docs.google.com/spreadsheets/d/1S4W1SsvjFN8z0hdXAYztswIPFnmI5owY4xgKT81w7ZE/edit#gid=546697419"",""2026-27!ao3"")"),0.0)</f>
        <v>0</v>
      </c>
      <c r="CL90" s="63">
        <f t="shared" si="110"/>
        <v>0</v>
      </c>
      <c r="CM90" s="59">
        <f>IFERROR(__xludf.DUMMYFUNCTION("importrange(""https://docs.google.com/spreadsheets/d/1S4W1SsvjFN8z0hdXAYztswIPFnmI5owY4xgKT81w7ZE/edit#gid=546697419"",""2026-27!ap4"")"),0.0)</f>
        <v>0</v>
      </c>
      <c r="CN90" s="59">
        <f>IFERROR(__xludf.DUMMYFUNCTION("importrange(""https://docs.google.com/spreadsheets/d/1S4W1SsvjFN8z0hdXAYztswIPFnmI5owY4xgKT81w7ZE/edit#gid=546697419"",""2026-27!ap3"")"),0.0)</f>
        <v>0</v>
      </c>
      <c r="CO90" s="59">
        <f>IFERROR(__xludf.DUMMYFUNCTION("importrange(""https://docs.google.com/spreadsheets/d/1S4W1SsvjFN8z0hdXAYztswIPFnmI5owY4xgKT81w7ZE/edit#gid=546697419"",""2026-27!aq4"")"),8150000.0)</f>
        <v>8150000</v>
      </c>
      <c r="CP90" s="59">
        <f>IFERROR(__xludf.DUMMYFUNCTION("importrange(""https://docs.google.com/spreadsheets/d/1S4W1SsvjFN8z0hdXAYztswIPFnmI5owY4xgKT81w7ZE/edit#gid=546697419"",""2026-27!aq3"")"),60.0)</f>
        <v>60</v>
      </c>
      <c r="CQ90" s="59">
        <f>IFERROR(__xludf.DUMMYFUNCTION("importrange(""https://docs.google.com/spreadsheets/d/1S4W1SsvjFN8z0hdXAYztswIPFnmI5owY4xgKT81w7ZE/edit#gid=546697419"",""2026-27!ar4"")"),0.0)</f>
        <v>0</v>
      </c>
      <c r="CR90" s="59">
        <f>IFERROR(__xludf.DUMMYFUNCTION("importrange(""https://docs.google.com/spreadsheets/d/1S4W1SsvjFN8z0hdXAYztswIPFnmI5owY4xgKT81w7ZE/edit#gid=546697419"",""2026-27!ar3"")"),0.0)</f>
        <v>0</v>
      </c>
      <c r="CS90" s="63">
        <f t="shared" si="111"/>
        <v>0</v>
      </c>
      <c r="CT90" s="59">
        <f>IFERROR(__xludf.DUMMYFUNCTION("importrange(""https://docs.google.com/spreadsheets/d/1S4W1SsvjFN8z0hdXAYztswIPFnmI5owY4xgKT81w7ZE/edit#gid=546697419"",""2026-27!as4"")"),0.0)</f>
        <v>0</v>
      </c>
      <c r="CU90" s="59">
        <f>IFERROR(__xludf.DUMMYFUNCTION("importrange(""https://docs.google.com/spreadsheets/d/1S4W1SsvjFN8z0hdXAYztswIPFnmI5owY4xgKT81w7ZE/edit#gid=546697419"",""2026-27!as3"")"),0.0)</f>
        <v>0</v>
      </c>
      <c r="CV90" s="64"/>
    </row>
    <row r="91">
      <c r="A91" s="1" t="s">
        <v>160</v>
      </c>
      <c r="B91" s="41"/>
      <c r="C91" s="68" t="s">
        <v>180</v>
      </c>
      <c r="D91" s="54" t="s">
        <v>181</v>
      </c>
      <c r="E91" s="54">
        <v>9.931193499E9</v>
      </c>
      <c r="F91" s="80">
        <v>44198.0</v>
      </c>
      <c r="G91" s="66"/>
      <c r="H91" s="66"/>
      <c r="I91" s="57">
        <v>37500.0</v>
      </c>
      <c r="J91" s="58">
        <v>3500000.0</v>
      </c>
      <c r="K91" s="61">
        <f>IFERROR(__xludf.DUMMYFUNCTION("IMPORTRANGE(""https://docs.google.com/spreadsheets/d/1XawI1eeAYzxXaEtROeQ7asG4RKU9dbiD2rtpUdvB76A/edit#gid=2026585000"",""2026-27!A3"")"),65.0)</f>
        <v>65</v>
      </c>
      <c r="L91" s="61">
        <f>IFERROR(__xludf.DUMMYFUNCTION("IMPORTRANGE(""https://docs.google.com/spreadsheets/d/1XawI1eeAYzxXaEtROeQ7asG4RKU9dbiD2rtpUdvB76A/edit#gid=2026585000"",""2026-27!G4"")"),4.216E7)</f>
        <v>42160000</v>
      </c>
      <c r="M91" s="61">
        <f t="shared" si="97"/>
        <v>4361159.25</v>
      </c>
      <c r="N91" s="60">
        <f t="shared" si="98"/>
        <v>0.1418186195</v>
      </c>
      <c r="O91" s="61">
        <f t="shared" si="99"/>
        <v>5979073</v>
      </c>
      <c r="P91" s="59">
        <f>IFERROR(__xludf.DUMMYFUNCTION("IMPORTRANGE(""https://docs.google.com/spreadsheets/d/1XawI1eeAYzxXaEtROeQ7asG4RKU9dbiD2rtpUdvB76A/edit#gid=2026585000"",""2026-27!J4"")"),3450819.0)</f>
        <v>3450819</v>
      </c>
      <c r="Q91" s="59">
        <f>IFERROR(__xludf.DUMMYFUNCTION("IMPORTRANGE(""https://docs.google.com/spreadsheets/d/1XawI1eeAYzxXaEtROeQ7asG4RKU9dbiD2rtpUdvB76A/edit#gid=2026585000"",""2026-27!J3"")"),55.0)</f>
        <v>55</v>
      </c>
      <c r="R91" s="59">
        <f>IFERROR(__xludf.DUMMYFUNCTION("IMPORTRANGE(""https://docs.google.com/spreadsheets/d/1XawI1eeAYzxXaEtROeQ7asG4RKU9dbiD2rtpUdvB76A/edit#gid=2026585000"",""2026-27!K4"")"),170379.32)</f>
        <v>170379.32</v>
      </c>
      <c r="S91" s="59">
        <f>IFERROR(__xludf.DUMMYFUNCTION("IMPORTRANGE(""https://docs.google.com/spreadsheets/d/1XawI1eeAYzxXaEtROeQ7asG4RKU9dbiD2rtpUdvB76A/edit#gid=2026585000"",""2026-27!K3"")"),2.0)</f>
        <v>2</v>
      </c>
      <c r="T91" s="62">
        <f t="shared" si="100"/>
        <v>0.3210206041</v>
      </c>
      <c r="U91" s="59">
        <f>IFERROR(__xludf.DUMMYFUNCTION("IMPORTRANGE(""https://docs.google.com/spreadsheets/d/1XawI1eeAYzxXaEtROeQ7asG4RKU9dbiD2rtpUdvB76A/edit#gid=2026585000"",""2026-27!L4"")"),1107784.0)</f>
        <v>1107784</v>
      </c>
      <c r="V91" s="85">
        <f>IFERROR(__xludf.DUMMYFUNCTION("IMPORTRANGE(""https://docs.google.com/spreadsheets/d/1XawI1eeAYzxXaEtROeQ7asG4RKU9dbiD2rtpUdvB76A/edit#gid=2026585000"",""2026-27!L3"")"),29.0)</f>
        <v>29</v>
      </c>
      <c r="W91" s="59">
        <f>IFERROR(__xludf.DUMMYFUNCTION("IMPORTRANGE(""https://docs.google.com/spreadsheets/d/1XawI1eeAYzxXaEtROeQ7asG4RKU9dbiD2rtpUdvB76A/edit#gid=2026585000"",""2026-27!M4"")"),3450819.0)</f>
        <v>3450819</v>
      </c>
      <c r="X91" s="85">
        <f>IFERROR(__xludf.DUMMYFUNCTION("IMPORTRANGE(""https://docs.google.com/spreadsheets/d/1XawI1eeAYzxXaEtROeQ7asG4RKU9dbiD2rtpUdvB76A/edit#gid=2026585000"",""2026-27!M3"")"),55.0)</f>
        <v>55</v>
      </c>
      <c r="Y91" s="59">
        <f>IFERROR(__xludf.DUMMYFUNCTION("importrange(""https://docs.google.com/spreadsheets/d/1XawI1eeAYzxXaEtROeQ7asG4RKU9dbiD2rtpUdvB76A/edit#gid=2026585000"",""2026-27!n4"")"),1885464.7100000002)</f>
        <v>1885464.71</v>
      </c>
      <c r="Z91" s="59">
        <f>IFERROR(__xludf.DUMMYFUNCTION("importrange(""https://docs.google.com/spreadsheets/d/1XawI1eeAYzxXaEtROeQ7asG4RKU9dbiD2rtpUdvB76A/edit#gid=2026585000"",""2026-27!n3"")"),31.0)</f>
        <v>31</v>
      </c>
      <c r="AA91" s="62">
        <f t="shared" si="101"/>
        <v>0.5924550085</v>
      </c>
      <c r="AB91" s="59">
        <f>IFERROR(__xludf.DUMMYFUNCTION("importrange(""https://docs.google.com/spreadsheets/d/1XawI1eeAYzxXaEtROeQ7asG4RKU9dbiD2rtpUdvB76A/edit#gid=2026585000"",""2026-27!o4"")"),2044455.0)</f>
        <v>2044455</v>
      </c>
      <c r="AC91" s="59">
        <f>IFERROR(__xludf.DUMMYFUNCTION("importrange(""https://docs.google.com/spreadsheets/d/1XawI1eeAYzxXaEtROeQ7asG4RKU9dbiD2rtpUdvB76A/edit#gid=2026585000"",""2026-27!o3"")"),32.0)</f>
        <v>32</v>
      </c>
      <c r="AD91" s="59">
        <f>IFERROR(__xludf.DUMMYFUNCTION("importrange(""https://docs.google.com/spreadsheets/d/1XawI1eeAYzxXaEtROeQ7asG4RKU9dbiD2rtpUdvB76A/edit#gid=2026585000"",""2026-27!p4"")"),3450819.0)</f>
        <v>3450819</v>
      </c>
      <c r="AE91" s="59">
        <f>IFERROR(__xludf.DUMMYFUNCTION("importrange(""https://docs.google.com/spreadsheets/d/1XawI1eeAYzxXaEtROeQ7asG4RKU9dbiD2rtpUdvB76A/edit#gid=2026585000"",""2026-27!p3"")"),55.0)</f>
        <v>55</v>
      </c>
      <c r="AF91" s="59">
        <f>IFERROR(__xludf.DUMMYFUNCTION("importrange(""https://docs.google.com/spreadsheets/d/1XawI1eeAYzxXaEtROeQ7asG4RKU9dbiD2rtpUdvB76A/edit#gid=2026585000"",""2026-27!q4"")"),2305315.22)</f>
        <v>2305315.22</v>
      </c>
      <c r="AG91" s="59">
        <f>IFERROR(__xludf.DUMMYFUNCTION("importrange(""https://docs.google.com/spreadsheets/d/1XawI1eeAYzxXaEtROeQ7asG4RKU9dbiD2rtpUdvB76A/edit#gid=2026585000"",""2026-27!q3"")"),28.0)</f>
        <v>28</v>
      </c>
      <c r="AH91" s="62">
        <f t="shared" si="102"/>
        <v>0.8191777082</v>
      </c>
      <c r="AI91" s="59">
        <f>IFERROR(__xludf.DUMMYFUNCTION("importrange(""https://docs.google.com/spreadsheets/d/1XawI1eeAYzxXaEtROeQ7asG4RKU9dbiD2rtpUdvB76A/edit#gid=2026585000"",""2026-27!r4"")"),2826834.0)</f>
        <v>2826834</v>
      </c>
      <c r="AJ91" s="59">
        <f>IFERROR(__xludf.DUMMYFUNCTION("importrange(""https://docs.google.com/spreadsheets/d/1XawI1eeAYzxXaEtROeQ7asG4RKU9dbiD2rtpUdvB76A/edit#gid=2026585000"",""2026-27!r3"")"),41.0)</f>
        <v>41</v>
      </c>
      <c r="AK91" s="59">
        <f>IFERROR(__xludf.DUMMYFUNCTION("importrange(""https://docs.google.com/spreadsheets/d/1XawI1eeAYzxXaEtROeQ7asG4RKU9dbiD2rtpUdvB76A/edit#gid=2026585000"",""2026-27!s4"")"),3450819.0)</f>
        <v>3450819</v>
      </c>
      <c r="AL91" s="59">
        <f>IFERROR(__xludf.DUMMYFUNCTION("importrange(""https://docs.google.com/spreadsheets/d/1XawI1eeAYzxXaEtROeQ7asG4RKU9dbiD2rtpUdvB76A/edit#gid=2026585000"",""2026-27!s3"")"),55.0)</f>
        <v>55</v>
      </c>
      <c r="AM91" s="61">
        <f>IFERROR(__xludf.DUMMYFUNCTION("importrange(""https://docs.google.com/spreadsheets/d/1XawI1eeAYzxXaEtROeQ7asG4RKU9dbiD2rtpUdvB76A/edit#gid=2026585000"",""2026-27!t4"")"),0.0)</f>
        <v>0</v>
      </c>
      <c r="AN91" s="59">
        <f>IFERROR(__xludf.DUMMYFUNCTION("importrange(""https://docs.google.com/spreadsheets/d/1XawI1eeAYzxXaEtROeQ7asG4RKU9dbiD2rtpUdvB76A/edit#gid=2026585000"",""2026-27!t3"")"),0.0)</f>
        <v>0</v>
      </c>
      <c r="AO91" s="62">
        <f t="shared" si="103"/>
        <v>0</v>
      </c>
      <c r="AP91" s="59">
        <f>IFERROR(__xludf.DUMMYFUNCTION("importrange(""https://docs.google.com/spreadsheets/d/1XawI1eeAYzxXaEtROeQ7asG4RKU9dbiD2rtpUdvB76A/edit#gid=2026585000"",""2026-27!u4"")"),0.0)</f>
        <v>0</v>
      </c>
      <c r="AQ91" s="59">
        <f>IFERROR(__xludf.DUMMYFUNCTION("importrange(""https://docs.google.com/spreadsheets/d/1XawI1eeAYzxXaEtROeQ7asG4RKU9dbiD2rtpUdvB76A/edit#gid=2026585000"",""2026-27!u3"")"),0.0)</f>
        <v>0</v>
      </c>
      <c r="AR91" s="59">
        <f>IFERROR(__xludf.DUMMYFUNCTION("importrange(""https://docs.google.com/spreadsheets/d/1XawI1eeAYzxXaEtROeQ7asG4RKU9dbiD2rtpUdvB76A/edit#gid=2026585000"",""2026-27!v4"")"),3450819.0)</f>
        <v>3450819</v>
      </c>
      <c r="AS91" s="59">
        <f>IFERROR(__xludf.DUMMYFUNCTION("importrange(""https://docs.google.com/spreadsheets/d/1XawI1eeAYzxXaEtROeQ7asG4RKU9dbiD2rtpUdvB76A/edit#gid=2026585000"",""2026-27!v3"")"),55.0)</f>
        <v>55</v>
      </c>
      <c r="AT91" s="61">
        <f>IFERROR(__xludf.DUMMYFUNCTION("importrange(""https://docs.google.com/spreadsheets/d/1XawI1eeAYzxXaEtROeQ7asG4RKU9dbiD2rtpUdvB76A/edit#gid=2026585000"",""2026-27!w4"")"),0.0)</f>
        <v>0</v>
      </c>
      <c r="AU91" s="59">
        <f>IFERROR(__xludf.DUMMYFUNCTION("importrange(""https://docs.google.com/spreadsheets/d/1XawI1eeAYzxXaEtROeQ7asG4RKU9dbiD2rtpUdvB76A/edit#gid=2026585000"",""2026-27!w3"")"),0.0)</f>
        <v>0</v>
      </c>
      <c r="AV91" s="62">
        <f t="shared" si="104"/>
        <v>0</v>
      </c>
      <c r="AW91" s="59">
        <f>IFERROR(__xludf.DUMMYFUNCTION("importrange(""https://docs.google.com/spreadsheets/d/1XawI1eeAYzxXaEtROeQ7asG4RKU9dbiD2rtpUdvB76A/edit#gid=2026585000"",""2026-27!x4"")"),0.0)</f>
        <v>0</v>
      </c>
      <c r="AX91" s="59">
        <f>IFERROR(__xludf.DUMMYFUNCTION("importrange(""https://docs.google.com/spreadsheets/d/1XawI1eeAYzxXaEtROeQ7asG4RKU9dbiD2rtpUdvB76A/edit#gid=2026585000"",""2026-27!x3"")"),0.0)</f>
        <v>0</v>
      </c>
      <c r="AY91" s="59">
        <f>IFERROR(__xludf.DUMMYFUNCTION("importrange(""https://docs.google.com/spreadsheets/d/1XawI1eeAYzxXaEtROeQ7asG4RKU9dbiD2rtpUdvB76A/edit#gid=2026585000"",""2026-27!y4"")"),3450819.0)</f>
        <v>3450819</v>
      </c>
      <c r="AZ91" s="59">
        <f>IFERROR(__xludf.DUMMYFUNCTION("importrange(""https://docs.google.com/spreadsheets/d/1XawI1eeAYzxXaEtROeQ7asG4RKU9dbiD2rtpUdvB76A/edit#gid=2026585000"",""2026-27!y3"")"),55.0)</f>
        <v>55</v>
      </c>
      <c r="BA91" s="61">
        <f>IFERROR(__xludf.DUMMYFUNCTION("importrange(""https://docs.google.com/spreadsheets/d/1XawI1eeAYzxXaEtROeQ7asG4RKU9dbiD2rtpUdvB76A/edit#gid=2026585000"",""2026-27!z4"")"),0.0)</f>
        <v>0</v>
      </c>
      <c r="BB91" s="59">
        <f>IFERROR(__xludf.DUMMYFUNCTION("importrange(""https://docs.google.com/spreadsheets/d/1XawI1eeAYzxXaEtROeQ7asG4RKU9dbiD2rtpUdvB76A/edit#gid=2026585000"",""2026-27!z3"")"),0.0)</f>
        <v>0</v>
      </c>
      <c r="BC91" s="63">
        <f t="shared" si="105"/>
        <v>0</v>
      </c>
      <c r="BD91" s="59">
        <f>IFERROR(__xludf.DUMMYFUNCTION("importrange(""https://docs.google.com/spreadsheets/d/1XawI1eeAYzxXaEtROeQ7asG4RKU9dbiD2rtpUdvB76A/edit#gid=2026585000"",""2026-27!aa4"")"),0.0)</f>
        <v>0</v>
      </c>
      <c r="BE91" s="59">
        <f>IFERROR(__xludf.DUMMYFUNCTION("importrange(""https://docs.google.com/spreadsheets/d/1XawI1eeAYzxXaEtROeQ7asG4RKU9dbiD2rtpUdvB76A/edit#gid=2026585000"",""2026-27!aa3"")"),0.0)</f>
        <v>0</v>
      </c>
      <c r="BF91" s="59">
        <f>IFERROR(__xludf.DUMMYFUNCTION("importrange(""https://docs.google.com/spreadsheets/d/1XawI1eeAYzxXaEtROeQ7asG4RKU9dbiD2rtpUdvB76A/edit#gid=2026585000"",""2026-27!ab4"")"),3450819.0)</f>
        <v>3450819</v>
      </c>
      <c r="BG91" s="59">
        <f>IFERROR(__xludf.DUMMYFUNCTION("importrange(""https://docs.google.com/spreadsheets/d/1XawI1eeAYzxXaEtROeQ7asG4RKU9dbiD2rtpUdvB76A/edit#gid=2026585000"",""2026-27!ab3"")"),55.0)</f>
        <v>55</v>
      </c>
      <c r="BH91" s="59">
        <f>IFERROR(__xludf.DUMMYFUNCTION("importrange(""https://docs.google.com/spreadsheets/d/1XawI1eeAYzxXaEtROeQ7asG4RKU9dbiD2rtpUdvB76A/edit#gid=2026585000"",""2026-27!ac4"")"),0.0)</f>
        <v>0</v>
      </c>
      <c r="BI91" s="59">
        <f>IFERROR(__xludf.DUMMYFUNCTION("importrange(""https://docs.google.com/spreadsheets/d/1XawI1eeAYzxXaEtROeQ7asG4RKU9dbiD2rtpUdvB76A/edit#gid=2026585000"",""2026-27!ac3"")"),0.0)</f>
        <v>0</v>
      </c>
      <c r="BJ91" s="63">
        <f t="shared" si="106"/>
        <v>0</v>
      </c>
      <c r="BK91" s="59">
        <f>IFERROR(__xludf.DUMMYFUNCTION("importrange(""https://docs.google.com/spreadsheets/d/1XawI1eeAYzxXaEtROeQ7asG4RKU9dbiD2rtpUdvB76A/edit#gid=2026585000"",""2026-27!ad4"")"),0.0)</f>
        <v>0</v>
      </c>
      <c r="BL91" s="59">
        <f>IFERROR(__xludf.DUMMYFUNCTION("importrange(""https://docs.google.com/spreadsheets/d/1XawI1eeAYzxXaEtROeQ7asG4RKU9dbiD2rtpUdvB76A/edit#gid=2026585000"",""2026-27!ad3"")"),0.0)</f>
        <v>0</v>
      </c>
      <c r="BM91" s="59">
        <f>IFERROR(__xludf.DUMMYFUNCTION("importrange(""https://docs.google.com/spreadsheets/d/1XawI1eeAYzxXaEtROeQ7asG4RKU9dbiD2rtpUdvB76A/edit#gid=2026585000"",""2026-27!ae4"")"),3450819.0)</f>
        <v>3450819</v>
      </c>
      <c r="BN91" s="59">
        <f>IFERROR(__xludf.DUMMYFUNCTION("importrange(""https://docs.google.com/spreadsheets/d/1XawI1eeAYzxXaEtROeQ7asG4RKU9dbiD2rtpUdvB76A/edit#gid=2026585000"",""2026-27!ae3"")"),55.0)</f>
        <v>55</v>
      </c>
      <c r="BO91" s="59">
        <f>IFERROR(__xludf.DUMMYFUNCTION("importrange(""https://docs.google.com/spreadsheets/d/1XawI1eeAYzxXaEtROeQ7asG4RKU9dbiD2rtpUdvB76A/edit#gid=2026585000"",""2026-27!af4"")"),0.0)</f>
        <v>0</v>
      </c>
      <c r="BP91" s="59">
        <f>IFERROR(__xludf.DUMMYFUNCTION("importrange(""https://docs.google.com/spreadsheets/d/1XawI1eeAYzxXaEtROeQ7asG4RKU9dbiD2rtpUdvB76A/edit#gid=2026585000"",""2026-27!af3"")"),0.0)</f>
        <v>0</v>
      </c>
      <c r="BQ91" s="63">
        <f t="shared" si="107"/>
        <v>0</v>
      </c>
      <c r="BR91" s="59">
        <f>IFERROR(__xludf.DUMMYFUNCTION("importrange(""https://docs.google.com/spreadsheets/d/1XawI1eeAYzxXaEtROeQ7asG4RKU9dbiD2rtpUdvB76A/edit#gid=2026585000"",""2026-27!ag4"")"),0.0)</f>
        <v>0</v>
      </c>
      <c r="BS91" s="59">
        <f>IFERROR(__xludf.DUMMYFUNCTION("importrange(""https://docs.google.com/spreadsheets/d/1XawI1eeAYzxXaEtROeQ7asG4RKU9dbiD2rtpUdvB76A/edit#gid=2026585000"",""2026-27!ag3"")"),0.0)</f>
        <v>0</v>
      </c>
      <c r="BT91" s="59">
        <f>IFERROR(__xludf.DUMMYFUNCTION("importrange(""https://docs.google.com/spreadsheets/d/1XawI1eeAYzxXaEtROeQ7asG4RKU9dbiD2rtpUdvB76A/edit#gid=2026585000"",""2026-27!ah4"")"),3450819.0)</f>
        <v>3450819</v>
      </c>
      <c r="BU91" s="59">
        <f>IFERROR(__xludf.DUMMYFUNCTION("importrange(""https://docs.google.com/spreadsheets/d/1XawI1eeAYzxXaEtROeQ7asG4RKU9dbiD2rtpUdvB76A/edit#gid=2026585000"",""2026-27!ah3"")"),55.0)</f>
        <v>55</v>
      </c>
      <c r="BV91" s="59">
        <f>IFERROR(__xludf.DUMMYFUNCTION("importrange(""https://docs.google.com/spreadsheets/d/1XawI1eeAYzxXaEtROeQ7asG4RKU9dbiD2rtpUdvB76A/edit#gid=2026585000"",""2026-27!ai4"")"),0.0)</f>
        <v>0</v>
      </c>
      <c r="BW91" s="59">
        <f>IFERROR(__xludf.DUMMYFUNCTION("importrange(""https://docs.google.com/spreadsheets/d/1XawI1eeAYzxXaEtROeQ7asG4RKU9dbiD2rtpUdvB76A/edit#gid=2026585000"",""2026-27!ai3"")"),0.0)</f>
        <v>0</v>
      </c>
      <c r="BX91" s="63">
        <f t="shared" si="108"/>
        <v>0</v>
      </c>
      <c r="BY91" s="59">
        <f>IFERROR(__xludf.DUMMYFUNCTION("importrange(""https://docs.google.com/spreadsheets/d/1XawI1eeAYzxXaEtROeQ7asG4RKU9dbiD2rtpUdvB76A/edit#gid=2026585000"",""2026-27!aj4"")"),0.0)</f>
        <v>0</v>
      </c>
      <c r="BZ91" s="59">
        <f>IFERROR(__xludf.DUMMYFUNCTION("importrange(""https://docs.google.com/spreadsheets/d/1XawI1eeAYzxXaEtROeQ7asG4RKU9dbiD2rtpUdvB76A/edit#gid=2026585000"",""2026-27!aj3"")"),0.0)</f>
        <v>0</v>
      </c>
      <c r="CA91" s="59">
        <f>IFERROR(__xludf.DUMMYFUNCTION("importrange(""https://docs.google.com/spreadsheets/d/1XawI1eeAYzxXaEtROeQ7asG4RKU9dbiD2rtpUdvB76A/edit#gid=2026585000"",""2026-27!ak4"")"),3450819.0)</f>
        <v>3450819</v>
      </c>
      <c r="CB91" s="59">
        <f>IFERROR(__xludf.DUMMYFUNCTION("importrange(""https://docs.google.com/spreadsheets/d/1XawI1eeAYzxXaEtROeQ7asG4RKU9dbiD2rtpUdvB76A/edit#gid=2026585000"",""2026-27!ak3"")"),55.0)</f>
        <v>55</v>
      </c>
      <c r="CC91" s="59">
        <f>IFERROR(__xludf.DUMMYFUNCTION("importrange(""https://docs.google.com/spreadsheets/d/1XawI1eeAYzxXaEtROeQ7asG4RKU9dbiD2rtpUdvB76A/edit#gid=2026585000"",""2026-27!al4"")"),0.0)</f>
        <v>0</v>
      </c>
      <c r="CD91" s="59">
        <f>IFERROR(__xludf.DUMMYFUNCTION("importrange(""https://docs.google.com/spreadsheets/d/1XawI1eeAYzxXaEtROeQ7asG4RKU9dbiD2rtpUdvB76A/edit#gid=2026585000"",""2026-27!ai3"")"),0.0)</f>
        <v>0</v>
      </c>
      <c r="CE91" s="63">
        <f t="shared" si="109"/>
        <v>0</v>
      </c>
      <c r="CF91" s="59">
        <f>IFERROR(__xludf.DUMMYFUNCTION("importrange(""https://docs.google.com/spreadsheets/d/1XawI1eeAYzxXaEtROeQ7asG4RKU9dbiD2rtpUdvB76A/edit#gid=2026585000"",""2026-27!am4"")"),0.0)</f>
        <v>0</v>
      </c>
      <c r="CG91" s="59">
        <f>IFERROR(__xludf.DUMMYFUNCTION("importrange(""https://docs.google.com/spreadsheets/d/1XawI1eeAYzxXaEtROeQ7asG4RKU9dbiD2rtpUdvB76A/edit#gid=2026585000"",""2026-27!am3"")"),0.0)</f>
        <v>0</v>
      </c>
      <c r="CH91" s="59">
        <f>IFERROR(__xludf.DUMMYFUNCTION("importrange(""https://docs.google.com/spreadsheets/d/1XawI1eeAYzxXaEtROeQ7asG4RKU9dbiD2rtpUdvB76A/edit#gid=2026585000"",""2026-27!an4"")"),3450819.0)</f>
        <v>3450819</v>
      </c>
      <c r="CI91" s="59">
        <f>IFERROR(__xludf.DUMMYFUNCTION("importrange(""https://docs.google.com/spreadsheets/d/1XawI1eeAYzxXaEtROeQ7asG4RKU9dbiD2rtpUdvB76A/edit#gid=2026585000"",""2026-27!an3"")"),55.0)</f>
        <v>55</v>
      </c>
      <c r="CJ91" s="59">
        <f>IFERROR(__xludf.DUMMYFUNCTION("importrange(""https://docs.google.com/spreadsheets/d/1XawI1eeAYzxXaEtROeQ7asG4RKU9dbiD2rtpUdvB76A/edit#gid=2026585000"",""2026-27!ao4"")"),0.0)</f>
        <v>0</v>
      </c>
      <c r="CK91" s="59">
        <f>IFERROR(__xludf.DUMMYFUNCTION("importrange(""https://docs.google.com/spreadsheets/d/1XawI1eeAYzxXaEtROeQ7asG4RKU9dbiD2rtpUdvB76A/edit#gid=2026585000"",""2026-27!ao3"")"),0.0)</f>
        <v>0</v>
      </c>
      <c r="CL91" s="63">
        <f t="shared" si="110"/>
        <v>0</v>
      </c>
      <c r="CM91" s="59">
        <f>IFERROR(__xludf.DUMMYFUNCTION("importrange(""https://docs.google.com/spreadsheets/d/1XawI1eeAYzxXaEtROeQ7asG4RKU9dbiD2rtpUdvB76A/edit#gid=2026585000"",""2026-27!ap4"")"),0.0)</f>
        <v>0</v>
      </c>
      <c r="CN91" s="59">
        <f>IFERROR(__xludf.DUMMYFUNCTION("importrange(""https://docs.google.com/spreadsheets/d/1XawI1eeAYzxXaEtROeQ7asG4RKU9dbiD2rtpUdvB76A/edit#gid=2026585000"",""2026-27!ap3"")"),0.0)</f>
        <v>0</v>
      </c>
      <c r="CO91" s="59">
        <f>IFERROR(__xludf.DUMMYFUNCTION("importrange(""https://docs.google.com/spreadsheets/d/1XawI1eeAYzxXaEtROeQ7asG4RKU9dbiD2rtpUdvB76A/edit#gid=2026585000"",""2026-27!aq4"")"),3450819.0)</f>
        <v>3450819</v>
      </c>
      <c r="CP91" s="59">
        <f>IFERROR(__xludf.DUMMYFUNCTION("importrange(""https://docs.google.com/spreadsheets/d/1XawI1eeAYzxXaEtROeQ7asG4RKU9dbiD2rtpUdvB76A/edit#gid=2026585000"",""2026-27!aq3"")"),55.0)</f>
        <v>55</v>
      </c>
      <c r="CQ91" s="59">
        <f>IFERROR(__xludf.DUMMYFUNCTION("importrange(""https://docs.google.com/spreadsheets/d/1XawI1eeAYzxXaEtROeQ7asG4RKU9dbiD2rtpUdvB76A/edit#gid=2026585000"",""2026-27!ar4"")"),0.0)</f>
        <v>0</v>
      </c>
      <c r="CR91" s="59">
        <f>IFERROR(__xludf.DUMMYFUNCTION("importrange(""https://docs.google.com/spreadsheets/d/1XawI1eeAYzxXaEtROeQ7asG4RKU9dbiD2rtpUdvB76A/edit#gid=2026585000"",""2026-27!ar3"")"),0.0)</f>
        <v>0</v>
      </c>
      <c r="CS91" s="63">
        <f t="shared" si="111"/>
        <v>0</v>
      </c>
      <c r="CT91" s="59">
        <f>IFERROR(__xludf.DUMMYFUNCTION("importrange(""https://docs.google.com/spreadsheets/d/1XawI1eeAYzxXaEtROeQ7asG4RKU9dbiD2rtpUdvB76A/edit#gid=2026585000"",""2026-27!as4"")"),0.0)</f>
        <v>0</v>
      </c>
      <c r="CU91" s="59">
        <f>IFERROR(__xludf.DUMMYFUNCTION("importrange(""https://docs.google.com/spreadsheets/d/1XawI1eeAYzxXaEtROeQ7asG4RKU9dbiD2rtpUdvB76A/edit#gid=2026585000"",""2026-27!as3"")"),0.0)</f>
        <v>0</v>
      </c>
      <c r="CV91" s="64"/>
    </row>
    <row r="92">
      <c r="A92" s="1" t="s">
        <v>160</v>
      </c>
      <c r="B92" s="41"/>
      <c r="C92" s="68" t="s">
        <v>182</v>
      </c>
      <c r="D92" s="54" t="s">
        <v>183</v>
      </c>
      <c r="E92" s="54">
        <v>6.201523763E9</v>
      </c>
      <c r="F92" s="80">
        <v>44424.0</v>
      </c>
      <c r="G92" s="66"/>
      <c r="H92" s="66"/>
      <c r="I92" s="57">
        <v>45080.0</v>
      </c>
      <c r="J92" s="58">
        <v>8416667.0</v>
      </c>
      <c r="K92" s="61">
        <f>IFERROR(__xludf.DUMMYFUNCTION("IMPORTRANGE(""https://docs.google.com/spreadsheets/d/1Qy4AhkrCwmDPPa9arKWOGV5jQtQ6fPEBUDl2sx_mLIg/edit#gid=1526067531"",""2026-27!A3"")"),68.0)</f>
        <v>68</v>
      </c>
      <c r="L92" s="61">
        <f>IFERROR(__xludf.DUMMYFUNCTION("IMPORTRANGE(""https://docs.google.com/spreadsheets/d/1Qy4AhkrCwmDPPa9arKWOGV5jQtQ6fPEBUDl2sx_mLIg/edit#gid=1526067531"",""2026-27!G4"")"),9.4068266E7)</f>
        <v>94068266</v>
      </c>
      <c r="M92" s="61">
        <f t="shared" si="97"/>
        <v>13364566.28</v>
      </c>
      <c r="N92" s="60">
        <f t="shared" si="98"/>
        <v>0.1230221252</v>
      </c>
      <c r="O92" s="61">
        <f t="shared" si="99"/>
        <v>11572478</v>
      </c>
      <c r="P92" s="59">
        <f>IFERROR(__xludf.DUMMYFUNCTION("IMPORTRANGE(""https://docs.google.com/spreadsheets/d/1Qy4AhkrCwmDPPa9arKWOGV5jQtQ6fPEBUDl2sx_mLIg/edit#gid=1526067531"",""2026-27!J4"")"),6598649.0)</f>
        <v>6598649</v>
      </c>
      <c r="Q92" s="59">
        <f>IFERROR(__xludf.DUMMYFUNCTION("IMPORTRANGE(""https://docs.google.com/spreadsheets/d/1Qy4AhkrCwmDPPa9arKWOGV5jQtQ6fPEBUDl2sx_mLIg/edit#gid=1526067531"",""2026-27!J3"")"),40.0)</f>
        <v>40</v>
      </c>
      <c r="R92" s="59">
        <f>IFERROR(__xludf.DUMMYFUNCTION("IMPORTRANGE(""https://docs.google.com/spreadsheets/d/1Qy4AhkrCwmDPPa9arKWOGV5jQtQ6fPEBUDl2sx_mLIg/edit#gid=1526067531"",""2026-27!K4"")"),3134132.1900000004)</f>
        <v>3134132.19</v>
      </c>
      <c r="S92" s="59">
        <f>IFERROR(__xludf.DUMMYFUNCTION("IMPORTRANGE(""https://docs.google.com/spreadsheets/d/1Qy4AhkrCwmDPPa9arKWOGV5jQtQ6fPEBUDl2sx_mLIg/edit#gid=1526067531"",""2026-27!K3"")"),31.0)</f>
        <v>31</v>
      </c>
      <c r="T92" s="62">
        <f t="shared" si="100"/>
        <v>0.7396597394</v>
      </c>
      <c r="U92" s="59">
        <f>IFERROR(__xludf.DUMMYFUNCTION("IMPORTRANGE(""https://docs.google.com/spreadsheets/d/1Qy4AhkrCwmDPPa9arKWOGV5jQtQ6fPEBUDl2sx_mLIg/edit#gid=1526067531"",""2026-27!L4"")"),4880755.0)</f>
        <v>4880755</v>
      </c>
      <c r="V92" s="85">
        <f>IFERROR(__xludf.DUMMYFUNCTION("IMPORTRANGE(""https://docs.google.com/spreadsheets/d/1Qy4AhkrCwmDPPa9arKWOGV5jQtQ6fPEBUDl2sx_mLIg/edit#gid=1526067531"",""2026-27!L3"")"),44.0)</f>
        <v>44</v>
      </c>
      <c r="W92" s="59">
        <f>IFERROR(__xludf.DUMMYFUNCTION("IMPORTRANGE(""https://docs.google.com/spreadsheets/d/1Qy4AhkrCwmDPPa9arKWOGV5jQtQ6fPEBUDl2sx_mLIg/edit#gid=1526067531"",""2026-27!M4"")"),7747004.0)</f>
        <v>7747004</v>
      </c>
      <c r="X92" s="85">
        <f>IFERROR(__xludf.DUMMYFUNCTION("IMPORTRANGE(""https://docs.google.com/spreadsheets/d/1Qy4AhkrCwmDPPa9arKWOGV5jQtQ6fPEBUDl2sx_mLIg/edit#gid=1526067531"",""2026-27!M3"")"),53.0)</f>
        <v>53</v>
      </c>
      <c r="Y92" s="59">
        <f>IFERROR(__xludf.DUMMYFUNCTION("importrange(""https://docs.google.com/spreadsheets/d/1Qy4AhkrCwmDPPa9arKWOGV5jQtQ6fPEBUDl2sx_mLIg/edit#gid=1526067531"",""2026-27!n4"")"),4927507.650000001)</f>
        <v>4927507.65</v>
      </c>
      <c r="Z92" s="59">
        <f>IFERROR(__xludf.DUMMYFUNCTION("importrange(""https://docs.google.com/spreadsheets/d/1Qy4AhkrCwmDPPa9arKWOGV5jQtQ6fPEBUDl2sx_mLIg/edit#gid=1526067531"",""2026-27!n3"")"),36.0)</f>
        <v>36</v>
      </c>
      <c r="AA92" s="62">
        <f t="shared" si="101"/>
        <v>0.8637820505</v>
      </c>
      <c r="AB92" s="59">
        <f>IFERROR(__xludf.DUMMYFUNCTION("importrange(""https://docs.google.com/spreadsheets/d/1Qy4AhkrCwmDPPa9arKWOGV5jQtQ6fPEBUDl2sx_mLIg/edit#gid=1526067531"",""2026-27!o4"")"),6691723.0)</f>
        <v>6691723</v>
      </c>
      <c r="AC92" s="59">
        <f>IFERROR(__xludf.DUMMYFUNCTION("importrange(""https://docs.google.com/spreadsheets/d/1Qy4AhkrCwmDPPa9arKWOGV5jQtQ6fPEBUDl2sx_mLIg/edit#gid=1526067531"",""2026-27!o3"")"),48.0)</f>
        <v>48</v>
      </c>
      <c r="AD92" s="59">
        <f>IFERROR(__xludf.DUMMYFUNCTION("importrange(""https://docs.google.com/spreadsheets/d/1Qy4AhkrCwmDPPa9arKWOGV5jQtQ6fPEBUDl2sx_mLIg/edit#gid=1526067531"",""2026-27!p4"")"),7290700.0)</f>
        <v>7290700</v>
      </c>
      <c r="AE92" s="59">
        <f>IFERROR(__xludf.DUMMYFUNCTION("importrange(""https://docs.google.com/spreadsheets/d/1Qy4AhkrCwmDPPa9arKWOGV5jQtQ6fPEBUDl2sx_mLIg/edit#gid=1526067531"",""2026-27!p3"")"),48.0)</f>
        <v>48</v>
      </c>
      <c r="AF92" s="59">
        <f>IFERROR(__xludf.DUMMYFUNCTION("importrange(""https://docs.google.com/spreadsheets/d/1Qy4AhkrCwmDPPa9arKWOGV5jQtQ6fPEBUDl2sx_mLIg/edit#gid=1526067531"",""2026-27!q4"")"),5302926.44)</f>
        <v>5302926.44</v>
      </c>
      <c r="AG92" s="59">
        <f>IFERROR(__xludf.DUMMYFUNCTION("importrange(""https://docs.google.com/spreadsheets/d/1Qy4AhkrCwmDPPa9arKWOGV5jQtQ6fPEBUDl2sx_mLIg/edit#gid=1526067531"",""2026-27!q3"")"),43.0)</f>
        <v>43</v>
      </c>
      <c r="AH92" s="62">
        <f t="shared" si="102"/>
        <v>0</v>
      </c>
      <c r="AI92" s="59">
        <f>IFERROR(__xludf.DUMMYFUNCTION("importrange(""https://docs.google.com/spreadsheets/d/1Qy4AhkrCwmDPPa9arKWOGV5jQtQ6fPEBUDl2sx_mLIg/edit#gid=1526067531"",""2026-27!r4"")"),0.0)</f>
        <v>0</v>
      </c>
      <c r="AJ92" s="59">
        <f>IFERROR(__xludf.DUMMYFUNCTION("importrange(""https://docs.google.com/spreadsheets/d/1Qy4AhkrCwmDPPa9arKWOGV5jQtQ6fPEBUDl2sx_mLIg/edit#gid=1526067531"",""2026-27!r3"")"),0.0)</f>
        <v>0</v>
      </c>
      <c r="AK92" s="59">
        <f>IFERROR(__xludf.DUMMYFUNCTION("importrange(""https://docs.google.com/spreadsheets/d/1Qy4AhkrCwmDPPa9arKWOGV5jQtQ6fPEBUDl2sx_mLIg/edit#gid=1526067531"",""2026-27!s4"")"),6614302.0)</f>
        <v>6614302</v>
      </c>
      <c r="AL92" s="59">
        <f>IFERROR(__xludf.DUMMYFUNCTION("importrange(""https://docs.google.com/spreadsheets/d/1Qy4AhkrCwmDPPa9arKWOGV5jQtQ6fPEBUDl2sx_mLIg/edit#gid=1526067531"",""2026-27!s3"")"),41.0)</f>
        <v>41</v>
      </c>
      <c r="AM92" s="61">
        <f>IFERROR(__xludf.DUMMYFUNCTION("importrange(""https://docs.google.com/spreadsheets/d/1Qy4AhkrCwmDPPa9arKWOGV5jQtQ6fPEBUDl2sx_mLIg/edit#gid=1526067531"",""2026-27!t4"")"),0.0)</f>
        <v>0</v>
      </c>
      <c r="AN92" s="59">
        <f>IFERROR(__xludf.DUMMYFUNCTION("importrange(""https://docs.google.com/spreadsheets/d/1Qy4AhkrCwmDPPa9arKWOGV5jQtQ6fPEBUDl2sx_mLIg/edit#gid=1526067531"",""2026-27!t3"")"),0.0)</f>
        <v>0</v>
      </c>
      <c r="AO92" s="62">
        <f t="shared" si="103"/>
        <v>0</v>
      </c>
      <c r="AP92" s="59">
        <f>IFERROR(__xludf.DUMMYFUNCTION("importrange(""https://docs.google.com/spreadsheets/d/1Qy4AhkrCwmDPPa9arKWOGV5jQtQ6fPEBUDl2sx_mLIg/edit#gid=1526067531"",""2026-27!u4"")"),0.0)</f>
        <v>0</v>
      </c>
      <c r="AQ92" s="59">
        <f>IFERROR(__xludf.DUMMYFUNCTION("importrange(""https://docs.google.com/spreadsheets/d/1Qy4AhkrCwmDPPa9arKWOGV5jQtQ6fPEBUDl2sx_mLIg/edit#gid=1526067531"",""2026-27!u3"")"),0.0)</f>
        <v>0</v>
      </c>
      <c r="AR92" s="59">
        <f>IFERROR(__xludf.DUMMYFUNCTION("importrange(""https://docs.google.com/spreadsheets/d/1Qy4AhkrCwmDPPa9arKWOGV5jQtQ6fPEBUDl2sx_mLIg/edit#gid=1526067531"",""2026-27!v4"")"),8314614.0)</f>
        <v>8314614</v>
      </c>
      <c r="AS92" s="59">
        <f>IFERROR(__xludf.DUMMYFUNCTION("importrange(""https://docs.google.com/spreadsheets/d/1Qy4AhkrCwmDPPa9arKWOGV5jQtQ6fPEBUDl2sx_mLIg/edit#gid=1526067531"",""2026-27!v3"")"),52.0)</f>
        <v>52</v>
      </c>
      <c r="AT92" s="61">
        <f>IFERROR(__xludf.DUMMYFUNCTION("importrange(""https://docs.google.com/spreadsheets/d/1Qy4AhkrCwmDPPa9arKWOGV5jQtQ6fPEBUDl2sx_mLIg/edit#gid=1526067531"",""2026-27!w4"")"),0.0)</f>
        <v>0</v>
      </c>
      <c r="AU92" s="59">
        <f>IFERROR(__xludf.DUMMYFUNCTION("importrange(""https://docs.google.com/spreadsheets/d/1Qy4AhkrCwmDPPa9arKWOGV5jQtQ6fPEBUDl2sx_mLIg/edit#gid=1526067531"",""2026-27!w3"")"),0.0)</f>
        <v>0</v>
      </c>
      <c r="AV92" s="62">
        <f t="shared" si="104"/>
        <v>0</v>
      </c>
      <c r="AW92" s="59">
        <f>IFERROR(__xludf.DUMMYFUNCTION("importrange(""https://docs.google.com/spreadsheets/d/1Qy4AhkrCwmDPPa9arKWOGV5jQtQ6fPEBUDl2sx_mLIg/edit#gid=1526067531"",""2026-27!x4"")"),0.0)</f>
        <v>0</v>
      </c>
      <c r="AX92" s="59">
        <f>IFERROR(__xludf.DUMMYFUNCTION("importrange(""https://docs.google.com/spreadsheets/d/1Qy4AhkrCwmDPPa9arKWOGV5jQtQ6fPEBUDl2sx_mLIg/edit#gid=1526067531"",""2026-27!x3"")"),0.0)</f>
        <v>0</v>
      </c>
      <c r="AY92" s="59">
        <f>IFERROR(__xludf.DUMMYFUNCTION("importrange(""https://docs.google.com/spreadsheets/d/1Qy4AhkrCwmDPPa9arKWOGV5jQtQ6fPEBUDl2sx_mLIg/edit#gid=1526067531"",""2026-27!y4"")"),9207925.0)</f>
        <v>9207925</v>
      </c>
      <c r="AZ92" s="59">
        <f>IFERROR(__xludf.DUMMYFUNCTION("importrange(""https://docs.google.com/spreadsheets/d/1Qy4AhkrCwmDPPa9arKWOGV5jQtQ6fPEBUDl2sx_mLIg/edit#gid=1526067531"",""2026-27!y3"")"),47.0)</f>
        <v>47</v>
      </c>
      <c r="BA92" s="61">
        <f>IFERROR(__xludf.DUMMYFUNCTION("importrange(""https://docs.google.com/spreadsheets/d/1Qy4AhkrCwmDPPa9arKWOGV5jQtQ6fPEBUDl2sx_mLIg/edit#gid=1526067531"",""2026-27!z4"")"),0.0)</f>
        <v>0</v>
      </c>
      <c r="BB92" s="59">
        <f>IFERROR(__xludf.DUMMYFUNCTION("importrange(""https://docs.google.com/spreadsheets/d/1Qy4AhkrCwmDPPa9arKWOGV5jQtQ6fPEBUDl2sx_mLIg/edit#gid=1526067531"",""2026-27!z3"")"),0.0)</f>
        <v>0</v>
      </c>
      <c r="BC92" s="63">
        <f t="shared" si="105"/>
        <v>0</v>
      </c>
      <c r="BD92" s="59">
        <f>IFERROR(__xludf.DUMMYFUNCTION("importrange(""https://docs.google.com/spreadsheets/d/1Qy4AhkrCwmDPPa9arKWOGV5jQtQ6fPEBUDl2sx_mLIg/edit#gid=1526067531"",""2026-27!aa4"")"),0.0)</f>
        <v>0</v>
      </c>
      <c r="BE92" s="59">
        <f>IFERROR(__xludf.DUMMYFUNCTION("importrange(""https://docs.google.com/spreadsheets/d/1Qy4AhkrCwmDPPa9arKWOGV5jQtQ6fPEBUDl2sx_mLIg/edit#gid=1526067531"",""2026-27!aa3"")"),0.0)</f>
        <v>0</v>
      </c>
      <c r="BF92" s="59">
        <f>IFERROR(__xludf.DUMMYFUNCTION("importrange(""https://docs.google.com/spreadsheets/d/1Qy4AhkrCwmDPPa9arKWOGV5jQtQ6fPEBUDl2sx_mLIg/edit#gid=1526067531"",""2026-27!ab4"")"),7242843.649999999)</f>
        <v>7242843.65</v>
      </c>
      <c r="BG92" s="59">
        <f>IFERROR(__xludf.DUMMYFUNCTION("importrange(""https://docs.google.com/spreadsheets/d/1Qy4AhkrCwmDPPa9arKWOGV5jQtQ6fPEBUDl2sx_mLIg/edit#gid=1526067531"",""2026-27!ab3"")"),52.0)</f>
        <v>52</v>
      </c>
      <c r="BH92" s="59">
        <f>IFERROR(__xludf.DUMMYFUNCTION("importrange(""https://docs.google.com/spreadsheets/d/1Qy4AhkrCwmDPPa9arKWOGV5jQtQ6fPEBUDl2sx_mLIg/edit#gid=1526067531"",""2026-27!ac4"")"),0.0)</f>
        <v>0</v>
      </c>
      <c r="BI92" s="59">
        <f>IFERROR(__xludf.DUMMYFUNCTION("importrange(""https://docs.google.com/spreadsheets/d/1Qy4AhkrCwmDPPa9arKWOGV5jQtQ6fPEBUDl2sx_mLIg/edit#gid=1526067531"",""2026-27!ac3"")"),0.0)</f>
        <v>0</v>
      </c>
      <c r="BJ92" s="63">
        <f t="shared" si="106"/>
        <v>0</v>
      </c>
      <c r="BK92" s="59">
        <f>IFERROR(__xludf.DUMMYFUNCTION("importrange(""https://docs.google.com/spreadsheets/d/1Qy4AhkrCwmDPPa9arKWOGV5jQtQ6fPEBUDl2sx_mLIg/edit#gid=1526067531"",""2026-27!ad4"")"),0.0)</f>
        <v>0</v>
      </c>
      <c r="BL92" s="59">
        <f>IFERROR(__xludf.DUMMYFUNCTION("importrange(""https://docs.google.com/spreadsheets/d/1Qy4AhkrCwmDPPa9arKWOGV5jQtQ6fPEBUDl2sx_mLIg/edit#gid=1526067531"",""2026-27!ad3"")"),0.0)</f>
        <v>0</v>
      </c>
      <c r="BM92" s="59">
        <f>IFERROR(__xludf.DUMMYFUNCTION("importrange(""https://docs.google.com/spreadsheets/d/1Qy4AhkrCwmDPPa9arKWOGV5jQtQ6fPEBUDl2sx_mLIg/edit#gid=1526067531"",""2026-27!ae4"")"),8674255.0)</f>
        <v>8674255</v>
      </c>
      <c r="BN92" s="59">
        <f>IFERROR(__xludf.DUMMYFUNCTION("importrange(""https://docs.google.com/spreadsheets/d/1Qy4AhkrCwmDPPa9arKWOGV5jQtQ6fPEBUDl2sx_mLIg/edit#gid=1526067531"",""2026-27!ae3"")"),55.0)</f>
        <v>55</v>
      </c>
      <c r="BO92" s="59">
        <f>IFERROR(__xludf.DUMMYFUNCTION("importrange(""https://docs.google.com/spreadsheets/d/1Qy4AhkrCwmDPPa9arKWOGV5jQtQ6fPEBUDl2sx_mLIg/edit#gid=1526067531"",""2026-27!af4"")"),0.0)</f>
        <v>0</v>
      </c>
      <c r="BP92" s="59">
        <f>IFERROR(__xludf.DUMMYFUNCTION("importrange(""https://docs.google.com/spreadsheets/d/1Qy4AhkrCwmDPPa9arKWOGV5jQtQ6fPEBUDl2sx_mLIg/edit#gid=1526067531"",""2026-27!af3"")"),0.0)</f>
        <v>0</v>
      </c>
      <c r="BQ92" s="63">
        <f t="shared" si="107"/>
        <v>0</v>
      </c>
      <c r="BR92" s="59">
        <f>IFERROR(__xludf.DUMMYFUNCTION("importrange(""https://docs.google.com/spreadsheets/d/1Qy4AhkrCwmDPPa9arKWOGV5jQtQ6fPEBUDl2sx_mLIg/edit#gid=1526067531"",""2026-27!ag4"")"),0.0)</f>
        <v>0</v>
      </c>
      <c r="BS92" s="59">
        <f>IFERROR(__xludf.DUMMYFUNCTION("importrange(""https://docs.google.com/spreadsheets/d/1Qy4AhkrCwmDPPa9arKWOGV5jQtQ6fPEBUDl2sx_mLIg/edit#gid=1526067531"",""2026-27!ag3"")"),0.0)</f>
        <v>0</v>
      </c>
      <c r="BT92" s="59">
        <f>IFERROR(__xludf.DUMMYFUNCTION("importrange(""https://docs.google.com/spreadsheets/d/1Qy4AhkrCwmDPPa9arKWOGV5jQtQ6fPEBUDl2sx_mLIg/edit#gid=1526067531"",""2026-27!ah4"")"),1.0025749E7)</f>
        <v>10025749</v>
      </c>
      <c r="BU92" s="59">
        <f>IFERROR(__xludf.DUMMYFUNCTION("importrange(""https://docs.google.com/spreadsheets/d/1Qy4AhkrCwmDPPa9arKWOGV5jQtQ6fPEBUDl2sx_mLIg/edit#gid=1526067531"",""2026-27!ah3"")"),54.0)</f>
        <v>54</v>
      </c>
      <c r="BV92" s="59">
        <f>IFERROR(__xludf.DUMMYFUNCTION("importrange(""https://docs.google.com/spreadsheets/d/1Qy4AhkrCwmDPPa9arKWOGV5jQtQ6fPEBUDl2sx_mLIg/edit#gid=1526067531"",""2026-27!ai4"")"),0.0)</f>
        <v>0</v>
      </c>
      <c r="BW92" s="59">
        <f>IFERROR(__xludf.DUMMYFUNCTION("importrange(""https://docs.google.com/spreadsheets/d/1Qy4AhkrCwmDPPa9arKWOGV5jQtQ6fPEBUDl2sx_mLIg/edit#gid=1526067531"",""2026-27!ai3"")"),0.0)</f>
        <v>0</v>
      </c>
      <c r="BX92" s="63">
        <f t="shared" si="108"/>
        <v>0</v>
      </c>
      <c r="BY92" s="59">
        <f>IFERROR(__xludf.DUMMYFUNCTION("importrange(""https://docs.google.com/spreadsheets/d/1Qy4AhkrCwmDPPa9arKWOGV5jQtQ6fPEBUDl2sx_mLIg/edit#gid=1526067531"",""2026-27!aj4"")"),0.0)</f>
        <v>0</v>
      </c>
      <c r="BZ92" s="59">
        <f>IFERROR(__xludf.DUMMYFUNCTION("importrange(""https://docs.google.com/spreadsheets/d/1Qy4AhkrCwmDPPa9arKWOGV5jQtQ6fPEBUDl2sx_mLIg/edit#gid=1526067531"",""2026-27!aj3"")"),0.0)</f>
        <v>0</v>
      </c>
      <c r="CA92" s="59">
        <f>IFERROR(__xludf.DUMMYFUNCTION("importrange(""https://docs.google.com/spreadsheets/d/1Qy4AhkrCwmDPPa9arKWOGV5jQtQ6fPEBUDl2sx_mLIg/edit#gid=1526067531"",""2026-27!ak4"")"),9453974.0)</f>
        <v>9453974</v>
      </c>
      <c r="CB92" s="59">
        <f>IFERROR(__xludf.DUMMYFUNCTION("importrange(""https://docs.google.com/spreadsheets/d/1Qy4AhkrCwmDPPa9arKWOGV5jQtQ6fPEBUDl2sx_mLIg/edit#gid=1526067531"",""2026-27!ak3"")"),49.0)</f>
        <v>49</v>
      </c>
      <c r="CC92" s="59">
        <f>IFERROR(__xludf.DUMMYFUNCTION("importrange(""https://docs.google.com/spreadsheets/d/1Qy4AhkrCwmDPPa9arKWOGV5jQtQ6fPEBUDl2sx_mLIg/edit#gid=1526067531"",""2026-27!al4"")"),0.0)</f>
        <v>0</v>
      </c>
      <c r="CD92" s="59">
        <f>IFERROR(__xludf.DUMMYFUNCTION("importrange(""https://docs.google.com/spreadsheets/d/1Qy4AhkrCwmDPPa9arKWOGV5jQtQ6fPEBUDl2sx_mLIg/edit#gid=1526067531"",""2026-27!ai3"")"),0.0)</f>
        <v>0</v>
      </c>
      <c r="CE92" s="63">
        <f t="shared" si="109"/>
        <v>0</v>
      </c>
      <c r="CF92" s="59">
        <f>IFERROR(__xludf.DUMMYFUNCTION("importrange(""https://docs.google.com/spreadsheets/d/1Qy4AhkrCwmDPPa9arKWOGV5jQtQ6fPEBUDl2sx_mLIg/edit#gid=1526067531"",""2026-27!am4"")"),0.0)</f>
        <v>0</v>
      </c>
      <c r="CG92" s="59">
        <f>IFERROR(__xludf.DUMMYFUNCTION("importrange(""https://docs.google.com/spreadsheets/d/1Qy4AhkrCwmDPPa9arKWOGV5jQtQ6fPEBUDl2sx_mLIg/edit#gid=1526067531"",""2026-27!am3"")"),0.0)</f>
        <v>0</v>
      </c>
      <c r="CH92" s="59">
        <f>IFERROR(__xludf.DUMMYFUNCTION("importrange(""https://docs.google.com/spreadsheets/d/1Qy4AhkrCwmDPPa9arKWOGV5jQtQ6fPEBUDl2sx_mLIg/edit#gid=1526067531"",""2026-27!an4"")"),1.066236E7)</f>
        <v>10662360</v>
      </c>
      <c r="CI92" s="59">
        <f>IFERROR(__xludf.DUMMYFUNCTION("importrange(""https://docs.google.com/spreadsheets/d/1Qy4AhkrCwmDPPa9arKWOGV5jQtQ6fPEBUDl2sx_mLIg/edit#gid=1526067531"",""2026-27!an3"")"),50.0)</f>
        <v>50</v>
      </c>
      <c r="CJ92" s="59">
        <f>IFERROR(__xludf.DUMMYFUNCTION("importrange(""https://docs.google.com/spreadsheets/d/1Qy4AhkrCwmDPPa9arKWOGV5jQtQ6fPEBUDl2sx_mLIg/edit#gid=1526067531"",""2026-27!ao4"")"),0.0)</f>
        <v>0</v>
      </c>
      <c r="CK92" s="59">
        <f>IFERROR(__xludf.DUMMYFUNCTION("importrange(""https://docs.google.com/spreadsheets/d/1Qy4AhkrCwmDPPa9arKWOGV5jQtQ6fPEBUDl2sx_mLIg/edit#gid=1526067531"",""2026-27!ao3"")"),0.0)</f>
        <v>0</v>
      </c>
      <c r="CL92" s="63">
        <f t="shared" si="110"/>
        <v>0</v>
      </c>
      <c r="CM92" s="59">
        <f>IFERROR(__xludf.DUMMYFUNCTION("importrange(""https://docs.google.com/spreadsheets/d/1Qy4AhkrCwmDPPa9arKWOGV5jQtQ6fPEBUDl2sx_mLIg/edit#gid=1526067531"",""2026-27!ap4"")"),0.0)</f>
        <v>0</v>
      </c>
      <c r="CN92" s="59">
        <f>IFERROR(__xludf.DUMMYFUNCTION("importrange(""https://docs.google.com/spreadsheets/d/1Qy4AhkrCwmDPPa9arKWOGV5jQtQ6fPEBUDl2sx_mLIg/edit#gid=1526067531"",""2026-27!ap3"")"),0.0)</f>
        <v>0</v>
      </c>
      <c r="CO92" s="59">
        <f>IFERROR(__xludf.DUMMYFUNCTION("importrange(""https://docs.google.com/spreadsheets/d/1Qy4AhkrCwmDPPa9arKWOGV5jQtQ6fPEBUDl2sx_mLIg/edit#gid=1526067531"",""2026-27!aq4"")"),1.0343624E7)</f>
        <v>10343624</v>
      </c>
      <c r="CP92" s="59">
        <f>IFERROR(__xludf.DUMMYFUNCTION("importrange(""https://docs.google.com/spreadsheets/d/1Qy4AhkrCwmDPPa9arKWOGV5jQtQ6fPEBUDl2sx_mLIg/edit#gid=1526067531"",""2026-27!aq3"")"),52.0)</f>
        <v>52</v>
      </c>
      <c r="CQ92" s="59">
        <f>IFERROR(__xludf.DUMMYFUNCTION("importrange(""https://docs.google.com/spreadsheets/d/1Qy4AhkrCwmDPPa9arKWOGV5jQtQ6fPEBUDl2sx_mLIg/edit#gid=1526067531"",""2026-27!ar4"")"),0.0)</f>
        <v>0</v>
      </c>
      <c r="CR92" s="59">
        <f>IFERROR(__xludf.DUMMYFUNCTION("importrange(""https://docs.google.com/spreadsheets/d/1Qy4AhkrCwmDPPa9arKWOGV5jQtQ6fPEBUDl2sx_mLIg/edit#gid=1526067531"",""2026-27!ar3"")"),0.0)</f>
        <v>0</v>
      </c>
      <c r="CS92" s="63">
        <f t="shared" si="111"/>
        <v>0</v>
      </c>
      <c r="CT92" s="59">
        <f>IFERROR(__xludf.DUMMYFUNCTION("importrange(""https://docs.google.com/spreadsheets/d/1Qy4AhkrCwmDPPa9arKWOGV5jQtQ6fPEBUDl2sx_mLIg/edit#gid=1526067531"",""2026-27!as4"")"),0.0)</f>
        <v>0</v>
      </c>
      <c r="CU92" s="59">
        <f>IFERROR(__xludf.DUMMYFUNCTION("importrange(""https://docs.google.com/spreadsheets/d/1Qy4AhkrCwmDPPa9arKWOGV5jQtQ6fPEBUDl2sx_mLIg/edit#gid=1526067531"",""2026-27!as3"")"),0.0)</f>
        <v>0</v>
      </c>
      <c r="CV92" s="64"/>
    </row>
    <row r="93">
      <c r="A93" s="1" t="s">
        <v>160</v>
      </c>
      <c r="B93" s="41"/>
      <c r="C93" s="68" t="s">
        <v>184</v>
      </c>
      <c r="D93" s="72" t="s">
        <v>185</v>
      </c>
      <c r="E93" s="54">
        <v>8.825149163E9</v>
      </c>
      <c r="F93" s="84">
        <v>44396.0</v>
      </c>
      <c r="G93" s="66"/>
      <c r="H93" s="66"/>
      <c r="I93" s="57">
        <v>45167.0</v>
      </c>
      <c r="J93" s="58">
        <v>5916667.0</v>
      </c>
      <c r="K93" s="61">
        <f>IFERROR(__xludf.DUMMYFUNCTION("IMPORTRANGE(""https://docs.google.com/spreadsheets/d/1lrpW3ERBae84SZH5rLCIIaLpTHa8gnQDG_xpkiONU-Q/edit?gid=31348442#gid=31348442"",""2026-27!A3"")"),216.0)</f>
        <v>216</v>
      </c>
      <c r="L93" s="61">
        <f>IFERROR(__xludf.DUMMYFUNCTION("IMPORTRANGE(""https://docs.google.com/spreadsheets/d/1lrpW3ERBae84SZH5rLCIIaLpTHa8gnQDG_xpkiONU-Q/edit?gid=31348442#gid=31348442"",""2026-27!G4"")"),7.933E7)</f>
        <v>79330000</v>
      </c>
      <c r="M93" s="61">
        <f t="shared" si="97"/>
        <v>10623118.47</v>
      </c>
      <c r="N93" s="60">
        <f t="shared" si="98"/>
        <v>0.1237699735</v>
      </c>
      <c r="O93" s="61">
        <f t="shared" si="99"/>
        <v>9818672</v>
      </c>
      <c r="P93" s="59">
        <f>IFERROR(__xludf.DUMMYFUNCTION("IMPORTRANGE(""https://docs.google.com/spreadsheets/d/1lrpW3ERBae84SZH5rLCIIaLpTHa8gnQDG_xpkiONU-Q/edit?gid=31348442#gid=31348442"",""2026-27!J4"")"),6719166.580000003)</f>
        <v>6719166.58</v>
      </c>
      <c r="Q93" s="59">
        <f>IFERROR(__xludf.DUMMYFUNCTION("IMPORTRANGE(""https://docs.google.com/spreadsheets/d/1lrpW3ERBae84SZH5rLCIIaLpTHa8gnQDG_xpkiONU-Q/edit?gid=31348442#gid=31348442"",""2026-27!J3"")"),113.0)</f>
        <v>113</v>
      </c>
      <c r="R93" s="59">
        <f>IFERROR(__xludf.DUMMYFUNCTION("IMPORTRANGE(""https://docs.google.com/spreadsheets/d/1lrpW3ERBae84SZH5rLCIIaLpTHa8gnQDG_xpkiONU-Q/edit?gid=31348442#gid=31348442"",""2026-27!K4"")"),1622056.89)</f>
        <v>1622056.89</v>
      </c>
      <c r="S93" s="59">
        <f>IFERROR(__xludf.DUMMYFUNCTION("IMPORTRANGE(""https://docs.google.com/spreadsheets/d/1lrpW3ERBae84SZH5rLCIIaLpTHa8gnQDG_xpkiONU-Q/edit?gid=31348442#gid=31348442"",""2026-27!K3"")"),20.0)</f>
        <v>20</v>
      </c>
      <c r="T93" s="62">
        <f t="shared" si="100"/>
        <v>0.6797412961</v>
      </c>
      <c r="U93" s="59">
        <f>IFERROR(__xludf.DUMMYFUNCTION("IMPORTRANGE(""https://docs.google.com/spreadsheets/d/1lrpW3ERBae84SZH5rLCIIaLpTHa8gnQDG_xpkiONU-Q/edit?gid=31348442#gid=31348442"",""2026-27!L4"")"),4567295.0)</f>
        <v>4567295</v>
      </c>
      <c r="V93" s="85">
        <f>IFERROR(__xludf.DUMMYFUNCTION("IMPORTRANGE(""https://docs.google.com/spreadsheets/d/1lrpW3ERBae84SZH5rLCIIaLpTHa8gnQDG_xpkiONU-Q/edit?gid=31348442#gid=31348442"",""2026-27!L3"")"),55.0)</f>
        <v>55</v>
      </c>
      <c r="W93" s="59">
        <f>IFERROR(__xludf.DUMMYFUNCTION("IMPORTRANGE(""https://docs.google.com/spreadsheets/d/1lrpW3ERBae84SZH5rLCIIaLpTHa8gnQDG_xpkiONU-Q/edit?gid=31348442#gid=31348442"",""2026-27!M4"")"),6719166.580000003)</f>
        <v>6719166.58</v>
      </c>
      <c r="X93" s="85">
        <f>IFERROR(__xludf.DUMMYFUNCTION("IMPORTRANGE(""https://docs.google.com/spreadsheets/d/1lrpW3ERBae84SZH5rLCIIaLpTHa8gnQDG_xpkiONU-Q/edit?gid=31348442#gid=31348442"",""2026-27!M3"")"),113.0)</f>
        <v>113</v>
      </c>
      <c r="Y93" s="59">
        <f>IFERROR(__xludf.DUMMYFUNCTION("importrange(""https://docs.google.com/spreadsheets/d/1lrpW3ERBae84SZH5rLCIIaLpTHa8gnQDG_xpkiONU-Q/edit?gid=31348442#gid=31348442"",""2026-27!n4"")"),4173342.86)</f>
        <v>4173342.86</v>
      </c>
      <c r="Z93" s="59">
        <f>IFERROR(__xludf.DUMMYFUNCTION("importrange(""https://docs.google.com/spreadsheets/d/1lrpW3ERBae84SZH5rLCIIaLpTHa8gnQDG_xpkiONU-Q/edit?gid=31348442#gid=31348442"",""2026-27!n3"")"),37.0)</f>
        <v>37</v>
      </c>
      <c r="AA93" s="62">
        <f t="shared" si="101"/>
        <v>0.7815518394</v>
      </c>
      <c r="AB93" s="59">
        <f>IFERROR(__xludf.DUMMYFUNCTION("importrange(""https://docs.google.com/spreadsheets/d/1lrpW3ERBae84SZH5rLCIIaLpTHa8gnQDG_xpkiONU-Q/edit?gid=31348442#gid=31348442"",""2026-27!o4"")"),5251377.0)</f>
        <v>5251377</v>
      </c>
      <c r="AC93" s="59">
        <f>IFERROR(__xludf.DUMMYFUNCTION("importrange(""https://docs.google.com/spreadsheets/d/1lrpW3ERBae84SZH5rLCIIaLpTHa8gnQDG_xpkiONU-Q/edit?gid=31348442#gid=31348442"",""2026-27!o3"")"),43.0)</f>
        <v>43</v>
      </c>
      <c r="AD93" s="59">
        <f>IFERROR(__xludf.DUMMYFUNCTION("importrange(""https://docs.google.com/spreadsheets/d/1lrpW3ERBae84SZH5rLCIIaLpTHa8gnQDG_xpkiONU-Q/edit?gid=31348442#gid=31348442"",""2026-27!p4"")"),6719166.580000003)</f>
        <v>6719166.58</v>
      </c>
      <c r="AE93" s="59">
        <f>IFERROR(__xludf.DUMMYFUNCTION("importrange(""https://docs.google.com/spreadsheets/d/1lrpW3ERBae84SZH5rLCIIaLpTHa8gnQDG_xpkiONU-Q/edit?gid=31348442#gid=31348442"",""2026-27!p3"")"),113.0)</f>
        <v>113</v>
      </c>
      <c r="AF93" s="59">
        <f>IFERROR(__xludf.DUMMYFUNCTION("importrange(""https://docs.google.com/spreadsheets/d/1lrpW3ERBae84SZH5rLCIIaLpTHa8gnQDG_xpkiONU-Q/edit?gid=31348442#gid=31348442"",""2026-27!q4"")"),4827718.719999999)</f>
        <v>4827718.72</v>
      </c>
      <c r="AG93" s="59">
        <f>IFERROR(__xludf.DUMMYFUNCTION("importrange(""https://docs.google.com/spreadsheets/d/1lrpW3ERBae84SZH5rLCIIaLpTHa8gnQDG_xpkiONU-Q/edit?gid=31348442#gid=31348442"",""2026-27!q3"")"),39.0)</f>
        <v>39</v>
      </c>
      <c r="AH93" s="62">
        <f t="shared" si="102"/>
        <v>0</v>
      </c>
      <c r="AI93" s="59">
        <f>IFERROR(__xludf.DUMMYFUNCTION("importrange(""https://docs.google.com/spreadsheets/d/1lrpW3ERBae84SZH5rLCIIaLpTHa8gnQDG_xpkiONU-Q/edit?gid=31348442#gid=31348442"",""2026-27!r4"")"),0.0)</f>
        <v>0</v>
      </c>
      <c r="AJ93" s="59">
        <f>IFERROR(__xludf.DUMMYFUNCTION("importrange(""https://docs.google.com/spreadsheets/d/1lrpW3ERBae84SZH5rLCIIaLpTHa8gnQDG_xpkiONU-Q/edit?gid=31348442#gid=31348442"",""2026-27!r3"")"),0.0)</f>
        <v>0</v>
      </c>
      <c r="AK93" s="59">
        <f>IFERROR(__xludf.DUMMYFUNCTION("importrange(""https://docs.google.com/spreadsheets/d/1lrpW3ERBae84SZH5rLCIIaLpTHa8gnQDG_xpkiONU-Q/edit?gid=31348442#gid=31348442"",""2026-27!s4"")"),6719166.580000003)</f>
        <v>6719166.58</v>
      </c>
      <c r="AL93" s="59">
        <f>IFERROR(__xludf.DUMMYFUNCTION("importrange(""https://docs.google.com/spreadsheets/d/1lrpW3ERBae84SZH5rLCIIaLpTHa8gnQDG_xpkiONU-Q/edit?gid=31348442#gid=31348442"",""2026-27!s3"")"),113.0)</f>
        <v>113</v>
      </c>
      <c r="AM93" s="61">
        <f>IFERROR(__xludf.DUMMYFUNCTION("importrange(""https://docs.google.com/spreadsheets/d/1lrpW3ERBae84SZH5rLCIIaLpTHa8gnQDG_xpkiONU-Q/edit?gid=31348442#gid=31348442"",""2026-27!t4"")"),0.0)</f>
        <v>0</v>
      </c>
      <c r="AN93" s="59">
        <f>IFERROR(__xludf.DUMMYFUNCTION("importrange(""https://docs.google.com/spreadsheets/d/1lrpW3ERBae84SZH5rLCIIaLpTHa8gnQDG_xpkiONU-Q/edit?gid=31348442#gid=31348442"",""2026-27!t3"")"),0.0)</f>
        <v>0</v>
      </c>
      <c r="AO93" s="62">
        <f t="shared" si="103"/>
        <v>0</v>
      </c>
      <c r="AP93" s="59">
        <f>IFERROR(__xludf.DUMMYFUNCTION("importrange(""https://docs.google.com/spreadsheets/d/1lrpW3ERBae84SZH5rLCIIaLpTHa8gnQDG_xpkiONU-Q/edit?gid=31348442#gid=31348442"",""2026-27!u4"")"),0.0)</f>
        <v>0</v>
      </c>
      <c r="AQ93" s="59">
        <f>IFERROR(__xludf.DUMMYFUNCTION("importrange(""https://docs.google.com/spreadsheets/d/1lrpW3ERBae84SZH5rLCIIaLpTHa8gnQDG_xpkiONU-Q/edit?gid=31348442#gid=31348442"",""2026-27!u3"")"),0.0)</f>
        <v>0</v>
      </c>
      <c r="AR93" s="59">
        <f>IFERROR(__xludf.DUMMYFUNCTION("importrange(""https://docs.google.com/spreadsheets/d/1lrpW3ERBae84SZH5rLCIIaLpTHa8gnQDG_xpkiONU-Q/edit?gid=31348442#gid=31348442"",""2026-27!v4"")"),6719166.580000003)</f>
        <v>6719166.58</v>
      </c>
      <c r="AS93" s="59">
        <f>IFERROR(__xludf.DUMMYFUNCTION("importrange(""https://docs.google.com/spreadsheets/d/1lrpW3ERBae84SZH5rLCIIaLpTHa8gnQDG_xpkiONU-Q/edit?gid=31348442#gid=31348442"",""2026-27!v3"")"),113.0)</f>
        <v>113</v>
      </c>
      <c r="AT93" s="61">
        <f>IFERROR(__xludf.DUMMYFUNCTION("importrange(""https://docs.google.com/spreadsheets/d/1lrpW3ERBae84SZH5rLCIIaLpTHa8gnQDG_xpkiONU-Q/edit?gid=31348442#gid=31348442"",""2026-27!w4"")"),0.0)</f>
        <v>0</v>
      </c>
      <c r="AU93" s="59">
        <f>IFERROR(__xludf.DUMMYFUNCTION("importrange(""https://docs.google.com/spreadsheets/d/1lrpW3ERBae84SZH5rLCIIaLpTHa8gnQDG_xpkiONU-Q/edit?gid=31348442#gid=31348442"",""2026-27!w3"")"),0.0)</f>
        <v>0</v>
      </c>
      <c r="AV93" s="62">
        <f t="shared" si="104"/>
        <v>0</v>
      </c>
      <c r="AW93" s="59">
        <f>IFERROR(__xludf.DUMMYFUNCTION("importrange(""https://docs.google.com/spreadsheets/d/1lrpW3ERBae84SZH5rLCIIaLpTHa8gnQDG_xpkiONU-Q/edit?gid=31348442#gid=31348442"",""2026-27!x4"")"),0.0)</f>
        <v>0</v>
      </c>
      <c r="AX93" s="59">
        <f>IFERROR(__xludf.DUMMYFUNCTION("importrange(""https://docs.google.com/spreadsheets/d/1lrpW3ERBae84SZH5rLCIIaLpTHa8gnQDG_xpkiONU-Q/edit?gid=31348442#gid=31348442"",""2026-27!x3"")"),0.0)</f>
        <v>0</v>
      </c>
      <c r="AY93" s="59">
        <f>IFERROR(__xludf.DUMMYFUNCTION("importrange(""https://docs.google.com/spreadsheets/d/1lrpW3ERBae84SZH5rLCIIaLpTHa8gnQDG_xpkiONU-Q/edit?gid=31348442#gid=31348442"",""2026-27!y4"")"),6719166.580000003)</f>
        <v>6719166.58</v>
      </c>
      <c r="AZ93" s="59">
        <f>IFERROR(__xludf.DUMMYFUNCTION("importrange(""https://docs.google.com/spreadsheets/d/1lrpW3ERBae84SZH5rLCIIaLpTHa8gnQDG_xpkiONU-Q/edit?gid=31348442#gid=31348442"",""2026-27!y3"")"),113.0)</f>
        <v>113</v>
      </c>
      <c r="BA93" s="61">
        <f>IFERROR(__xludf.DUMMYFUNCTION("importrange(""https://docs.google.com/spreadsheets/d/1lrpW3ERBae84SZH5rLCIIaLpTHa8gnQDG_xpkiONU-Q/edit?gid=31348442#gid=31348442"",""2026-27!z4"")"),0.0)</f>
        <v>0</v>
      </c>
      <c r="BB93" s="59">
        <f>IFERROR(__xludf.DUMMYFUNCTION("importrange(""https://docs.google.com/spreadsheets/d/1lrpW3ERBae84SZH5rLCIIaLpTHa8gnQDG_xpkiONU-Q/edit?gid=31348442#gid=31348442"",""2026-27!z3"")"),0.0)</f>
        <v>0</v>
      </c>
      <c r="BC93" s="63">
        <f t="shared" si="105"/>
        <v>0</v>
      </c>
      <c r="BD93" s="59">
        <f>IFERROR(__xludf.DUMMYFUNCTION("importrange(""https://docs.google.com/spreadsheets/d/1lrpW3ERBae84SZH5rLCIIaLpTHa8gnQDG_xpkiONU-Q/edit?gid=31348442#gid=31348442"",""2026-27!aa4"")"),0.0)</f>
        <v>0</v>
      </c>
      <c r="BE93" s="59">
        <f>IFERROR(__xludf.DUMMYFUNCTION("importrange(""https://docs.google.com/spreadsheets/d/1lrpW3ERBae84SZH5rLCIIaLpTHa8gnQDG_xpkiONU-Q/edit?gid=31348442#gid=31348442"",""2026-27!aa3"")"),0.0)</f>
        <v>0</v>
      </c>
      <c r="BF93" s="59">
        <f>IFERROR(__xludf.DUMMYFUNCTION("importrange(""https://docs.google.com/spreadsheets/d/1lrpW3ERBae84SZH5rLCIIaLpTHa8gnQDG_xpkiONU-Q/edit?gid=31348442#gid=31348442"",""2026-27!ab4"")"),6719166.580000003)</f>
        <v>6719166.58</v>
      </c>
      <c r="BG93" s="59">
        <f>IFERROR(__xludf.DUMMYFUNCTION("importrange(""https://docs.google.com/spreadsheets/d/1lrpW3ERBae84SZH5rLCIIaLpTHa8gnQDG_xpkiONU-Q/edit?gid=31348442#gid=31348442"",""2026-27!ab3"")"),113.0)</f>
        <v>113</v>
      </c>
      <c r="BH93" s="59">
        <f>IFERROR(__xludf.DUMMYFUNCTION("importrange(""https://docs.google.com/spreadsheets/d/1lrpW3ERBae84SZH5rLCIIaLpTHa8gnQDG_xpkiONU-Q/edit?gid=31348442#gid=31348442"",""2026-27!ac4"")"),0.0)</f>
        <v>0</v>
      </c>
      <c r="BI93" s="59">
        <f>IFERROR(__xludf.DUMMYFUNCTION("importrange(""https://docs.google.com/spreadsheets/d/1lrpW3ERBae84SZH5rLCIIaLpTHa8gnQDG_xpkiONU-Q/edit?gid=31348442#gid=31348442"",""2026-27!ac3"")"),0.0)</f>
        <v>0</v>
      </c>
      <c r="BJ93" s="63">
        <f t="shared" si="106"/>
        <v>0</v>
      </c>
      <c r="BK93" s="59">
        <f>IFERROR(__xludf.DUMMYFUNCTION("importrange(""https://docs.google.com/spreadsheets/d/1lrpW3ERBae84SZH5rLCIIaLpTHa8gnQDG_xpkiONU-Q/edit?gid=31348442#gid=31348442"",""2026-27!ad4"")"),0.0)</f>
        <v>0</v>
      </c>
      <c r="BL93" s="59">
        <f>IFERROR(__xludf.DUMMYFUNCTION("importrange(""https://docs.google.com/spreadsheets/d/1lrpW3ERBae84SZH5rLCIIaLpTHa8gnQDG_xpkiONU-Q/edit?gid=31348442#gid=31348442"",""2026-27!ad3"")"),0.0)</f>
        <v>0</v>
      </c>
      <c r="BM93" s="59">
        <f>IFERROR(__xludf.DUMMYFUNCTION("importrange(""https://docs.google.com/spreadsheets/d/1lrpW3ERBae84SZH5rLCIIaLpTHa8gnQDG_xpkiONU-Q/edit?gid=31348442#gid=31348442"",""2026-27!ae4"")"),6719166.580000003)</f>
        <v>6719166.58</v>
      </c>
      <c r="BN93" s="59">
        <f>IFERROR(__xludf.DUMMYFUNCTION("importrange(""https://docs.google.com/spreadsheets/d/1lrpW3ERBae84SZH5rLCIIaLpTHa8gnQDG_xpkiONU-Q/edit?gid=31348442#gid=31348442"",""2026-27!ae3"")"),113.0)</f>
        <v>113</v>
      </c>
      <c r="BO93" s="59">
        <f>IFERROR(__xludf.DUMMYFUNCTION("importrange(""https://docs.google.com/spreadsheets/d/1lrpW3ERBae84SZH5rLCIIaLpTHa8gnQDG_xpkiONU-Q/edit?gid=31348442#gid=31348442"",""2026-27!af4"")"),0.0)</f>
        <v>0</v>
      </c>
      <c r="BP93" s="59">
        <f>IFERROR(__xludf.DUMMYFUNCTION("importrange(""https://docs.google.com/spreadsheets/d/1lrpW3ERBae84SZH5rLCIIaLpTHa8gnQDG_xpkiONU-Q/edit?gid=31348442#gid=31348442"",""2026-27!af3"")"),0.0)</f>
        <v>0</v>
      </c>
      <c r="BQ93" s="63">
        <f t="shared" si="107"/>
        <v>0</v>
      </c>
      <c r="BR93" s="59">
        <f>IFERROR(__xludf.DUMMYFUNCTION("importrange(""https://docs.google.com/spreadsheets/d/1lrpW3ERBae84SZH5rLCIIaLpTHa8gnQDG_xpkiONU-Q/edit?gid=31348442#gid=31348442"",""2026-27!ag4"")"),0.0)</f>
        <v>0</v>
      </c>
      <c r="BS93" s="59">
        <f>IFERROR(__xludf.DUMMYFUNCTION("importrange(""https://docs.google.com/spreadsheets/d/1lrpW3ERBae84SZH5rLCIIaLpTHa8gnQDG_xpkiONU-Q/edit?gid=31348442#gid=31348442"",""2026-27!ag3"")"),0.0)</f>
        <v>0</v>
      </c>
      <c r="BT93" s="59">
        <f>IFERROR(__xludf.DUMMYFUNCTION("importrange(""https://docs.google.com/spreadsheets/d/1lrpW3ERBae84SZH5rLCIIaLpTHa8gnQDG_xpkiONU-Q/edit?gid=31348442#gid=31348442"",""2026-27!ah4"")"),6719166.580000003)</f>
        <v>6719166.58</v>
      </c>
      <c r="BU93" s="59">
        <f>IFERROR(__xludf.DUMMYFUNCTION("importrange(""https://docs.google.com/spreadsheets/d/1lrpW3ERBae84SZH5rLCIIaLpTHa8gnQDG_xpkiONU-Q/edit?gid=31348442#gid=31348442"",""2026-27!ah3"")"),113.0)</f>
        <v>113</v>
      </c>
      <c r="BV93" s="59">
        <f>IFERROR(__xludf.DUMMYFUNCTION("importrange(""https://docs.google.com/spreadsheets/d/1lrpW3ERBae84SZH5rLCIIaLpTHa8gnQDG_xpkiONU-Q/edit?gid=31348442#gid=31348442"",""2026-27!ai4"")"),0.0)</f>
        <v>0</v>
      </c>
      <c r="BW93" s="59">
        <f>IFERROR(__xludf.DUMMYFUNCTION("importrange(""https://docs.google.com/spreadsheets/d/1lrpW3ERBae84SZH5rLCIIaLpTHa8gnQDG_xpkiONU-Q/edit?gid=31348442#gid=31348442"",""2026-27!ai3"")"),0.0)</f>
        <v>0</v>
      </c>
      <c r="BX93" s="63">
        <f t="shared" si="108"/>
        <v>0</v>
      </c>
      <c r="BY93" s="59">
        <f>IFERROR(__xludf.DUMMYFUNCTION("importrange(""https://docs.google.com/spreadsheets/d/1lrpW3ERBae84SZH5rLCIIaLpTHa8gnQDG_xpkiONU-Q/edit?gid=31348442#gid=31348442"",""2026-27!aj4"")"),0.0)</f>
        <v>0</v>
      </c>
      <c r="BZ93" s="59">
        <f>IFERROR(__xludf.DUMMYFUNCTION("importrange(""https://docs.google.com/spreadsheets/d/1lrpW3ERBae84SZH5rLCIIaLpTHa8gnQDG_xpkiONU-Q/edit?gid=31348442#gid=31348442"",""2026-27!aj3"")"),0.0)</f>
        <v>0</v>
      </c>
      <c r="CA93" s="59">
        <f>IFERROR(__xludf.DUMMYFUNCTION("importrange(""https://docs.google.com/spreadsheets/d/1lrpW3ERBae84SZH5rLCIIaLpTHa8gnQDG_xpkiONU-Q/edit?gid=31348442#gid=31348442"",""2026-27!ak4"")"),6719166.580000003)</f>
        <v>6719166.58</v>
      </c>
      <c r="CB93" s="59">
        <f>IFERROR(__xludf.DUMMYFUNCTION("importrange(""https://docs.google.com/spreadsheets/d/1lrpW3ERBae84SZH5rLCIIaLpTHa8gnQDG_xpkiONU-Q/edit?gid=31348442#gid=31348442"",""2026-27!ak3"")"),113.0)</f>
        <v>113</v>
      </c>
      <c r="CC93" s="59">
        <f>IFERROR(__xludf.DUMMYFUNCTION("importrange(""https://docs.google.com/spreadsheets/d/1lrpW3ERBae84SZH5rLCIIaLpTHa8gnQDG_xpkiONU-Q/edit?gid=31348442#gid=31348442"",""2026-27!al4"")"),0.0)</f>
        <v>0</v>
      </c>
      <c r="CD93" s="59">
        <f>IFERROR(__xludf.DUMMYFUNCTION("importrange(""https://docs.google.com/spreadsheets/d/1lrpW3ERBae84SZH5rLCIIaLpTHa8gnQDG_xpkiONU-Q/edit?gid=31348442#gid=31348442"",""2026-27!ai3"")"),0.0)</f>
        <v>0</v>
      </c>
      <c r="CE93" s="63">
        <f t="shared" si="109"/>
        <v>0</v>
      </c>
      <c r="CF93" s="59">
        <f>IFERROR(__xludf.DUMMYFUNCTION("importrange(""https://docs.google.com/spreadsheets/d/1lrpW3ERBae84SZH5rLCIIaLpTHa8gnQDG_xpkiONU-Q/edit?gid=31348442#gid=31348442"",""2026-27!am4"")"),0.0)</f>
        <v>0</v>
      </c>
      <c r="CG93" s="59">
        <f>IFERROR(__xludf.DUMMYFUNCTION("importrange(""https://docs.google.com/spreadsheets/d/1lrpW3ERBae84SZH5rLCIIaLpTHa8gnQDG_xpkiONU-Q/edit?gid=31348442#gid=31348442"",""2026-27!am3"")"),0.0)</f>
        <v>0</v>
      </c>
      <c r="CH93" s="59">
        <f>IFERROR(__xludf.DUMMYFUNCTION("importrange(""https://docs.google.com/spreadsheets/d/1lrpW3ERBae84SZH5rLCIIaLpTHa8gnQDG_xpkiONU-Q/edit?gid=31348442#gid=31348442"",""2026-27!an4"")"),6719166.580000003)</f>
        <v>6719166.58</v>
      </c>
      <c r="CI93" s="59">
        <f>IFERROR(__xludf.DUMMYFUNCTION("importrange(""https://docs.google.com/spreadsheets/d/1lrpW3ERBae84SZH5rLCIIaLpTHa8gnQDG_xpkiONU-Q/edit?gid=31348442#gid=31348442"",""2026-27!an3"")"),113.0)</f>
        <v>113</v>
      </c>
      <c r="CJ93" s="59">
        <f>IFERROR(__xludf.DUMMYFUNCTION("importrange(""https://docs.google.com/spreadsheets/d/1lrpW3ERBae84SZH5rLCIIaLpTHa8gnQDG_xpkiONU-Q/edit?gid=31348442#gid=31348442"",""2026-27!ao4"")"),0.0)</f>
        <v>0</v>
      </c>
      <c r="CK93" s="59">
        <f>IFERROR(__xludf.DUMMYFUNCTION("importrange(""https://docs.google.com/spreadsheets/d/1lrpW3ERBae84SZH5rLCIIaLpTHa8gnQDG_xpkiONU-Q/edit?gid=31348442#gid=31348442"",""2026-27!ao3"")"),0.0)</f>
        <v>0</v>
      </c>
      <c r="CL93" s="63">
        <f t="shared" si="110"/>
        <v>0</v>
      </c>
      <c r="CM93" s="59">
        <f>IFERROR(__xludf.DUMMYFUNCTION("importrange(""https://docs.google.com/spreadsheets/d/1lrpW3ERBae84SZH5rLCIIaLpTHa8gnQDG_xpkiONU-Q/edit?gid=31348442#gid=31348442"",""2026-27!ap4"")"),0.0)</f>
        <v>0</v>
      </c>
      <c r="CN93" s="59">
        <f>IFERROR(__xludf.DUMMYFUNCTION("importrange(""https://docs.google.com/spreadsheets/d/1lrpW3ERBae84SZH5rLCIIaLpTHa8gnQDG_xpkiONU-Q/edit?gid=31348442#gid=31348442"",""2026-27!ap3"")"),0.0)</f>
        <v>0</v>
      </c>
      <c r="CO93" s="59">
        <f>IFERROR(__xludf.DUMMYFUNCTION("importrange(""https://docs.google.com/spreadsheets/d/1lrpW3ERBae84SZH5rLCIIaLpTHa8gnQDG_xpkiONU-Q/edit?gid=31348442#gid=31348442"",""2026-27!aq4"")"),6719166.580000003)</f>
        <v>6719166.58</v>
      </c>
      <c r="CP93" s="59">
        <f>IFERROR(__xludf.DUMMYFUNCTION("importrange(""https://docs.google.com/spreadsheets/d/1lrpW3ERBae84SZH5rLCIIaLpTHa8gnQDG_xpkiONU-Q/edit?gid=31348442#gid=31348442"",""2026-27!aq3"")"),113.0)</f>
        <v>113</v>
      </c>
      <c r="CQ93" s="59">
        <f>IFERROR(__xludf.DUMMYFUNCTION("importrange(""https://docs.google.com/spreadsheets/d/1lrpW3ERBae84SZH5rLCIIaLpTHa8gnQDG_xpkiONU-Q/edit?gid=31348442#gid=31348442"",""2026-27!ar4"")"),0.0)</f>
        <v>0</v>
      </c>
      <c r="CR93" s="59">
        <f>IFERROR(__xludf.DUMMYFUNCTION("importrange(""https://docs.google.com/spreadsheets/d/1lrpW3ERBae84SZH5rLCIIaLpTHa8gnQDG_xpkiONU-Q/edit?gid=31348442#gid=31348442"",""2026-27!ar3"")"),0.0)</f>
        <v>0</v>
      </c>
      <c r="CS93" s="63">
        <f t="shared" si="111"/>
        <v>0</v>
      </c>
      <c r="CT93" s="59">
        <f>IFERROR(__xludf.DUMMYFUNCTION("importrange(""https://docs.google.com/spreadsheets/d/1lrpW3ERBae84SZH5rLCIIaLpTHa8gnQDG_xpkiONU-Q/edit?gid=31348442#gid=31348442"",""2026-27!as4"")"),0.0)</f>
        <v>0</v>
      </c>
      <c r="CU93" s="59">
        <f>IFERROR(__xludf.DUMMYFUNCTION("importrange(""https://docs.google.com/spreadsheets/d/1lrpW3ERBae84SZH5rLCIIaLpTHa8gnQDG_xpkiONU-Q/edit?gid=31348442#gid=31348442"",""2026-27!as3"")"),0.0)</f>
        <v>0</v>
      </c>
      <c r="CV93" s="64"/>
    </row>
    <row r="94">
      <c r="A94" s="1" t="s">
        <v>160</v>
      </c>
      <c r="B94" s="41"/>
      <c r="C94" s="96" t="s">
        <v>186</v>
      </c>
      <c r="D94" s="54" t="s">
        <v>187</v>
      </c>
      <c r="E94" s="54">
        <v>7.002356262E9</v>
      </c>
      <c r="F94" s="80">
        <v>44501.0</v>
      </c>
      <c r="G94" s="66"/>
      <c r="H94" s="66"/>
      <c r="I94" s="57">
        <v>48220.0</v>
      </c>
      <c r="J94" s="58">
        <v>4833333.0</v>
      </c>
      <c r="K94" s="61">
        <f>IFERROR(__xludf.DUMMYFUNCTION("IMPORTRANGE(""1SRwam8SNlw4sXl322moV7twW0wJxVm4N5PRJuC10VAA"",""2026-27!A3"")"),111.0)</f>
        <v>111</v>
      </c>
      <c r="L94" s="61">
        <f>IFERROR(__xludf.DUMMYFUNCTION("IMPORTRANGE(""1SRwam8SNlw4sXl322moV7twW0wJxVm4N5PRJuC10VAA"",""2026-27!G4"")"),5.83E7)</f>
        <v>58300000</v>
      </c>
      <c r="M94" s="61">
        <f t="shared" si="97"/>
        <v>10661814.55</v>
      </c>
      <c r="N94" s="60">
        <f t="shared" si="98"/>
        <v>0.1826437393</v>
      </c>
      <c r="O94" s="61">
        <f t="shared" si="99"/>
        <v>10648130</v>
      </c>
      <c r="P94" s="59">
        <f>IFERROR(__xludf.DUMMYFUNCTION("IMPORTRANGE(""1SRwam8SNlw4sXl322moV7twW0wJxVm4N5PRJuC10VAA"",""2026-27!J4"")"),8690008.0)</f>
        <v>8690008</v>
      </c>
      <c r="Q94" s="59">
        <f>IFERROR(__xludf.DUMMYFUNCTION("IMPORTRANGE(""1SRwam8SNlw4sXl322moV7twW0wJxVm4N5PRJuC10VAA"",""2026-27!J3"")"),30.0)</f>
        <v>30</v>
      </c>
      <c r="R94" s="59">
        <f>IFERROR(__xludf.DUMMYFUNCTION("IMPORTRANGE(""1SRwam8SNlw4sXl322moV7twW0wJxVm4N5PRJuC10VAA"",""2026-27!K4"")"),3897140.02)</f>
        <v>3897140.02</v>
      </c>
      <c r="S94" s="59">
        <f>IFERROR(__xludf.DUMMYFUNCTION("IMPORTRANGE(""1SRwam8SNlw4sXl322moV7twW0wJxVm4N5PRJuC10VAA"",""2026-27!K3"")"),18.0)</f>
        <v>18</v>
      </c>
      <c r="T94" s="62">
        <f t="shared" si="100"/>
        <v>0.4484617275</v>
      </c>
      <c r="U94" s="59">
        <f>IFERROR(__xludf.DUMMYFUNCTION("IMPORTRANGE(""1SRwam8SNlw4sXl322moV7twW0wJxVm4N5PRJuC10VAA"",""2026-27!L4"")"),3897136.0)</f>
        <v>3897136</v>
      </c>
      <c r="V94" s="85">
        <f>IFERROR(__xludf.DUMMYFUNCTION("IMPORTRANGE(""1SRwam8SNlw4sXl322moV7twW0wJxVm4N5PRJuC10VAA"",""2026-27!L3"")"),18.0)</f>
        <v>18</v>
      </c>
      <c r="W94" s="59">
        <f>IFERROR(__xludf.DUMMYFUNCTION("IMPORTRANGE(""1SRwam8SNlw4sXl322moV7twW0wJxVm4N5PRJuC10VAA"",""2026-27!M4"")"),6430007.0)</f>
        <v>6430007</v>
      </c>
      <c r="X94" s="85">
        <f>IFERROR(__xludf.DUMMYFUNCTION("IMPORTRANGE(""1SRwam8SNlw4sXl322moV7twW0wJxVm4N5PRJuC10VAA"",""2026-27!M3"")"),26.0)</f>
        <v>26</v>
      </c>
      <c r="Y94" s="59">
        <f>IFERROR(__xludf.DUMMYFUNCTION("importrange(""1SRwam8SNlw4sXl322moV7twW0wJxVm4N5PRJuC10VAA"",""2026-27!n4"")"),3378062.2099999995)</f>
        <v>3378062.21</v>
      </c>
      <c r="Z94" s="59">
        <f>IFERROR(__xludf.DUMMYFUNCTION("importrange(""1SRwam8SNlw4sXl322moV7twW0wJxVm4N5PRJuC10VAA"",""2026-27!n3"")"),20.0)</f>
        <v>20</v>
      </c>
      <c r="AA94" s="62">
        <f t="shared" si="101"/>
        <v>0.5316563419</v>
      </c>
      <c r="AB94" s="59">
        <f>IFERROR(__xludf.DUMMYFUNCTION("importrange(""1SRwam8SNlw4sXl322moV7twW0wJxVm4N5PRJuC10VAA"",""2026-27!o4"")"),3418554.0)</f>
        <v>3418554</v>
      </c>
      <c r="AC94" s="59">
        <f>IFERROR(__xludf.DUMMYFUNCTION("importrange(""1SRwam8SNlw4sXl322moV7twW0wJxVm4N5PRJuC10VAA"",""2026-27!o3"")"),21.0)</f>
        <v>21</v>
      </c>
      <c r="AD94" s="59">
        <f>IFERROR(__xludf.DUMMYFUNCTION("importrange(""1SRwam8SNlw4sXl322moV7twW0wJxVm4N5PRJuC10VAA"",""2026-27!p4"")"),3330003.0)</f>
        <v>3330003</v>
      </c>
      <c r="AE94" s="59">
        <f>IFERROR(__xludf.DUMMYFUNCTION("importrange(""1SRwam8SNlw4sXl322moV7twW0wJxVm4N5PRJuC10VAA"",""2026-27!p3"")"),12.0)</f>
        <v>12</v>
      </c>
      <c r="AF94" s="59">
        <f>IFERROR(__xludf.DUMMYFUNCTION("importrange(""1SRwam8SNlw4sXl322moV7twW0wJxVm4N5PRJuC10VAA"",""2026-27!q4"")"),3386612.3200000003)</f>
        <v>3386612.32</v>
      </c>
      <c r="AG94" s="59">
        <f>IFERROR(__xludf.DUMMYFUNCTION("importrange(""1SRwam8SNlw4sXl322moV7twW0wJxVm4N5PRJuC10VAA"",""2026-27!q3"")"),19.0)</f>
        <v>19</v>
      </c>
      <c r="AH94" s="62">
        <f t="shared" si="102"/>
        <v>1.000731831</v>
      </c>
      <c r="AI94" s="59">
        <f>IFERROR(__xludf.DUMMYFUNCTION("importrange(""1SRwam8SNlw4sXl322moV7twW0wJxVm4N5PRJuC10VAA"",""2026-27!r4"")"),3332440.0)</f>
        <v>3332440</v>
      </c>
      <c r="AJ94" s="59">
        <f>IFERROR(__xludf.DUMMYFUNCTION("importrange(""1SRwam8SNlw4sXl322moV7twW0wJxVm4N5PRJuC10VAA"",""2026-27!r3"")"),18.0)</f>
        <v>18</v>
      </c>
      <c r="AK94" s="59">
        <f>IFERROR(__xludf.DUMMYFUNCTION("importrange(""1SRwam8SNlw4sXl322moV7twW0wJxVm4N5PRJuC10VAA"",""2026-27!s4"")"),2.098E7)</f>
        <v>20980000</v>
      </c>
      <c r="AL94" s="59">
        <f>IFERROR(__xludf.DUMMYFUNCTION("importrange(""1SRwam8SNlw4sXl322moV7twW0wJxVm4N5PRJuC10VAA"",""2026-27!s3"")"),32.0)</f>
        <v>32</v>
      </c>
      <c r="AM94" s="61">
        <f>IFERROR(__xludf.DUMMYFUNCTION("importrange(""1SRwam8SNlw4sXl322moV7twW0wJxVm4N5PRJuC10VAA"",""2026-27!t4"")"),0.0)</f>
        <v>0</v>
      </c>
      <c r="AN94" s="59">
        <f>IFERROR(__xludf.DUMMYFUNCTION("importrange(""1SRwam8SNlw4sXl322moV7twW0wJxVm4N5PRJuC10VAA"",""2026-27!t3"")"),0.0)</f>
        <v>0</v>
      </c>
      <c r="AO94" s="62">
        <f t="shared" si="103"/>
        <v>0</v>
      </c>
      <c r="AP94" s="59">
        <f>IFERROR(__xludf.DUMMYFUNCTION("importrange(""1SRwam8SNlw4sXl322moV7twW0wJxVm4N5PRJuC10VAA"",""2026-27!u4"")"),0.0)</f>
        <v>0</v>
      </c>
      <c r="AQ94" s="59">
        <f>IFERROR(__xludf.DUMMYFUNCTION("importrange(""1SRwam8SNlw4sXl322moV7twW0wJxVm4N5PRJuC10VAA"",""2026-27!u3"")"),0.0)</f>
        <v>0</v>
      </c>
      <c r="AR94" s="59">
        <f>IFERROR(__xludf.DUMMYFUNCTION("importrange(""1SRwam8SNlw4sXl322moV7twW0wJxVm4N5PRJuC10VAA"",""2026-27!v4"")"),280000.0)</f>
        <v>280000</v>
      </c>
      <c r="AS94" s="59">
        <f>IFERROR(__xludf.DUMMYFUNCTION("importrange(""1SRwam8SNlw4sXl322moV7twW0wJxVm4N5PRJuC10VAA"",""2026-27!v3"")"),4.0)</f>
        <v>4</v>
      </c>
      <c r="AT94" s="61">
        <f>IFERROR(__xludf.DUMMYFUNCTION("importrange(""1SRwam8SNlw4sXl322moV7twW0wJxVm4N5PRJuC10VAA"",""2026-27!w4"")"),0.0)</f>
        <v>0</v>
      </c>
      <c r="AU94" s="59">
        <f>IFERROR(__xludf.DUMMYFUNCTION("importrange(""1SRwam8SNlw4sXl322moV7twW0wJxVm4N5PRJuC10VAA"",""2026-27!w3"")"),0.0)</f>
        <v>0</v>
      </c>
      <c r="AV94" s="62">
        <f t="shared" si="104"/>
        <v>0</v>
      </c>
      <c r="AW94" s="59">
        <f>IFERROR(__xludf.DUMMYFUNCTION("importrange(""1SRwam8SNlw4sXl322moV7twW0wJxVm4N5PRJuC10VAA"",""2026-27!x4"")"),0.0)</f>
        <v>0</v>
      </c>
      <c r="AX94" s="59">
        <f>IFERROR(__xludf.DUMMYFUNCTION("importrange(""1SRwam8SNlw4sXl322moV7twW0wJxVm4N5PRJuC10VAA"",""2026-27!x3"")"),0.0)</f>
        <v>0</v>
      </c>
      <c r="AY94" s="59">
        <f>IFERROR(__xludf.DUMMYFUNCTION("importrange(""1SRwam8SNlw4sXl322moV7twW0wJxVm4N5PRJuC10VAA"",""2026-27!y4"")"),8690000.0)</f>
        <v>8690000</v>
      </c>
      <c r="AZ94" s="59">
        <f>IFERROR(__xludf.DUMMYFUNCTION("importrange(""1SRwam8SNlw4sXl322moV7twW0wJxVm4N5PRJuC10VAA"",""2026-27!y3"")"),30.0)</f>
        <v>30</v>
      </c>
      <c r="BA94" s="61">
        <f>IFERROR(__xludf.DUMMYFUNCTION("importrange(""1SRwam8SNlw4sXl322moV7twW0wJxVm4N5PRJuC10VAA"",""2026-27!z4"")"),0.0)</f>
        <v>0</v>
      </c>
      <c r="BB94" s="59">
        <f>IFERROR(__xludf.DUMMYFUNCTION("importrange(""1SRwam8SNlw4sXl322moV7twW0wJxVm4N5PRJuC10VAA"",""2026-27!z3"")"),0.0)</f>
        <v>0</v>
      </c>
      <c r="BC94" s="63">
        <f t="shared" si="105"/>
        <v>0</v>
      </c>
      <c r="BD94" s="59">
        <f>IFERROR(__xludf.DUMMYFUNCTION("importrange(""1SRwam8SNlw4sXl322moV7twW0wJxVm4N5PRJuC10VAA"",""2026-27!aa4"")"),0.0)</f>
        <v>0</v>
      </c>
      <c r="BE94" s="59">
        <f>IFERROR(__xludf.DUMMYFUNCTION("importrange(""1SRwam8SNlw4sXl322moV7twW0wJxVm4N5PRJuC10VAA"",""2026-27!aa3"")"),0.0)</f>
        <v>0</v>
      </c>
      <c r="BF94" s="59">
        <f>IFERROR(__xludf.DUMMYFUNCTION("importrange(""1SRwam8SNlw4sXl322moV7twW0wJxVm4N5PRJuC10VAA"",""2026-27!ab4"")"),6430000.0)</f>
        <v>6430000</v>
      </c>
      <c r="BG94" s="59">
        <f>IFERROR(__xludf.DUMMYFUNCTION("importrange(""1SRwam8SNlw4sXl322moV7twW0wJxVm4N5PRJuC10VAA"",""2026-27!ab3"")"),26.0)</f>
        <v>26</v>
      </c>
      <c r="BH94" s="59">
        <f>IFERROR(__xludf.DUMMYFUNCTION("importrange(""1SRwam8SNlw4sXl322moV7twW0wJxVm4N5PRJuC10VAA"",""2026-27!ac4"")"),0.0)</f>
        <v>0</v>
      </c>
      <c r="BI94" s="59">
        <f>IFERROR(__xludf.DUMMYFUNCTION("importrange(""1SRwam8SNlw4sXl322moV7twW0wJxVm4N5PRJuC10VAA"",""2026-27!ac3"")"),0.0)</f>
        <v>0</v>
      </c>
      <c r="BJ94" s="63">
        <f t="shared" si="106"/>
        <v>0</v>
      </c>
      <c r="BK94" s="59">
        <f>IFERROR(__xludf.DUMMYFUNCTION("importrange(""1SRwam8SNlw4sXl322moV7twW0wJxVm4N5PRJuC10VAA"",""2026-27!ad4"")"),0.0)</f>
        <v>0</v>
      </c>
      <c r="BL94" s="59">
        <f>IFERROR(__xludf.DUMMYFUNCTION("importrange(""1SRwam8SNlw4sXl322moV7twW0wJxVm4N5PRJuC10VAA"",""2026-27!ad3"")"),0.0)</f>
        <v>0</v>
      </c>
      <c r="BM94" s="59">
        <f>IFERROR(__xludf.DUMMYFUNCTION("importrange(""1SRwam8SNlw4sXl322moV7twW0wJxVm4N5PRJuC10VAA"",""2026-27!ae4"")"),3330000.0)</f>
        <v>3330000</v>
      </c>
      <c r="BN94" s="59">
        <f>IFERROR(__xludf.DUMMYFUNCTION("importrange(""1SRwam8SNlw4sXl322moV7twW0wJxVm4N5PRJuC10VAA"",""2026-27!ae3"")"),12.0)</f>
        <v>12</v>
      </c>
      <c r="BO94" s="59">
        <f>IFERROR(__xludf.DUMMYFUNCTION("importrange(""1SRwam8SNlw4sXl322moV7twW0wJxVm4N5PRJuC10VAA"",""2026-27!af4"")"),0.0)</f>
        <v>0</v>
      </c>
      <c r="BP94" s="59">
        <f>IFERROR(__xludf.DUMMYFUNCTION("importrange(""1SRwam8SNlw4sXl322moV7twW0wJxVm4N5PRJuC10VAA"",""2026-27!af3"")"),0.0)</f>
        <v>0</v>
      </c>
      <c r="BQ94" s="63">
        <f t="shared" si="107"/>
        <v>0</v>
      </c>
      <c r="BR94" s="59">
        <f>IFERROR(__xludf.DUMMYFUNCTION("importrange(""1SRwam8SNlw4sXl322moV7twW0wJxVm4N5PRJuC10VAA"",""2026-27!ag4"")"),0.0)</f>
        <v>0</v>
      </c>
      <c r="BS94" s="59">
        <f>IFERROR(__xludf.DUMMYFUNCTION("importrange(""1SRwam8SNlw4sXl322moV7twW0wJxVm4N5PRJuC10VAA"",""2026-27!ag3"")"),0.0)</f>
        <v>0</v>
      </c>
      <c r="BT94" s="59">
        <f>IFERROR(__xludf.DUMMYFUNCTION("importrange(""1SRwam8SNlw4sXl322moV7twW0wJxVm4N5PRJuC10VAA"",""2026-27!ah4"")"),2.098E7)</f>
        <v>20980000</v>
      </c>
      <c r="BU94" s="59">
        <f>IFERROR(__xludf.DUMMYFUNCTION("importrange(""1SRwam8SNlw4sXl322moV7twW0wJxVm4N5PRJuC10VAA"",""2026-27!ah3"")"),32.0)</f>
        <v>32</v>
      </c>
      <c r="BV94" s="59">
        <f>IFERROR(__xludf.DUMMYFUNCTION("importrange(""1SRwam8SNlw4sXl322moV7twW0wJxVm4N5PRJuC10VAA"",""2026-27!ai4"")"),0.0)</f>
        <v>0</v>
      </c>
      <c r="BW94" s="59">
        <f>IFERROR(__xludf.DUMMYFUNCTION("importrange(""1SRwam8SNlw4sXl322moV7twW0wJxVm4N5PRJuC10VAA"",""2026-27!ai3"")"),0.0)</f>
        <v>0</v>
      </c>
      <c r="BX94" s="63">
        <f t="shared" si="108"/>
        <v>0</v>
      </c>
      <c r="BY94" s="59">
        <f>IFERROR(__xludf.DUMMYFUNCTION("importrange(""1SRwam8SNlw4sXl322moV7twW0wJxVm4N5PRJuC10VAA"",""2026-27!aj4"")"),0.0)</f>
        <v>0</v>
      </c>
      <c r="BZ94" s="59">
        <f>IFERROR(__xludf.DUMMYFUNCTION("importrange(""1SRwam8SNlw4sXl322moV7twW0wJxVm4N5PRJuC10VAA"",""2026-27!aj3"")"),0.0)</f>
        <v>0</v>
      </c>
      <c r="CA94" s="59">
        <f>IFERROR(__xludf.DUMMYFUNCTION("importrange(""1SRwam8SNlw4sXl322moV7twW0wJxVm4N5PRJuC10VAA"",""2026-27!ak4"")"),280000.0)</f>
        <v>280000</v>
      </c>
      <c r="CB94" s="59">
        <f>IFERROR(__xludf.DUMMYFUNCTION("importrange(""1SRwam8SNlw4sXl322moV7twW0wJxVm4N5PRJuC10VAA"",""2026-27!ak3"")"),4.0)</f>
        <v>4</v>
      </c>
      <c r="CC94" s="59">
        <f>IFERROR(__xludf.DUMMYFUNCTION("importrange(""1SRwam8SNlw4sXl322moV7twW0wJxVm4N5PRJuC10VAA"",""2026-27!al4"")"),0.0)</f>
        <v>0</v>
      </c>
      <c r="CD94" s="59">
        <f>IFERROR(__xludf.DUMMYFUNCTION("importrange(""1SRwam8SNlw4sXl322moV7twW0wJxVm4N5PRJuC10VAA"",""2026-27!ai3"")"),0.0)</f>
        <v>0</v>
      </c>
      <c r="CE94" s="63">
        <f t="shared" si="109"/>
        <v>0</v>
      </c>
      <c r="CF94" s="59">
        <f>IFERROR(__xludf.DUMMYFUNCTION("importrange(""1SRwam8SNlw4sXl322moV7twW0wJxVm4N5PRJuC10VAA"",""2026-27!am4"")"),0.0)</f>
        <v>0</v>
      </c>
      <c r="CG94" s="59">
        <f>IFERROR(__xludf.DUMMYFUNCTION("importrange(""1SRwam8SNlw4sXl322moV7twW0wJxVm4N5PRJuC10VAA"",""2026-27!am3"")"),0.0)</f>
        <v>0</v>
      </c>
      <c r="CH94" s="59">
        <f>IFERROR(__xludf.DUMMYFUNCTION("importrange(""1SRwam8SNlw4sXl322moV7twW0wJxVm4N5PRJuC10VAA"",""2026-27!an4"")"),8690002.0)</f>
        <v>8690002</v>
      </c>
      <c r="CI94" s="59">
        <f>IFERROR(__xludf.DUMMYFUNCTION("importrange(""1SRwam8SNlw4sXl322moV7twW0wJxVm4N5PRJuC10VAA"",""2026-27!an3"")"),30.0)</f>
        <v>30</v>
      </c>
      <c r="CJ94" s="59">
        <f>IFERROR(__xludf.DUMMYFUNCTION("importrange(""1SRwam8SNlw4sXl322moV7twW0wJxVm4N5PRJuC10VAA"",""2026-27!ao4"")"),0.0)</f>
        <v>0</v>
      </c>
      <c r="CK94" s="59">
        <f>IFERROR(__xludf.DUMMYFUNCTION("importrange(""1SRwam8SNlw4sXl322moV7twW0wJxVm4N5PRJuC10VAA"",""2026-27!ao3"")"),0.0)</f>
        <v>0</v>
      </c>
      <c r="CL94" s="63">
        <f t="shared" si="110"/>
        <v>0</v>
      </c>
      <c r="CM94" s="59">
        <f>IFERROR(__xludf.DUMMYFUNCTION("importrange(""1SRwam8SNlw4sXl322moV7twW0wJxVm4N5PRJuC10VAA"",""2026-27!ap4"")"),0.0)</f>
        <v>0</v>
      </c>
      <c r="CN94" s="59">
        <f>IFERROR(__xludf.DUMMYFUNCTION("importrange(""1SRwam8SNlw4sXl322moV7twW0wJxVm4N5PRJuC10VAA"",""2026-27!ap3"")"),0.0)</f>
        <v>0</v>
      </c>
      <c r="CO94" s="59">
        <f>IFERROR(__xludf.DUMMYFUNCTION("importrange(""1SRwam8SNlw4sXl322moV7twW0wJxVm4N5PRJuC10VAA"",""2026-27!aq4"")"),6430000.0)</f>
        <v>6430000</v>
      </c>
      <c r="CP94" s="59">
        <f>IFERROR(__xludf.DUMMYFUNCTION("importrange(""1SRwam8SNlw4sXl322moV7twW0wJxVm4N5PRJuC10VAA"",""2026-27!aq3"")"),26.0)</f>
        <v>26</v>
      </c>
      <c r="CQ94" s="59">
        <f>IFERROR(__xludf.DUMMYFUNCTION("importrange(""1SRwam8SNlw4sXl322moV7twW0wJxVm4N5PRJuC10VAA"",""2026-27!ar4"")"),0.0)</f>
        <v>0</v>
      </c>
      <c r="CR94" s="59">
        <f>IFERROR(__xludf.DUMMYFUNCTION("importrange(""1SRwam8SNlw4sXl322moV7twW0wJxVm4N5PRJuC10VAA"",""2026-27!ar3"")"),0.0)</f>
        <v>0</v>
      </c>
      <c r="CS94" s="63">
        <f t="shared" si="111"/>
        <v>0</v>
      </c>
      <c r="CT94" s="59">
        <f>IFERROR(__xludf.DUMMYFUNCTION("importrange(""1SRwam8SNlw4sXl322moV7twW0wJxVm4N5PRJuC10VAA"",""2026-27!as4"")"),0.0)</f>
        <v>0</v>
      </c>
      <c r="CU94" s="59">
        <f>IFERROR(__xludf.DUMMYFUNCTION("importrange(""1SRwam8SNlw4sXl322moV7twW0wJxVm4N5PRJuC10VAA"",""2026-27!as3"")"),0.0)</f>
        <v>0</v>
      </c>
      <c r="CV94" s="64"/>
    </row>
    <row r="95">
      <c r="A95" s="1" t="s">
        <v>160</v>
      </c>
      <c r="B95" s="41"/>
      <c r="C95" s="68" t="s">
        <v>188</v>
      </c>
      <c r="D95" s="54" t="s">
        <v>189</v>
      </c>
      <c r="E95" s="54">
        <v>9.774212254E9</v>
      </c>
      <c r="F95" s="80">
        <v>44531.0</v>
      </c>
      <c r="G95" s="66"/>
      <c r="H95" s="66"/>
      <c r="I95" s="57">
        <v>25500.0</v>
      </c>
      <c r="J95" s="58">
        <v>1333333.0</v>
      </c>
      <c r="K95" s="61">
        <f>IFERROR(__xludf.DUMMYFUNCTION("IMPORTRANGE(""1Cr2_pSX3-yhuS1Sayvgl6YpnuKxXHVGMTe6yyY45KCA"",""2026-27!A3"")"),83.0)</f>
        <v>83</v>
      </c>
      <c r="L95" s="61">
        <f>IFERROR(__xludf.DUMMYFUNCTION("IMPORTRANGE(""1Cr2_pSX3-yhuS1Sayvgl6YpnuKxXHVGMTe6yyY45KCA"",""2026-27!G4"")"),1.95E7)</f>
        <v>19500000</v>
      </c>
      <c r="M95" s="61">
        <f t="shared" si="97"/>
        <v>2755752.03</v>
      </c>
      <c r="N95" s="60">
        <f t="shared" si="98"/>
        <v>0.09934964103</v>
      </c>
      <c r="O95" s="61">
        <f t="shared" si="99"/>
        <v>1937318</v>
      </c>
      <c r="P95" s="59">
        <f>IFERROR(__xludf.DUMMYFUNCTION("IMPORTRANGE(""1Cr2_pSX3-yhuS1Sayvgl6YpnuKxXHVGMTe6yyY45KCA"",""2026-27!J4"")"),1267000.0)</f>
        <v>1267000</v>
      </c>
      <c r="Q95" s="59">
        <f>IFERROR(__xludf.DUMMYFUNCTION("IMPORTRANGE(""1Cr2_pSX3-yhuS1Sayvgl6YpnuKxXHVGMTe6yyY45KCA"",""2026-27!J3"")"),53.0)</f>
        <v>53</v>
      </c>
      <c r="R95" s="59">
        <f>IFERROR(__xludf.DUMMYFUNCTION("IMPORTRANGE(""1Cr2_pSX3-yhuS1Sayvgl6YpnuKxXHVGMTe6yyY45KCA"",""2026-27!K4"")"),1108228.39)</f>
        <v>1108228.39</v>
      </c>
      <c r="S95" s="59">
        <f>IFERROR(__xludf.DUMMYFUNCTION("IMPORTRANGE(""1Cr2_pSX3-yhuS1Sayvgl6YpnuKxXHVGMTe6yyY45KCA"",""2026-27!K3"")"),14.0)</f>
        <v>14</v>
      </c>
      <c r="T95" s="62">
        <f t="shared" si="100"/>
        <v>0.8746692976</v>
      </c>
      <c r="U95" s="59">
        <f>IFERROR(__xludf.DUMMYFUNCTION("IMPORTRANGE(""1Cr2_pSX3-yhuS1Sayvgl6YpnuKxXHVGMTe6yyY45KCA"",""2026-27!L4"")"),1108206.0)</f>
        <v>1108206</v>
      </c>
      <c r="V95" s="85">
        <f>IFERROR(__xludf.DUMMYFUNCTION("IMPORTRANGE(""1Cr2_pSX3-yhuS1Sayvgl6YpnuKxXHVGMTe6yyY45KCA"",""2026-27!L3"")"),14.0)</f>
        <v>14</v>
      </c>
      <c r="W95" s="59">
        <f>IFERROR(__xludf.DUMMYFUNCTION("IMPORTRANGE(""1Cr2_pSX3-yhuS1Sayvgl6YpnuKxXHVGMTe6yyY45KCA"",""2026-27!M4"")"),1272000.0)</f>
        <v>1272000</v>
      </c>
      <c r="X95" s="85">
        <f>IFERROR(__xludf.DUMMYFUNCTION("IMPORTRANGE(""1Cr2_pSX3-yhuS1Sayvgl6YpnuKxXHVGMTe6yyY45KCA"",""2026-27!M3"")"),53.0)</f>
        <v>53</v>
      </c>
      <c r="Y95" s="59">
        <f>IFERROR(__xludf.DUMMYFUNCTION("importrange(""1Cr2_pSX3-yhuS1Sayvgl6YpnuKxXHVGMTe6yyY45KCA"",""2026-27!n4"")"),934065.34)</f>
        <v>934065.34</v>
      </c>
      <c r="Z95" s="59">
        <f>IFERROR(__xludf.DUMMYFUNCTION("importrange(""1Cr2_pSX3-yhuS1Sayvgl6YpnuKxXHVGMTe6yyY45KCA"",""2026-27!n3"")"),22.0)</f>
        <v>22</v>
      </c>
      <c r="AA95" s="62">
        <f t="shared" si="101"/>
        <v>0.6518176101</v>
      </c>
      <c r="AB95" s="59">
        <f>IFERROR(__xludf.DUMMYFUNCTION("importrange(""1Cr2_pSX3-yhuS1Sayvgl6YpnuKxXHVGMTe6yyY45KCA"",""2026-27!o4"")"),829112.0)</f>
        <v>829112</v>
      </c>
      <c r="AC95" s="59">
        <f>IFERROR(__xludf.DUMMYFUNCTION("importrange(""1Cr2_pSX3-yhuS1Sayvgl6YpnuKxXHVGMTe6yyY45KCA"",""2026-27!o3"")"),22.0)</f>
        <v>22</v>
      </c>
      <c r="AD95" s="59">
        <f>IFERROR(__xludf.DUMMYFUNCTION("importrange(""1Cr2_pSX3-yhuS1Sayvgl6YpnuKxXHVGMTe6yyY45KCA"",""2026-27!p4"")"),1264000.0)</f>
        <v>1264000</v>
      </c>
      <c r="AE95" s="59">
        <f>IFERROR(__xludf.DUMMYFUNCTION("importrange(""1Cr2_pSX3-yhuS1Sayvgl6YpnuKxXHVGMTe6yyY45KCA"",""2026-27!p3"")"),53.0)</f>
        <v>53</v>
      </c>
      <c r="AF95" s="59">
        <f>IFERROR(__xludf.DUMMYFUNCTION("importrange(""1Cr2_pSX3-yhuS1Sayvgl6YpnuKxXHVGMTe6yyY45KCA"",""2026-27!q4"")"),713458.2999999999)</f>
        <v>713458.3</v>
      </c>
      <c r="AG95" s="59">
        <f>IFERROR(__xludf.DUMMYFUNCTION("importrange(""1Cr2_pSX3-yhuS1Sayvgl6YpnuKxXHVGMTe6yyY45KCA"",""2026-27!q3"")"),23.0)</f>
        <v>23</v>
      </c>
      <c r="AH95" s="62">
        <f t="shared" si="102"/>
        <v>0</v>
      </c>
      <c r="AI95" s="59">
        <f>IFERROR(__xludf.DUMMYFUNCTION("importrange(""1Cr2_pSX3-yhuS1Sayvgl6YpnuKxXHVGMTe6yyY45KCA"",""2026-27!r4"")"),0.0)</f>
        <v>0</v>
      </c>
      <c r="AJ95" s="59">
        <f>IFERROR(__xludf.DUMMYFUNCTION("importrange(""1Cr2_pSX3-yhuS1Sayvgl6YpnuKxXHVGMTe6yyY45KCA"",""2026-27!r3"")"),0.0)</f>
        <v>0</v>
      </c>
      <c r="AK95" s="59">
        <f>IFERROR(__xludf.DUMMYFUNCTION("importrange(""1Cr2_pSX3-yhuS1Sayvgl6YpnuKxXHVGMTe6yyY45KCA"",""2026-27!s4"")"),1262000.0)</f>
        <v>1262000</v>
      </c>
      <c r="AL95" s="59">
        <f>IFERROR(__xludf.DUMMYFUNCTION("importrange(""1Cr2_pSX3-yhuS1Sayvgl6YpnuKxXHVGMTe6yyY45KCA"",""2026-27!s3"")"),53.0)</f>
        <v>53</v>
      </c>
      <c r="AM95" s="61">
        <f>IFERROR(__xludf.DUMMYFUNCTION("importrange(""1Cr2_pSX3-yhuS1Sayvgl6YpnuKxXHVGMTe6yyY45KCA"",""2026-27!t4"")"),0.0)</f>
        <v>0</v>
      </c>
      <c r="AN95" s="59">
        <f>IFERROR(__xludf.DUMMYFUNCTION("importrange(""1Cr2_pSX3-yhuS1Sayvgl6YpnuKxXHVGMTe6yyY45KCA"",""2026-27!t3"")"),0.0)</f>
        <v>0</v>
      </c>
      <c r="AO95" s="62">
        <f t="shared" si="103"/>
        <v>0</v>
      </c>
      <c r="AP95" s="59">
        <f>IFERROR(__xludf.DUMMYFUNCTION("importrange(""1Cr2_pSX3-yhuS1Sayvgl6YpnuKxXHVGMTe6yyY45KCA"",""2026-27!u4"")"),0.0)</f>
        <v>0</v>
      </c>
      <c r="AQ95" s="59">
        <f>IFERROR(__xludf.DUMMYFUNCTION("importrange(""1Cr2_pSX3-yhuS1Sayvgl6YpnuKxXHVGMTe6yyY45KCA"",""2026-27!u3"")"),0.0)</f>
        <v>0</v>
      </c>
      <c r="AR95" s="59">
        <f>IFERROR(__xludf.DUMMYFUNCTION("importrange(""1Cr2_pSX3-yhuS1Sayvgl6YpnuKxXHVGMTe6yyY45KCA"",""2026-27!v4"")"),1272000.0)</f>
        <v>1272000</v>
      </c>
      <c r="AS95" s="59">
        <f>IFERROR(__xludf.DUMMYFUNCTION("importrange(""1Cr2_pSX3-yhuS1Sayvgl6YpnuKxXHVGMTe6yyY45KCA"",""2026-27!v3"")"),53.0)</f>
        <v>53</v>
      </c>
      <c r="AT95" s="61">
        <f>IFERROR(__xludf.DUMMYFUNCTION("importrange(""1Cr2_pSX3-yhuS1Sayvgl6YpnuKxXHVGMTe6yyY45KCA"",""2026-27!w4"")"),0.0)</f>
        <v>0</v>
      </c>
      <c r="AU95" s="59">
        <f>IFERROR(__xludf.DUMMYFUNCTION("importrange(""1Cr2_pSX3-yhuS1Sayvgl6YpnuKxXHVGMTe6yyY45KCA"",""2026-27!w3"")"),0.0)</f>
        <v>0</v>
      </c>
      <c r="AV95" s="62">
        <f t="shared" si="104"/>
        <v>0</v>
      </c>
      <c r="AW95" s="59">
        <f>IFERROR(__xludf.DUMMYFUNCTION("importrange(""1Cr2_pSX3-yhuS1Sayvgl6YpnuKxXHVGMTe6yyY45KCA"",""2026-27!x4"")"),0.0)</f>
        <v>0</v>
      </c>
      <c r="AX95" s="59">
        <f>IFERROR(__xludf.DUMMYFUNCTION("importrange(""1Cr2_pSX3-yhuS1Sayvgl6YpnuKxXHVGMTe6yyY45KCA"",""2026-27!x3"")"),0.0)</f>
        <v>0</v>
      </c>
      <c r="AY95" s="59">
        <f>IFERROR(__xludf.DUMMYFUNCTION("importrange(""1Cr2_pSX3-yhuS1Sayvgl6YpnuKxXHVGMTe6yyY45KCA"",""2026-27!y4"")"),1249500.0)</f>
        <v>1249500</v>
      </c>
      <c r="AZ95" s="59">
        <f>IFERROR(__xludf.DUMMYFUNCTION("importrange(""1Cr2_pSX3-yhuS1Sayvgl6YpnuKxXHVGMTe6yyY45KCA"",""2026-27!y3"")"),52.0)</f>
        <v>52</v>
      </c>
      <c r="BA95" s="61">
        <f>IFERROR(__xludf.DUMMYFUNCTION("importrange(""1Cr2_pSX3-yhuS1Sayvgl6YpnuKxXHVGMTe6yyY45KCA"",""2026-27!z4"")"),0.0)</f>
        <v>0</v>
      </c>
      <c r="BB95" s="59">
        <f>IFERROR(__xludf.DUMMYFUNCTION("importrange(""1Cr2_pSX3-yhuS1Sayvgl6YpnuKxXHVGMTe6yyY45KCA"",""2026-27!z3"")"),0.0)</f>
        <v>0</v>
      </c>
      <c r="BC95" s="63">
        <f t="shared" si="105"/>
        <v>0</v>
      </c>
      <c r="BD95" s="59">
        <f>IFERROR(__xludf.DUMMYFUNCTION("importrange(""1Cr2_pSX3-yhuS1Sayvgl6YpnuKxXHVGMTe6yyY45KCA"",""2026-27!aa4"")"),0.0)</f>
        <v>0</v>
      </c>
      <c r="BE95" s="59">
        <f>IFERROR(__xludf.DUMMYFUNCTION("importrange(""1Cr2_pSX3-yhuS1Sayvgl6YpnuKxXHVGMTe6yyY45KCA"",""2026-27!aa3"")"),0.0)</f>
        <v>0</v>
      </c>
      <c r="BF95" s="59">
        <f>IFERROR(__xludf.DUMMYFUNCTION("importrange(""1Cr2_pSX3-yhuS1Sayvgl6YpnuKxXHVGMTe6yyY45KCA"",""2026-27!ab4"")"),1259500.0)</f>
        <v>1259500</v>
      </c>
      <c r="BG95" s="59">
        <f>IFERROR(__xludf.DUMMYFUNCTION("importrange(""1Cr2_pSX3-yhuS1Sayvgl6YpnuKxXHVGMTe6yyY45KCA"",""2026-27!ab3"")"),52.0)</f>
        <v>52</v>
      </c>
      <c r="BH95" s="59">
        <f>IFERROR(__xludf.DUMMYFUNCTION("importrange(""1Cr2_pSX3-yhuS1Sayvgl6YpnuKxXHVGMTe6yyY45KCA"",""2026-27!ac4"")"),0.0)</f>
        <v>0</v>
      </c>
      <c r="BI95" s="59">
        <f>IFERROR(__xludf.DUMMYFUNCTION("importrange(""1Cr2_pSX3-yhuS1Sayvgl6YpnuKxXHVGMTe6yyY45KCA"",""2026-27!ac3"")"),0.0)</f>
        <v>0</v>
      </c>
      <c r="BJ95" s="63">
        <f t="shared" si="106"/>
        <v>0</v>
      </c>
      <c r="BK95" s="59">
        <f>IFERROR(__xludf.DUMMYFUNCTION("importrange(""1Cr2_pSX3-yhuS1Sayvgl6YpnuKxXHVGMTe6yyY45KCA"",""2026-27!ad4"")"),0.0)</f>
        <v>0</v>
      </c>
      <c r="BL95" s="59">
        <f>IFERROR(__xludf.DUMMYFUNCTION("importrange(""1Cr2_pSX3-yhuS1Sayvgl6YpnuKxXHVGMTe6yyY45KCA"",""2026-27!ad3"")"),0.0)</f>
        <v>0</v>
      </c>
      <c r="BM95" s="59">
        <f>IFERROR(__xludf.DUMMYFUNCTION("importrange(""1Cr2_pSX3-yhuS1Sayvgl6YpnuKxXHVGMTe6yyY45KCA"",""2026-27!ae4"")"),1249500.0)</f>
        <v>1249500</v>
      </c>
      <c r="BN95" s="59">
        <f>IFERROR(__xludf.DUMMYFUNCTION("importrange(""1Cr2_pSX3-yhuS1Sayvgl6YpnuKxXHVGMTe6yyY45KCA"",""2026-27!ae3"")"),52.0)</f>
        <v>52</v>
      </c>
      <c r="BO95" s="59">
        <f>IFERROR(__xludf.DUMMYFUNCTION("importrange(""1Cr2_pSX3-yhuS1Sayvgl6YpnuKxXHVGMTe6yyY45KCA"",""2026-27!af4"")"),0.0)</f>
        <v>0</v>
      </c>
      <c r="BP95" s="59">
        <f>IFERROR(__xludf.DUMMYFUNCTION("importrange(""1Cr2_pSX3-yhuS1Sayvgl6YpnuKxXHVGMTe6yyY45KCA"",""2026-27!af3"")"),0.0)</f>
        <v>0</v>
      </c>
      <c r="BQ95" s="63">
        <f t="shared" si="107"/>
        <v>0</v>
      </c>
      <c r="BR95" s="59">
        <f>IFERROR(__xludf.DUMMYFUNCTION("importrange(""1Cr2_pSX3-yhuS1Sayvgl6YpnuKxXHVGMTe6yyY45KCA"",""2026-27!ag4"")"),0.0)</f>
        <v>0</v>
      </c>
      <c r="BS95" s="59">
        <f>IFERROR(__xludf.DUMMYFUNCTION("importrange(""1Cr2_pSX3-yhuS1Sayvgl6YpnuKxXHVGMTe6yyY45KCA"",""2026-27!ag3"")"),0.0)</f>
        <v>0</v>
      </c>
      <c r="BT95" s="59">
        <f>IFERROR(__xludf.DUMMYFUNCTION("importrange(""1Cr2_pSX3-yhuS1Sayvgl6YpnuKxXHVGMTe6yyY45KCA"",""2026-27!ah4"")"),1259500.0)</f>
        <v>1259500</v>
      </c>
      <c r="BU95" s="59">
        <f>IFERROR(__xludf.DUMMYFUNCTION("importrange(""1Cr2_pSX3-yhuS1Sayvgl6YpnuKxXHVGMTe6yyY45KCA"",""2026-27!ah3"")"),52.0)</f>
        <v>52</v>
      </c>
      <c r="BV95" s="59">
        <f>IFERROR(__xludf.DUMMYFUNCTION("importrange(""1Cr2_pSX3-yhuS1Sayvgl6YpnuKxXHVGMTe6yyY45KCA"",""2026-27!ai4"")"),0.0)</f>
        <v>0</v>
      </c>
      <c r="BW95" s="59">
        <f>IFERROR(__xludf.DUMMYFUNCTION("importrange(""1Cr2_pSX3-yhuS1Sayvgl6YpnuKxXHVGMTe6yyY45KCA"",""2026-27!ai3"")"),0.0)</f>
        <v>0</v>
      </c>
      <c r="BX95" s="63">
        <f t="shared" si="108"/>
        <v>0</v>
      </c>
      <c r="BY95" s="59">
        <f>IFERROR(__xludf.DUMMYFUNCTION("importrange(""1Cr2_pSX3-yhuS1Sayvgl6YpnuKxXHVGMTe6yyY45KCA"",""2026-27!aj4"")"),0.0)</f>
        <v>0</v>
      </c>
      <c r="BZ95" s="59">
        <f>IFERROR(__xludf.DUMMYFUNCTION("importrange(""1Cr2_pSX3-yhuS1Sayvgl6YpnuKxXHVGMTe6yyY45KCA"",""2026-27!aj3"")"),0.0)</f>
        <v>0</v>
      </c>
      <c r="CA95" s="59">
        <f>IFERROR(__xludf.DUMMYFUNCTION("importrange(""1Cr2_pSX3-yhuS1Sayvgl6YpnuKxXHVGMTe6yyY45KCA"",""2026-27!ak4"")"),1249500.0)</f>
        <v>1249500</v>
      </c>
      <c r="CB95" s="59">
        <f>IFERROR(__xludf.DUMMYFUNCTION("importrange(""1Cr2_pSX3-yhuS1Sayvgl6YpnuKxXHVGMTe6yyY45KCA"",""2026-27!ak3"")"),52.0)</f>
        <v>52</v>
      </c>
      <c r="CC95" s="59">
        <f>IFERROR(__xludf.DUMMYFUNCTION("importrange(""1Cr2_pSX3-yhuS1Sayvgl6YpnuKxXHVGMTe6yyY45KCA"",""2026-27!al4"")"),0.0)</f>
        <v>0</v>
      </c>
      <c r="CD95" s="59">
        <f>IFERROR(__xludf.DUMMYFUNCTION("importrange(""1Cr2_pSX3-yhuS1Sayvgl6YpnuKxXHVGMTe6yyY45KCA"",""2026-27!ai3"")"),0.0)</f>
        <v>0</v>
      </c>
      <c r="CE95" s="63">
        <f t="shared" si="109"/>
        <v>0</v>
      </c>
      <c r="CF95" s="59">
        <f>IFERROR(__xludf.DUMMYFUNCTION("importrange(""1Cr2_pSX3-yhuS1Sayvgl6YpnuKxXHVGMTe6yyY45KCA"",""2026-27!am4"")"),0.0)</f>
        <v>0</v>
      </c>
      <c r="CG95" s="59">
        <f>IFERROR(__xludf.DUMMYFUNCTION("importrange(""1Cr2_pSX3-yhuS1Sayvgl6YpnuKxXHVGMTe6yyY45KCA"",""2026-27!am3"")"),0.0)</f>
        <v>0</v>
      </c>
      <c r="CH95" s="59">
        <f>IFERROR(__xludf.DUMMYFUNCTION("importrange(""1Cr2_pSX3-yhuS1Sayvgl6YpnuKxXHVGMTe6yyY45KCA"",""2026-27!an4"")"),1269500.0)</f>
        <v>1269500</v>
      </c>
      <c r="CI95" s="59">
        <f>IFERROR(__xludf.DUMMYFUNCTION("importrange(""1Cr2_pSX3-yhuS1Sayvgl6YpnuKxXHVGMTe6yyY45KCA"",""2026-27!an3"")"),52.0)</f>
        <v>52</v>
      </c>
      <c r="CJ95" s="59">
        <f>IFERROR(__xludf.DUMMYFUNCTION("importrange(""1Cr2_pSX3-yhuS1Sayvgl6YpnuKxXHVGMTe6yyY45KCA"",""2026-27!ao4"")"),0.0)</f>
        <v>0</v>
      </c>
      <c r="CK95" s="59">
        <f>IFERROR(__xludf.DUMMYFUNCTION("importrange(""1Cr2_pSX3-yhuS1Sayvgl6YpnuKxXHVGMTe6yyY45KCA"",""2026-27!ao3"")"),0.0)</f>
        <v>0</v>
      </c>
      <c r="CL95" s="63">
        <f t="shared" si="110"/>
        <v>0</v>
      </c>
      <c r="CM95" s="59">
        <f>IFERROR(__xludf.DUMMYFUNCTION("importrange(""1Cr2_pSX3-yhuS1Sayvgl6YpnuKxXHVGMTe6yyY45KCA"",""2026-27!ap4"")"),0.0)</f>
        <v>0</v>
      </c>
      <c r="CN95" s="59">
        <f>IFERROR(__xludf.DUMMYFUNCTION("importrange(""1Cr2_pSX3-yhuS1Sayvgl6YpnuKxXHVGMTe6yyY45KCA"",""2026-27!ap3"")"),0.0)</f>
        <v>0</v>
      </c>
      <c r="CO95" s="59">
        <f>IFERROR(__xludf.DUMMYFUNCTION("importrange(""1Cr2_pSX3-yhuS1Sayvgl6YpnuKxXHVGMTe6yyY45KCA"",""2026-27!aq4"")"),1232500.0)</f>
        <v>1232500</v>
      </c>
      <c r="CP95" s="59">
        <f>IFERROR(__xludf.DUMMYFUNCTION("importrange(""1Cr2_pSX3-yhuS1Sayvgl6YpnuKxXHVGMTe6yyY45KCA"",""2026-27!aq3"")"),52.0)</f>
        <v>52</v>
      </c>
      <c r="CQ95" s="59">
        <f>IFERROR(__xludf.DUMMYFUNCTION("importrange(""1Cr2_pSX3-yhuS1Sayvgl6YpnuKxXHVGMTe6yyY45KCA"",""2026-27!ar4"")"),0.0)</f>
        <v>0</v>
      </c>
      <c r="CR95" s="59">
        <f>IFERROR(__xludf.DUMMYFUNCTION("importrange(""1Cr2_pSX3-yhuS1Sayvgl6YpnuKxXHVGMTe6yyY45KCA"",""2026-27!ar3"")"),0.0)</f>
        <v>0</v>
      </c>
      <c r="CS95" s="63">
        <f t="shared" si="111"/>
        <v>0</v>
      </c>
      <c r="CT95" s="59">
        <f>IFERROR(__xludf.DUMMYFUNCTION("importrange(""1Cr2_pSX3-yhuS1Sayvgl6YpnuKxXHVGMTe6yyY45KCA"",""2026-27!as4"")"),0.0)</f>
        <v>0</v>
      </c>
      <c r="CU95" s="59">
        <f>IFERROR(__xludf.DUMMYFUNCTION("importrange(""1Cr2_pSX3-yhuS1Sayvgl6YpnuKxXHVGMTe6yyY45KCA"",""2026-27!as3"")"),0.0)</f>
        <v>0</v>
      </c>
      <c r="CV95" s="64"/>
    </row>
    <row r="96">
      <c r="A96" s="1" t="s">
        <v>160</v>
      </c>
      <c r="B96" s="41"/>
      <c r="C96" s="68" t="s">
        <v>190</v>
      </c>
      <c r="D96" s="54" t="s">
        <v>191</v>
      </c>
      <c r="E96" s="54">
        <v>8.860343187E9</v>
      </c>
      <c r="F96" s="80">
        <v>44578.0</v>
      </c>
      <c r="G96" s="66"/>
      <c r="H96" s="66"/>
      <c r="I96" s="57">
        <v>25167.0</v>
      </c>
      <c r="J96" s="58">
        <v>2666667.0</v>
      </c>
      <c r="K96" s="61">
        <f>IFERROR(__xludf.DUMMYFUNCTION("IMPORTRANGE(""1e9SaWVffUYtulZA0Qz11l6mchzaBCaXi023gDuCgG_A"",""2026-27!A3"")"),40.0)</f>
        <v>40</v>
      </c>
      <c r="L96" s="61">
        <f>IFERROR(__xludf.DUMMYFUNCTION("IMPORTRANGE(""1e9SaWVffUYtulZA0Qz11l6mchzaBCaXi023gDuCgG_A"",""2026-27!G4"")"),3.22E7)</f>
        <v>32200000</v>
      </c>
      <c r="M96" s="61">
        <f t="shared" si="97"/>
        <v>2478575.69</v>
      </c>
      <c r="N96" s="60">
        <f t="shared" si="98"/>
        <v>0.07483906832</v>
      </c>
      <c r="O96" s="61">
        <f t="shared" si="99"/>
        <v>2409818</v>
      </c>
      <c r="P96" s="59">
        <f>IFERROR(__xludf.DUMMYFUNCTION("IMPORTRANGE(""1e9SaWVffUYtulZA0Qz11l6mchzaBCaXi023gDuCgG_A"",""2026-27!J4"")"),2583323.0)</f>
        <v>2583323</v>
      </c>
      <c r="Q96" s="59">
        <f>IFERROR(__xludf.DUMMYFUNCTION("IMPORTRANGE(""1e9SaWVffUYtulZA0Qz11l6mchzaBCaXi023gDuCgG_A"",""2026-27!J3"")"),38.0)</f>
        <v>38</v>
      </c>
      <c r="R96" s="59">
        <f>IFERROR(__xludf.DUMMYFUNCTION("IMPORTRANGE(""1e9SaWVffUYtulZA0Qz11l6mchzaBCaXi023gDuCgG_A"",""2026-27!K4"")"),300592.81)</f>
        <v>300592.81</v>
      </c>
      <c r="S96" s="59">
        <f>IFERROR(__xludf.DUMMYFUNCTION("IMPORTRANGE(""1e9SaWVffUYtulZA0Qz11l6mchzaBCaXi023gDuCgG_A"",""2026-27!K3"")"),3.0)</f>
        <v>3</v>
      </c>
      <c r="T96" s="62">
        <f t="shared" si="100"/>
        <v>0.4327751505</v>
      </c>
      <c r="U96" s="59">
        <f>IFERROR(__xludf.DUMMYFUNCTION("IMPORTRANGE(""1e9SaWVffUYtulZA0Qz11l6mchzaBCaXi023gDuCgG_A"",""2026-27!L4"")"),1117998.0)</f>
        <v>1117998</v>
      </c>
      <c r="V96" s="85">
        <f>IFERROR(__xludf.DUMMYFUNCTION("IMPORTRANGE(""1e9SaWVffUYtulZA0Qz11l6mchzaBCaXi023gDuCgG_A"",""2026-27!L3"")"),31.0)</f>
        <v>31</v>
      </c>
      <c r="W96" s="59">
        <f>IFERROR(__xludf.DUMMYFUNCTION("IMPORTRANGE(""1e9SaWVffUYtulZA0Qz11l6mchzaBCaXi023gDuCgG_A"",""2026-27!M4"")"),2583323.0)</f>
        <v>2583323</v>
      </c>
      <c r="X96" s="85">
        <f>IFERROR(__xludf.DUMMYFUNCTION("IMPORTRANGE(""1e9SaWVffUYtulZA0Qz11l6mchzaBCaXi023gDuCgG_A"",""2026-27!M3"")"),38.0)</f>
        <v>38</v>
      </c>
      <c r="Y96" s="59">
        <f>IFERROR(__xludf.DUMMYFUNCTION("importrange(""1e9SaWVffUYtulZA0Qz11l6mchzaBCaXi023gDuCgG_A"",""2026-27!n4"")"),514696.39999999997)</f>
        <v>514696.4</v>
      </c>
      <c r="Z96" s="59">
        <f>IFERROR(__xludf.DUMMYFUNCTION("importrange(""1e9SaWVffUYtulZA0Qz11l6mchzaBCaXi023gDuCgG_A"",""2026-27!n3"")"),3.0)</f>
        <v>3</v>
      </c>
      <c r="AA96" s="62">
        <f t="shared" si="101"/>
        <v>0.5000613551</v>
      </c>
      <c r="AB96" s="59">
        <f>IFERROR(__xludf.DUMMYFUNCTION("importrange(""1e9SaWVffUYtulZA0Qz11l6mchzaBCaXi023gDuCgG_A"",""2026-27!o4"")"),1291820.0)</f>
        <v>1291820</v>
      </c>
      <c r="AC96" s="59">
        <f>IFERROR(__xludf.DUMMYFUNCTION("importrange(""1e9SaWVffUYtulZA0Qz11l6mchzaBCaXi023gDuCgG_A"",""2026-27!o3"")"),29.0)</f>
        <v>29</v>
      </c>
      <c r="AD96" s="59">
        <f>IFERROR(__xludf.DUMMYFUNCTION("importrange(""1e9SaWVffUYtulZA0Qz11l6mchzaBCaXi023gDuCgG_A"",""2026-27!p4"")"),2583323.0)</f>
        <v>2583323</v>
      </c>
      <c r="AE96" s="59">
        <f>IFERROR(__xludf.DUMMYFUNCTION("importrange(""1e9SaWVffUYtulZA0Qz11l6mchzaBCaXi023gDuCgG_A"",""2026-27!p3"")"),38.0)</f>
        <v>38</v>
      </c>
      <c r="AF96" s="59">
        <f>IFERROR(__xludf.DUMMYFUNCTION("importrange(""1e9SaWVffUYtulZA0Qz11l6mchzaBCaXi023gDuCgG_A"",""2026-27!q4"")"),1663286.48)</f>
        <v>1663286.48</v>
      </c>
      <c r="AG96" s="59">
        <f>IFERROR(__xludf.DUMMYFUNCTION("importrange(""1e9SaWVffUYtulZA0Qz11l6mchzaBCaXi023gDuCgG_A"",""2026-27!q3"")"),9.0)</f>
        <v>9</v>
      </c>
      <c r="AH96" s="62">
        <f t="shared" si="102"/>
        <v>0</v>
      </c>
      <c r="AI96" s="59">
        <f>IFERROR(__xludf.DUMMYFUNCTION("importrange(""1e9SaWVffUYtulZA0Qz11l6mchzaBCaXi023gDuCgG_A"",""2026-27!r4"")"),0.0)</f>
        <v>0</v>
      </c>
      <c r="AJ96" s="59">
        <f>IFERROR(__xludf.DUMMYFUNCTION("importrange(""1e9SaWVffUYtulZA0Qz11l6mchzaBCaXi023gDuCgG_A"",""2026-27!r3"")"),0.0)</f>
        <v>0</v>
      </c>
      <c r="AK96" s="59">
        <f>IFERROR(__xludf.DUMMYFUNCTION("importrange(""1e9SaWVffUYtulZA0Qz11l6mchzaBCaXi023gDuCgG_A"",""2026-27!s4"")"),2583323.0)</f>
        <v>2583323</v>
      </c>
      <c r="AL96" s="59">
        <f>IFERROR(__xludf.DUMMYFUNCTION("importrange(""1e9SaWVffUYtulZA0Qz11l6mchzaBCaXi023gDuCgG_A"",""2026-27!s3"")"),38.0)</f>
        <v>38</v>
      </c>
      <c r="AM96" s="61">
        <f>IFERROR(__xludf.DUMMYFUNCTION("importrange(""1e9SaWVffUYtulZA0Qz11l6mchzaBCaXi023gDuCgG_A"",""2026-27!t4"")"),0.0)</f>
        <v>0</v>
      </c>
      <c r="AN96" s="59">
        <f>IFERROR(__xludf.DUMMYFUNCTION("importrange(""1e9SaWVffUYtulZA0Qz11l6mchzaBCaXi023gDuCgG_A"",""2026-27!t3"")"),0.0)</f>
        <v>0</v>
      </c>
      <c r="AO96" s="62">
        <f t="shared" si="103"/>
        <v>0</v>
      </c>
      <c r="AP96" s="59">
        <f>IFERROR(__xludf.DUMMYFUNCTION("importrange(""1e9SaWVffUYtulZA0Qz11l6mchzaBCaXi023gDuCgG_A"",""2026-27!u4"")"),0.0)</f>
        <v>0</v>
      </c>
      <c r="AQ96" s="59">
        <f>IFERROR(__xludf.DUMMYFUNCTION("importrange(""1e9SaWVffUYtulZA0Qz11l6mchzaBCaXi023gDuCgG_A"",""2026-27!u3"")"),0.0)</f>
        <v>0</v>
      </c>
      <c r="AR96" s="59">
        <f>IFERROR(__xludf.DUMMYFUNCTION("importrange(""1e9SaWVffUYtulZA0Qz11l6mchzaBCaXi023gDuCgG_A"",""2026-27!v4"")"),2583323.0)</f>
        <v>2583323</v>
      </c>
      <c r="AS96" s="59">
        <f>IFERROR(__xludf.DUMMYFUNCTION("importrange(""1e9SaWVffUYtulZA0Qz11l6mchzaBCaXi023gDuCgG_A"",""2026-27!v3"")"),38.0)</f>
        <v>38</v>
      </c>
      <c r="AT96" s="61">
        <f>IFERROR(__xludf.DUMMYFUNCTION("importrange(""1e9SaWVffUYtulZA0Qz11l6mchzaBCaXi023gDuCgG_A"",""2026-27!w4"")"),0.0)</f>
        <v>0</v>
      </c>
      <c r="AU96" s="59">
        <f>IFERROR(__xludf.DUMMYFUNCTION("importrange(""1e9SaWVffUYtulZA0Qz11l6mchzaBCaXi023gDuCgG_A"",""2026-27!w3"")"),0.0)</f>
        <v>0</v>
      </c>
      <c r="AV96" s="62">
        <f t="shared" si="104"/>
        <v>0</v>
      </c>
      <c r="AW96" s="59">
        <f>IFERROR(__xludf.DUMMYFUNCTION("importrange(""1e9SaWVffUYtulZA0Qz11l6mchzaBCaXi023gDuCgG_A"",""2026-27!x4"")"),0.0)</f>
        <v>0</v>
      </c>
      <c r="AX96" s="59">
        <f>IFERROR(__xludf.DUMMYFUNCTION("importrange(""1e9SaWVffUYtulZA0Qz11l6mchzaBCaXi023gDuCgG_A"",""2026-27!x3"")"),0.0)</f>
        <v>0</v>
      </c>
      <c r="AY96" s="59">
        <f>IFERROR(__xludf.DUMMYFUNCTION("importrange(""1e9SaWVffUYtulZA0Qz11l6mchzaBCaXi023gDuCgG_A"",""2026-27!y4"")"),3708323.0)</f>
        <v>3708323</v>
      </c>
      <c r="AZ96" s="59">
        <f>IFERROR(__xludf.DUMMYFUNCTION("importrange(""1e9SaWVffUYtulZA0Qz11l6mchzaBCaXi023gDuCgG_A"",""2026-27!y3"")"),38.0)</f>
        <v>38</v>
      </c>
      <c r="BA96" s="61">
        <f>IFERROR(__xludf.DUMMYFUNCTION("importrange(""1e9SaWVffUYtulZA0Qz11l6mchzaBCaXi023gDuCgG_A"",""2026-27!z4"")"),0.0)</f>
        <v>0</v>
      </c>
      <c r="BB96" s="59">
        <f>IFERROR(__xludf.DUMMYFUNCTION("importrange(""1e9SaWVffUYtulZA0Qz11l6mchzaBCaXi023gDuCgG_A"",""2026-27!z3"")"),0.0)</f>
        <v>0</v>
      </c>
      <c r="BC96" s="63">
        <f t="shared" si="105"/>
        <v>0</v>
      </c>
      <c r="BD96" s="59">
        <f>IFERROR(__xludf.DUMMYFUNCTION("importrange(""1e9SaWVffUYtulZA0Qz11l6mchzaBCaXi023gDuCgG_A"",""2026-27!aa4"")"),0.0)</f>
        <v>0</v>
      </c>
      <c r="BE96" s="59">
        <f>IFERROR(__xludf.DUMMYFUNCTION("importrange(""1e9SaWVffUYtulZA0Qz11l6mchzaBCaXi023gDuCgG_A"",""2026-27!aa3"")"),0.0)</f>
        <v>0</v>
      </c>
      <c r="BF96" s="59">
        <f>IFERROR(__xludf.DUMMYFUNCTION("importrange(""1e9SaWVffUYtulZA0Qz11l6mchzaBCaXi023gDuCgG_A"",""2026-27!ab4"")"),2583323.0)</f>
        <v>2583323</v>
      </c>
      <c r="BG96" s="59">
        <f>IFERROR(__xludf.DUMMYFUNCTION("importrange(""1e9SaWVffUYtulZA0Qz11l6mchzaBCaXi023gDuCgG_A"",""2026-27!ab3"")"),38.0)</f>
        <v>38</v>
      </c>
      <c r="BH96" s="59">
        <f>IFERROR(__xludf.DUMMYFUNCTION("importrange(""1e9SaWVffUYtulZA0Qz11l6mchzaBCaXi023gDuCgG_A"",""2026-27!ac4"")"),0.0)</f>
        <v>0</v>
      </c>
      <c r="BI96" s="59">
        <f>IFERROR(__xludf.DUMMYFUNCTION("importrange(""1e9SaWVffUYtulZA0Qz11l6mchzaBCaXi023gDuCgG_A"",""2026-27!ac3"")"),0.0)</f>
        <v>0</v>
      </c>
      <c r="BJ96" s="63">
        <f t="shared" si="106"/>
        <v>0</v>
      </c>
      <c r="BK96" s="59">
        <f>IFERROR(__xludf.DUMMYFUNCTION("importrange(""1e9SaWVffUYtulZA0Qz11l6mchzaBCaXi023gDuCgG_A"",""2026-27!ad4"")"),0.0)</f>
        <v>0</v>
      </c>
      <c r="BL96" s="59">
        <f>IFERROR(__xludf.DUMMYFUNCTION("importrange(""1e9SaWVffUYtulZA0Qz11l6mchzaBCaXi023gDuCgG_A"",""2026-27!ad3"")"),0.0)</f>
        <v>0</v>
      </c>
      <c r="BM96" s="59">
        <f>IFERROR(__xludf.DUMMYFUNCTION("importrange(""1e9SaWVffUYtulZA0Qz11l6mchzaBCaXi023gDuCgG_A"",""2026-27!ae4"")"),2583323.0)</f>
        <v>2583323</v>
      </c>
      <c r="BN96" s="59">
        <f>IFERROR(__xludf.DUMMYFUNCTION("importrange(""1e9SaWVffUYtulZA0Qz11l6mchzaBCaXi023gDuCgG_A"",""2026-27!ae3"")"),38.0)</f>
        <v>38</v>
      </c>
      <c r="BO96" s="59">
        <f>IFERROR(__xludf.DUMMYFUNCTION("importrange(""1e9SaWVffUYtulZA0Qz11l6mchzaBCaXi023gDuCgG_A"",""2026-27!af4"")"),0.0)</f>
        <v>0</v>
      </c>
      <c r="BP96" s="59">
        <f>IFERROR(__xludf.DUMMYFUNCTION("importrange(""1e9SaWVffUYtulZA0Qz11l6mchzaBCaXi023gDuCgG_A"",""2026-27!af3"")"),0.0)</f>
        <v>0</v>
      </c>
      <c r="BQ96" s="63">
        <f t="shared" si="107"/>
        <v>0</v>
      </c>
      <c r="BR96" s="59">
        <f>IFERROR(__xludf.DUMMYFUNCTION("importrange(""1e9SaWVffUYtulZA0Qz11l6mchzaBCaXi023gDuCgG_A"",""2026-27!ag4"")"),0.0)</f>
        <v>0</v>
      </c>
      <c r="BS96" s="59">
        <f>IFERROR(__xludf.DUMMYFUNCTION("importrange(""1e9SaWVffUYtulZA0Qz11l6mchzaBCaXi023gDuCgG_A"",""2026-27!ag3"")"),0.0)</f>
        <v>0</v>
      </c>
      <c r="BT96" s="59">
        <f>IFERROR(__xludf.DUMMYFUNCTION("importrange(""1e9SaWVffUYtulZA0Qz11l6mchzaBCaXi023gDuCgG_A"",""2026-27!ah4"")"),2583323.0)</f>
        <v>2583323</v>
      </c>
      <c r="BU96" s="59">
        <f>IFERROR(__xludf.DUMMYFUNCTION("importrange(""1e9SaWVffUYtulZA0Qz11l6mchzaBCaXi023gDuCgG_A"",""2026-27!ah3"")"),38.0)</f>
        <v>38</v>
      </c>
      <c r="BV96" s="59">
        <f>IFERROR(__xludf.DUMMYFUNCTION("importrange(""1e9SaWVffUYtulZA0Qz11l6mchzaBCaXi023gDuCgG_A"",""2026-27!ai4"")"),0.0)</f>
        <v>0</v>
      </c>
      <c r="BW96" s="59">
        <f>IFERROR(__xludf.DUMMYFUNCTION("importrange(""1e9SaWVffUYtulZA0Qz11l6mchzaBCaXi023gDuCgG_A"",""2026-27!ai3"")"),0.0)</f>
        <v>0</v>
      </c>
      <c r="BX96" s="63">
        <f t="shared" si="108"/>
        <v>0</v>
      </c>
      <c r="BY96" s="59">
        <f>IFERROR(__xludf.DUMMYFUNCTION("importrange(""1e9SaWVffUYtulZA0Qz11l6mchzaBCaXi023gDuCgG_A"",""2026-27!aj4"")"),0.0)</f>
        <v>0</v>
      </c>
      <c r="BZ96" s="59">
        <f>IFERROR(__xludf.DUMMYFUNCTION("importrange(""1e9SaWVffUYtulZA0Qz11l6mchzaBCaXi023gDuCgG_A"",""2026-27!aj3"")"),0.0)</f>
        <v>0</v>
      </c>
      <c r="CA96" s="59">
        <f>IFERROR(__xludf.DUMMYFUNCTION("importrange(""1e9SaWVffUYtulZA0Qz11l6mchzaBCaXi023gDuCgG_A"",""2026-27!ak4"")"),2583323.0)</f>
        <v>2583323</v>
      </c>
      <c r="CB96" s="59">
        <f>IFERROR(__xludf.DUMMYFUNCTION("importrange(""1e9SaWVffUYtulZA0Qz11l6mchzaBCaXi023gDuCgG_A"",""2026-27!ak3"")"),38.0)</f>
        <v>38</v>
      </c>
      <c r="CC96" s="59">
        <f>IFERROR(__xludf.DUMMYFUNCTION("importrange(""1e9SaWVffUYtulZA0Qz11l6mchzaBCaXi023gDuCgG_A"",""2026-27!al4"")"),0.0)</f>
        <v>0</v>
      </c>
      <c r="CD96" s="59">
        <f>IFERROR(__xludf.DUMMYFUNCTION("importrange(""1e9SaWVffUYtulZA0Qz11l6mchzaBCaXi023gDuCgG_A"",""2026-27!ai3"")"),0.0)</f>
        <v>0</v>
      </c>
      <c r="CE96" s="63">
        <f t="shared" si="109"/>
        <v>0</v>
      </c>
      <c r="CF96" s="59">
        <f>IFERROR(__xludf.DUMMYFUNCTION("importrange(""1e9SaWVffUYtulZA0Qz11l6mchzaBCaXi023gDuCgG_A"",""2026-27!am4"")"),0.0)</f>
        <v>0</v>
      </c>
      <c r="CG96" s="59">
        <f>IFERROR(__xludf.DUMMYFUNCTION("importrange(""1e9SaWVffUYtulZA0Qz11l6mchzaBCaXi023gDuCgG_A"",""2026-27!am3"")"),0.0)</f>
        <v>0</v>
      </c>
      <c r="CH96" s="59">
        <f>IFERROR(__xludf.DUMMYFUNCTION("importrange(""1e9SaWVffUYtulZA0Qz11l6mchzaBCaXi023gDuCgG_A"",""2026-27!an4"")"),2583323.0)</f>
        <v>2583323</v>
      </c>
      <c r="CI96" s="59">
        <f>IFERROR(__xludf.DUMMYFUNCTION("importrange(""1e9SaWVffUYtulZA0Qz11l6mchzaBCaXi023gDuCgG_A"",""2026-27!an3"")"),38.0)</f>
        <v>38</v>
      </c>
      <c r="CJ96" s="59">
        <f>IFERROR(__xludf.DUMMYFUNCTION("importrange(""1e9SaWVffUYtulZA0Qz11l6mchzaBCaXi023gDuCgG_A"",""2026-27!ao4"")"),0.0)</f>
        <v>0</v>
      </c>
      <c r="CK96" s="59">
        <f>IFERROR(__xludf.DUMMYFUNCTION("importrange(""1e9SaWVffUYtulZA0Qz11l6mchzaBCaXi023gDuCgG_A"",""2026-27!ao3"")"),0.0)</f>
        <v>0</v>
      </c>
      <c r="CL96" s="63">
        <f t="shared" si="110"/>
        <v>0</v>
      </c>
      <c r="CM96" s="59">
        <f>IFERROR(__xludf.DUMMYFUNCTION("importrange(""1e9SaWVffUYtulZA0Qz11l6mchzaBCaXi023gDuCgG_A"",""2026-27!ap4"")"),0.0)</f>
        <v>0</v>
      </c>
      <c r="CN96" s="59">
        <f>IFERROR(__xludf.DUMMYFUNCTION("importrange(""1e9SaWVffUYtulZA0Qz11l6mchzaBCaXi023gDuCgG_A"",""2026-27!ap3"")"),0.0)</f>
        <v>0</v>
      </c>
      <c r="CO96" s="59">
        <f>IFERROR(__xludf.DUMMYFUNCTION("importrange(""1e9SaWVffUYtulZA0Qz11l6mchzaBCaXi023gDuCgG_A"",""2026-27!aq4"")"),2583323.0)</f>
        <v>2583323</v>
      </c>
      <c r="CP96" s="59">
        <f>IFERROR(__xludf.DUMMYFUNCTION("importrange(""1e9SaWVffUYtulZA0Qz11l6mchzaBCaXi023gDuCgG_A"",""2026-27!aq3"")"),38.0)</f>
        <v>38</v>
      </c>
      <c r="CQ96" s="59">
        <f>IFERROR(__xludf.DUMMYFUNCTION("importrange(""1e9SaWVffUYtulZA0Qz11l6mchzaBCaXi023gDuCgG_A"",""2026-27!ar4"")"),0.0)</f>
        <v>0</v>
      </c>
      <c r="CR96" s="59">
        <f>IFERROR(__xludf.DUMMYFUNCTION("importrange(""1e9SaWVffUYtulZA0Qz11l6mchzaBCaXi023gDuCgG_A"",""2026-27!ar3"")"),0.0)</f>
        <v>0</v>
      </c>
      <c r="CS96" s="63">
        <f t="shared" si="111"/>
        <v>0</v>
      </c>
      <c r="CT96" s="59">
        <f>IFERROR(__xludf.DUMMYFUNCTION("importrange(""1e9SaWVffUYtulZA0Qz11l6mchzaBCaXi023gDuCgG_A"",""2026-27!as4"")"),0.0)</f>
        <v>0</v>
      </c>
      <c r="CU96" s="59">
        <f>IFERROR(__xludf.DUMMYFUNCTION("importrange(""1e9SaWVffUYtulZA0Qz11l6mchzaBCaXi023gDuCgG_A"",""2026-27!as3"")"),0.0)</f>
        <v>0</v>
      </c>
      <c r="CV96" s="64"/>
    </row>
    <row r="97">
      <c r="A97" s="1" t="s">
        <v>160</v>
      </c>
      <c r="B97" s="41"/>
      <c r="C97" s="68" t="s">
        <v>192</v>
      </c>
      <c r="D97" s="54" t="s">
        <v>193</v>
      </c>
      <c r="E97" s="54">
        <v>9.101007219E9</v>
      </c>
      <c r="F97" s="80">
        <v>44868.0</v>
      </c>
      <c r="G97" s="66"/>
      <c r="H97" s="66"/>
      <c r="I97" s="57">
        <v>28750.0</v>
      </c>
      <c r="J97" s="58">
        <v>1250000.0</v>
      </c>
      <c r="K97" s="61">
        <f>IFERROR(__xludf.DUMMYFUNCTION("IMPORTRANGE(""1shTvs8XCxTEi4uArYvktfhVF3aaBcX8qXa6gu0Yrdy8"",""2026-27!A3"")"),71.0)</f>
        <v>71</v>
      </c>
      <c r="L97" s="61">
        <f>IFERROR(__xludf.DUMMYFUNCTION("IMPORTRANGE(""1shTvs8XCxTEi4uArYvktfhVF3aaBcX8qXa6gu0Yrdy8"",""2026-27!G4"")"),2.005E7)</f>
        <v>20050000</v>
      </c>
      <c r="M97" s="61">
        <f t="shared" si="97"/>
        <v>577225.17</v>
      </c>
      <c r="N97" s="60">
        <f t="shared" si="98"/>
        <v>0.09124686234</v>
      </c>
      <c r="O97" s="61">
        <f t="shared" si="99"/>
        <v>1829499.59</v>
      </c>
      <c r="P97" s="59">
        <f>IFERROR(__xludf.DUMMYFUNCTION("IMPORTRANGE(""1shTvs8XCxTEi4uArYvktfhVF3aaBcX8qXa6gu0Yrdy8"",""2026-27!J4"")"),0.0)</f>
        <v>0</v>
      </c>
      <c r="Q97" s="59">
        <f>IFERROR(__xludf.DUMMYFUNCTION("IMPORTRANGE(""1shTvs8XCxTEi4uArYvktfhVF3aaBcX8qXa6gu0Yrdy8"",""2026-27!J3"")"),0.0)</f>
        <v>0</v>
      </c>
      <c r="R97" s="59">
        <f>IFERROR(__xludf.DUMMYFUNCTION("IMPORTRANGE(""1shTvs8XCxTEi4uArYvktfhVF3aaBcX8qXa6gu0Yrdy8"",""2026-27!K4"")"),261309.5)</f>
        <v>261309.5</v>
      </c>
      <c r="S97" s="59">
        <f>IFERROR(__xludf.DUMMYFUNCTION("IMPORTRANGE(""1shTvs8XCxTEi4uArYvktfhVF3aaBcX8qXa6gu0Yrdy8"",""2026-27!K3"")"),3.0)</f>
        <v>3</v>
      </c>
      <c r="T97" s="62" t="str">
        <f t="shared" si="100"/>
        <v/>
      </c>
      <c r="U97" s="59">
        <f>IFERROR(__xludf.DUMMYFUNCTION("IMPORTRANGE(""1shTvs8XCxTEi4uArYvktfhVF3aaBcX8qXa6gu0Yrdy8"",""2026-27!L4"")"),740337.1300000001)</f>
        <v>740337.13</v>
      </c>
      <c r="V97" s="85">
        <f>IFERROR(__xludf.DUMMYFUNCTION("IMPORTRANGE(""1shTvs8XCxTEi4uArYvktfhVF3aaBcX8qXa6gu0Yrdy8"",""2026-27!L3"")"),15.0)</f>
        <v>15</v>
      </c>
      <c r="W97" s="59">
        <f>IFERROR(__xludf.DUMMYFUNCTION("IMPORTRANGE(""1shTvs8XCxTEi4uArYvktfhVF3aaBcX8qXa6gu0Yrdy8"",""2026-27!M4"")"),0.0)</f>
        <v>0</v>
      </c>
      <c r="X97" s="85">
        <f>IFERROR(__xludf.DUMMYFUNCTION("IMPORTRANGE(""1shTvs8XCxTEi4uArYvktfhVF3aaBcX8qXa6gu0Yrdy8"",""2026-27!M3"")"),0.0)</f>
        <v>0</v>
      </c>
      <c r="Y97" s="59">
        <f>IFERROR(__xludf.DUMMYFUNCTION("importrange(""1shTvs8XCxTEi4uArYvktfhVF3aaBcX8qXa6gu0Yrdy8"",""2026-27!n4"")"),168020.72999999998)</f>
        <v>168020.73</v>
      </c>
      <c r="Z97" s="59">
        <f>IFERROR(__xludf.DUMMYFUNCTION("importrange(""1shTvs8XCxTEi4uArYvktfhVF3aaBcX8qXa6gu0Yrdy8"",""2026-27!n3"")"),4.0)</f>
        <v>4</v>
      </c>
      <c r="AA97" s="62" t="str">
        <f t="shared" si="101"/>
        <v/>
      </c>
      <c r="AB97" s="59">
        <f>IFERROR(__xludf.DUMMYFUNCTION("importrange(""1shTvs8XCxTEi4uArYvktfhVF3aaBcX8qXa6gu0Yrdy8"",""2026-27!o4"")"),1089162.46)</f>
        <v>1089162.46</v>
      </c>
      <c r="AC97" s="59">
        <f>IFERROR(__xludf.DUMMYFUNCTION("importrange(""1shTvs8XCxTEi4uArYvktfhVF3aaBcX8qXa6gu0Yrdy8"",""2026-27!o3"")"),25.0)</f>
        <v>25</v>
      </c>
      <c r="AD97" s="59">
        <f>IFERROR(__xludf.DUMMYFUNCTION("importrange(""1shTvs8XCxTEi4uArYvktfhVF3aaBcX8qXa6gu0Yrdy8"",""2026-27!p4"")"),0.0)</f>
        <v>0</v>
      </c>
      <c r="AE97" s="59">
        <f>IFERROR(__xludf.DUMMYFUNCTION("importrange(""1shTvs8XCxTEi4uArYvktfhVF3aaBcX8qXa6gu0Yrdy8"",""2026-27!p3"")"),0.0)</f>
        <v>0</v>
      </c>
      <c r="AF97" s="59">
        <f>IFERROR(__xludf.DUMMYFUNCTION("importrange(""1shTvs8XCxTEi4uArYvktfhVF3aaBcX8qXa6gu0Yrdy8"",""2026-27!q4"")"),147894.94)</f>
        <v>147894.94</v>
      </c>
      <c r="AG97" s="59">
        <f>IFERROR(__xludf.DUMMYFUNCTION("importrange(""1shTvs8XCxTEi4uArYvktfhVF3aaBcX8qXa6gu0Yrdy8"",""2026-27!q3"")"),1.0)</f>
        <v>1</v>
      </c>
      <c r="AH97" s="62" t="str">
        <f t="shared" si="102"/>
        <v/>
      </c>
      <c r="AI97" s="59">
        <f>IFERROR(__xludf.DUMMYFUNCTION("importrange(""1shTvs8XCxTEi4uArYvktfhVF3aaBcX8qXa6gu0Yrdy8"",""2026-27!r4"")"),0.0)</f>
        <v>0</v>
      </c>
      <c r="AJ97" s="59">
        <f>IFERROR(__xludf.DUMMYFUNCTION("importrange(""1shTvs8XCxTEi4uArYvktfhVF3aaBcX8qXa6gu0Yrdy8"",""2026-27!r3"")"),0.0)</f>
        <v>0</v>
      </c>
      <c r="AK97" s="59">
        <f>IFERROR(__xludf.DUMMYFUNCTION("importrange(""1shTvs8XCxTEi4uArYvktfhVF3aaBcX8qXa6gu0Yrdy8"",""2026-27!s4"")"),0.0)</f>
        <v>0</v>
      </c>
      <c r="AL97" s="59">
        <f>IFERROR(__xludf.DUMMYFUNCTION("importrange(""1shTvs8XCxTEi4uArYvktfhVF3aaBcX8qXa6gu0Yrdy8"",""2026-27!s3"")"),0.0)</f>
        <v>0</v>
      </c>
      <c r="AM97" s="61">
        <f>IFERROR(__xludf.DUMMYFUNCTION("importrange(""1shTvs8XCxTEi4uArYvktfhVF3aaBcX8qXa6gu0Yrdy8"",""2026-27!t4"")"),0.0)</f>
        <v>0</v>
      </c>
      <c r="AN97" s="59">
        <f>IFERROR(__xludf.DUMMYFUNCTION("importrange(""1shTvs8XCxTEi4uArYvktfhVF3aaBcX8qXa6gu0Yrdy8"",""2026-27!t3"")"),0.0)</f>
        <v>0</v>
      </c>
      <c r="AO97" s="62" t="str">
        <f t="shared" si="103"/>
        <v/>
      </c>
      <c r="AP97" s="59">
        <f>IFERROR(__xludf.DUMMYFUNCTION("importrange(""1shTvs8XCxTEi4uArYvktfhVF3aaBcX8qXa6gu0Yrdy8"",""2026-27!u4"")"),0.0)</f>
        <v>0</v>
      </c>
      <c r="AQ97" s="59">
        <f>IFERROR(__xludf.DUMMYFUNCTION("importrange(""1shTvs8XCxTEi4uArYvktfhVF3aaBcX8qXa6gu0Yrdy8"",""2026-27!u3"")"),0.0)</f>
        <v>0</v>
      </c>
      <c r="AR97" s="59">
        <f>IFERROR(__xludf.DUMMYFUNCTION("importrange(""1shTvs8XCxTEi4uArYvktfhVF3aaBcX8qXa6gu0Yrdy8"",""2026-27!v4"")"),0.0)</f>
        <v>0</v>
      </c>
      <c r="AS97" s="59">
        <f>IFERROR(__xludf.DUMMYFUNCTION("importrange(""1shTvs8XCxTEi4uArYvktfhVF3aaBcX8qXa6gu0Yrdy8"",""2026-27!v3"")"),0.0)</f>
        <v>0</v>
      </c>
      <c r="AT97" s="61">
        <f>IFERROR(__xludf.DUMMYFUNCTION("importrange(""1shTvs8XCxTEi4uArYvktfhVF3aaBcX8qXa6gu0Yrdy8"",""2026-27!w4"")"),0.0)</f>
        <v>0</v>
      </c>
      <c r="AU97" s="59">
        <f>IFERROR(__xludf.DUMMYFUNCTION("importrange(""1shTvs8XCxTEi4uArYvktfhVF3aaBcX8qXa6gu0Yrdy8"",""2026-27!w3"")"),0.0)</f>
        <v>0</v>
      </c>
      <c r="AV97" s="62" t="str">
        <f t="shared" si="104"/>
        <v/>
      </c>
      <c r="AW97" s="59">
        <f>IFERROR(__xludf.DUMMYFUNCTION("importrange(""1shTvs8XCxTEi4uArYvktfhVF3aaBcX8qXa6gu0Yrdy8"",""2026-27!x4"")"),0.0)</f>
        <v>0</v>
      </c>
      <c r="AX97" s="59">
        <f>IFERROR(__xludf.DUMMYFUNCTION("importrange(""1shTvs8XCxTEi4uArYvktfhVF3aaBcX8qXa6gu0Yrdy8"",""2026-27!x3"")"),0.0)</f>
        <v>0</v>
      </c>
      <c r="AY97" s="59">
        <f>IFERROR(__xludf.DUMMYFUNCTION("importrange(""1shTvs8XCxTEi4uArYvktfhVF3aaBcX8qXa6gu0Yrdy8"",""2026-27!y4"")"),0.0)</f>
        <v>0</v>
      </c>
      <c r="AZ97" s="59">
        <f>IFERROR(__xludf.DUMMYFUNCTION("importrange(""1shTvs8XCxTEi4uArYvktfhVF3aaBcX8qXa6gu0Yrdy8"",""2026-27!y3"")"),0.0)</f>
        <v>0</v>
      </c>
      <c r="BA97" s="61">
        <f>IFERROR(__xludf.DUMMYFUNCTION("importrange(""1shTvs8XCxTEi4uArYvktfhVF3aaBcX8qXa6gu0Yrdy8"",""2026-27!z4"")"),0.0)</f>
        <v>0</v>
      </c>
      <c r="BB97" s="59">
        <f>IFERROR(__xludf.DUMMYFUNCTION("importrange(""1shTvs8XCxTEi4uArYvktfhVF3aaBcX8qXa6gu0Yrdy8"",""2026-27!z3"")"),0.0)</f>
        <v>0</v>
      </c>
      <c r="BC97" s="63" t="str">
        <f t="shared" si="105"/>
        <v/>
      </c>
      <c r="BD97" s="59">
        <f>IFERROR(__xludf.DUMMYFUNCTION("importrange(""1shTvs8XCxTEi4uArYvktfhVF3aaBcX8qXa6gu0Yrdy8"",""2026-27!aa4"")"),0.0)</f>
        <v>0</v>
      </c>
      <c r="BE97" s="59">
        <f>IFERROR(__xludf.DUMMYFUNCTION("importrange(""1shTvs8XCxTEi4uArYvktfhVF3aaBcX8qXa6gu0Yrdy8"",""2026-27!aa3"")"),0.0)</f>
        <v>0</v>
      </c>
      <c r="BF97" s="59">
        <f>IFERROR(__xludf.DUMMYFUNCTION("importrange(""1shTvs8XCxTEi4uArYvktfhVF3aaBcX8qXa6gu0Yrdy8"",""2026-27!ab4"")"),0.0)</f>
        <v>0</v>
      </c>
      <c r="BG97" s="59">
        <f>IFERROR(__xludf.DUMMYFUNCTION("importrange(""1shTvs8XCxTEi4uArYvktfhVF3aaBcX8qXa6gu0Yrdy8"",""2026-27!ab3"")"),0.0)</f>
        <v>0</v>
      </c>
      <c r="BH97" s="59">
        <f>IFERROR(__xludf.DUMMYFUNCTION("importrange(""1shTvs8XCxTEi4uArYvktfhVF3aaBcX8qXa6gu0Yrdy8"",""2026-27!ac4"")"),0.0)</f>
        <v>0</v>
      </c>
      <c r="BI97" s="59">
        <f>IFERROR(__xludf.DUMMYFUNCTION("importrange(""1shTvs8XCxTEi4uArYvktfhVF3aaBcX8qXa6gu0Yrdy8"",""2026-27!ac3"")"),0.0)</f>
        <v>0</v>
      </c>
      <c r="BJ97" s="63" t="str">
        <f t="shared" si="106"/>
        <v/>
      </c>
      <c r="BK97" s="59">
        <f>IFERROR(__xludf.DUMMYFUNCTION("importrange(""1shTvs8XCxTEi4uArYvktfhVF3aaBcX8qXa6gu0Yrdy8"",""2026-27!ad4"")"),0.0)</f>
        <v>0</v>
      </c>
      <c r="BL97" s="59">
        <f>IFERROR(__xludf.DUMMYFUNCTION("importrange(""1shTvs8XCxTEi4uArYvktfhVF3aaBcX8qXa6gu0Yrdy8"",""2026-27!ad3"")"),0.0)</f>
        <v>0</v>
      </c>
      <c r="BM97" s="59">
        <f>IFERROR(__xludf.DUMMYFUNCTION("importrange(""1shTvs8XCxTEi4uArYvktfhVF3aaBcX8qXa6gu0Yrdy8"",""2026-27!ae4"")"),0.0)</f>
        <v>0</v>
      </c>
      <c r="BN97" s="59">
        <f>IFERROR(__xludf.DUMMYFUNCTION("importrange(""1shTvs8XCxTEi4uArYvktfhVF3aaBcX8qXa6gu0Yrdy8"",""2026-27!ae3"")"),0.0)</f>
        <v>0</v>
      </c>
      <c r="BO97" s="59">
        <f>IFERROR(__xludf.DUMMYFUNCTION("importrange(""1shTvs8XCxTEi4uArYvktfhVF3aaBcX8qXa6gu0Yrdy8"",""2026-27!af4"")"),0.0)</f>
        <v>0</v>
      </c>
      <c r="BP97" s="59">
        <f>IFERROR(__xludf.DUMMYFUNCTION("importrange(""1shTvs8XCxTEi4uArYvktfhVF3aaBcX8qXa6gu0Yrdy8"",""2026-27!af3"")"),0.0)</f>
        <v>0</v>
      </c>
      <c r="BQ97" s="63" t="str">
        <f t="shared" si="107"/>
        <v/>
      </c>
      <c r="BR97" s="59">
        <f>IFERROR(__xludf.DUMMYFUNCTION("importrange(""1shTvs8XCxTEi4uArYvktfhVF3aaBcX8qXa6gu0Yrdy8"",""2026-27!ag4"")"),0.0)</f>
        <v>0</v>
      </c>
      <c r="BS97" s="59">
        <f>IFERROR(__xludf.DUMMYFUNCTION("importrange(""1shTvs8XCxTEi4uArYvktfhVF3aaBcX8qXa6gu0Yrdy8"",""2026-27!ag3"")"),0.0)</f>
        <v>0</v>
      </c>
      <c r="BT97" s="59">
        <f>IFERROR(__xludf.DUMMYFUNCTION("importrange(""1shTvs8XCxTEi4uArYvktfhVF3aaBcX8qXa6gu0Yrdy8"",""2026-27!ah4"")"),0.0)</f>
        <v>0</v>
      </c>
      <c r="BU97" s="59">
        <f>IFERROR(__xludf.DUMMYFUNCTION("importrange(""1shTvs8XCxTEi4uArYvktfhVF3aaBcX8qXa6gu0Yrdy8"",""2026-27!ah3"")"),0.0)</f>
        <v>0</v>
      </c>
      <c r="BV97" s="59">
        <f>IFERROR(__xludf.DUMMYFUNCTION("importrange(""1shTvs8XCxTEi4uArYvktfhVF3aaBcX8qXa6gu0Yrdy8"",""2026-27!ai4"")"),0.0)</f>
        <v>0</v>
      </c>
      <c r="BW97" s="59">
        <f>IFERROR(__xludf.DUMMYFUNCTION("importrange(""1shTvs8XCxTEi4uArYvktfhVF3aaBcX8qXa6gu0Yrdy8"",""2026-27!ai3"")"),0.0)</f>
        <v>0</v>
      </c>
      <c r="BX97" s="63" t="str">
        <f t="shared" si="108"/>
        <v/>
      </c>
      <c r="BY97" s="59">
        <f>IFERROR(__xludf.DUMMYFUNCTION("importrange(""1shTvs8XCxTEi4uArYvktfhVF3aaBcX8qXa6gu0Yrdy8"",""2026-27!aj4"")"),0.0)</f>
        <v>0</v>
      </c>
      <c r="BZ97" s="59">
        <f>IFERROR(__xludf.DUMMYFUNCTION("importrange(""1shTvs8XCxTEi4uArYvktfhVF3aaBcX8qXa6gu0Yrdy8"",""2026-27!aj3"")"),0.0)</f>
        <v>0</v>
      </c>
      <c r="CA97" s="59">
        <f>IFERROR(__xludf.DUMMYFUNCTION("importrange(""1shTvs8XCxTEi4uArYvktfhVF3aaBcX8qXa6gu0Yrdy8"",""2026-27!ak4"")"),0.0)</f>
        <v>0</v>
      </c>
      <c r="CB97" s="59">
        <f>IFERROR(__xludf.DUMMYFUNCTION("importrange(""1shTvs8XCxTEi4uArYvktfhVF3aaBcX8qXa6gu0Yrdy8"",""2026-27!ak3"")"),0.0)</f>
        <v>0</v>
      </c>
      <c r="CC97" s="59">
        <f>IFERROR(__xludf.DUMMYFUNCTION("importrange(""1shTvs8XCxTEi4uArYvktfhVF3aaBcX8qXa6gu0Yrdy8"",""2026-27!al4"")"),0.0)</f>
        <v>0</v>
      </c>
      <c r="CD97" s="59">
        <f>IFERROR(__xludf.DUMMYFUNCTION("importrange(""1shTvs8XCxTEi4uArYvktfhVF3aaBcX8qXa6gu0Yrdy8"",""2026-27!ai3"")"),0.0)</f>
        <v>0</v>
      </c>
      <c r="CE97" s="63" t="str">
        <f t="shared" si="109"/>
        <v/>
      </c>
      <c r="CF97" s="59">
        <f>IFERROR(__xludf.DUMMYFUNCTION("importrange(""1shTvs8XCxTEi4uArYvktfhVF3aaBcX8qXa6gu0Yrdy8"",""2026-27!am4"")"),0.0)</f>
        <v>0</v>
      </c>
      <c r="CG97" s="59">
        <f>IFERROR(__xludf.DUMMYFUNCTION("importrange(""1shTvs8XCxTEi4uArYvktfhVF3aaBcX8qXa6gu0Yrdy8"",""2026-27!am3"")"),0.0)</f>
        <v>0</v>
      </c>
      <c r="CH97" s="59">
        <f>IFERROR(__xludf.DUMMYFUNCTION("importrange(""1shTvs8XCxTEi4uArYvktfhVF3aaBcX8qXa6gu0Yrdy8"",""2026-27!an4"")"),0.0)</f>
        <v>0</v>
      </c>
      <c r="CI97" s="59">
        <f>IFERROR(__xludf.DUMMYFUNCTION("importrange(""1shTvs8XCxTEi4uArYvktfhVF3aaBcX8qXa6gu0Yrdy8"",""2026-27!an3"")"),0.0)</f>
        <v>0</v>
      </c>
      <c r="CJ97" s="59">
        <f>IFERROR(__xludf.DUMMYFUNCTION("importrange(""1shTvs8XCxTEi4uArYvktfhVF3aaBcX8qXa6gu0Yrdy8"",""2026-27!ao4"")"),0.0)</f>
        <v>0</v>
      </c>
      <c r="CK97" s="59">
        <f>IFERROR(__xludf.DUMMYFUNCTION("importrange(""1shTvs8XCxTEi4uArYvktfhVF3aaBcX8qXa6gu0Yrdy8"",""2026-27!ao3"")"),0.0)</f>
        <v>0</v>
      </c>
      <c r="CL97" s="63" t="str">
        <f t="shared" si="110"/>
        <v/>
      </c>
      <c r="CM97" s="59">
        <f>IFERROR(__xludf.DUMMYFUNCTION("importrange(""1shTvs8XCxTEi4uArYvktfhVF3aaBcX8qXa6gu0Yrdy8"",""2026-27!ap4"")"),0.0)</f>
        <v>0</v>
      </c>
      <c r="CN97" s="59">
        <f>IFERROR(__xludf.DUMMYFUNCTION("importrange(""1shTvs8XCxTEi4uArYvktfhVF3aaBcX8qXa6gu0Yrdy8"",""2026-27!ap3"")"),0.0)</f>
        <v>0</v>
      </c>
      <c r="CO97" s="59">
        <f>IFERROR(__xludf.DUMMYFUNCTION("importrange(""1shTvs8XCxTEi4uArYvktfhVF3aaBcX8qXa6gu0Yrdy8"",""2026-27!aq4"")"),0.0)</f>
        <v>0</v>
      </c>
      <c r="CP97" s="59">
        <f>IFERROR(__xludf.DUMMYFUNCTION("importrange(""1shTvs8XCxTEi4uArYvktfhVF3aaBcX8qXa6gu0Yrdy8"",""2026-27!aq3"")"),0.0)</f>
        <v>0</v>
      </c>
      <c r="CQ97" s="59">
        <f>IFERROR(__xludf.DUMMYFUNCTION("importrange(""1shTvs8XCxTEi4uArYvktfhVF3aaBcX8qXa6gu0Yrdy8"",""2026-27!ar4"")"),0.0)</f>
        <v>0</v>
      </c>
      <c r="CR97" s="59">
        <f>IFERROR(__xludf.DUMMYFUNCTION("importrange(""1shTvs8XCxTEi4uArYvktfhVF3aaBcX8qXa6gu0Yrdy8"",""2026-27!ar3"")"),0.0)</f>
        <v>0</v>
      </c>
      <c r="CS97" s="63" t="str">
        <f t="shared" si="111"/>
        <v/>
      </c>
      <c r="CT97" s="59">
        <f>IFERROR(__xludf.DUMMYFUNCTION("importrange(""1shTvs8XCxTEi4uArYvktfhVF3aaBcX8qXa6gu0Yrdy8"",""2026-27!as4"")"),0.0)</f>
        <v>0</v>
      </c>
      <c r="CU97" s="59">
        <f>IFERROR(__xludf.DUMMYFUNCTION("importrange(""1shTvs8XCxTEi4uArYvktfhVF3aaBcX8qXa6gu0Yrdy8"",""2026-27!as3"")"),0.0)</f>
        <v>0</v>
      </c>
      <c r="CV97" s="64"/>
    </row>
    <row r="98">
      <c r="A98" s="1" t="s">
        <v>160</v>
      </c>
      <c r="B98" s="41"/>
      <c r="C98" s="68" t="s">
        <v>194</v>
      </c>
      <c r="D98" s="54" t="s">
        <v>195</v>
      </c>
      <c r="E98" s="54">
        <v>9.6093524E9</v>
      </c>
      <c r="F98" s="80">
        <v>44958.0</v>
      </c>
      <c r="G98" s="66"/>
      <c r="H98" s="66"/>
      <c r="I98" s="57">
        <v>19585.0</v>
      </c>
      <c r="J98" s="58">
        <v>5833333.0</v>
      </c>
      <c r="K98" s="61">
        <f>IFERROR(__xludf.DUMMYFUNCTION("IMPORTRANGE(""https://docs.google.com/spreadsheets/d/156SGblhGPrELnH1FKNY41p5c_9ctePyjdgoNlJkLR94/edit#gid=878189715"",""2026-27!A3"")"),56.0)</f>
        <v>56</v>
      </c>
      <c r="L98" s="61">
        <f>IFERROR(__xludf.DUMMYFUNCTION("IMPORTRANGE(""https://docs.google.com/spreadsheets/d/156SGblhGPrELnH1FKNY41p5c_9ctePyjdgoNlJkLR94/edit#gid=878189715"",""2026-27!G4"")"),7.0E7)</f>
        <v>70000000</v>
      </c>
      <c r="M98" s="61">
        <f t="shared" si="97"/>
        <v>10431940.29</v>
      </c>
      <c r="N98" s="60">
        <f t="shared" si="98"/>
        <v>0.1709977143</v>
      </c>
      <c r="O98" s="61">
        <f t="shared" si="99"/>
        <v>11969840</v>
      </c>
      <c r="P98" s="59">
        <f>IFERROR(__xludf.DUMMYFUNCTION("IMPORTRANGE(""https://docs.google.com/spreadsheets/d/156SGblhGPrELnH1FKNY41p5c_9ctePyjdgoNlJkLR94/edit#gid=878189715"",""2026-27!J4"")"),5416654.0)</f>
        <v>5416654</v>
      </c>
      <c r="Q98" s="59">
        <f>IFERROR(__xludf.DUMMYFUNCTION("IMPORTRANGE(""https://docs.google.com/spreadsheets/d/156SGblhGPrELnH1FKNY41p5c_9ctePyjdgoNlJkLR94/edit#gid=878189715"",""2026-27!J3"")"),55.0)</f>
        <v>55</v>
      </c>
      <c r="R98" s="59">
        <f>IFERROR(__xludf.DUMMYFUNCTION("IMPORTRANGE(""https://docs.google.com/spreadsheets/d/156SGblhGPrELnH1FKNY41p5c_9ctePyjdgoNlJkLR94/edit#gid=878189715"",""2026-27!K4"")"),1522251.61)</f>
        <v>1522251.61</v>
      </c>
      <c r="S98" s="59">
        <f>IFERROR(__xludf.DUMMYFUNCTION("IMPORTRANGE(""https://docs.google.com/spreadsheets/d/156SGblhGPrELnH1FKNY41p5c_9ctePyjdgoNlJkLR94/edit#gid=878189715"",""2026-27!K3"")"),14.0)</f>
        <v>14</v>
      </c>
      <c r="T98" s="62">
        <f t="shared" si="100"/>
        <v>0.2773836025</v>
      </c>
      <c r="U98" s="59">
        <f>IFERROR(__xludf.DUMMYFUNCTION("IMPORTRANGE(""https://docs.google.com/spreadsheets/d/156SGblhGPrELnH1FKNY41p5c_9ctePyjdgoNlJkLR94/edit#gid=878189715"",""2026-27!L4"")"),1502491.0)</f>
        <v>1502491</v>
      </c>
      <c r="V98" s="85">
        <f>IFERROR(__xludf.DUMMYFUNCTION("IMPORTRANGE(""https://docs.google.com/spreadsheets/d/156SGblhGPrELnH1FKNY41p5c_9ctePyjdgoNlJkLR94/edit#gid=878189715"",""2026-27!L3"")"),23.0)</f>
        <v>23</v>
      </c>
      <c r="W98" s="59">
        <f>IFERROR(__xludf.DUMMYFUNCTION("IMPORTRANGE(""https://docs.google.com/spreadsheets/d/156SGblhGPrELnH1FKNY41p5c_9ctePyjdgoNlJkLR94/edit#gid=878189715"",""2026-27!M4"")"),5416654.0)</f>
        <v>5416654</v>
      </c>
      <c r="X98" s="85">
        <f>IFERROR(__xludf.DUMMYFUNCTION("IMPORTRANGE(""https://docs.google.com/spreadsheets/d/156SGblhGPrELnH1FKNY41p5c_9ctePyjdgoNlJkLR94/edit#gid=878189715"",""2026-27!M3"")"),55.0)</f>
        <v>55</v>
      </c>
      <c r="Y98" s="59">
        <f>IFERROR(__xludf.DUMMYFUNCTION("importrange(""https://docs.google.com/spreadsheets/d/156SGblhGPrELnH1FKNY41p5c_9ctePyjdgoNlJkLR94/edit#gid=878189715"",""2026-27!n4"")"),2869854.2800000003)</f>
        <v>2869854.28</v>
      </c>
      <c r="Z98" s="59">
        <f>IFERROR(__xludf.DUMMYFUNCTION("importrange(""https://docs.google.com/spreadsheets/d/156SGblhGPrELnH1FKNY41p5c_9ctePyjdgoNlJkLR94/edit#gid=878189715"",""2026-27!n3"")"),18.0)</f>
        <v>18</v>
      </c>
      <c r="AA98" s="62">
        <f t="shared" si="101"/>
        <v>0.4222058489</v>
      </c>
      <c r="AB98" s="59">
        <f>IFERROR(__xludf.DUMMYFUNCTION("importrange(""https://docs.google.com/spreadsheets/d/156SGblhGPrELnH1FKNY41p5c_9ctePyjdgoNlJkLR94/edit#gid=878189715"",""2026-27!o4"")"),2286943.0)</f>
        <v>2286943</v>
      </c>
      <c r="AC98" s="59">
        <f>IFERROR(__xludf.DUMMYFUNCTION("importrange(""https://docs.google.com/spreadsheets/d/156SGblhGPrELnH1FKNY41p5c_9ctePyjdgoNlJkLR94/edit#gid=878189715"",""2026-27!o3"")"),33.0)</f>
        <v>33</v>
      </c>
      <c r="AD98" s="59">
        <f>IFERROR(__xludf.DUMMYFUNCTION("importrange(""https://docs.google.com/spreadsheets/d/156SGblhGPrELnH1FKNY41p5c_9ctePyjdgoNlJkLR94/edit#gid=878189715"",""2026-27!p4"")"),5416654.0)</f>
        <v>5416654</v>
      </c>
      <c r="AE98" s="59">
        <f>IFERROR(__xludf.DUMMYFUNCTION("importrange(""https://docs.google.com/spreadsheets/d/156SGblhGPrELnH1FKNY41p5c_9ctePyjdgoNlJkLR94/edit#gid=878189715"",""2026-27!p3"")"),55.0)</f>
        <v>55</v>
      </c>
      <c r="AF98" s="59">
        <f>IFERROR(__xludf.DUMMYFUNCTION("importrange(""https://docs.google.com/spreadsheets/d/156SGblhGPrELnH1FKNY41p5c_9ctePyjdgoNlJkLR94/edit#gid=878189715"",""2026-27!q4"")"),6039834.4)</f>
        <v>6039834.4</v>
      </c>
      <c r="AG98" s="59">
        <f>IFERROR(__xludf.DUMMYFUNCTION("importrange(""https://docs.google.com/spreadsheets/d/156SGblhGPrELnH1FKNY41p5c_9ctePyjdgoNlJkLR94/edit#gid=878189715"",""2026-27!q3"")"),26.0)</f>
        <v>26</v>
      </c>
      <c r="AH98" s="62">
        <f t="shared" si="102"/>
        <v>1.510232332</v>
      </c>
      <c r="AI98" s="59">
        <f>IFERROR(__xludf.DUMMYFUNCTION("importrange(""https://docs.google.com/spreadsheets/d/156SGblhGPrELnH1FKNY41p5c_9ctePyjdgoNlJkLR94/edit#gid=878189715"",""2026-27!r4"")"),8180406.0)</f>
        <v>8180406</v>
      </c>
      <c r="AJ98" s="59">
        <f>IFERROR(__xludf.DUMMYFUNCTION("importrange(""https://docs.google.com/spreadsheets/d/156SGblhGPrELnH1FKNY41p5c_9ctePyjdgoNlJkLR94/edit#gid=878189715"",""2026-27!r3"")"),37.0)</f>
        <v>37</v>
      </c>
      <c r="AK98" s="59">
        <f>IFERROR(__xludf.DUMMYFUNCTION("importrange(""https://docs.google.com/spreadsheets/d/156SGblhGPrELnH1FKNY41p5c_9ctePyjdgoNlJkLR94/edit#gid=878189715"",""2026-27!s4"")"),5416654.0)</f>
        <v>5416654</v>
      </c>
      <c r="AL98" s="59">
        <f>IFERROR(__xludf.DUMMYFUNCTION("importrange(""https://docs.google.com/spreadsheets/d/156SGblhGPrELnH1FKNY41p5c_9ctePyjdgoNlJkLR94/edit#gid=878189715"",""2026-27!s3"")"),55.0)</f>
        <v>55</v>
      </c>
      <c r="AM98" s="61">
        <f>IFERROR(__xludf.DUMMYFUNCTION("importrange(""https://docs.google.com/spreadsheets/d/156SGblhGPrELnH1FKNY41p5c_9ctePyjdgoNlJkLR94/edit#gid=878189715"",""2026-27!t4"")"),0.0)</f>
        <v>0</v>
      </c>
      <c r="AN98" s="59">
        <f>IFERROR(__xludf.DUMMYFUNCTION("importrange(""https://docs.google.com/spreadsheets/d/156SGblhGPrELnH1FKNY41p5c_9ctePyjdgoNlJkLR94/edit#gid=878189715"",""2026-27!t3"")"),0.0)</f>
        <v>0</v>
      </c>
      <c r="AO98" s="62">
        <f t="shared" si="103"/>
        <v>0</v>
      </c>
      <c r="AP98" s="59">
        <f>IFERROR(__xludf.DUMMYFUNCTION("importrange(""https://docs.google.com/spreadsheets/d/156SGblhGPrELnH1FKNY41p5c_9ctePyjdgoNlJkLR94/edit#gid=878189715"",""2026-27!u4"")"),0.0)</f>
        <v>0</v>
      </c>
      <c r="AQ98" s="59">
        <f>IFERROR(__xludf.DUMMYFUNCTION("importrange(""https://docs.google.com/spreadsheets/d/156SGblhGPrELnH1FKNY41p5c_9ctePyjdgoNlJkLR94/edit#gid=878189715"",""2026-27!u3"")"),0.0)</f>
        <v>0</v>
      </c>
      <c r="AR98" s="59">
        <f>IFERROR(__xludf.DUMMYFUNCTION("importrange(""https://docs.google.com/spreadsheets/d/156SGblhGPrELnH1FKNY41p5c_9ctePyjdgoNlJkLR94/edit#gid=878189715"",""2026-27!v4"")"),5416654.0)</f>
        <v>5416654</v>
      </c>
      <c r="AS98" s="59">
        <f>IFERROR(__xludf.DUMMYFUNCTION("importrange(""https://docs.google.com/spreadsheets/d/156SGblhGPrELnH1FKNY41p5c_9ctePyjdgoNlJkLR94/edit#gid=878189715"",""2026-27!v3"")"),55.0)</f>
        <v>55</v>
      </c>
      <c r="AT98" s="61">
        <f>IFERROR(__xludf.DUMMYFUNCTION("importrange(""https://docs.google.com/spreadsheets/d/156SGblhGPrELnH1FKNY41p5c_9ctePyjdgoNlJkLR94/edit#gid=878189715"",""2026-27!w4"")"),0.0)</f>
        <v>0</v>
      </c>
      <c r="AU98" s="59">
        <f>IFERROR(__xludf.DUMMYFUNCTION("importrange(""https://docs.google.com/spreadsheets/d/156SGblhGPrELnH1FKNY41p5c_9ctePyjdgoNlJkLR94/edit#gid=878189715"",""2026-27!w3"")"),0.0)</f>
        <v>0</v>
      </c>
      <c r="AV98" s="62">
        <f t="shared" si="104"/>
        <v>0</v>
      </c>
      <c r="AW98" s="59">
        <f>IFERROR(__xludf.DUMMYFUNCTION("importrange(""https://docs.google.com/spreadsheets/d/156SGblhGPrELnH1FKNY41p5c_9ctePyjdgoNlJkLR94/edit#gid=878189715"",""2026-27!x4"")"),0.0)</f>
        <v>0</v>
      </c>
      <c r="AX98" s="59">
        <f>IFERROR(__xludf.DUMMYFUNCTION("importrange(""https://docs.google.com/spreadsheets/d/156SGblhGPrELnH1FKNY41p5c_9ctePyjdgoNlJkLR94/edit#gid=878189715"",""2026-27!x3"")"),0.0)</f>
        <v>0</v>
      </c>
      <c r="AY98" s="59">
        <f>IFERROR(__xludf.DUMMYFUNCTION("importrange(""https://docs.google.com/spreadsheets/d/156SGblhGPrELnH1FKNY41p5c_9ctePyjdgoNlJkLR94/edit#gid=878189715"",""2026-27!y4"")"),5416654.0)</f>
        <v>5416654</v>
      </c>
      <c r="AZ98" s="59">
        <f>IFERROR(__xludf.DUMMYFUNCTION("importrange(""https://docs.google.com/spreadsheets/d/156SGblhGPrELnH1FKNY41p5c_9ctePyjdgoNlJkLR94/edit#gid=878189715"",""2026-27!y3"")"),55.0)</f>
        <v>55</v>
      </c>
      <c r="BA98" s="61">
        <f>IFERROR(__xludf.DUMMYFUNCTION("importrange(""https://docs.google.com/spreadsheets/d/156SGblhGPrELnH1FKNY41p5c_9ctePyjdgoNlJkLR94/edit#gid=878189715"",""2026-27!z4"")"),0.0)</f>
        <v>0</v>
      </c>
      <c r="BB98" s="59">
        <f>IFERROR(__xludf.DUMMYFUNCTION("importrange(""https://docs.google.com/spreadsheets/d/156SGblhGPrELnH1FKNY41p5c_9ctePyjdgoNlJkLR94/edit#gid=878189715"",""2026-27!z3"")"),0.0)</f>
        <v>0</v>
      </c>
      <c r="BC98" s="63">
        <f t="shared" si="105"/>
        <v>0</v>
      </c>
      <c r="BD98" s="59">
        <f>IFERROR(__xludf.DUMMYFUNCTION("importrange(""https://docs.google.com/spreadsheets/d/156SGblhGPrELnH1FKNY41p5c_9ctePyjdgoNlJkLR94/edit#gid=878189715"",""2026-27!aa4"")"),0.0)</f>
        <v>0</v>
      </c>
      <c r="BE98" s="59">
        <f>IFERROR(__xludf.DUMMYFUNCTION("importrange(""https://docs.google.com/spreadsheets/d/156SGblhGPrELnH1FKNY41p5c_9ctePyjdgoNlJkLR94/edit#gid=878189715"",""2026-27!aa3"")"),0.0)</f>
        <v>0</v>
      </c>
      <c r="BF98" s="59">
        <f>IFERROR(__xludf.DUMMYFUNCTION("importrange(""https://docs.google.com/spreadsheets/d/156SGblhGPrELnH1FKNY41p5c_9ctePyjdgoNlJkLR94/edit#gid=878189715"",""2026-27!ab4"")"),5416654.0)</f>
        <v>5416654</v>
      </c>
      <c r="BG98" s="59">
        <f>IFERROR(__xludf.DUMMYFUNCTION("importrange(""https://docs.google.com/spreadsheets/d/156SGblhGPrELnH1FKNY41p5c_9ctePyjdgoNlJkLR94/edit#gid=878189715"",""2026-27!ab3"")"),55.0)</f>
        <v>55</v>
      </c>
      <c r="BH98" s="59">
        <f>IFERROR(__xludf.DUMMYFUNCTION("importrange(""https://docs.google.com/spreadsheets/d/156SGblhGPrELnH1FKNY41p5c_9ctePyjdgoNlJkLR94/edit#gid=878189715"",""2026-27!ac4"")"),0.0)</f>
        <v>0</v>
      </c>
      <c r="BI98" s="59">
        <f>IFERROR(__xludf.DUMMYFUNCTION("importrange(""https://docs.google.com/spreadsheets/d/156SGblhGPrELnH1FKNY41p5c_9ctePyjdgoNlJkLR94/edit#gid=878189715"",""2026-27!ac3"")"),0.0)</f>
        <v>0</v>
      </c>
      <c r="BJ98" s="63">
        <f t="shared" si="106"/>
        <v>0</v>
      </c>
      <c r="BK98" s="59">
        <f>IFERROR(__xludf.DUMMYFUNCTION("importrange(""https://docs.google.com/spreadsheets/d/156SGblhGPrELnH1FKNY41p5c_9ctePyjdgoNlJkLR94/edit#gid=878189715"",""2026-27!ad4"")"),0.0)</f>
        <v>0</v>
      </c>
      <c r="BL98" s="59">
        <f>IFERROR(__xludf.DUMMYFUNCTION("importrange(""https://docs.google.com/spreadsheets/d/156SGblhGPrELnH1FKNY41p5c_9ctePyjdgoNlJkLR94/edit#gid=878189715"",""2026-27!ad3"")"),0.0)</f>
        <v>0</v>
      </c>
      <c r="BM98" s="59">
        <f>IFERROR(__xludf.DUMMYFUNCTION("importrange(""https://docs.google.com/spreadsheets/d/156SGblhGPrELnH1FKNY41p5c_9ctePyjdgoNlJkLR94/edit#gid=878189715"",""2026-27!ae4"")"),5416654.0)</f>
        <v>5416654</v>
      </c>
      <c r="BN98" s="59">
        <f>IFERROR(__xludf.DUMMYFUNCTION("importrange(""https://docs.google.com/spreadsheets/d/156SGblhGPrELnH1FKNY41p5c_9ctePyjdgoNlJkLR94/edit#gid=878189715"",""2026-27!ae3"")"),55.0)</f>
        <v>55</v>
      </c>
      <c r="BO98" s="59">
        <f>IFERROR(__xludf.DUMMYFUNCTION("importrange(""https://docs.google.com/spreadsheets/d/156SGblhGPrELnH1FKNY41p5c_9ctePyjdgoNlJkLR94/edit#gid=878189715"",""2026-27!af4"")"),0.0)</f>
        <v>0</v>
      </c>
      <c r="BP98" s="59">
        <f>IFERROR(__xludf.DUMMYFUNCTION("importrange(""https://docs.google.com/spreadsheets/d/156SGblhGPrELnH1FKNY41p5c_9ctePyjdgoNlJkLR94/edit#gid=878189715"",""2026-27!af3"")"),0.0)</f>
        <v>0</v>
      </c>
      <c r="BQ98" s="63">
        <f t="shared" si="107"/>
        <v>0</v>
      </c>
      <c r="BR98" s="59">
        <f>IFERROR(__xludf.DUMMYFUNCTION("importrange(""https://docs.google.com/spreadsheets/d/156SGblhGPrELnH1FKNY41p5c_9ctePyjdgoNlJkLR94/edit#gid=878189715"",""2026-27!ag4"")"),0.0)</f>
        <v>0</v>
      </c>
      <c r="BS98" s="59">
        <f>IFERROR(__xludf.DUMMYFUNCTION("importrange(""https://docs.google.com/spreadsheets/d/156SGblhGPrELnH1FKNY41p5c_9ctePyjdgoNlJkLR94/edit#gid=878189715"",""2026-27!ag3"")"),0.0)</f>
        <v>0</v>
      </c>
      <c r="BT98" s="59">
        <f>IFERROR(__xludf.DUMMYFUNCTION("importrange(""https://docs.google.com/spreadsheets/d/156SGblhGPrELnH1FKNY41p5c_9ctePyjdgoNlJkLR94/edit#gid=878189715"",""2026-27!ah4"")"),5416654.0)</f>
        <v>5416654</v>
      </c>
      <c r="BU98" s="59">
        <f>IFERROR(__xludf.DUMMYFUNCTION("importrange(""https://docs.google.com/spreadsheets/d/156SGblhGPrELnH1FKNY41p5c_9ctePyjdgoNlJkLR94/edit#gid=878189715"",""2026-27!ah3"")"),55.0)</f>
        <v>55</v>
      </c>
      <c r="BV98" s="59">
        <f>IFERROR(__xludf.DUMMYFUNCTION("importrange(""https://docs.google.com/spreadsheets/d/156SGblhGPrELnH1FKNY41p5c_9ctePyjdgoNlJkLR94/edit#gid=878189715"",""2026-27!ai4"")"),0.0)</f>
        <v>0</v>
      </c>
      <c r="BW98" s="59">
        <f>IFERROR(__xludf.DUMMYFUNCTION("importrange(""https://docs.google.com/spreadsheets/d/156SGblhGPrELnH1FKNY41p5c_9ctePyjdgoNlJkLR94/edit#gid=878189715"",""2026-27!ai3"")"),0.0)</f>
        <v>0</v>
      </c>
      <c r="BX98" s="63">
        <f t="shared" si="108"/>
        <v>0</v>
      </c>
      <c r="BY98" s="59">
        <f>IFERROR(__xludf.DUMMYFUNCTION("importrange(""https://docs.google.com/spreadsheets/d/156SGblhGPrELnH1FKNY41p5c_9ctePyjdgoNlJkLR94/edit#gid=878189715"",""2026-27!aj4"")"),0.0)</f>
        <v>0</v>
      </c>
      <c r="BZ98" s="59">
        <f>IFERROR(__xludf.DUMMYFUNCTION("importrange(""https://docs.google.com/spreadsheets/d/156SGblhGPrELnH1FKNY41p5c_9ctePyjdgoNlJkLR94/edit#gid=878189715"",""2026-27!aj3"")"),0.0)</f>
        <v>0</v>
      </c>
      <c r="CA98" s="59">
        <f>IFERROR(__xludf.DUMMYFUNCTION("importrange(""https://docs.google.com/spreadsheets/d/156SGblhGPrELnH1FKNY41p5c_9ctePyjdgoNlJkLR94/edit#gid=878189715"",""2026-27!ak4"")"),5416654.0)</f>
        <v>5416654</v>
      </c>
      <c r="CB98" s="59">
        <f>IFERROR(__xludf.DUMMYFUNCTION("importrange(""https://docs.google.com/spreadsheets/d/156SGblhGPrELnH1FKNY41p5c_9ctePyjdgoNlJkLR94/edit#gid=878189715"",""2026-27!ak3"")"),55.0)</f>
        <v>55</v>
      </c>
      <c r="CC98" s="59">
        <f>IFERROR(__xludf.DUMMYFUNCTION("importrange(""https://docs.google.com/spreadsheets/d/156SGblhGPrELnH1FKNY41p5c_9ctePyjdgoNlJkLR94/edit#gid=878189715"",""2026-27!al4"")"),0.0)</f>
        <v>0</v>
      </c>
      <c r="CD98" s="59">
        <f>IFERROR(__xludf.DUMMYFUNCTION("importrange(""https://docs.google.com/spreadsheets/d/156SGblhGPrELnH1FKNY41p5c_9ctePyjdgoNlJkLR94/edit#gid=878189715"",""2026-27!ai3"")"),0.0)</f>
        <v>0</v>
      </c>
      <c r="CE98" s="63">
        <f t="shared" si="109"/>
        <v>0</v>
      </c>
      <c r="CF98" s="59">
        <f>IFERROR(__xludf.DUMMYFUNCTION("importrange(""https://docs.google.com/spreadsheets/d/156SGblhGPrELnH1FKNY41p5c_9ctePyjdgoNlJkLR94/edit#gid=878189715"",""2026-27!am4"")"),0.0)</f>
        <v>0</v>
      </c>
      <c r="CG98" s="59">
        <f>IFERROR(__xludf.DUMMYFUNCTION("importrange(""https://docs.google.com/spreadsheets/d/156SGblhGPrELnH1FKNY41p5c_9ctePyjdgoNlJkLR94/edit#gid=878189715"",""2026-27!am3"")"),0.0)</f>
        <v>0</v>
      </c>
      <c r="CH98" s="59">
        <f>IFERROR(__xludf.DUMMYFUNCTION("importrange(""https://docs.google.com/spreadsheets/d/156SGblhGPrELnH1FKNY41p5c_9ctePyjdgoNlJkLR94/edit#gid=878189715"",""2026-27!an4"")"),5416654.0)</f>
        <v>5416654</v>
      </c>
      <c r="CI98" s="59">
        <f>IFERROR(__xludf.DUMMYFUNCTION("importrange(""https://docs.google.com/spreadsheets/d/156SGblhGPrELnH1FKNY41p5c_9ctePyjdgoNlJkLR94/edit#gid=878189715"",""2026-27!an3"")"),55.0)</f>
        <v>55</v>
      </c>
      <c r="CJ98" s="59">
        <f>IFERROR(__xludf.DUMMYFUNCTION("importrange(""https://docs.google.com/spreadsheets/d/156SGblhGPrELnH1FKNY41p5c_9ctePyjdgoNlJkLR94/edit#gid=878189715"",""2026-27!ao4"")"),0.0)</f>
        <v>0</v>
      </c>
      <c r="CK98" s="59">
        <f>IFERROR(__xludf.DUMMYFUNCTION("importrange(""https://docs.google.com/spreadsheets/d/156SGblhGPrELnH1FKNY41p5c_9ctePyjdgoNlJkLR94/edit#gid=878189715"",""2026-27!ao3"")"),0.0)</f>
        <v>0</v>
      </c>
      <c r="CL98" s="63">
        <f t="shared" si="110"/>
        <v>0</v>
      </c>
      <c r="CM98" s="59">
        <f>IFERROR(__xludf.DUMMYFUNCTION("importrange(""https://docs.google.com/spreadsheets/d/156SGblhGPrELnH1FKNY41p5c_9ctePyjdgoNlJkLR94/edit#gid=878189715"",""2026-27!ap4"")"),0.0)</f>
        <v>0</v>
      </c>
      <c r="CN98" s="59">
        <f>IFERROR(__xludf.DUMMYFUNCTION("importrange(""https://docs.google.com/spreadsheets/d/156SGblhGPrELnH1FKNY41p5c_9ctePyjdgoNlJkLR94/edit#gid=878189715"",""2026-27!ap3"")"),0.0)</f>
        <v>0</v>
      </c>
      <c r="CO98" s="59">
        <f>IFERROR(__xludf.DUMMYFUNCTION("importrange(""https://docs.google.com/spreadsheets/d/156SGblhGPrELnH1FKNY41p5c_9ctePyjdgoNlJkLR94/edit#gid=878189715"",""2026-27!aq4"")"),5416654.0)</f>
        <v>5416654</v>
      </c>
      <c r="CP98" s="59">
        <f>IFERROR(__xludf.DUMMYFUNCTION("importrange(""https://docs.google.com/spreadsheets/d/156SGblhGPrELnH1FKNY41p5c_9ctePyjdgoNlJkLR94/edit#gid=878189715"",""2026-27!aq3"")"),55.0)</f>
        <v>55</v>
      </c>
      <c r="CQ98" s="59">
        <f>IFERROR(__xludf.DUMMYFUNCTION("importrange(""https://docs.google.com/spreadsheets/d/156SGblhGPrELnH1FKNY41p5c_9ctePyjdgoNlJkLR94/edit#gid=878189715"",""2026-27!ar4"")"),0.0)</f>
        <v>0</v>
      </c>
      <c r="CR98" s="59">
        <f>IFERROR(__xludf.DUMMYFUNCTION("importrange(""https://docs.google.com/spreadsheets/d/156SGblhGPrELnH1FKNY41p5c_9ctePyjdgoNlJkLR94/edit#gid=878189715"",""2026-27!ar3"")"),0.0)</f>
        <v>0</v>
      </c>
      <c r="CS98" s="63">
        <f t="shared" si="111"/>
        <v>0</v>
      </c>
      <c r="CT98" s="59">
        <f>IFERROR(__xludf.DUMMYFUNCTION("importrange(""https://docs.google.com/spreadsheets/d/156SGblhGPrELnH1FKNY41p5c_9ctePyjdgoNlJkLR94/edit#gid=878189715"",""2026-27!as4"")"),0.0)</f>
        <v>0</v>
      </c>
      <c r="CU98" s="59">
        <f>IFERROR(__xludf.DUMMYFUNCTION("importrange(""https://docs.google.com/spreadsheets/d/156SGblhGPrELnH1FKNY41p5c_9ctePyjdgoNlJkLR94/edit#gid=878189715"",""2026-27!as3"")"),0.0)</f>
        <v>0</v>
      </c>
      <c r="CV98" s="64"/>
    </row>
    <row r="99">
      <c r="A99" s="1" t="s">
        <v>160</v>
      </c>
      <c r="B99" s="41"/>
      <c r="C99" s="68" t="s">
        <v>196</v>
      </c>
      <c r="D99" s="54" t="s">
        <v>197</v>
      </c>
      <c r="E99" s="54">
        <v>7.004903131E9</v>
      </c>
      <c r="F99" s="80">
        <v>45040.0</v>
      </c>
      <c r="G99" s="66"/>
      <c r="H99" s="66"/>
      <c r="I99" s="57">
        <v>33090.0</v>
      </c>
      <c r="J99" s="58">
        <v>1333333.0</v>
      </c>
      <c r="K99" s="61">
        <f>IFERROR(__xludf.DUMMYFUNCTION("IMPORTRANGE(""https://docs.google.com/spreadsheets/d/1939lMQ_ymDDtVRAKKKpTg6-ciOV1sghbvYqRFhFaZi8/edit#gid=867855662"",""2026-27!A3"")"),41.0)</f>
        <v>41</v>
      </c>
      <c r="L99" s="61">
        <f>IFERROR(__xludf.DUMMYFUNCTION("IMPORTRANGE(""https://docs.google.com/spreadsheets/d/1939lMQ_ymDDtVRAKKKpTg6-ciOV1sghbvYqRFhFaZi8/edit#gid=867855662"",""2026-27!G4"")"),1.7548254196000002E7)</f>
        <v>17548254.2</v>
      </c>
      <c r="M99" s="61">
        <f t="shared" si="97"/>
        <v>3573680.59</v>
      </c>
      <c r="N99" s="60">
        <f t="shared" si="98"/>
        <v>0.0857280333</v>
      </c>
      <c r="O99" s="61">
        <f t="shared" si="99"/>
        <v>1504377.32</v>
      </c>
      <c r="P99" s="59">
        <f>IFERROR(__xludf.DUMMYFUNCTION("IMPORTRANGE(""https://docs.google.com/spreadsheets/d/1939lMQ_ymDDtVRAKKKpTg6-ciOV1sghbvYqRFhFaZi8/edit#gid=867855662"",""2026-27!J4"")"),1462354.5163333332)</f>
        <v>1462354.516</v>
      </c>
      <c r="Q99" s="59">
        <f>IFERROR(__xludf.DUMMYFUNCTION("IMPORTRANGE(""https://docs.google.com/spreadsheets/d/1939lMQ_ymDDtVRAKKKpTg6-ciOV1sghbvYqRFhFaZi8/edit#gid=867855662"",""2026-27!J3"")"),41.0)</f>
        <v>41</v>
      </c>
      <c r="R99" s="59">
        <f>IFERROR(__xludf.DUMMYFUNCTION("IMPORTRANGE(""https://docs.google.com/spreadsheets/d/1939lMQ_ymDDtVRAKKKpTg6-ciOV1sghbvYqRFhFaZi8/edit#gid=867855662"",""2026-27!K4"")"),384111.06000000006)</f>
        <v>384111.06</v>
      </c>
      <c r="S99" s="59">
        <f>IFERROR(__xludf.DUMMYFUNCTION("IMPORTRANGE(""https://docs.google.com/spreadsheets/d/1939lMQ_ymDDtVRAKKKpTg6-ciOV1sghbvYqRFhFaZi8/edit#gid=867855662"",""2026-27!K3"")"),3.0)</f>
        <v>3</v>
      </c>
      <c r="T99" s="62">
        <f t="shared" si="100"/>
        <v>0.5664173706</v>
      </c>
      <c r="U99" s="59">
        <f>IFERROR(__xludf.DUMMYFUNCTION("IMPORTRANGE(""https://docs.google.com/spreadsheets/d/1939lMQ_ymDDtVRAKKKpTg6-ciOV1sghbvYqRFhFaZi8/edit#gid=867855662"",""2026-27!L4"")"),828303.0)</f>
        <v>828303</v>
      </c>
      <c r="V99" s="85">
        <f>IFERROR(__xludf.DUMMYFUNCTION("IMPORTRANGE(""https://docs.google.com/spreadsheets/d/1939lMQ_ymDDtVRAKKKpTg6-ciOV1sghbvYqRFhFaZi8/edit#gid=867855662"",""2026-27!L3"")"),5.0)</f>
        <v>5</v>
      </c>
      <c r="W99" s="59">
        <f>IFERROR(__xludf.DUMMYFUNCTION("IMPORTRANGE(""https://docs.google.com/spreadsheets/d/1939lMQ_ymDDtVRAKKKpTg6-ciOV1sghbvYqRFhFaZi8/edit#gid=867855662"",""2026-27!M4"")"),1462354.5163333332)</f>
        <v>1462354.516</v>
      </c>
      <c r="X99" s="85">
        <f>IFERROR(__xludf.DUMMYFUNCTION("IMPORTRANGE(""https://docs.google.com/spreadsheets/d/1939lMQ_ymDDtVRAKKKpTg6-ciOV1sghbvYqRFhFaZi8/edit#gid=867855662"",""2026-27!M3"")"),41.0)</f>
        <v>41</v>
      </c>
      <c r="Y99" s="59">
        <f>IFERROR(__xludf.DUMMYFUNCTION("importrange(""https://docs.google.com/spreadsheets/d/1939lMQ_ymDDtVRAKKKpTg6-ciOV1sghbvYqRFhFaZi8/edit#gid=867855662"",""2026-27!n4"")"),1530737.54)</f>
        <v>1530737.54</v>
      </c>
      <c r="Z99" s="59">
        <f>IFERROR(__xludf.DUMMYFUNCTION("importrange(""https://docs.google.com/spreadsheets/d/1939lMQ_ymDDtVRAKKKpTg6-ciOV1sghbvYqRFhFaZi8/edit#gid=867855662"",""2026-27!n3"")"),8.0)</f>
        <v>8</v>
      </c>
      <c r="AA99" s="62">
        <f t="shared" si="101"/>
        <v>0.462319029</v>
      </c>
      <c r="AB99" s="59">
        <f>IFERROR(__xludf.DUMMYFUNCTION("importrange(""https://docs.google.com/spreadsheets/d/1939lMQ_ymDDtVRAKKKpTg6-ciOV1sghbvYqRFhFaZi8/edit#gid=867855662"",""2026-27!o4"")"),676074.32)</f>
        <v>676074.32</v>
      </c>
      <c r="AC99" s="59">
        <f>IFERROR(__xludf.DUMMYFUNCTION("importrange(""https://docs.google.com/spreadsheets/d/1939lMQ_ymDDtVRAKKKpTg6-ciOV1sghbvYqRFhFaZi8/edit#gid=867855662"",""2026-27!o3"")"),8.0)</f>
        <v>8</v>
      </c>
      <c r="AD99" s="59">
        <f>IFERROR(__xludf.DUMMYFUNCTION("importrange(""https://docs.google.com/spreadsheets/d/1939lMQ_ymDDtVRAKKKpTg6-ciOV1sghbvYqRFhFaZi8/edit#gid=867855662"",""2026-27!p4"")"),1462354.5163333332)</f>
        <v>1462354.516</v>
      </c>
      <c r="AE99" s="59">
        <f>IFERROR(__xludf.DUMMYFUNCTION("importrange(""https://docs.google.com/spreadsheets/d/1939lMQ_ymDDtVRAKKKpTg6-ciOV1sghbvYqRFhFaZi8/edit#gid=867855662"",""2026-27!p3"")"),41.0)</f>
        <v>41</v>
      </c>
      <c r="AF99" s="59">
        <f>IFERROR(__xludf.DUMMYFUNCTION("importrange(""https://docs.google.com/spreadsheets/d/1939lMQ_ymDDtVRAKKKpTg6-ciOV1sghbvYqRFhFaZi8/edit#gid=867855662"",""2026-27!q4"")"),1658831.99)</f>
        <v>1658831.99</v>
      </c>
      <c r="AG99" s="59">
        <f>IFERROR(__xludf.DUMMYFUNCTION("importrange(""https://docs.google.com/spreadsheets/d/1939lMQ_ymDDtVRAKKKpTg6-ciOV1sghbvYqRFhFaZi8/edit#gid=867855662"",""2026-27!q3"")"),9.0)</f>
        <v>9</v>
      </c>
      <c r="AH99" s="62">
        <f t="shared" si="102"/>
        <v>0</v>
      </c>
      <c r="AI99" s="59">
        <f>IFERROR(__xludf.DUMMYFUNCTION("importrange(""https://docs.google.com/spreadsheets/d/1939lMQ_ymDDtVRAKKKpTg6-ciOV1sghbvYqRFhFaZi8/edit#gid=867855662"",""2026-27!r4"")"),0.0)</f>
        <v>0</v>
      </c>
      <c r="AJ99" s="59">
        <f>IFERROR(__xludf.DUMMYFUNCTION("importrange(""https://docs.google.com/spreadsheets/d/1939lMQ_ymDDtVRAKKKpTg6-ciOV1sghbvYqRFhFaZi8/edit#gid=867855662"",""2026-27!r3"")"),0.0)</f>
        <v>0</v>
      </c>
      <c r="AK99" s="59">
        <f>IFERROR(__xludf.DUMMYFUNCTION("importrange(""https://docs.google.com/spreadsheets/d/1939lMQ_ymDDtVRAKKKpTg6-ciOV1sghbvYqRFhFaZi8/edit#gid=867855662"",""2026-27!s4"")"),1462354.5163333332)</f>
        <v>1462354.516</v>
      </c>
      <c r="AL99" s="59">
        <f>IFERROR(__xludf.DUMMYFUNCTION("importrange(""https://docs.google.com/spreadsheets/d/1939lMQ_ymDDtVRAKKKpTg6-ciOV1sghbvYqRFhFaZi8/edit#gid=867855662"",""2026-27!s3"")"),41.0)</f>
        <v>41</v>
      </c>
      <c r="AM99" s="61">
        <f>IFERROR(__xludf.DUMMYFUNCTION("importrange(""https://docs.google.com/spreadsheets/d/1939lMQ_ymDDtVRAKKKpTg6-ciOV1sghbvYqRFhFaZi8/edit#gid=867855662"",""2026-27!t4"")"),0.0)</f>
        <v>0</v>
      </c>
      <c r="AN99" s="59">
        <f>IFERROR(__xludf.DUMMYFUNCTION("importrange(""https://docs.google.com/spreadsheets/d/1939lMQ_ymDDtVRAKKKpTg6-ciOV1sghbvYqRFhFaZi8/edit#gid=867855662"",""2026-27!t3"")"),0.0)</f>
        <v>0</v>
      </c>
      <c r="AO99" s="62">
        <f t="shared" si="103"/>
        <v>0</v>
      </c>
      <c r="AP99" s="59">
        <f>IFERROR(__xludf.DUMMYFUNCTION("importrange(""https://docs.google.com/spreadsheets/d/1939lMQ_ymDDtVRAKKKpTg6-ciOV1sghbvYqRFhFaZi8/edit#gid=867855662"",""2026-27!u4"")"),0.0)</f>
        <v>0</v>
      </c>
      <c r="AQ99" s="59">
        <f>IFERROR(__xludf.DUMMYFUNCTION("importrange(""https://docs.google.com/spreadsheets/d/1939lMQ_ymDDtVRAKKKpTg6-ciOV1sghbvYqRFhFaZi8/edit#gid=867855662"",""2026-27!u3"")"),0.0)</f>
        <v>0</v>
      </c>
      <c r="AR99" s="59">
        <f>IFERROR(__xludf.DUMMYFUNCTION("importrange(""https://docs.google.com/spreadsheets/d/1939lMQ_ymDDtVRAKKKpTg6-ciOV1sghbvYqRFhFaZi8/edit#gid=867855662"",""2026-27!v4"")"),1462354.5163333332)</f>
        <v>1462354.516</v>
      </c>
      <c r="AS99" s="59">
        <f>IFERROR(__xludf.DUMMYFUNCTION("importrange(""https://docs.google.com/spreadsheets/d/1939lMQ_ymDDtVRAKKKpTg6-ciOV1sghbvYqRFhFaZi8/edit#gid=867855662"",""2026-27!v3"")"),41.0)</f>
        <v>41</v>
      </c>
      <c r="AT99" s="61">
        <f>IFERROR(__xludf.DUMMYFUNCTION("importrange(""https://docs.google.com/spreadsheets/d/1939lMQ_ymDDtVRAKKKpTg6-ciOV1sghbvYqRFhFaZi8/edit#gid=867855662"",""2026-27!w4"")"),0.0)</f>
        <v>0</v>
      </c>
      <c r="AU99" s="59">
        <f>IFERROR(__xludf.DUMMYFUNCTION("importrange(""https://docs.google.com/spreadsheets/d/1939lMQ_ymDDtVRAKKKpTg6-ciOV1sghbvYqRFhFaZi8/edit#gid=867855662"",""2026-27!w3"")"),0.0)</f>
        <v>0</v>
      </c>
      <c r="AV99" s="62">
        <f t="shared" si="104"/>
        <v>0</v>
      </c>
      <c r="AW99" s="59">
        <f>IFERROR(__xludf.DUMMYFUNCTION("importrange(""https://docs.google.com/spreadsheets/d/1939lMQ_ymDDtVRAKKKpTg6-ciOV1sghbvYqRFhFaZi8/edit#gid=867855662"",""2026-27!x4"")"),0.0)</f>
        <v>0</v>
      </c>
      <c r="AX99" s="59">
        <f>IFERROR(__xludf.DUMMYFUNCTION("importrange(""https://docs.google.com/spreadsheets/d/1939lMQ_ymDDtVRAKKKpTg6-ciOV1sghbvYqRFhFaZi8/edit#gid=867855662"",""2026-27!x3"")"),0.0)</f>
        <v>0</v>
      </c>
      <c r="AY99" s="59">
        <f>IFERROR(__xludf.DUMMYFUNCTION("importrange(""https://docs.google.com/spreadsheets/d/1939lMQ_ymDDtVRAKKKpTg6-ciOV1sghbvYqRFhFaZi8/edit#gid=867855662"",""2026-27!y4"")"),1462354.5163333332)</f>
        <v>1462354.516</v>
      </c>
      <c r="AZ99" s="59">
        <f>IFERROR(__xludf.DUMMYFUNCTION("importrange(""https://docs.google.com/spreadsheets/d/1939lMQ_ymDDtVRAKKKpTg6-ciOV1sghbvYqRFhFaZi8/edit#gid=867855662"",""2026-27!y3"")"),41.0)</f>
        <v>41</v>
      </c>
      <c r="BA99" s="61">
        <f>IFERROR(__xludf.DUMMYFUNCTION("importrange(""https://docs.google.com/spreadsheets/d/1939lMQ_ymDDtVRAKKKpTg6-ciOV1sghbvYqRFhFaZi8/edit#gid=867855662"",""2026-27!z4"")"),0.0)</f>
        <v>0</v>
      </c>
      <c r="BB99" s="59">
        <f>IFERROR(__xludf.DUMMYFUNCTION("importrange(""https://docs.google.com/spreadsheets/d/1939lMQ_ymDDtVRAKKKpTg6-ciOV1sghbvYqRFhFaZi8/edit#gid=867855662"",""2026-27!z3"")"),0.0)</f>
        <v>0</v>
      </c>
      <c r="BC99" s="63">
        <f t="shared" si="105"/>
        <v>0</v>
      </c>
      <c r="BD99" s="59">
        <f>IFERROR(__xludf.DUMMYFUNCTION("importrange(""https://docs.google.com/spreadsheets/d/1939lMQ_ymDDtVRAKKKpTg6-ciOV1sghbvYqRFhFaZi8/edit#gid=867855662"",""2026-27!aa4"")"),0.0)</f>
        <v>0</v>
      </c>
      <c r="BE99" s="59">
        <f>IFERROR(__xludf.DUMMYFUNCTION("importrange(""https://docs.google.com/spreadsheets/d/1939lMQ_ymDDtVRAKKKpTg6-ciOV1sghbvYqRFhFaZi8/edit#gid=867855662"",""2026-27!aa3"")"),0.0)</f>
        <v>0</v>
      </c>
      <c r="BF99" s="59">
        <f>IFERROR(__xludf.DUMMYFUNCTION("importrange(""https://docs.google.com/spreadsheets/d/1939lMQ_ymDDtVRAKKKpTg6-ciOV1sghbvYqRFhFaZi8/edit#gid=867855662"",""2026-27!ab4"")"),1462354.5163333332)</f>
        <v>1462354.516</v>
      </c>
      <c r="BG99" s="59">
        <f>IFERROR(__xludf.DUMMYFUNCTION("importrange(""https://docs.google.com/spreadsheets/d/1939lMQ_ymDDtVRAKKKpTg6-ciOV1sghbvYqRFhFaZi8/edit#gid=867855662"",""2026-27!ab3"")"),41.0)</f>
        <v>41</v>
      </c>
      <c r="BH99" s="59">
        <f>IFERROR(__xludf.DUMMYFUNCTION("importrange(""https://docs.google.com/spreadsheets/d/1939lMQ_ymDDtVRAKKKpTg6-ciOV1sghbvYqRFhFaZi8/edit#gid=867855662"",""2026-27!ac4"")"),0.0)</f>
        <v>0</v>
      </c>
      <c r="BI99" s="59">
        <f>IFERROR(__xludf.DUMMYFUNCTION("importrange(""https://docs.google.com/spreadsheets/d/1939lMQ_ymDDtVRAKKKpTg6-ciOV1sghbvYqRFhFaZi8/edit#gid=867855662"",""2026-27!ac3"")"),0.0)</f>
        <v>0</v>
      </c>
      <c r="BJ99" s="63">
        <f t="shared" si="106"/>
        <v>0</v>
      </c>
      <c r="BK99" s="59">
        <f>IFERROR(__xludf.DUMMYFUNCTION("importrange(""https://docs.google.com/spreadsheets/d/1939lMQ_ymDDtVRAKKKpTg6-ciOV1sghbvYqRFhFaZi8/edit#gid=867855662"",""2026-27!ad4"")"),0.0)</f>
        <v>0</v>
      </c>
      <c r="BL99" s="59">
        <f>IFERROR(__xludf.DUMMYFUNCTION("importrange(""https://docs.google.com/spreadsheets/d/1939lMQ_ymDDtVRAKKKpTg6-ciOV1sghbvYqRFhFaZi8/edit#gid=867855662"",""2026-27!ad3"")"),0.0)</f>
        <v>0</v>
      </c>
      <c r="BM99" s="59">
        <f>IFERROR(__xludf.DUMMYFUNCTION("importrange(""https://docs.google.com/spreadsheets/d/1939lMQ_ymDDtVRAKKKpTg6-ciOV1sghbvYqRFhFaZi8/edit#gid=867855662"",""2026-27!ae4"")"),1462354.5163333332)</f>
        <v>1462354.516</v>
      </c>
      <c r="BN99" s="59">
        <f>IFERROR(__xludf.DUMMYFUNCTION("importrange(""https://docs.google.com/spreadsheets/d/1939lMQ_ymDDtVRAKKKpTg6-ciOV1sghbvYqRFhFaZi8/edit#gid=867855662"",""2026-27!ae3"")"),41.0)</f>
        <v>41</v>
      </c>
      <c r="BO99" s="59">
        <f>IFERROR(__xludf.DUMMYFUNCTION("importrange(""https://docs.google.com/spreadsheets/d/1939lMQ_ymDDtVRAKKKpTg6-ciOV1sghbvYqRFhFaZi8/edit#gid=867855662"",""2026-27!af4"")"),0.0)</f>
        <v>0</v>
      </c>
      <c r="BP99" s="59">
        <f>IFERROR(__xludf.DUMMYFUNCTION("importrange(""https://docs.google.com/spreadsheets/d/1939lMQ_ymDDtVRAKKKpTg6-ciOV1sghbvYqRFhFaZi8/edit#gid=867855662"",""2026-27!af3"")"),0.0)</f>
        <v>0</v>
      </c>
      <c r="BQ99" s="63">
        <f t="shared" si="107"/>
        <v>0</v>
      </c>
      <c r="BR99" s="59">
        <f>IFERROR(__xludf.DUMMYFUNCTION("importrange(""https://docs.google.com/spreadsheets/d/1939lMQ_ymDDtVRAKKKpTg6-ciOV1sghbvYqRFhFaZi8/edit#gid=867855662"",""2026-27!ag4"")"),0.0)</f>
        <v>0</v>
      </c>
      <c r="BS99" s="59">
        <f>IFERROR(__xludf.DUMMYFUNCTION("importrange(""https://docs.google.com/spreadsheets/d/1939lMQ_ymDDtVRAKKKpTg6-ciOV1sghbvYqRFhFaZi8/edit#gid=867855662"",""2026-27!ag3"")"),0.0)</f>
        <v>0</v>
      </c>
      <c r="BT99" s="59">
        <f>IFERROR(__xludf.DUMMYFUNCTION("importrange(""https://docs.google.com/spreadsheets/d/1939lMQ_ymDDtVRAKKKpTg6-ciOV1sghbvYqRFhFaZi8/edit#gid=867855662"",""2026-27!ah4"")"),1462354.5163333332)</f>
        <v>1462354.516</v>
      </c>
      <c r="BU99" s="59">
        <f>IFERROR(__xludf.DUMMYFUNCTION("importrange(""https://docs.google.com/spreadsheets/d/1939lMQ_ymDDtVRAKKKpTg6-ciOV1sghbvYqRFhFaZi8/edit#gid=867855662"",""2026-27!ah3"")"),41.0)</f>
        <v>41</v>
      </c>
      <c r="BV99" s="59">
        <f>IFERROR(__xludf.DUMMYFUNCTION("importrange(""https://docs.google.com/spreadsheets/d/1939lMQ_ymDDtVRAKKKpTg6-ciOV1sghbvYqRFhFaZi8/edit#gid=867855662"",""2026-27!ai4"")"),0.0)</f>
        <v>0</v>
      </c>
      <c r="BW99" s="59">
        <f>IFERROR(__xludf.DUMMYFUNCTION("importrange(""https://docs.google.com/spreadsheets/d/1939lMQ_ymDDtVRAKKKpTg6-ciOV1sghbvYqRFhFaZi8/edit#gid=867855662"",""2026-27!ai3"")"),0.0)</f>
        <v>0</v>
      </c>
      <c r="BX99" s="63">
        <f t="shared" si="108"/>
        <v>0</v>
      </c>
      <c r="BY99" s="59">
        <f>IFERROR(__xludf.DUMMYFUNCTION("importrange(""https://docs.google.com/spreadsheets/d/1939lMQ_ymDDtVRAKKKpTg6-ciOV1sghbvYqRFhFaZi8/edit#gid=867855662"",""2026-27!aj4"")"),0.0)</f>
        <v>0</v>
      </c>
      <c r="BZ99" s="59">
        <f>IFERROR(__xludf.DUMMYFUNCTION("importrange(""https://docs.google.com/spreadsheets/d/1939lMQ_ymDDtVRAKKKpTg6-ciOV1sghbvYqRFhFaZi8/edit#gid=867855662"",""2026-27!aj3"")"),0.0)</f>
        <v>0</v>
      </c>
      <c r="CA99" s="59">
        <f>IFERROR(__xludf.DUMMYFUNCTION("importrange(""https://docs.google.com/spreadsheets/d/1939lMQ_ymDDtVRAKKKpTg6-ciOV1sghbvYqRFhFaZi8/edit#gid=867855662"",""2026-27!ak4"")"),1462354.5163333332)</f>
        <v>1462354.516</v>
      </c>
      <c r="CB99" s="59">
        <f>IFERROR(__xludf.DUMMYFUNCTION("importrange(""https://docs.google.com/spreadsheets/d/1939lMQ_ymDDtVRAKKKpTg6-ciOV1sghbvYqRFhFaZi8/edit#gid=867855662"",""2026-27!ak3"")"),41.0)</f>
        <v>41</v>
      </c>
      <c r="CC99" s="59">
        <f>IFERROR(__xludf.DUMMYFUNCTION("importrange(""https://docs.google.com/spreadsheets/d/1939lMQ_ymDDtVRAKKKpTg6-ciOV1sghbvYqRFhFaZi8/edit#gid=867855662"",""2026-27!al4"")"),0.0)</f>
        <v>0</v>
      </c>
      <c r="CD99" s="59">
        <f>IFERROR(__xludf.DUMMYFUNCTION("importrange(""https://docs.google.com/spreadsheets/d/1939lMQ_ymDDtVRAKKKpTg6-ciOV1sghbvYqRFhFaZi8/edit#gid=867855662"",""2026-27!ai3"")"),0.0)</f>
        <v>0</v>
      </c>
      <c r="CE99" s="63">
        <f t="shared" si="109"/>
        <v>0</v>
      </c>
      <c r="CF99" s="59">
        <f>IFERROR(__xludf.DUMMYFUNCTION("importrange(""https://docs.google.com/spreadsheets/d/1939lMQ_ymDDtVRAKKKpTg6-ciOV1sghbvYqRFhFaZi8/edit#gid=867855662"",""2026-27!am4"")"),0.0)</f>
        <v>0</v>
      </c>
      <c r="CG99" s="59">
        <f>IFERROR(__xludf.DUMMYFUNCTION("importrange(""https://docs.google.com/spreadsheets/d/1939lMQ_ymDDtVRAKKKpTg6-ciOV1sghbvYqRFhFaZi8/edit#gid=867855662"",""2026-27!am3"")"),0.0)</f>
        <v>0</v>
      </c>
      <c r="CH99" s="59">
        <f>IFERROR(__xludf.DUMMYFUNCTION("importrange(""https://docs.google.com/spreadsheets/d/1939lMQ_ymDDtVRAKKKpTg6-ciOV1sghbvYqRFhFaZi8/edit#gid=867855662"",""2026-27!an4"")"),1462354.5163333332)</f>
        <v>1462354.516</v>
      </c>
      <c r="CI99" s="59">
        <f>IFERROR(__xludf.DUMMYFUNCTION("importrange(""https://docs.google.com/spreadsheets/d/1939lMQ_ymDDtVRAKKKpTg6-ciOV1sghbvYqRFhFaZi8/edit#gid=867855662"",""2026-27!an3"")"),41.0)</f>
        <v>41</v>
      </c>
      <c r="CJ99" s="59">
        <f>IFERROR(__xludf.DUMMYFUNCTION("importrange(""https://docs.google.com/spreadsheets/d/1939lMQ_ymDDtVRAKKKpTg6-ciOV1sghbvYqRFhFaZi8/edit#gid=867855662"",""2026-27!ao4"")"),0.0)</f>
        <v>0</v>
      </c>
      <c r="CK99" s="59">
        <f>IFERROR(__xludf.DUMMYFUNCTION("importrange(""https://docs.google.com/spreadsheets/d/1939lMQ_ymDDtVRAKKKpTg6-ciOV1sghbvYqRFhFaZi8/edit#gid=867855662"",""2026-27!ao3"")"),0.0)</f>
        <v>0</v>
      </c>
      <c r="CL99" s="63">
        <f t="shared" si="110"/>
        <v>0</v>
      </c>
      <c r="CM99" s="59">
        <f>IFERROR(__xludf.DUMMYFUNCTION("importrange(""https://docs.google.com/spreadsheets/d/1939lMQ_ymDDtVRAKKKpTg6-ciOV1sghbvYqRFhFaZi8/edit#gid=867855662"",""2026-27!ap4"")"),0.0)</f>
        <v>0</v>
      </c>
      <c r="CN99" s="59">
        <f>IFERROR(__xludf.DUMMYFUNCTION("importrange(""https://docs.google.com/spreadsheets/d/1939lMQ_ymDDtVRAKKKpTg6-ciOV1sghbvYqRFhFaZi8/edit#gid=867855662"",""2026-27!ap3"")"),0.0)</f>
        <v>0</v>
      </c>
      <c r="CO99" s="59">
        <f>IFERROR(__xludf.DUMMYFUNCTION("importrange(""https://docs.google.com/spreadsheets/d/1939lMQ_ymDDtVRAKKKpTg6-ciOV1sghbvYqRFhFaZi8/edit#gid=867855662"",""2026-27!aq4"")"),1462354.5163333332)</f>
        <v>1462354.516</v>
      </c>
      <c r="CP99" s="59">
        <f>IFERROR(__xludf.DUMMYFUNCTION("importrange(""https://docs.google.com/spreadsheets/d/1939lMQ_ymDDtVRAKKKpTg6-ciOV1sghbvYqRFhFaZi8/edit#gid=867855662"",""2026-27!aq3"")"),41.0)</f>
        <v>41</v>
      </c>
      <c r="CQ99" s="59">
        <f>IFERROR(__xludf.DUMMYFUNCTION("importrange(""https://docs.google.com/spreadsheets/d/1939lMQ_ymDDtVRAKKKpTg6-ciOV1sghbvYqRFhFaZi8/edit#gid=867855662"",""2026-27!ar4"")"),0.0)</f>
        <v>0</v>
      </c>
      <c r="CR99" s="59">
        <f>IFERROR(__xludf.DUMMYFUNCTION("importrange(""https://docs.google.com/spreadsheets/d/1939lMQ_ymDDtVRAKKKpTg6-ciOV1sghbvYqRFhFaZi8/edit#gid=867855662"",""2026-27!ar3"")"),0.0)</f>
        <v>0</v>
      </c>
      <c r="CS99" s="63">
        <f t="shared" si="111"/>
        <v>0</v>
      </c>
      <c r="CT99" s="59">
        <f>IFERROR(__xludf.DUMMYFUNCTION("importrange(""https://docs.google.com/spreadsheets/d/1939lMQ_ymDDtVRAKKKpTg6-ciOV1sghbvYqRFhFaZi8/edit#gid=867855662"",""2026-27!as4"")"),0.0)</f>
        <v>0</v>
      </c>
      <c r="CU99" s="59">
        <f>IFERROR(__xludf.DUMMYFUNCTION("importrange(""https://docs.google.com/spreadsheets/d/1939lMQ_ymDDtVRAKKKpTg6-ciOV1sghbvYqRFhFaZi8/edit#gid=867855662"",""2026-27!as3"")"),0.0)</f>
        <v>0</v>
      </c>
      <c r="CV99" s="64"/>
    </row>
    <row r="100">
      <c r="A100" s="1" t="s">
        <v>160</v>
      </c>
      <c r="B100" s="41"/>
      <c r="C100" s="68" t="s">
        <v>198</v>
      </c>
      <c r="D100" s="54" t="s">
        <v>199</v>
      </c>
      <c r="E100" s="54">
        <v>9.647989311E9</v>
      </c>
      <c r="F100" s="80">
        <v>45047.0</v>
      </c>
      <c r="G100" s="66"/>
      <c r="H100" s="66"/>
      <c r="I100" s="57">
        <v>29167.0</v>
      </c>
      <c r="J100" s="58">
        <v>2500000.0</v>
      </c>
      <c r="K100" s="61">
        <f>IFERROR(__xludf.DUMMYFUNCTION("IMPORTRANGE(""https://docs.google.com/spreadsheets/d/15jee2k6DSN8nNrsGXt9fSygQKECjnTqi8q5bSr2fopI/edit#gid=1025512547"",""2026-27!A3"")"),41.0)</f>
        <v>41</v>
      </c>
      <c r="L100" s="61">
        <f>IFERROR(__xludf.DUMMYFUNCTION("IMPORTRANGE(""https://docs.google.com/spreadsheets/d/15jee2k6DSN8nNrsGXt9fSygQKECjnTqi8q5bSr2fopI/edit#gid=1025512547"",""2026-27!G4"")"),3.06E7)</f>
        <v>30600000</v>
      </c>
      <c r="M100" s="61">
        <f t="shared" si="97"/>
        <v>5818910.95</v>
      </c>
      <c r="N100" s="60">
        <f t="shared" si="98"/>
        <v>0.06849127451</v>
      </c>
      <c r="O100" s="61">
        <f t="shared" si="99"/>
        <v>2095833</v>
      </c>
      <c r="P100" s="59">
        <f>IFERROR(__xludf.DUMMYFUNCTION("IMPORTRANGE(""https://docs.google.com/spreadsheets/d/15jee2k6DSN8nNrsGXt9fSygQKECjnTqi8q5bSr2fopI/edit#gid=1025512547"",""2026-27!J4"")"),2550000.000000001)</f>
        <v>2550000</v>
      </c>
      <c r="Q100" s="59">
        <f>IFERROR(__xludf.DUMMYFUNCTION("IMPORTRANGE(""https://docs.google.com/spreadsheets/d/15jee2k6DSN8nNrsGXt9fSygQKECjnTqi8q5bSr2fopI/edit#gid=1025512547"",""2026-27!J3"")"),29.0)</f>
        <v>29</v>
      </c>
      <c r="R100" s="59">
        <f>IFERROR(__xludf.DUMMYFUNCTION("IMPORTRANGE(""https://docs.google.com/spreadsheets/d/15jee2k6DSN8nNrsGXt9fSygQKECjnTqi8q5bSr2fopI/edit#gid=1025512547"",""2026-27!K4"")"),1322472.8399999999)</f>
        <v>1322472.84</v>
      </c>
      <c r="S100" s="59">
        <f>IFERROR(__xludf.DUMMYFUNCTION("IMPORTRANGE(""https://docs.google.com/spreadsheets/d/15jee2k6DSN8nNrsGXt9fSygQKECjnTqi8q5bSr2fopI/edit#gid=1025512547"",""2026-27!K3"")"),5.0)</f>
        <v>5</v>
      </c>
      <c r="T100" s="62">
        <f t="shared" si="100"/>
        <v>0.2694917647</v>
      </c>
      <c r="U100" s="59">
        <f>IFERROR(__xludf.DUMMYFUNCTION("IMPORTRANGE(""https://docs.google.com/spreadsheets/d/15jee2k6DSN8nNrsGXt9fSygQKECjnTqi8q5bSr2fopI/edit#gid=1025512547"",""2026-27!L4"")"),687204.0)</f>
        <v>687204</v>
      </c>
      <c r="V100" s="85">
        <f>IFERROR(__xludf.DUMMYFUNCTION("IMPORTRANGE(""https://docs.google.com/spreadsheets/d/15jee2k6DSN8nNrsGXt9fSygQKECjnTqi8q5bSr2fopI/edit#gid=1025512547"",""2026-27!L3"")"),3.0)</f>
        <v>3</v>
      </c>
      <c r="W100" s="59">
        <f>IFERROR(__xludf.DUMMYFUNCTION("IMPORTRANGE(""https://docs.google.com/spreadsheets/d/15jee2k6DSN8nNrsGXt9fSygQKECjnTqi8q5bSr2fopI/edit#gid=1025512547"",""2026-27!M4"")"),2550000.000000001)</f>
        <v>2550000</v>
      </c>
      <c r="X100" s="85">
        <f>IFERROR(__xludf.DUMMYFUNCTION("IMPORTRANGE(""https://docs.google.com/spreadsheets/d/15jee2k6DSN8nNrsGXt9fSygQKECjnTqi8q5bSr2fopI/edit#gid=1025512547"",""2026-27!M3"")"),29.0)</f>
        <v>29</v>
      </c>
      <c r="Y100" s="59">
        <f>IFERROR(__xludf.DUMMYFUNCTION("importrange(""https://docs.google.com/spreadsheets/d/15jee2k6DSN8nNrsGXt9fSygQKECjnTqi8q5bSr2fopI/edit#gid=1025512547"",""2026-27!n4"")"),1919540.3)</f>
        <v>1919540.3</v>
      </c>
      <c r="Z100" s="59">
        <f>IFERROR(__xludf.DUMMYFUNCTION("importrange(""https://docs.google.com/spreadsheets/d/15jee2k6DSN8nNrsGXt9fSygQKECjnTqi8q5bSr2fopI/edit#gid=1025512547"",""2026-27!n3"")"),7.0)</f>
        <v>7</v>
      </c>
      <c r="AA100" s="62">
        <f t="shared" si="101"/>
        <v>0.5524035294</v>
      </c>
      <c r="AB100" s="59">
        <f>IFERROR(__xludf.DUMMYFUNCTION("importrange(""https://docs.google.com/spreadsheets/d/15jee2k6DSN8nNrsGXt9fSygQKECjnTqi8q5bSr2fopI/edit#gid=1025512547"",""2026-27!o4"")"),1408629.0)</f>
        <v>1408629</v>
      </c>
      <c r="AC100" s="59">
        <f>IFERROR(__xludf.DUMMYFUNCTION("importrange(""https://docs.google.com/spreadsheets/d/15jee2k6DSN8nNrsGXt9fSygQKECjnTqi8q5bSr2fopI/edit#gid=1025512547"",""2026-27!o3"")"),7.0)</f>
        <v>7</v>
      </c>
      <c r="AD100" s="59">
        <f>IFERROR(__xludf.DUMMYFUNCTION("importrange(""https://docs.google.com/spreadsheets/d/15jee2k6DSN8nNrsGXt9fSygQKECjnTqi8q5bSr2fopI/edit#gid=1025512547"",""2026-27!p4"")"),2550000.000000001)</f>
        <v>2550000</v>
      </c>
      <c r="AE100" s="59">
        <f>IFERROR(__xludf.DUMMYFUNCTION("importrange(""https://docs.google.com/spreadsheets/d/15jee2k6DSN8nNrsGXt9fSygQKECjnTqi8q5bSr2fopI/edit#gid=1025512547"",""2026-27!p3"")"),29.0)</f>
        <v>29</v>
      </c>
      <c r="AF100" s="59">
        <f>IFERROR(__xludf.DUMMYFUNCTION("importrange(""https://docs.google.com/spreadsheets/d/15jee2k6DSN8nNrsGXt9fSygQKECjnTqi8q5bSr2fopI/edit#gid=1025512547"",""2026-27!q4"")"),2576897.81)</f>
        <v>2576897.81</v>
      </c>
      <c r="AG100" s="59">
        <f>IFERROR(__xludf.DUMMYFUNCTION("importrange(""https://docs.google.com/spreadsheets/d/15jee2k6DSN8nNrsGXt9fSygQKECjnTqi8q5bSr2fopI/edit#gid=1025512547"",""2026-27!q3"")"),7.0)</f>
        <v>7</v>
      </c>
      <c r="AH100" s="62">
        <f t="shared" si="102"/>
        <v>0</v>
      </c>
      <c r="AI100" s="59">
        <f>IFERROR(__xludf.DUMMYFUNCTION("importrange(""https://docs.google.com/spreadsheets/d/15jee2k6DSN8nNrsGXt9fSygQKECjnTqi8q5bSr2fopI/edit#gid=1025512547"",""2026-27!r4"")"),0.0)</f>
        <v>0</v>
      </c>
      <c r="AJ100" s="59">
        <f>IFERROR(__xludf.DUMMYFUNCTION("importrange(""https://docs.google.com/spreadsheets/d/15jee2k6DSN8nNrsGXt9fSygQKECjnTqi8q5bSr2fopI/edit#gid=1025512547"",""2026-27!r3"")"),0.0)</f>
        <v>0</v>
      </c>
      <c r="AK100" s="59">
        <f>IFERROR(__xludf.DUMMYFUNCTION("importrange(""https://docs.google.com/spreadsheets/d/15jee2k6DSN8nNrsGXt9fSygQKECjnTqi8q5bSr2fopI/edit#gid=1025512547"",""2026-27!s4"")"),2550000.000000001)</f>
        <v>2550000</v>
      </c>
      <c r="AL100" s="59">
        <f>IFERROR(__xludf.DUMMYFUNCTION("importrange(""https://docs.google.com/spreadsheets/d/15jee2k6DSN8nNrsGXt9fSygQKECjnTqi8q5bSr2fopI/edit#gid=1025512547"",""2026-27!s3"")"),29.0)</f>
        <v>29</v>
      </c>
      <c r="AM100" s="61">
        <f>IFERROR(__xludf.DUMMYFUNCTION("importrange(""https://docs.google.com/spreadsheets/d/15jee2k6DSN8nNrsGXt9fSygQKECjnTqi8q5bSr2fopI/edit#gid=1025512547"",""2026-27!t4"")"),0.0)</f>
        <v>0</v>
      </c>
      <c r="AN100" s="59">
        <f>IFERROR(__xludf.DUMMYFUNCTION("importrange(""https://docs.google.com/spreadsheets/d/15jee2k6DSN8nNrsGXt9fSygQKECjnTqi8q5bSr2fopI/edit#gid=1025512547"",""2026-27!t3"")"),0.0)</f>
        <v>0</v>
      </c>
      <c r="AO100" s="62">
        <f t="shared" si="103"/>
        <v>0</v>
      </c>
      <c r="AP100" s="59">
        <f>IFERROR(__xludf.DUMMYFUNCTION("importrange(""https://docs.google.com/spreadsheets/d/15jee2k6DSN8nNrsGXt9fSygQKECjnTqi8q5bSr2fopI/edit#gid=1025512547"",""2026-27!u4"")"),0.0)</f>
        <v>0</v>
      </c>
      <c r="AQ100" s="59">
        <f>IFERROR(__xludf.DUMMYFUNCTION("importrange(""https://docs.google.com/spreadsheets/d/15jee2k6DSN8nNrsGXt9fSygQKECjnTqi8q5bSr2fopI/edit#gid=1025512547"",""2026-27!u3"")"),0.0)</f>
        <v>0</v>
      </c>
      <c r="AR100" s="59">
        <f>IFERROR(__xludf.DUMMYFUNCTION("importrange(""https://docs.google.com/spreadsheets/d/15jee2k6DSN8nNrsGXt9fSygQKECjnTqi8q5bSr2fopI/edit#gid=1025512547"",""2026-27!v4"")"),2550000.000000001)</f>
        <v>2550000</v>
      </c>
      <c r="AS100" s="59">
        <f>IFERROR(__xludf.DUMMYFUNCTION("importrange(""https://docs.google.com/spreadsheets/d/15jee2k6DSN8nNrsGXt9fSygQKECjnTqi8q5bSr2fopI/edit#gid=1025512547"",""2026-27!v3"")"),29.0)</f>
        <v>29</v>
      </c>
      <c r="AT100" s="61">
        <f>IFERROR(__xludf.DUMMYFUNCTION("importrange(""https://docs.google.com/spreadsheets/d/15jee2k6DSN8nNrsGXt9fSygQKECjnTqi8q5bSr2fopI/edit#gid=1025512547"",""2026-27!w4"")"),0.0)</f>
        <v>0</v>
      </c>
      <c r="AU100" s="59">
        <f>IFERROR(__xludf.DUMMYFUNCTION("importrange(""https://docs.google.com/spreadsheets/d/15jee2k6DSN8nNrsGXt9fSygQKECjnTqi8q5bSr2fopI/edit#gid=1025512547"",""2026-27!w3"")"),0.0)</f>
        <v>0</v>
      </c>
      <c r="AV100" s="62">
        <f t="shared" si="104"/>
        <v>0</v>
      </c>
      <c r="AW100" s="59">
        <f>IFERROR(__xludf.DUMMYFUNCTION("importrange(""https://docs.google.com/spreadsheets/d/15jee2k6DSN8nNrsGXt9fSygQKECjnTqi8q5bSr2fopI/edit#gid=1025512547"",""2026-27!x4"")"),0.0)</f>
        <v>0</v>
      </c>
      <c r="AX100" s="59">
        <f>IFERROR(__xludf.DUMMYFUNCTION("importrange(""https://docs.google.com/spreadsheets/d/15jee2k6DSN8nNrsGXt9fSygQKECjnTqi8q5bSr2fopI/edit#gid=1025512547"",""2026-27!x3"")"),0.0)</f>
        <v>0</v>
      </c>
      <c r="AY100" s="59">
        <f>IFERROR(__xludf.DUMMYFUNCTION("importrange(""https://docs.google.com/spreadsheets/d/15jee2k6DSN8nNrsGXt9fSygQKECjnTqi8q5bSr2fopI/edit#gid=1025512547"",""2026-27!y4"")"),2550000.000000001)</f>
        <v>2550000</v>
      </c>
      <c r="AZ100" s="59">
        <f>IFERROR(__xludf.DUMMYFUNCTION("importrange(""https://docs.google.com/spreadsheets/d/15jee2k6DSN8nNrsGXt9fSygQKECjnTqi8q5bSr2fopI/edit#gid=1025512547"",""2026-27!y3"")"),29.0)</f>
        <v>29</v>
      </c>
      <c r="BA100" s="61">
        <f>IFERROR(__xludf.DUMMYFUNCTION("importrange(""https://docs.google.com/spreadsheets/d/15jee2k6DSN8nNrsGXt9fSygQKECjnTqi8q5bSr2fopI/edit#gid=1025512547"",""2026-27!z4"")"),0.0)</f>
        <v>0</v>
      </c>
      <c r="BB100" s="59">
        <f>IFERROR(__xludf.DUMMYFUNCTION("importrange(""https://docs.google.com/spreadsheets/d/15jee2k6DSN8nNrsGXt9fSygQKECjnTqi8q5bSr2fopI/edit#gid=1025512547"",""2026-27!z3"")"),0.0)</f>
        <v>0</v>
      </c>
      <c r="BC100" s="63">
        <f t="shared" si="105"/>
        <v>0</v>
      </c>
      <c r="BD100" s="59">
        <f>IFERROR(__xludf.DUMMYFUNCTION("importrange(""https://docs.google.com/spreadsheets/d/15jee2k6DSN8nNrsGXt9fSygQKECjnTqi8q5bSr2fopI/edit#gid=1025512547"",""2026-27!aa4"")"),0.0)</f>
        <v>0</v>
      </c>
      <c r="BE100" s="59">
        <f>IFERROR(__xludf.DUMMYFUNCTION("importrange(""https://docs.google.com/spreadsheets/d/15jee2k6DSN8nNrsGXt9fSygQKECjnTqi8q5bSr2fopI/edit#gid=1025512547"",""2026-27!aa3"")"),0.0)</f>
        <v>0</v>
      </c>
      <c r="BF100" s="59">
        <f>IFERROR(__xludf.DUMMYFUNCTION("importrange(""https://docs.google.com/spreadsheets/d/15jee2k6DSN8nNrsGXt9fSygQKECjnTqi8q5bSr2fopI/edit#gid=1025512547"",""2026-27!ab4"")"),2550000.000000001)</f>
        <v>2550000</v>
      </c>
      <c r="BG100" s="59">
        <f>IFERROR(__xludf.DUMMYFUNCTION("importrange(""https://docs.google.com/spreadsheets/d/15jee2k6DSN8nNrsGXt9fSygQKECjnTqi8q5bSr2fopI/edit#gid=1025512547"",""2026-27!ab3"")"),29.0)</f>
        <v>29</v>
      </c>
      <c r="BH100" s="59">
        <f>IFERROR(__xludf.DUMMYFUNCTION("importrange(""https://docs.google.com/spreadsheets/d/15jee2k6DSN8nNrsGXt9fSygQKECjnTqi8q5bSr2fopI/edit#gid=1025512547"",""2026-27!ac4"")"),0.0)</f>
        <v>0</v>
      </c>
      <c r="BI100" s="59">
        <f>IFERROR(__xludf.DUMMYFUNCTION("importrange(""https://docs.google.com/spreadsheets/d/15jee2k6DSN8nNrsGXt9fSygQKECjnTqi8q5bSr2fopI/edit#gid=1025512547"",""2026-27!ac3"")"),0.0)</f>
        <v>0</v>
      </c>
      <c r="BJ100" s="63">
        <f t="shared" si="106"/>
        <v>0</v>
      </c>
      <c r="BK100" s="59">
        <f>IFERROR(__xludf.DUMMYFUNCTION("importrange(""https://docs.google.com/spreadsheets/d/15jee2k6DSN8nNrsGXt9fSygQKECjnTqi8q5bSr2fopI/edit#gid=1025512547"",""2026-27!ad4"")"),0.0)</f>
        <v>0</v>
      </c>
      <c r="BL100" s="59">
        <f>IFERROR(__xludf.DUMMYFUNCTION("importrange(""https://docs.google.com/spreadsheets/d/15jee2k6DSN8nNrsGXt9fSygQKECjnTqi8q5bSr2fopI/edit#gid=1025512547"",""2026-27!ad3"")"),0.0)</f>
        <v>0</v>
      </c>
      <c r="BM100" s="59">
        <f>IFERROR(__xludf.DUMMYFUNCTION("importrange(""https://docs.google.com/spreadsheets/d/15jee2k6DSN8nNrsGXt9fSygQKECjnTqi8q5bSr2fopI/edit#gid=1025512547"",""2026-27!ae4"")"),2550000.000000001)</f>
        <v>2550000</v>
      </c>
      <c r="BN100" s="59">
        <f>IFERROR(__xludf.DUMMYFUNCTION("importrange(""https://docs.google.com/spreadsheets/d/15jee2k6DSN8nNrsGXt9fSygQKECjnTqi8q5bSr2fopI/edit#gid=1025512547"",""2026-27!ae3"")"),29.0)</f>
        <v>29</v>
      </c>
      <c r="BO100" s="59">
        <f>IFERROR(__xludf.DUMMYFUNCTION("importrange(""https://docs.google.com/spreadsheets/d/15jee2k6DSN8nNrsGXt9fSygQKECjnTqi8q5bSr2fopI/edit#gid=1025512547"",""2026-27!af4"")"),0.0)</f>
        <v>0</v>
      </c>
      <c r="BP100" s="59">
        <f>IFERROR(__xludf.DUMMYFUNCTION("importrange(""https://docs.google.com/spreadsheets/d/15jee2k6DSN8nNrsGXt9fSygQKECjnTqi8q5bSr2fopI/edit#gid=1025512547"",""2026-27!af3"")"),0.0)</f>
        <v>0</v>
      </c>
      <c r="BQ100" s="63">
        <f t="shared" si="107"/>
        <v>0</v>
      </c>
      <c r="BR100" s="59">
        <f>IFERROR(__xludf.DUMMYFUNCTION("importrange(""https://docs.google.com/spreadsheets/d/15jee2k6DSN8nNrsGXt9fSygQKECjnTqi8q5bSr2fopI/edit#gid=1025512547"",""2026-27!ag4"")"),0.0)</f>
        <v>0</v>
      </c>
      <c r="BS100" s="59">
        <f>IFERROR(__xludf.DUMMYFUNCTION("importrange(""https://docs.google.com/spreadsheets/d/15jee2k6DSN8nNrsGXt9fSygQKECjnTqi8q5bSr2fopI/edit#gid=1025512547"",""2026-27!ag3"")"),0.0)</f>
        <v>0</v>
      </c>
      <c r="BT100" s="59">
        <f>IFERROR(__xludf.DUMMYFUNCTION("importrange(""https://docs.google.com/spreadsheets/d/15jee2k6DSN8nNrsGXt9fSygQKECjnTqi8q5bSr2fopI/edit#gid=1025512547"",""2026-27!ah4"")"),2550000.000000001)</f>
        <v>2550000</v>
      </c>
      <c r="BU100" s="59">
        <f>IFERROR(__xludf.DUMMYFUNCTION("importrange(""https://docs.google.com/spreadsheets/d/15jee2k6DSN8nNrsGXt9fSygQKECjnTqi8q5bSr2fopI/edit#gid=1025512547"",""2026-27!ah3"")"),29.0)</f>
        <v>29</v>
      </c>
      <c r="BV100" s="59">
        <f>IFERROR(__xludf.DUMMYFUNCTION("importrange(""https://docs.google.com/spreadsheets/d/15jee2k6DSN8nNrsGXt9fSygQKECjnTqi8q5bSr2fopI/edit#gid=1025512547"",""2026-27!ai4"")"),0.0)</f>
        <v>0</v>
      </c>
      <c r="BW100" s="59">
        <f>IFERROR(__xludf.DUMMYFUNCTION("importrange(""https://docs.google.com/spreadsheets/d/15jee2k6DSN8nNrsGXt9fSygQKECjnTqi8q5bSr2fopI/edit#gid=1025512547"",""2026-27!ai3"")"),0.0)</f>
        <v>0</v>
      </c>
      <c r="BX100" s="63">
        <f t="shared" si="108"/>
        <v>0</v>
      </c>
      <c r="BY100" s="59">
        <f>IFERROR(__xludf.DUMMYFUNCTION("importrange(""https://docs.google.com/spreadsheets/d/15jee2k6DSN8nNrsGXt9fSygQKECjnTqi8q5bSr2fopI/edit#gid=1025512547"",""2026-27!aj4"")"),0.0)</f>
        <v>0</v>
      </c>
      <c r="BZ100" s="59">
        <f>IFERROR(__xludf.DUMMYFUNCTION("importrange(""https://docs.google.com/spreadsheets/d/15jee2k6DSN8nNrsGXt9fSygQKECjnTqi8q5bSr2fopI/edit#gid=1025512547"",""2026-27!aj3"")"),0.0)</f>
        <v>0</v>
      </c>
      <c r="CA100" s="59">
        <f>IFERROR(__xludf.DUMMYFUNCTION("importrange(""https://docs.google.com/spreadsheets/d/15jee2k6DSN8nNrsGXt9fSygQKECjnTqi8q5bSr2fopI/edit#gid=1025512547"",""2026-27!ak4"")"),2550000.000000001)</f>
        <v>2550000</v>
      </c>
      <c r="CB100" s="59">
        <f>IFERROR(__xludf.DUMMYFUNCTION("importrange(""https://docs.google.com/spreadsheets/d/15jee2k6DSN8nNrsGXt9fSygQKECjnTqi8q5bSr2fopI/edit#gid=1025512547"",""2026-27!ak3"")"),29.0)</f>
        <v>29</v>
      </c>
      <c r="CC100" s="59">
        <f>IFERROR(__xludf.DUMMYFUNCTION("importrange(""https://docs.google.com/spreadsheets/d/15jee2k6DSN8nNrsGXt9fSygQKECjnTqi8q5bSr2fopI/edit#gid=1025512547"",""2026-27!al4"")"),0.0)</f>
        <v>0</v>
      </c>
      <c r="CD100" s="59">
        <f>IFERROR(__xludf.DUMMYFUNCTION("importrange(""https://docs.google.com/spreadsheets/d/15jee2k6DSN8nNrsGXt9fSygQKECjnTqi8q5bSr2fopI/edit#gid=1025512547"",""2026-27!ai3"")"),0.0)</f>
        <v>0</v>
      </c>
      <c r="CE100" s="63">
        <f t="shared" si="109"/>
        <v>0</v>
      </c>
      <c r="CF100" s="59">
        <f>IFERROR(__xludf.DUMMYFUNCTION("importrange(""https://docs.google.com/spreadsheets/d/15jee2k6DSN8nNrsGXt9fSygQKECjnTqi8q5bSr2fopI/edit#gid=1025512547"",""2026-27!am4"")"),0.0)</f>
        <v>0</v>
      </c>
      <c r="CG100" s="59">
        <f>IFERROR(__xludf.DUMMYFUNCTION("importrange(""https://docs.google.com/spreadsheets/d/15jee2k6DSN8nNrsGXt9fSygQKECjnTqi8q5bSr2fopI/edit#gid=1025512547"",""2026-27!am3"")"),0.0)</f>
        <v>0</v>
      </c>
      <c r="CH100" s="59">
        <f>IFERROR(__xludf.DUMMYFUNCTION("importrange(""https://docs.google.com/spreadsheets/d/15jee2k6DSN8nNrsGXt9fSygQKECjnTqi8q5bSr2fopI/edit#gid=1025512547"",""2026-27!an4"")"),2550000.000000001)</f>
        <v>2550000</v>
      </c>
      <c r="CI100" s="59">
        <f>IFERROR(__xludf.DUMMYFUNCTION("importrange(""https://docs.google.com/spreadsheets/d/15jee2k6DSN8nNrsGXt9fSygQKECjnTqi8q5bSr2fopI/edit#gid=1025512547"",""2026-27!an3"")"),29.0)</f>
        <v>29</v>
      </c>
      <c r="CJ100" s="59">
        <f>IFERROR(__xludf.DUMMYFUNCTION("importrange(""https://docs.google.com/spreadsheets/d/15jee2k6DSN8nNrsGXt9fSygQKECjnTqi8q5bSr2fopI/edit#gid=1025512547"",""2026-27!ao4"")"),0.0)</f>
        <v>0</v>
      </c>
      <c r="CK100" s="59">
        <f>IFERROR(__xludf.DUMMYFUNCTION("importrange(""https://docs.google.com/spreadsheets/d/15jee2k6DSN8nNrsGXt9fSygQKECjnTqi8q5bSr2fopI/edit#gid=1025512547"",""2026-27!ao3"")"),0.0)</f>
        <v>0</v>
      </c>
      <c r="CL100" s="63">
        <f t="shared" si="110"/>
        <v>0</v>
      </c>
      <c r="CM100" s="59">
        <f>IFERROR(__xludf.DUMMYFUNCTION("importrange(""https://docs.google.com/spreadsheets/d/15jee2k6DSN8nNrsGXt9fSygQKECjnTqi8q5bSr2fopI/edit#gid=1025512547"",""2026-27!ap4"")"),0.0)</f>
        <v>0</v>
      </c>
      <c r="CN100" s="59">
        <f>IFERROR(__xludf.DUMMYFUNCTION("importrange(""https://docs.google.com/spreadsheets/d/15jee2k6DSN8nNrsGXt9fSygQKECjnTqi8q5bSr2fopI/edit#gid=1025512547"",""2026-27!ap3"")"),0.0)</f>
        <v>0</v>
      </c>
      <c r="CO100" s="59">
        <f>IFERROR(__xludf.DUMMYFUNCTION("importrange(""https://docs.google.com/spreadsheets/d/15jee2k6DSN8nNrsGXt9fSygQKECjnTqi8q5bSr2fopI/edit#gid=1025512547"",""2026-27!aq4"")"),2550000.000000001)</f>
        <v>2550000</v>
      </c>
      <c r="CP100" s="59">
        <f>IFERROR(__xludf.DUMMYFUNCTION("importrange(""https://docs.google.com/spreadsheets/d/15jee2k6DSN8nNrsGXt9fSygQKECjnTqi8q5bSr2fopI/edit#gid=1025512547"",""2026-27!aq3"")"),29.0)</f>
        <v>29</v>
      </c>
      <c r="CQ100" s="59">
        <f>IFERROR(__xludf.DUMMYFUNCTION("importrange(""https://docs.google.com/spreadsheets/d/15jee2k6DSN8nNrsGXt9fSygQKECjnTqi8q5bSr2fopI/edit#gid=1025512547"",""2026-27!ar4"")"),0.0)</f>
        <v>0</v>
      </c>
      <c r="CR100" s="59">
        <f>IFERROR(__xludf.DUMMYFUNCTION("importrange(""https://docs.google.com/spreadsheets/d/15jee2k6DSN8nNrsGXt9fSygQKECjnTqi8q5bSr2fopI/edit#gid=1025512547"",""2026-27!ar3"")"),0.0)</f>
        <v>0</v>
      </c>
      <c r="CS100" s="63">
        <f t="shared" si="111"/>
        <v>0</v>
      </c>
      <c r="CT100" s="59">
        <f>IFERROR(__xludf.DUMMYFUNCTION("importrange(""https://docs.google.com/spreadsheets/d/15jee2k6DSN8nNrsGXt9fSygQKECjnTqi8q5bSr2fopI/edit#gid=1025512547"",""2026-27!as4"")"),0.0)</f>
        <v>0</v>
      </c>
      <c r="CU100" s="59">
        <f>IFERROR(__xludf.DUMMYFUNCTION("importrange(""https://docs.google.com/spreadsheets/d/15jee2k6DSN8nNrsGXt9fSygQKECjnTqi8q5bSr2fopI/edit#gid=1025512547"",""2026-27!as3"")"),0.0)</f>
        <v>0</v>
      </c>
      <c r="CV100" s="64"/>
    </row>
    <row r="101">
      <c r="A101" s="1" t="s">
        <v>160</v>
      </c>
      <c r="B101" s="41"/>
      <c r="C101" s="96" t="s">
        <v>200</v>
      </c>
      <c r="D101" s="54" t="s">
        <v>201</v>
      </c>
      <c r="E101" s="54">
        <v>8.10143119E9</v>
      </c>
      <c r="F101" s="80">
        <v>45047.0</v>
      </c>
      <c r="G101" s="66"/>
      <c r="H101" s="66"/>
      <c r="I101" s="57">
        <v>24000.0</v>
      </c>
      <c r="J101" s="58">
        <v>2500000.0</v>
      </c>
      <c r="K101" s="61">
        <f>IFERROR(__xludf.DUMMYFUNCTION("IMPORTRANGE(""https://docs.google.com/spreadsheets/d/1j7Nu-wU4q-UwGzcF5m-7_LFLSWRWonleD-DZtJT2GfY/edit#gid=1170053810"",""2026-27!A3"")"),71.0)</f>
        <v>71</v>
      </c>
      <c r="L101" s="61">
        <f>IFERROR(__xludf.DUMMYFUNCTION("IMPORTRANGE(""https://docs.google.com/spreadsheets/d/1j7Nu-wU4q-UwGzcF5m-7_LFLSWRWonleD-DZtJT2GfY/edit#gid=1170053810"",""2026-27!G4"")"),3.62E7)</f>
        <v>36200000</v>
      </c>
      <c r="M101" s="61">
        <f t="shared" si="97"/>
        <v>8881929.89</v>
      </c>
      <c r="N101" s="60">
        <f t="shared" si="98"/>
        <v>0.2429728177</v>
      </c>
      <c r="O101" s="61">
        <f t="shared" si="99"/>
        <v>8795616</v>
      </c>
      <c r="P101" s="59">
        <f>IFERROR(__xludf.DUMMYFUNCTION("IMPORTRANGE(""https://docs.google.com/spreadsheets/d/1j7Nu-wU4q-UwGzcF5m-7_LFLSWRWonleD-DZtJT2GfY/edit#gid=1170053810"",""2026-27!J4"")"),1000000.0)</f>
        <v>1000000</v>
      </c>
      <c r="Q101" s="59">
        <f>IFERROR(__xludf.DUMMYFUNCTION("IMPORTRANGE(""https://docs.google.com/spreadsheets/d/1j7Nu-wU4q-UwGzcF5m-7_LFLSWRWonleD-DZtJT2GfY/edit#gid=1170053810"",""2026-27!J3"")"),1.0)</f>
        <v>1</v>
      </c>
      <c r="R101" s="59">
        <f>IFERROR(__xludf.DUMMYFUNCTION("IMPORTRANGE(""https://docs.google.com/spreadsheets/d/1j7Nu-wU4q-UwGzcF5m-7_LFLSWRWonleD-DZtJT2GfY/edit#gid=1170053810"",""2026-27!K4"")"),1023939.4600000001)</f>
        <v>1023939.46</v>
      </c>
      <c r="S101" s="59">
        <f>IFERROR(__xludf.DUMMYFUNCTION("IMPORTRANGE(""https://docs.google.com/spreadsheets/d/1j7Nu-wU4q-UwGzcF5m-7_LFLSWRWonleD-DZtJT2GfY/edit#gid=1170053810"",""2026-27!K3"")"),2.0)</f>
        <v>2</v>
      </c>
      <c r="T101" s="62">
        <f t="shared" si="100"/>
        <v>0.961065</v>
      </c>
      <c r="U101" s="59">
        <f>IFERROR(__xludf.DUMMYFUNCTION("IMPORTRANGE(""https://docs.google.com/spreadsheets/d/1j7Nu-wU4q-UwGzcF5m-7_LFLSWRWonleD-DZtJT2GfY/edit#gid=1170053810"",""2026-27!L4"")"),961065.0)</f>
        <v>961065</v>
      </c>
      <c r="V101" s="85">
        <f>IFERROR(__xludf.DUMMYFUNCTION("IMPORTRANGE(""https://docs.google.com/spreadsheets/d/1j7Nu-wU4q-UwGzcF5m-7_LFLSWRWonleD-DZtJT2GfY/edit#gid=1170053810"",""2026-27!L3"")"),2.0)</f>
        <v>2</v>
      </c>
      <c r="W101" s="59">
        <f>IFERROR(__xludf.DUMMYFUNCTION("IMPORTRANGE(""https://docs.google.com/spreadsheets/d/1j7Nu-wU4q-UwGzcF5m-7_LFLSWRWonleD-DZtJT2GfY/edit#gid=1170053810"",""2026-27!M4"")"),3820000.0)</f>
        <v>3820000</v>
      </c>
      <c r="X101" s="85">
        <f>IFERROR(__xludf.DUMMYFUNCTION("IMPORTRANGE(""https://docs.google.com/spreadsheets/d/1j7Nu-wU4q-UwGzcF5m-7_LFLSWRWonleD-DZtJT2GfY/edit#gid=1170053810"",""2026-27!M3"")"),14.0)</f>
        <v>14</v>
      </c>
      <c r="Y101" s="59">
        <f>IFERROR(__xludf.DUMMYFUNCTION("importrange(""https://docs.google.com/spreadsheets/d/1j7Nu-wU4q-UwGzcF5m-7_LFLSWRWonleD-DZtJT2GfY/edit#gid=1170053810"",""2026-27!n4"")"),4987887.52)</f>
        <v>4987887.52</v>
      </c>
      <c r="Z101" s="59">
        <f>IFERROR(__xludf.DUMMYFUNCTION("importrange(""https://docs.google.com/spreadsheets/d/1j7Nu-wU4q-UwGzcF5m-7_LFLSWRWonleD-DZtJT2GfY/edit#gid=1170053810"",""2026-27!n3"")"),20.0)</f>
        <v>20</v>
      </c>
      <c r="AA101" s="62">
        <f t="shared" si="101"/>
        <v>1.30573089</v>
      </c>
      <c r="AB101" s="59">
        <f>IFERROR(__xludf.DUMMYFUNCTION("importrange(""https://docs.google.com/spreadsheets/d/1j7Nu-wU4q-UwGzcF5m-7_LFLSWRWonleD-DZtJT2GfY/edit#gid=1170053810"",""2026-27!o4"")"),4987892.0)</f>
        <v>4987892</v>
      </c>
      <c r="AC101" s="59">
        <f>IFERROR(__xludf.DUMMYFUNCTION("importrange(""https://docs.google.com/spreadsheets/d/1j7Nu-wU4q-UwGzcF5m-7_LFLSWRWonleD-DZtJT2GfY/edit#gid=1170053810"",""2026-27!o3"")"),20.0)</f>
        <v>20</v>
      </c>
      <c r="AD101" s="59">
        <f>IFERROR(__xludf.DUMMYFUNCTION("importrange(""https://docs.google.com/spreadsheets/d/1j7Nu-wU4q-UwGzcF5m-7_LFLSWRWonleD-DZtJT2GfY/edit#gid=1170053810"",""2026-27!p4"")"),4100000.0)</f>
        <v>4100000</v>
      </c>
      <c r="AE101" s="59">
        <f>IFERROR(__xludf.DUMMYFUNCTION("importrange(""https://docs.google.com/spreadsheets/d/1j7Nu-wU4q-UwGzcF5m-7_LFLSWRWonleD-DZtJT2GfY/edit#gid=1170053810"",""2026-27!p3"")"),26.0)</f>
        <v>26</v>
      </c>
      <c r="AF101" s="59">
        <f>IFERROR(__xludf.DUMMYFUNCTION("importrange(""https://docs.google.com/spreadsheets/d/1j7Nu-wU4q-UwGzcF5m-7_LFLSWRWonleD-DZtJT2GfY/edit#gid=1170053810"",""2026-27!q4"")"),2870102.91)</f>
        <v>2870102.91</v>
      </c>
      <c r="AG101" s="59">
        <f>IFERROR(__xludf.DUMMYFUNCTION("importrange(""https://docs.google.com/spreadsheets/d/1j7Nu-wU4q-UwGzcF5m-7_LFLSWRWonleD-DZtJT2GfY/edit#gid=1170053810"",""2026-27!q3"")"),16.0)</f>
        <v>16</v>
      </c>
      <c r="AH101" s="62">
        <f t="shared" si="102"/>
        <v>0.6943070732</v>
      </c>
      <c r="AI101" s="59">
        <f>IFERROR(__xludf.DUMMYFUNCTION("importrange(""https://docs.google.com/spreadsheets/d/1j7Nu-wU4q-UwGzcF5m-7_LFLSWRWonleD-DZtJT2GfY/edit#gid=1170053810"",""2026-27!r4"")"),2846659.0)</f>
        <v>2846659</v>
      </c>
      <c r="AJ101" s="59">
        <f>IFERROR(__xludf.DUMMYFUNCTION("importrange(""https://docs.google.com/spreadsheets/d/1j7Nu-wU4q-UwGzcF5m-7_LFLSWRWonleD-DZtJT2GfY/edit#gid=1170053810"",""2026-27!r3"")"),16.0)</f>
        <v>16</v>
      </c>
      <c r="AK101" s="59">
        <f>IFERROR(__xludf.DUMMYFUNCTION("importrange(""https://docs.google.com/spreadsheets/d/1j7Nu-wU4q-UwGzcF5m-7_LFLSWRWonleD-DZtJT2GfY/edit#gid=1170053810"",""2026-27!s4"")"),3490000.0)</f>
        <v>3490000</v>
      </c>
      <c r="AL101" s="59">
        <f>IFERROR(__xludf.DUMMYFUNCTION("importrange(""https://docs.google.com/spreadsheets/d/1j7Nu-wU4q-UwGzcF5m-7_LFLSWRWonleD-DZtJT2GfY/edit#gid=1170053810"",""2026-27!s3"")"),12.0)</f>
        <v>12</v>
      </c>
      <c r="AM101" s="61">
        <f>IFERROR(__xludf.DUMMYFUNCTION("importrange(""https://docs.google.com/spreadsheets/d/1j7Nu-wU4q-UwGzcF5m-7_LFLSWRWonleD-DZtJT2GfY/edit#gid=1170053810"",""2026-27!t4"")"),0.0)</f>
        <v>0</v>
      </c>
      <c r="AN101" s="59">
        <f>IFERROR(__xludf.DUMMYFUNCTION("importrange(""https://docs.google.com/spreadsheets/d/1j7Nu-wU4q-UwGzcF5m-7_LFLSWRWonleD-DZtJT2GfY/edit#gid=1170053810"",""2026-27!t3"")"),0.0)</f>
        <v>0</v>
      </c>
      <c r="AO101" s="62">
        <f t="shared" si="103"/>
        <v>0</v>
      </c>
      <c r="AP101" s="59">
        <f>IFERROR(__xludf.DUMMYFUNCTION("importrange(""https://docs.google.com/spreadsheets/d/1j7Nu-wU4q-UwGzcF5m-7_LFLSWRWonleD-DZtJT2GfY/edit#gid=1170053810"",""2026-27!u4"")"),0.0)</f>
        <v>0</v>
      </c>
      <c r="AQ101" s="59">
        <f>IFERROR(__xludf.DUMMYFUNCTION("importrange(""https://docs.google.com/spreadsheets/d/1j7Nu-wU4q-UwGzcF5m-7_LFLSWRWonleD-DZtJT2GfY/edit#gid=1170053810"",""2026-27!u3"")"),0.0)</f>
        <v>0</v>
      </c>
      <c r="AR101" s="59">
        <f>IFERROR(__xludf.DUMMYFUNCTION("importrange(""https://docs.google.com/spreadsheets/d/1j7Nu-wU4q-UwGzcF5m-7_LFLSWRWonleD-DZtJT2GfY/edit#gid=1170053810"",""2026-27!v4"")"),2610000.0)</f>
        <v>2610000</v>
      </c>
      <c r="AS101" s="59">
        <f>IFERROR(__xludf.DUMMYFUNCTION("importrange(""https://docs.google.com/spreadsheets/d/1j7Nu-wU4q-UwGzcF5m-7_LFLSWRWonleD-DZtJT2GfY/edit#gid=1170053810"",""2026-27!v3"")"),21.0)</f>
        <v>21</v>
      </c>
      <c r="AT101" s="61">
        <f>IFERROR(__xludf.DUMMYFUNCTION("importrange(""https://docs.google.com/spreadsheets/d/1j7Nu-wU4q-UwGzcF5m-7_LFLSWRWonleD-DZtJT2GfY/edit#gid=1170053810"",""2026-27!w4"")"),0.0)</f>
        <v>0</v>
      </c>
      <c r="AU101" s="59">
        <f>IFERROR(__xludf.DUMMYFUNCTION("importrange(""https://docs.google.com/spreadsheets/d/1j7Nu-wU4q-UwGzcF5m-7_LFLSWRWonleD-DZtJT2GfY/edit#gid=1170053810"",""2026-27!w3"")"),0.0)</f>
        <v>0</v>
      </c>
      <c r="AV101" s="62">
        <f t="shared" si="104"/>
        <v>0</v>
      </c>
      <c r="AW101" s="59">
        <f>IFERROR(__xludf.DUMMYFUNCTION("importrange(""https://docs.google.com/spreadsheets/d/1j7Nu-wU4q-UwGzcF5m-7_LFLSWRWonleD-DZtJT2GfY/edit#gid=1170053810"",""2026-27!x4"")"),0.0)</f>
        <v>0</v>
      </c>
      <c r="AX101" s="59">
        <f>IFERROR(__xludf.DUMMYFUNCTION("importrange(""https://docs.google.com/spreadsheets/d/1j7Nu-wU4q-UwGzcF5m-7_LFLSWRWonleD-DZtJT2GfY/edit#gid=1170053810"",""2026-27!x3"")"),0.0)</f>
        <v>0</v>
      </c>
      <c r="AY101" s="59">
        <f>IFERROR(__xludf.DUMMYFUNCTION("importrange(""https://docs.google.com/spreadsheets/d/1j7Nu-wU4q-UwGzcF5m-7_LFLSWRWonleD-DZtJT2GfY/edit#gid=1170053810"",""2026-27!y4"")"),4840000.0)</f>
        <v>4840000</v>
      </c>
      <c r="AZ101" s="59">
        <f>IFERROR(__xludf.DUMMYFUNCTION("importrange(""https://docs.google.com/spreadsheets/d/1j7Nu-wU4q-UwGzcF5m-7_LFLSWRWonleD-DZtJT2GfY/edit#gid=1170053810"",""2026-27!y3"")"),22.0)</f>
        <v>22</v>
      </c>
      <c r="BA101" s="61">
        <f>IFERROR(__xludf.DUMMYFUNCTION("importrange(""https://docs.google.com/spreadsheets/d/1j7Nu-wU4q-UwGzcF5m-7_LFLSWRWonleD-DZtJT2GfY/edit#gid=1170053810"",""2026-27!z4"")"),0.0)</f>
        <v>0</v>
      </c>
      <c r="BB101" s="59">
        <f>IFERROR(__xludf.DUMMYFUNCTION("importrange(""https://docs.google.com/spreadsheets/d/1j7Nu-wU4q-UwGzcF5m-7_LFLSWRWonleD-DZtJT2GfY/edit#gid=1170053810"",""2026-27!z3"")"),0.0)</f>
        <v>0</v>
      </c>
      <c r="BC101" s="63">
        <f t="shared" si="105"/>
        <v>0</v>
      </c>
      <c r="BD101" s="59">
        <f>IFERROR(__xludf.DUMMYFUNCTION("importrange(""https://docs.google.com/spreadsheets/d/1j7Nu-wU4q-UwGzcF5m-7_LFLSWRWonleD-DZtJT2GfY/edit#gid=1170053810"",""2026-27!aa4"")"),0.0)</f>
        <v>0</v>
      </c>
      <c r="BE101" s="59">
        <f>IFERROR(__xludf.DUMMYFUNCTION("importrange(""https://docs.google.com/spreadsheets/d/1j7Nu-wU4q-UwGzcF5m-7_LFLSWRWonleD-DZtJT2GfY/edit#gid=1170053810"",""2026-27!aa3"")"),0.0)</f>
        <v>0</v>
      </c>
      <c r="BF101" s="59">
        <f>IFERROR(__xludf.DUMMYFUNCTION("importrange(""https://docs.google.com/spreadsheets/d/1j7Nu-wU4q-UwGzcF5m-7_LFLSWRWonleD-DZtJT2GfY/edit#gid=1170053810"",""2026-27!ab4"")"),2060000.0)</f>
        <v>2060000</v>
      </c>
      <c r="BG101" s="59">
        <f>IFERROR(__xludf.DUMMYFUNCTION("importrange(""https://docs.google.com/spreadsheets/d/1j7Nu-wU4q-UwGzcF5m-7_LFLSWRWonleD-DZtJT2GfY/edit#gid=1170053810"",""2026-27!ab3"")"),17.0)</f>
        <v>17</v>
      </c>
      <c r="BH101" s="59">
        <f>IFERROR(__xludf.DUMMYFUNCTION("importrange(""https://docs.google.com/spreadsheets/d/1j7Nu-wU4q-UwGzcF5m-7_LFLSWRWonleD-DZtJT2GfY/edit#gid=1170053810"",""2026-27!ac4"")"),0.0)</f>
        <v>0</v>
      </c>
      <c r="BI101" s="59">
        <f>IFERROR(__xludf.DUMMYFUNCTION("importrange(""https://docs.google.com/spreadsheets/d/1j7Nu-wU4q-UwGzcF5m-7_LFLSWRWonleD-DZtJT2GfY/edit#gid=1170053810"",""2026-27!ac3"")"),0.0)</f>
        <v>0</v>
      </c>
      <c r="BJ101" s="63">
        <f t="shared" si="106"/>
        <v>0</v>
      </c>
      <c r="BK101" s="59">
        <f>IFERROR(__xludf.DUMMYFUNCTION("importrange(""https://docs.google.com/spreadsheets/d/1j7Nu-wU4q-UwGzcF5m-7_LFLSWRWonleD-DZtJT2GfY/edit#gid=1170053810"",""2026-27!ad4"")"),0.0)</f>
        <v>0</v>
      </c>
      <c r="BL101" s="59">
        <f>IFERROR(__xludf.DUMMYFUNCTION("importrange(""https://docs.google.com/spreadsheets/d/1j7Nu-wU4q-UwGzcF5m-7_LFLSWRWonleD-DZtJT2GfY/edit#gid=1170053810"",""2026-27!ad3"")"),0.0)</f>
        <v>0</v>
      </c>
      <c r="BM101" s="59">
        <f>IFERROR(__xludf.DUMMYFUNCTION("importrange(""https://docs.google.com/spreadsheets/d/1j7Nu-wU4q-UwGzcF5m-7_LFLSWRWonleD-DZtJT2GfY/edit#gid=1170053810"",""2026-27!ae4"")"),2910000.0)</f>
        <v>2910000</v>
      </c>
      <c r="BN101" s="59">
        <f>IFERROR(__xludf.DUMMYFUNCTION("importrange(""https://docs.google.com/spreadsheets/d/1j7Nu-wU4q-UwGzcF5m-7_LFLSWRWonleD-DZtJT2GfY/edit#gid=1170053810"",""2026-27!ae3"")"),15.0)</f>
        <v>15</v>
      </c>
      <c r="BO101" s="59">
        <f>IFERROR(__xludf.DUMMYFUNCTION("importrange(""https://docs.google.com/spreadsheets/d/1j7Nu-wU4q-UwGzcF5m-7_LFLSWRWonleD-DZtJT2GfY/edit#gid=1170053810"",""2026-27!af4"")"),0.0)</f>
        <v>0</v>
      </c>
      <c r="BP101" s="59">
        <f>IFERROR(__xludf.DUMMYFUNCTION("importrange(""https://docs.google.com/spreadsheets/d/1j7Nu-wU4q-UwGzcF5m-7_LFLSWRWonleD-DZtJT2GfY/edit#gid=1170053810"",""2026-27!af3"")"),0.0)</f>
        <v>0</v>
      </c>
      <c r="BQ101" s="63">
        <f t="shared" si="107"/>
        <v>0</v>
      </c>
      <c r="BR101" s="59">
        <f>IFERROR(__xludf.DUMMYFUNCTION("importrange(""https://docs.google.com/spreadsheets/d/1j7Nu-wU4q-UwGzcF5m-7_LFLSWRWonleD-DZtJT2GfY/edit#gid=1170053810"",""2026-27!ag4"")"),0.0)</f>
        <v>0</v>
      </c>
      <c r="BS101" s="59">
        <f>IFERROR(__xludf.DUMMYFUNCTION("importrange(""https://docs.google.com/spreadsheets/d/1j7Nu-wU4q-UwGzcF5m-7_LFLSWRWonleD-DZtJT2GfY/edit#gid=1170053810"",""2026-27!ag3"")"),0.0)</f>
        <v>0</v>
      </c>
      <c r="BT101" s="59">
        <f>IFERROR(__xludf.DUMMYFUNCTION("importrange(""https://docs.google.com/spreadsheets/d/1j7Nu-wU4q-UwGzcF5m-7_LFLSWRWonleD-DZtJT2GfY/edit#gid=1170053810"",""2026-27!ah4"")"),3600000.0)</f>
        <v>3600000</v>
      </c>
      <c r="BU101" s="59">
        <f>IFERROR(__xludf.DUMMYFUNCTION("importrange(""https://docs.google.com/spreadsheets/d/1j7Nu-wU4q-UwGzcF5m-7_LFLSWRWonleD-DZtJT2GfY/edit#gid=1170053810"",""2026-27!ah3"")"),21.0)</f>
        <v>21</v>
      </c>
      <c r="BV101" s="59">
        <f>IFERROR(__xludf.DUMMYFUNCTION("importrange(""https://docs.google.com/spreadsheets/d/1j7Nu-wU4q-UwGzcF5m-7_LFLSWRWonleD-DZtJT2GfY/edit#gid=1170053810"",""2026-27!ai4"")"),0.0)</f>
        <v>0</v>
      </c>
      <c r="BW101" s="59">
        <f>IFERROR(__xludf.DUMMYFUNCTION("importrange(""https://docs.google.com/spreadsheets/d/1j7Nu-wU4q-UwGzcF5m-7_LFLSWRWonleD-DZtJT2GfY/edit#gid=1170053810"",""2026-27!ai3"")"),0.0)</f>
        <v>0</v>
      </c>
      <c r="BX101" s="63">
        <f t="shared" si="108"/>
        <v>0</v>
      </c>
      <c r="BY101" s="59">
        <f>IFERROR(__xludf.DUMMYFUNCTION("importrange(""https://docs.google.com/spreadsheets/d/1j7Nu-wU4q-UwGzcF5m-7_LFLSWRWonleD-DZtJT2GfY/edit#gid=1170053810"",""2026-27!aj4"")"),0.0)</f>
        <v>0</v>
      </c>
      <c r="BZ101" s="59">
        <f>IFERROR(__xludf.DUMMYFUNCTION("importrange(""https://docs.google.com/spreadsheets/d/1j7Nu-wU4q-UwGzcF5m-7_LFLSWRWonleD-DZtJT2GfY/edit#gid=1170053810"",""2026-27!aj3"")"),0.0)</f>
        <v>0</v>
      </c>
      <c r="CA101" s="59">
        <f>IFERROR(__xludf.DUMMYFUNCTION("importrange(""https://docs.google.com/spreadsheets/d/1j7Nu-wU4q-UwGzcF5m-7_LFLSWRWonleD-DZtJT2GfY/edit#gid=1170053810"",""2026-27!ak4"")"),3360000.0)</f>
        <v>3360000</v>
      </c>
      <c r="CB101" s="59">
        <f>IFERROR(__xludf.DUMMYFUNCTION("importrange(""https://docs.google.com/spreadsheets/d/1j7Nu-wU4q-UwGzcF5m-7_LFLSWRWonleD-DZtJT2GfY/edit#gid=1170053810"",""2026-27!ak3"")"),19.0)</f>
        <v>19</v>
      </c>
      <c r="CC101" s="59">
        <f>IFERROR(__xludf.DUMMYFUNCTION("importrange(""https://docs.google.com/spreadsheets/d/1j7Nu-wU4q-UwGzcF5m-7_LFLSWRWonleD-DZtJT2GfY/edit#gid=1170053810"",""2026-27!al4"")"),0.0)</f>
        <v>0</v>
      </c>
      <c r="CD101" s="59">
        <f>IFERROR(__xludf.DUMMYFUNCTION("importrange(""https://docs.google.com/spreadsheets/d/1j7Nu-wU4q-UwGzcF5m-7_LFLSWRWonleD-DZtJT2GfY/edit#gid=1170053810"",""2026-27!ai3"")"),0.0)</f>
        <v>0</v>
      </c>
      <c r="CE101" s="63">
        <f t="shared" si="109"/>
        <v>0</v>
      </c>
      <c r="CF101" s="59">
        <f>IFERROR(__xludf.DUMMYFUNCTION("importrange(""https://docs.google.com/spreadsheets/d/1j7Nu-wU4q-UwGzcF5m-7_LFLSWRWonleD-DZtJT2GfY/edit#gid=1170053810"",""2026-27!am4"")"),0.0)</f>
        <v>0</v>
      </c>
      <c r="CG101" s="59">
        <f>IFERROR(__xludf.DUMMYFUNCTION("importrange(""https://docs.google.com/spreadsheets/d/1j7Nu-wU4q-UwGzcF5m-7_LFLSWRWonleD-DZtJT2GfY/edit#gid=1170053810"",""2026-27!am3"")"),0.0)</f>
        <v>0</v>
      </c>
      <c r="CH101" s="59">
        <f>IFERROR(__xludf.DUMMYFUNCTION("importrange(""https://docs.google.com/spreadsheets/d/1j7Nu-wU4q-UwGzcF5m-7_LFLSWRWonleD-DZtJT2GfY/edit#gid=1170053810"",""2026-27!an4"")"),2450000.0)</f>
        <v>2450000</v>
      </c>
      <c r="CI101" s="59">
        <f>IFERROR(__xludf.DUMMYFUNCTION("importrange(""https://docs.google.com/spreadsheets/d/1j7Nu-wU4q-UwGzcF5m-7_LFLSWRWonleD-DZtJT2GfY/edit#gid=1170053810"",""2026-27!an3"")"),16.0)</f>
        <v>16</v>
      </c>
      <c r="CJ101" s="59">
        <f>IFERROR(__xludf.DUMMYFUNCTION("importrange(""https://docs.google.com/spreadsheets/d/1j7Nu-wU4q-UwGzcF5m-7_LFLSWRWonleD-DZtJT2GfY/edit#gid=1170053810"",""2026-27!ao4"")"),0.0)</f>
        <v>0</v>
      </c>
      <c r="CK101" s="59">
        <f>IFERROR(__xludf.DUMMYFUNCTION("importrange(""https://docs.google.com/spreadsheets/d/1j7Nu-wU4q-UwGzcF5m-7_LFLSWRWonleD-DZtJT2GfY/edit#gid=1170053810"",""2026-27!ao3"")"),0.0)</f>
        <v>0</v>
      </c>
      <c r="CL101" s="63">
        <f t="shared" si="110"/>
        <v>0</v>
      </c>
      <c r="CM101" s="59">
        <f>IFERROR(__xludf.DUMMYFUNCTION("importrange(""https://docs.google.com/spreadsheets/d/1j7Nu-wU4q-UwGzcF5m-7_LFLSWRWonleD-DZtJT2GfY/edit#gid=1170053810"",""2026-27!ap4"")"),0.0)</f>
        <v>0</v>
      </c>
      <c r="CN101" s="59">
        <f>IFERROR(__xludf.DUMMYFUNCTION("importrange(""https://docs.google.com/spreadsheets/d/1j7Nu-wU4q-UwGzcF5m-7_LFLSWRWonleD-DZtJT2GfY/edit#gid=1170053810"",""2026-27!ap3"")"),0.0)</f>
        <v>0</v>
      </c>
      <c r="CO101" s="59">
        <f>IFERROR(__xludf.DUMMYFUNCTION("importrange(""https://docs.google.com/spreadsheets/d/1j7Nu-wU4q-UwGzcF5m-7_LFLSWRWonleD-DZtJT2GfY/edit#gid=1170053810"",""2026-27!aq4"")"),4640000.0)</f>
        <v>4640000</v>
      </c>
      <c r="CP101" s="59">
        <f>IFERROR(__xludf.DUMMYFUNCTION("importrange(""https://docs.google.com/spreadsheets/d/1j7Nu-wU4q-UwGzcF5m-7_LFLSWRWonleD-DZtJT2GfY/edit#gid=1170053810"",""2026-27!aq3"")"),22.0)</f>
        <v>22</v>
      </c>
      <c r="CQ101" s="59">
        <f>IFERROR(__xludf.DUMMYFUNCTION("importrange(""https://docs.google.com/spreadsheets/d/1j7Nu-wU4q-UwGzcF5m-7_LFLSWRWonleD-DZtJT2GfY/edit#gid=1170053810"",""2026-27!ar4"")"),0.0)</f>
        <v>0</v>
      </c>
      <c r="CR101" s="59">
        <f>IFERROR(__xludf.DUMMYFUNCTION("importrange(""https://docs.google.com/spreadsheets/d/1j7Nu-wU4q-UwGzcF5m-7_LFLSWRWonleD-DZtJT2GfY/edit#gid=1170053810"",""2026-27!ar3"")"),0.0)</f>
        <v>0</v>
      </c>
      <c r="CS101" s="63">
        <f t="shared" si="111"/>
        <v>0</v>
      </c>
      <c r="CT101" s="59">
        <f>IFERROR(__xludf.DUMMYFUNCTION("importrange(""https://docs.google.com/spreadsheets/d/1j7Nu-wU4q-UwGzcF5m-7_LFLSWRWonleD-DZtJT2GfY/edit#gid=1170053810"",""2026-27!as4"")"),0.0)</f>
        <v>0</v>
      </c>
      <c r="CU101" s="59">
        <f>IFERROR(__xludf.DUMMYFUNCTION("importrange(""https://docs.google.com/spreadsheets/d/1j7Nu-wU4q-UwGzcF5m-7_LFLSWRWonleD-DZtJT2GfY/edit#gid=1170053810"",""2026-27!as3"")"),0.0)</f>
        <v>0</v>
      </c>
      <c r="CV101" s="64"/>
    </row>
    <row r="102">
      <c r="A102" s="1" t="s">
        <v>160</v>
      </c>
      <c r="B102" s="41"/>
      <c r="C102" s="68" t="s">
        <v>202</v>
      </c>
      <c r="D102" s="54" t="s">
        <v>203</v>
      </c>
      <c r="E102" s="54">
        <v>8.97214249E9</v>
      </c>
      <c r="F102" s="80">
        <v>45048.0</v>
      </c>
      <c r="G102" s="66"/>
      <c r="H102" s="66"/>
      <c r="I102" s="57">
        <v>24000.0</v>
      </c>
      <c r="J102" s="58">
        <v>2500000.0</v>
      </c>
      <c r="K102" s="61">
        <f>IFERROR(__xludf.DUMMYFUNCTION("IMPORTRANGE(""https://docs.google.com/spreadsheets/d/1QP5E3bv2nQocHwhakijcUbpjfZXkhSHOEthvwHNKxmI/edit#gid=903421771"",""2026-27!A3"")"),54.0)</f>
        <v>54</v>
      </c>
      <c r="L102" s="61">
        <f>IFERROR(__xludf.DUMMYFUNCTION("IMPORTRANGE(""https://docs.google.com/spreadsheets/d/1QP5E3bv2nQocHwhakijcUbpjfZXkhSHOEthvwHNKxmI/edit#gid=903421771"",""2026-27!G4"")"),2.77E7)</f>
        <v>27700000</v>
      </c>
      <c r="M102" s="61">
        <f t="shared" si="97"/>
        <v>3954678.2</v>
      </c>
      <c r="N102" s="60">
        <f t="shared" si="98"/>
        <v>0.08923097473</v>
      </c>
      <c r="O102" s="61">
        <f t="shared" si="99"/>
        <v>2471698</v>
      </c>
      <c r="P102" s="59">
        <f>IFERROR(__xludf.DUMMYFUNCTION("IMPORTRANGE(""https://docs.google.com/spreadsheets/d/1QP5E3bv2nQocHwhakijcUbpjfZXkhSHOEthvwHNKxmI/edit#gid=903421771"",""2026-27!J4"")"),1991333.0)</f>
        <v>1991333</v>
      </c>
      <c r="Q102" s="92">
        <f>IFERROR(__xludf.DUMMYFUNCTION("IMPORTRANGE(""https://docs.google.com/spreadsheets/d/1QP5E3bv2nQocHwhakijcUbpjfZXkhSHOEthvwHNKxmI/edit#gid=903421771"",""2026-27!J3"")"),53.0)</f>
        <v>53</v>
      </c>
      <c r="R102" s="59">
        <f>IFERROR(__xludf.DUMMYFUNCTION("IMPORTRANGE(""https://docs.google.com/spreadsheets/d/1QP5E3bv2nQocHwhakijcUbpjfZXkhSHOEthvwHNKxmI/edit#gid=903421771"",""2026-27!K4"")"),806961.9199999999)</f>
        <v>806961.92</v>
      </c>
      <c r="S102" s="92">
        <f>IFERROR(__xludf.DUMMYFUNCTION("IMPORTRANGE(""https://docs.google.com/spreadsheets/d/1QP5E3bv2nQocHwhakijcUbpjfZXkhSHOEthvwHNKxmI/edit#gid=903421771"",""2026-27!K3"")"),16.0)</f>
        <v>16</v>
      </c>
      <c r="T102" s="62">
        <f t="shared" si="100"/>
        <v>0.6056028801</v>
      </c>
      <c r="U102" s="59">
        <f>IFERROR(__xludf.DUMMYFUNCTION("IMPORTRANGE(""https://docs.google.com/spreadsheets/d/1QP5E3bv2nQocHwhakijcUbpjfZXkhSHOEthvwHNKxmI/edit#gid=903421771"",""2026-27!L4"")"),1205957.0)</f>
        <v>1205957</v>
      </c>
      <c r="V102" s="92">
        <f>IFERROR(__xludf.DUMMYFUNCTION("IMPORTRANGE(""https://docs.google.com/spreadsheets/d/1QP5E3bv2nQocHwhakijcUbpjfZXkhSHOEthvwHNKxmI/edit#gid=903421771"",""2026-27!L3"")"),30.0)</f>
        <v>30</v>
      </c>
      <c r="W102" s="59">
        <f>IFERROR(__xludf.DUMMYFUNCTION("IMPORTRANGE(""https://docs.google.com/spreadsheets/d/1QP5E3bv2nQocHwhakijcUbpjfZXkhSHOEthvwHNKxmI/edit#gid=903421771"",""2026-27!M4"")"),1991316.0)</f>
        <v>1991316</v>
      </c>
      <c r="X102" s="85">
        <f>IFERROR(__xludf.DUMMYFUNCTION("IMPORTRANGE(""https://docs.google.com/spreadsheets/d/1QP5E3bv2nQocHwhakijcUbpjfZXkhSHOEthvwHNKxmI/edit#gid=903421771"",""2026-27!M3"")"),53.0)</f>
        <v>53</v>
      </c>
      <c r="Y102" s="59">
        <f>IFERROR(__xludf.DUMMYFUNCTION("importrange(""https://docs.google.com/spreadsheets/d/1QP5E3bv2nQocHwhakijcUbpjfZXkhSHOEthvwHNKxmI/edit#gid=903421771"",""2026-27!n4"")"),1383459.8499999999)</f>
        <v>1383459.85</v>
      </c>
      <c r="Z102" s="59">
        <f>IFERROR(__xludf.DUMMYFUNCTION("importrange(""https://docs.google.com/spreadsheets/d/1QP5E3bv2nQocHwhakijcUbpjfZXkhSHOEthvwHNKxmI/edit#gid=903421771"",""2026-27!n3"")"),21.0)</f>
        <v>21</v>
      </c>
      <c r="AA102" s="62">
        <f t="shared" si="101"/>
        <v>0.6356304072</v>
      </c>
      <c r="AB102" s="59">
        <f>IFERROR(__xludf.DUMMYFUNCTION("importrange(""https://docs.google.com/spreadsheets/d/1QP5E3bv2nQocHwhakijcUbpjfZXkhSHOEthvwHNKxmI/edit#gid=903421771"",""2026-27!o4"")"),1265741.0)</f>
        <v>1265741</v>
      </c>
      <c r="AC102" s="59">
        <f>IFERROR(__xludf.DUMMYFUNCTION("importrange(""https://docs.google.com/spreadsheets/d/1QP5E3bv2nQocHwhakijcUbpjfZXkhSHOEthvwHNKxmI/edit#gid=903421771"",""2026-27!o3"")"),32.0)</f>
        <v>32</v>
      </c>
      <c r="AD102" s="59">
        <f>IFERROR(__xludf.DUMMYFUNCTION("importrange(""https://docs.google.com/spreadsheets/d/1QP5E3bv2nQocHwhakijcUbpjfZXkhSHOEthvwHNKxmI/edit#gid=903421771"",""2026-27!p4"")"),1991316.0)</f>
        <v>1991316</v>
      </c>
      <c r="AE102" s="59">
        <f>IFERROR(__xludf.DUMMYFUNCTION("importrange(""https://docs.google.com/spreadsheets/d/1QP5E3bv2nQocHwhakijcUbpjfZXkhSHOEthvwHNKxmI/edit#gid=903421771"",""2026-27!p3"")"),53.0)</f>
        <v>53</v>
      </c>
      <c r="AF102" s="59">
        <f>IFERROR(__xludf.DUMMYFUNCTION("importrange(""https://docs.google.com/spreadsheets/d/1QP5E3bv2nQocHwhakijcUbpjfZXkhSHOEthvwHNKxmI/edit#gid=903421771"",""2026-27!q4"")"),1764256.4300000006)</f>
        <v>1764256.43</v>
      </c>
      <c r="AG102" s="59">
        <f>IFERROR(__xludf.DUMMYFUNCTION("importrange(""https://docs.google.com/spreadsheets/d/1QP5E3bv2nQocHwhakijcUbpjfZXkhSHOEthvwHNKxmI/edit#gid=903421771"",""2026-27!q3"")"),24.0)</f>
        <v>24</v>
      </c>
      <c r="AH102" s="62">
        <f t="shared" si="102"/>
        <v>0</v>
      </c>
      <c r="AI102" s="59">
        <f>IFERROR(__xludf.DUMMYFUNCTION("importrange(""https://docs.google.com/spreadsheets/d/1QP5E3bv2nQocHwhakijcUbpjfZXkhSHOEthvwHNKxmI/edit#gid=903421771"",""2026-27!r4"")"),0.0)</f>
        <v>0</v>
      </c>
      <c r="AJ102" s="59">
        <f>IFERROR(__xludf.DUMMYFUNCTION("importrange(""https://docs.google.com/spreadsheets/d/1QP5E3bv2nQocHwhakijcUbpjfZXkhSHOEthvwHNKxmI/edit#gid=903421771"",""2026-27!r3"")"),0.0)</f>
        <v>0</v>
      </c>
      <c r="AK102" s="59">
        <f>IFERROR(__xludf.DUMMYFUNCTION("importrange(""https://docs.google.com/spreadsheets/d/1QP5E3bv2nQocHwhakijcUbpjfZXkhSHOEthvwHNKxmI/edit#gid=903421771"",""2026-27!s4"")"),1991316.0)</f>
        <v>1991316</v>
      </c>
      <c r="AL102" s="59">
        <f>IFERROR(__xludf.DUMMYFUNCTION("importrange(""https://docs.google.com/spreadsheets/d/1QP5E3bv2nQocHwhakijcUbpjfZXkhSHOEthvwHNKxmI/edit#gid=903421771"",""2026-27!s3"")"),53.0)</f>
        <v>53</v>
      </c>
      <c r="AM102" s="61">
        <f>IFERROR(__xludf.DUMMYFUNCTION("importrange(""https://docs.google.com/spreadsheets/d/1QP5E3bv2nQocHwhakijcUbpjfZXkhSHOEthvwHNKxmI/edit#gid=903421771"",""2026-27!t4"")"),0.0)</f>
        <v>0</v>
      </c>
      <c r="AN102" s="59">
        <f>IFERROR(__xludf.DUMMYFUNCTION("importrange(""https://docs.google.com/spreadsheets/d/1QP5E3bv2nQocHwhakijcUbpjfZXkhSHOEthvwHNKxmI/edit#gid=903421771"",""2026-27!t3"")"),0.0)</f>
        <v>0</v>
      </c>
      <c r="AO102" s="62">
        <f t="shared" si="103"/>
        <v>0</v>
      </c>
      <c r="AP102" s="59">
        <f>IFERROR(__xludf.DUMMYFUNCTION("importrange(""https://docs.google.com/spreadsheets/d/1QP5E3bv2nQocHwhakijcUbpjfZXkhSHOEthvwHNKxmI/edit#gid=903421771"",""2026-27!u4"")"),0.0)</f>
        <v>0</v>
      </c>
      <c r="AQ102" s="59">
        <f>IFERROR(__xludf.DUMMYFUNCTION("importrange(""https://docs.google.com/spreadsheets/d/1QP5E3bv2nQocHwhakijcUbpjfZXkhSHOEthvwHNKxmI/edit#gid=903421771"",""2026-27!u3"")"),0.0)</f>
        <v>0</v>
      </c>
      <c r="AR102" s="59">
        <f>IFERROR(__xludf.DUMMYFUNCTION("importrange(""https://docs.google.com/spreadsheets/d/1QP5E3bv2nQocHwhakijcUbpjfZXkhSHOEthvwHNKxmI/edit#gid=903421771"",""2026-27!v4"")"),1991316.0)</f>
        <v>1991316</v>
      </c>
      <c r="AS102" s="59">
        <f>IFERROR(__xludf.DUMMYFUNCTION("importrange(""https://docs.google.com/spreadsheets/d/1QP5E3bv2nQocHwhakijcUbpjfZXkhSHOEthvwHNKxmI/edit#gid=903421771"",""2026-27!v3"")"),53.0)</f>
        <v>53</v>
      </c>
      <c r="AT102" s="61">
        <f>IFERROR(__xludf.DUMMYFUNCTION("importrange(""https://docs.google.com/spreadsheets/d/1QP5E3bv2nQocHwhakijcUbpjfZXkhSHOEthvwHNKxmI/edit#gid=903421771"",""2026-27!w4"")"),0.0)</f>
        <v>0</v>
      </c>
      <c r="AU102" s="59">
        <f>IFERROR(__xludf.DUMMYFUNCTION("importrange(""https://docs.google.com/spreadsheets/d/1QP5E3bv2nQocHwhakijcUbpjfZXkhSHOEthvwHNKxmI/edit#gid=903421771"",""2026-27!w3"")"),0.0)</f>
        <v>0</v>
      </c>
      <c r="AV102" s="62">
        <f t="shared" si="104"/>
        <v>0</v>
      </c>
      <c r="AW102" s="59">
        <f>IFERROR(__xludf.DUMMYFUNCTION("importrange(""https://docs.google.com/spreadsheets/d/1QP5E3bv2nQocHwhakijcUbpjfZXkhSHOEthvwHNKxmI/edit#gid=903421771"",""2026-27!x4"")"),0.0)</f>
        <v>0</v>
      </c>
      <c r="AX102" s="59">
        <f>IFERROR(__xludf.DUMMYFUNCTION("importrange(""https://docs.google.com/spreadsheets/d/1QP5E3bv2nQocHwhakijcUbpjfZXkhSHOEthvwHNKxmI/edit#gid=903421771"",""2026-27!x3"")"),0.0)</f>
        <v>0</v>
      </c>
      <c r="AY102" s="59">
        <f>IFERROR(__xludf.DUMMYFUNCTION("importrange(""https://docs.google.com/spreadsheets/d/1QP5E3bv2nQocHwhakijcUbpjfZXkhSHOEthvwHNKxmI/edit#gid=903421771"",""2026-27!y4"")"),1991316.0)</f>
        <v>1991316</v>
      </c>
      <c r="AZ102" s="59">
        <f>IFERROR(__xludf.DUMMYFUNCTION("importrange(""https://docs.google.com/spreadsheets/d/1QP5E3bv2nQocHwhakijcUbpjfZXkhSHOEthvwHNKxmI/edit#gid=903421771"",""2026-27!y3"")"),53.0)</f>
        <v>53</v>
      </c>
      <c r="BA102" s="61">
        <f>IFERROR(__xludf.DUMMYFUNCTION("importrange(""https://docs.google.com/spreadsheets/d/1QP5E3bv2nQocHwhakijcUbpjfZXkhSHOEthvwHNKxmI/edit#gid=903421771"",""2026-27!z4"")"),0.0)</f>
        <v>0</v>
      </c>
      <c r="BB102" s="59">
        <f>IFERROR(__xludf.DUMMYFUNCTION("importrange(""https://docs.google.com/spreadsheets/d/1QP5E3bv2nQocHwhakijcUbpjfZXkhSHOEthvwHNKxmI/edit#gid=903421771"",""2026-27!z3"")"),0.0)</f>
        <v>0</v>
      </c>
      <c r="BC102" s="63">
        <f t="shared" si="105"/>
        <v>0</v>
      </c>
      <c r="BD102" s="59">
        <f>IFERROR(__xludf.DUMMYFUNCTION("importrange(""https://docs.google.com/spreadsheets/d/1QP5E3bv2nQocHwhakijcUbpjfZXkhSHOEthvwHNKxmI/edit#gid=903421771"",""2026-27!aa4"")"),0.0)</f>
        <v>0</v>
      </c>
      <c r="BE102" s="59">
        <f>IFERROR(__xludf.DUMMYFUNCTION("importrange(""https://docs.google.com/spreadsheets/d/1QP5E3bv2nQocHwhakijcUbpjfZXkhSHOEthvwHNKxmI/edit#gid=903421771"",""2026-27!aa3"")"),0.0)</f>
        <v>0</v>
      </c>
      <c r="BF102" s="59">
        <f>IFERROR(__xludf.DUMMYFUNCTION("importrange(""https://docs.google.com/spreadsheets/d/1QP5E3bv2nQocHwhakijcUbpjfZXkhSHOEthvwHNKxmI/edit#gid=903421771"",""2026-27!ab4"")"),1991316.0)</f>
        <v>1991316</v>
      </c>
      <c r="BG102" s="59">
        <f>IFERROR(__xludf.DUMMYFUNCTION("importrange(""https://docs.google.com/spreadsheets/d/1QP5E3bv2nQocHwhakijcUbpjfZXkhSHOEthvwHNKxmI/edit#gid=903421771"",""2026-27!ab3"")"),53.0)</f>
        <v>53</v>
      </c>
      <c r="BH102" s="59">
        <f>IFERROR(__xludf.DUMMYFUNCTION("importrange(""https://docs.google.com/spreadsheets/d/1QP5E3bv2nQocHwhakijcUbpjfZXkhSHOEthvwHNKxmI/edit#gid=903421771"",""2026-27!ac4"")"),0.0)</f>
        <v>0</v>
      </c>
      <c r="BI102" s="59">
        <f>IFERROR(__xludf.DUMMYFUNCTION("importrange(""https://docs.google.com/spreadsheets/d/1QP5E3bv2nQocHwhakijcUbpjfZXkhSHOEthvwHNKxmI/edit#gid=903421771"",""2026-27!ac3"")"),0.0)</f>
        <v>0</v>
      </c>
      <c r="BJ102" s="63">
        <f t="shared" si="106"/>
        <v>0</v>
      </c>
      <c r="BK102" s="59">
        <f>IFERROR(__xludf.DUMMYFUNCTION("importrange(""https://docs.google.com/spreadsheets/d/1QP5E3bv2nQocHwhakijcUbpjfZXkhSHOEthvwHNKxmI/edit#gid=903421771"",""2026-27!ad4"")"),0.0)</f>
        <v>0</v>
      </c>
      <c r="BL102" s="59">
        <f>IFERROR(__xludf.DUMMYFUNCTION("importrange(""https://docs.google.com/spreadsheets/d/1QP5E3bv2nQocHwhakijcUbpjfZXkhSHOEthvwHNKxmI/edit#gid=903421771"",""2026-27!ad3"")"),0.0)</f>
        <v>0</v>
      </c>
      <c r="BM102" s="59">
        <f>IFERROR(__xludf.DUMMYFUNCTION("importrange(""https://docs.google.com/spreadsheets/d/1QP5E3bv2nQocHwhakijcUbpjfZXkhSHOEthvwHNKxmI/edit#gid=903421771"",""2026-27!ae4"")"),1991316.0)</f>
        <v>1991316</v>
      </c>
      <c r="BN102" s="59">
        <f>IFERROR(__xludf.DUMMYFUNCTION("importrange(""https://docs.google.com/spreadsheets/d/1QP5E3bv2nQocHwhakijcUbpjfZXkhSHOEthvwHNKxmI/edit#gid=903421771"",""2026-27!ae3"")"),53.0)</f>
        <v>53</v>
      </c>
      <c r="BO102" s="59">
        <f>IFERROR(__xludf.DUMMYFUNCTION("importrange(""https://docs.google.com/spreadsheets/d/1QP5E3bv2nQocHwhakijcUbpjfZXkhSHOEthvwHNKxmI/edit#gid=903421771"",""2026-27!af4"")"),0.0)</f>
        <v>0</v>
      </c>
      <c r="BP102" s="59">
        <f>IFERROR(__xludf.DUMMYFUNCTION("importrange(""https://docs.google.com/spreadsheets/d/1QP5E3bv2nQocHwhakijcUbpjfZXkhSHOEthvwHNKxmI/edit#gid=903421771"",""2026-27!af3"")"),0.0)</f>
        <v>0</v>
      </c>
      <c r="BQ102" s="63">
        <f t="shared" si="107"/>
        <v>0</v>
      </c>
      <c r="BR102" s="59">
        <f>IFERROR(__xludf.DUMMYFUNCTION("importrange(""https://docs.google.com/spreadsheets/d/1QP5E3bv2nQocHwhakijcUbpjfZXkhSHOEthvwHNKxmI/edit#gid=903421771"",""2026-27!ag4"")"),0.0)</f>
        <v>0</v>
      </c>
      <c r="BS102" s="59">
        <f>IFERROR(__xludf.DUMMYFUNCTION("importrange(""https://docs.google.com/spreadsheets/d/1QP5E3bv2nQocHwhakijcUbpjfZXkhSHOEthvwHNKxmI/edit#gid=903421771"",""2026-27!ag3"")"),0.0)</f>
        <v>0</v>
      </c>
      <c r="BT102" s="59">
        <f>IFERROR(__xludf.DUMMYFUNCTION("importrange(""https://docs.google.com/spreadsheets/d/1QP5E3bv2nQocHwhakijcUbpjfZXkhSHOEthvwHNKxmI/edit#gid=903421771"",""2026-27!ah4"")"),1991316.0)</f>
        <v>1991316</v>
      </c>
      <c r="BU102" s="59">
        <f>IFERROR(__xludf.DUMMYFUNCTION("importrange(""https://docs.google.com/spreadsheets/d/1QP5E3bv2nQocHwhakijcUbpjfZXkhSHOEthvwHNKxmI/edit#gid=903421771"",""2026-27!ah3"")"),53.0)</f>
        <v>53</v>
      </c>
      <c r="BV102" s="59">
        <f>IFERROR(__xludf.DUMMYFUNCTION("importrange(""https://docs.google.com/spreadsheets/d/1QP5E3bv2nQocHwhakijcUbpjfZXkhSHOEthvwHNKxmI/edit#gid=903421771"",""2026-27!ai4"")"),0.0)</f>
        <v>0</v>
      </c>
      <c r="BW102" s="59">
        <f>IFERROR(__xludf.DUMMYFUNCTION("importrange(""https://docs.google.com/spreadsheets/d/1QP5E3bv2nQocHwhakijcUbpjfZXkhSHOEthvwHNKxmI/edit#gid=903421771"",""2026-27!ai3"")"),0.0)</f>
        <v>0</v>
      </c>
      <c r="BX102" s="63">
        <f t="shared" si="108"/>
        <v>0</v>
      </c>
      <c r="BY102" s="59">
        <f>IFERROR(__xludf.DUMMYFUNCTION("importrange(""https://docs.google.com/spreadsheets/d/1QP5E3bv2nQocHwhakijcUbpjfZXkhSHOEthvwHNKxmI/edit#gid=903421771"",""2026-27!aj4"")"),0.0)</f>
        <v>0</v>
      </c>
      <c r="BZ102" s="59">
        <f>IFERROR(__xludf.DUMMYFUNCTION("importrange(""https://docs.google.com/spreadsheets/d/1QP5E3bv2nQocHwhakijcUbpjfZXkhSHOEthvwHNKxmI/edit#gid=903421771"",""2026-27!aj3"")"),0.0)</f>
        <v>0</v>
      </c>
      <c r="CA102" s="59">
        <f>IFERROR(__xludf.DUMMYFUNCTION("importrange(""https://docs.google.com/spreadsheets/d/1QP5E3bv2nQocHwhakijcUbpjfZXkhSHOEthvwHNKxmI/edit#gid=903421771"",""2026-27!ak4"")"),1991316.0)</f>
        <v>1991316</v>
      </c>
      <c r="CB102" s="59">
        <f>IFERROR(__xludf.DUMMYFUNCTION("importrange(""https://docs.google.com/spreadsheets/d/1QP5E3bv2nQocHwhakijcUbpjfZXkhSHOEthvwHNKxmI/edit#gid=903421771"",""2026-27!ak3"")"),53.0)</f>
        <v>53</v>
      </c>
      <c r="CC102" s="59">
        <f>IFERROR(__xludf.DUMMYFUNCTION("importrange(""https://docs.google.com/spreadsheets/d/1QP5E3bv2nQocHwhakijcUbpjfZXkhSHOEthvwHNKxmI/edit#gid=903421771"",""2026-27!al4"")"),0.0)</f>
        <v>0</v>
      </c>
      <c r="CD102" s="59">
        <f>IFERROR(__xludf.DUMMYFUNCTION("importrange(""https://docs.google.com/spreadsheets/d/1QP5E3bv2nQocHwhakijcUbpjfZXkhSHOEthvwHNKxmI/edit#gid=903421771"",""2026-27!ai3"")"),0.0)</f>
        <v>0</v>
      </c>
      <c r="CE102" s="63">
        <f t="shared" si="109"/>
        <v>0</v>
      </c>
      <c r="CF102" s="59">
        <f>IFERROR(__xludf.DUMMYFUNCTION("importrange(""https://docs.google.com/spreadsheets/d/1QP5E3bv2nQocHwhakijcUbpjfZXkhSHOEthvwHNKxmI/edit#gid=903421771"",""2026-27!am4"")"),0.0)</f>
        <v>0</v>
      </c>
      <c r="CG102" s="59">
        <f>IFERROR(__xludf.DUMMYFUNCTION("importrange(""https://docs.google.com/spreadsheets/d/1QP5E3bv2nQocHwhakijcUbpjfZXkhSHOEthvwHNKxmI/edit#gid=903421771"",""2026-27!am3"")"),0.0)</f>
        <v>0</v>
      </c>
      <c r="CH102" s="59">
        <f>IFERROR(__xludf.DUMMYFUNCTION("importrange(""https://docs.google.com/spreadsheets/d/1QP5E3bv2nQocHwhakijcUbpjfZXkhSHOEthvwHNKxmI/edit#gid=903421771"",""2026-27!an4"")"),1991316.0)</f>
        <v>1991316</v>
      </c>
      <c r="CI102" s="59">
        <f>IFERROR(__xludf.DUMMYFUNCTION("importrange(""https://docs.google.com/spreadsheets/d/1QP5E3bv2nQocHwhakijcUbpjfZXkhSHOEthvwHNKxmI/edit#gid=903421771"",""2026-27!an3"")"),53.0)</f>
        <v>53</v>
      </c>
      <c r="CJ102" s="59">
        <f>IFERROR(__xludf.DUMMYFUNCTION("importrange(""https://docs.google.com/spreadsheets/d/1QP5E3bv2nQocHwhakijcUbpjfZXkhSHOEthvwHNKxmI/edit#gid=903421771"",""2026-27!ao4"")"),0.0)</f>
        <v>0</v>
      </c>
      <c r="CK102" s="59">
        <f>IFERROR(__xludf.DUMMYFUNCTION("importrange(""https://docs.google.com/spreadsheets/d/1QP5E3bv2nQocHwhakijcUbpjfZXkhSHOEthvwHNKxmI/edit#gid=903421771"",""2026-27!ao3"")"),0.0)</f>
        <v>0</v>
      </c>
      <c r="CL102" s="63">
        <f t="shared" si="110"/>
        <v>0</v>
      </c>
      <c r="CM102" s="59">
        <f>IFERROR(__xludf.DUMMYFUNCTION("importrange(""https://docs.google.com/spreadsheets/d/1QP5E3bv2nQocHwhakijcUbpjfZXkhSHOEthvwHNKxmI/edit#gid=903421771"",""2026-27!ap4"")"),0.0)</f>
        <v>0</v>
      </c>
      <c r="CN102" s="59">
        <f>IFERROR(__xludf.DUMMYFUNCTION("importrange(""https://docs.google.com/spreadsheets/d/1QP5E3bv2nQocHwhakijcUbpjfZXkhSHOEthvwHNKxmI/edit#gid=903421771"",""2026-27!ap3"")"),0.0)</f>
        <v>0</v>
      </c>
      <c r="CO102" s="59">
        <f>IFERROR(__xludf.DUMMYFUNCTION("importrange(""https://docs.google.com/spreadsheets/d/1QP5E3bv2nQocHwhakijcUbpjfZXkhSHOEthvwHNKxmI/edit#gid=903421771"",""2026-27!aq4"")"),1991316.0)</f>
        <v>1991316</v>
      </c>
      <c r="CP102" s="59">
        <f>IFERROR(__xludf.DUMMYFUNCTION("importrange(""https://docs.google.com/spreadsheets/d/1QP5E3bv2nQocHwhakijcUbpjfZXkhSHOEthvwHNKxmI/edit#gid=903421771"",""2026-27!aq3"")"),53.0)</f>
        <v>53</v>
      </c>
      <c r="CQ102" s="59">
        <f>IFERROR(__xludf.DUMMYFUNCTION("importrange(""https://docs.google.com/spreadsheets/d/1QP5E3bv2nQocHwhakijcUbpjfZXkhSHOEthvwHNKxmI/edit#gid=903421771"",""2026-27!ar4"")"),0.0)</f>
        <v>0</v>
      </c>
      <c r="CR102" s="59">
        <f>IFERROR(__xludf.DUMMYFUNCTION("importrange(""https://docs.google.com/spreadsheets/d/1QP5E3bv2nQocHwhakijcUbpjfZXkhSHOEthvwHNKxmI/edit#gid=903421771"",""2026-27!ar3"")"),0.0)</f>
        <v>0</v>
      </c>
      <c r="CS102" s="63">
        <f t="shared" si="111"/>
        <v>0</v>
      </c>
      <c r="CT102" s="59">
        <f>IFERROR(__xludf.DUMMYFUNCTION("importrange(""https://docs.google.com/spreadsheets/d/1QP5E3bv2nQocHwhakijcUbpjfZXkhSHOEthvwHNKxmI/edit#gid=903421771"",""2026-27!as4"")"),0.0)</f>
        <v>0</v>
      </c>
      <c r="CU102" s="59">
        <f>IFERROR(__xludf.DUMMYFUNCTION("importrange(""https://docs.google.com/spreadsheets/d/1QP5E3bv2nQocHwhakijcUbpjfZXkhSHOEthvwHNKxmI/edit#gid=903421771"",""2026-27!as3"")"),0.0)</f>
        <v>0</v>
      </c>
      <c r="CV102" s="64"/>
    </row>
    <row r="103">
      <c r="A103" s="1" t="s">
        <v>160</v>
      </c>
      <c r="B103" s="41"/>
      <c r="C103" s="68" t="s">
        <v>204</v>
      </c>
      <c r="D103" s="54" t="s">
        <v>201</v>
      </c>
      <c r="E103" s="54">
        <v>7.001263413E9</v>
      </c>
      <c r="F103" s="80">
        <v>45056.0</v>
      </c>
      <c r="G103" s="66"/>
      <c r="H103" s="66"/>
      <c r="I103" s="57">
        <v>22917.0</v>
      </c>
      <c r="J103" s="58">
        <v>2500000.0</v>
      </c>
      <c r="K103" s="61">
        <f>IFERROR(__xludf.DUMMYFUNCTION("IMPORTRANGE(""https://docs.google.com/spreadsheets/d/1nf1mZOdFw_I9WqkBXQwXHTbrrZ3qxgTnaC1u33tib50/edit#gid=610100622"",""2026-27!A3"")"),56.0)</f>
        <v>56</v>
      </c>
      <c r="L103" s="61">
        <f>IFERROR(__xludf.DUMMYFUNCTION("IMPORTRANGE(""https://docs.google.com/spreadsheets/d/1nf1mZOdFw_I9WqkBXQwXHTbrrZ3qxgTnaC1u33tib50/edit#gid=610100622"",""2026-27!G4"")"),3.28E7)</f>
        <v>32800000</v>
      </c>
      <c r="M103" s="61">
        <f t="shared" si="97"/>
        <v>6443251.96</v>
      </c>
      <c r="N103" s="60">
        <f t="shared" si="98"/>
        <v>0.1031458232</v>
      </c>
      <c r="O103" s="61">
        <f t="shared" si="99"/>
        <v>3383183</v>
      </c>
      <c r="P103" s="59">
        <f>IFERROR(__xludf.DUMMYFUNCTION("IMPORTRANGE(""https://docs.google.com/spreadsheets/d/1nf1mZOdFw_I9WqkBXQwXHTbrrZ3qxgTnaC1u33tib50/edit#gid=610100622"",""2026-27!J4"")"),2541667.9000000004)</f>
        <v>2541667.9</v>
      </c>
      <c r="Q103" s="59">
        <f>IFERROR(__xludf.DUMMYFUNCTION("IMPORTRANGE(""https://docs.google.com/spreadsheets/d/1nf1mZOdFw_I9WqkBXQwXHTbrrZ3qxgTnaC1u33tib50/edit#gid=610100622"",""2026-27!J3"")"),21.0)</f>
        <v>21</v>
      </c>
      <c r="R103" s="59">
        <f>IFERROR(__xludf.DUMMYFUNCTION("IMPORTRANGE(""https://docs.google.com/spreadsheets/d/1nf1mZOdFw_I9WqkBXQwXHTbrrZ3qxgTnaC1u33tib50/edit#gid=610100622"",""2026-27!K4"")"),1186261.8900000001)</f>
        <v>1186261.89</v>
      </c>
      <c r="S103" s="59">
        <f>IFERROR(__xludf.DUMMYFUNCTION("IMPORTRANGE(""https://docs.google.com/spreadsheets/d/1nf1mZOdFw_I9WqkBXQwXHTbrrZ3qxgTnaC1u33tib50/edit#gid=610100622"",""2026-27!K3"")"),7.0)</f>
        <v>7</v>
      </c>
      <c r="T103" s="62">
        <f t="shared" si="100"/>
        <v>0.4207914024</v>
      </c>
      <c r="U103" s="59">
        <f>IFERROR(__xludf.DUMMYFUNCTION("IMPORTRANGE(""https://docs.google.com/spreadsheets/d/1nf1mZOdFw_I9WqkBXQwXHTbrrZ3qxgTnaC1u33tib50/edit#gid=610100622"",""2026-27!L4"")"),1069512.0)</f>
        <v>1069512</v>
      </c>
      <c r="V103" s="85">
        <f>IFERROR(__xludf.DUMMYFUNCTION("IMPORTRANGE(""https://docs.google.com/spreadsheets/d/1nf1mZOdFw_I9WqkBXQwXHTbrrZ3qxgTnaC1u33tib50/edit#gid=610100622"",""2026-27!L3"")"),6.0)</f>
        <v>6</v>
      </c>
      <c r="W103" s="59">
        <f>IFERROR(__xludf.DUMMYFUNCTION("IMPORTRANGE(""https://docs.google.com/spreadsheets/d/1nf1mZOdFw_I9WqkBXQwXHTbrrZ3qxgTnaC1u33tib50/edit#gid=610100622"",""2026-27!M4"")"),2708334.5500000003)</f>
        <v>2708334.55</v>
      </c>
      <c r="X103" s="85">
        <f>IFERROR(__xludf.DUMMYFUNCTION("IMPORTRANGE(""https://docs.google.com/spreadsheets/d/1nf1mZOdFw_I9WqkBXQwXHTbrrZ3qxgTnaC1u33tib50/edit#gid=610100622"",""2026-27!M3"")"),24.0)</f>
        <v>24</v>
      </c>
      <c r="Y103" s="59">
        <f>IFERROR(__xludf.DUMMYFUNCTION("importrange(""https://docs.google.com/spreadsheets/d/1nf1mZOdFw_I9WqkBXQwXHTbrrZ3qxgTnaC1u33tib50/edit#gid=610100622"",""2026-27!n4"")"),2313669.8)</f>
        <v>2313669.8</v>
      </c>
      <c r="Z103" s="59">
        <f>IFERROR(__xludf.DUMMYFUNCTION("importrange(""https://docs.google.com/spreadsheets/d/1nf1mZOdFw_I9WqkBXQwXHTbrrZ3qxgTnaC1u33tib50/edit#gid=610100622"",""2026-27!n3"")"),11.0)</f>
        <v>11</v>
      </c>
      <c r="AA103" s="62">
        <f t="shared" si="101"/>
        <v>0.8542781393</v>
      </c>
      <c r="AB103" s="59">
        <f>IFERROR(__xludf.DUMMYFUNCTION("importrange(""https://docs.google.com/spreadsheets/d/1nf1mZOdFw_I9WqkBXQwXHTbrrZ3qxgTnaC1u33tib50/edit#gid=610100622"",""2026-27!o4"")"),2313671.0)</f>
        <v>2313671</v>
      </c>
      <c r="AC103" s="59">
        <f>IFERROR(__xludf.DUMMYFUNCTION("importrange(""https://docs.google.com/spreadsheets/d/1nf1mZOdFw_I9WqkBXQwXHTbrrZ3qxgTnaC1u33tib50/edit#gid=610100622"",""2026-27!o3"")"),10.0)</f>
        <v>10</v>
      </c>
      <c r="AD103" s="59">
        <f>IFERROR(__xludf.DUMMYFUNCTION("importrange(""https://docs.google.com/spreadsheets/d/1nf1mZOdFw_I9WqkBXQwXHTbrrZ3qxgTnaC1u33tib50/edit#gid=610100622"",""2026-27!p4"")"),2708334.5500000003)</f>
        <v>2708334.55</v>
      </c>
      <c r="AE103" s="59">
        <f>IFERROR(__xludf.DUMMYFUNCTION("importrange(""https://docs.google.com/spreadsheets/d/1nf1mZOdFw_I9WqkBXQwXHTbrrZ3qxgTnaC1u33tib50/edit#gid=610100622"",""2026-27!p3"")"),24.0)</f>
        <v>24</v>
      </c>
      <c r="AF103" s="59">
        <f>IFERROR(__xludf.DUMMYFUNCTION("importrange(""https://docs.google.com/spreadsheets/d/1nf1mZOdFw_I9WqkBXQwXHTbrrZ3qxgTnaC1u33tib50/edit#gid=610100622"",""2026-27!q4"")"),2943320.27)</f>
        <v>2943320.27</v>
      </c>
      <c r="AG103" s="59">
        <f>IFERROR(__xludf.DUMMYFUNCTION("importrange(""https://docs.google.com/spreadsheets/d/1nf1mZOdFw_I9WqkBXQwXHTbrrZ3qxgTnaC1u33tib50/edit#gid=610100622"",""2026-27!q3"")"),7.0)</f>
        <v>7</v>
      </c>
      <c r="AH103" s="62">
        <f t="shared" si="102"/>
        <v>0</v>
      </c>
      <c r="AI103" s="59">
        <f>IFERROR(__xludf.DUMMYFUNCTION("importrange(""https://docs.google.com/spreadsheets/d/1nf1mZOdFw_I9WqkBXQwXHTbrrZ3qxgTnaC1u33tib50/edit#gid=610100622"",""2026-27!r4"")"),0.0)</f>
        <v>0</v>
      </c>
      <c r="AJ103" s="59">
        <f>IFERROR(__xludf.DUMMYFUNCTION("importrange(""https://docs.google.com/spreadsheets/d/1nf1mZOdFw_I9WqkBXQwXHTbrrZ3qxgTnaC1u33tib50/edit#gid=610100622"",""2026-27!r3"")"),0.0)</f>
        <v>0</v>
      </c>
      <c r="AK103" s="59">
        <f>IFERROR(__xludf.DUMMYFUNCTION("importrange(""https://docs.google.com/spreadsheets/d/1nf1mZOdFw_I9WqkBXQwXHTbrrZ3qxgTnaC1u33tib50/edit#gid=610100622"",""2026-27!s4"")"),2666667.89)</f>
        <v>2666667.89</v>
      </c>
      <c r="AL103" s="59">
        <f>IFERROR(__xludf.DUMMYFUNCTION("importrange(""https://docs.google.com/spreadsheets/d/1nf1mZOdFw_I9WqkBXQwXHTbrrZ3qxgTnaC1u33tib50/edit#gid=610100622"",""2026-27!s3"")"),23.0)</f>
        <v>23</v>
      </c>
      <c r="AM103" s="61">
        <f>IFERROR(__xludf.DUMMYFUNCTION("importrange(""https://docs.google.com/spreadsheets/d/1nf1mZOdFw_I9WqkBXQwXHTbrrZ3qxgTnaC1u33tib50/edit#gid=610100622"",""2026-27!t4"")"),0.0)</f>
        <v>0</v>
      </c>
      <c r="AN103" s="59">
        <f>IFERROR(__xludf.DUMMYFUNCTION("importrange(""https://docs.google.com/spreadsheets/d/1nf1mZOdFw_I9WqkBXQwXHTbrrZ3qxgTnaC1u33tib50/edit#gid=610100622"",""2026-27!t3"")"),0.0)</f>
        <v>0</v>
      </c>
      <c r="AO103" s="62">
        <f t="shared" si="103"/>
        <v>0</v>
      </c>
      <c r="AP103" s="59">
        <f>IFERROR(__xludf.DUMMYFUNCTION("importrange(""https://docs.google.com/spreadsheets/d/1nf1mZOdFw_I9WqkBXQwXHTbrrZ3qxgTnaC1u33tib50/edit#gid=610100622"",""2026-27!u4"")"),0.0)</f>
        <v>0</v>
      </c>
      <c r="AQ103" s="59">
        <f>IFERROR(__xludf.DUMMYFUNCTION("importrange(""https://docs.google.com/spreadsheets/d/1nf1mZOdFw_I9WqkBXQwXHTbrrZ3qxgTnaC1u33tib50/edit#gid=610100622"",""2026-27!u3"")"),0.0)</f>
        <v>0</v>
      </c>
      <c r="AR103" s="59">
        <f>IFERROR(__xludf.DUMMYFUNCTION("importrange(""https://docs.google.com/spreadsheets/d/1nf1mZOdFw_I9WqkBXQwXHTbrrZ3qxgTnaC1u33tib50/edit#gid=610100622"",""2026-27!v4"")"),2666667.89)</f>
        <v>2666667.89</v>
      </c>
      <c r="AS103" s="59">
        <f>IFERROR(__xludf.DUMMYFUNCTION("importrange(""https://docs.google.com/spreadsheets/d/1nf1mZOdFw_I9WqkBXQwXHTbrrZ3qxgTnaC1u33tib50/edit#gid=610100622"",""2026-27!v3"")"),23.0)</f>
        <v>23</v>
      </c>
      <c r="AT103" s="61">
        <f>IFERROR(__xludf.DUMMYFUNCTION("importrange(""https://docs.google.com/spreadsheets/d/1nf1mZOdFw_I9WqkBXQwXHTbrrZ3qxgTnaC1u33tib50/edit#gid=610100622"",""2026-27!w4"")"),0.0)</f>
        <v>0</v>
      </c>
      <c r="AU103" s="59">
        <f>IFERROR(__xludf.DUMMYFUNCTION("importrange(""https://docs.google.com/spreadsheets/d/1nf1mZOdFw_I9WqkBXQwXHTbrrZ3qxgTnaC1u33tib50/edit#gid=610100622"",""2026-27!w3"")"),0.0)</f>
        <v>0</v>
      </c>
      <c r="AV103" s="62">
        <f t="shared" si="104"/>
        <v>0</v>
      </c>
      <c r="AW103" s="59">
        <f>IFERROR(__xludf.DUMMYFUNCTION("importrange(""https://docs.google.com/spreadsheets/d/1nf1mZOdFw_I9WqkBXQwXHTbrrZ3qxgTnaC1u33tib50/edit#gid=610100622"",""2026-27!x4"")"),0.0)</f>
        <v>0</v>
      </c>
      <c r="AX103" s="59">
        <f>IFERROR(__xludf.DUMMYFUNCTION("importrange(""https://docs.google.com/spreadsheets/d/1nf1mZOdFw_I9WqkBXQwXHTbrrZ3qxgTnaC1u33tib50/edit#gid=610100622"",""2026-27!x3"")"),0.0)</f>
        <v>0</v>
      </c>
      <c r="AY103" s="59">
        <f>IFERROR(__xludf.DUMMYFUNCTION("importrange(""https://docs.google.com/spreadsheets/d/1nf1mZOdFw_I9WqkBXQwXHTbrrZ3qxgTnaC1u33tib50/edit#gid=610100622"",""2026-27!y4"")"),2708334.5500000003)</f>
        <v>2708334.55</v>
      </c>
      <c r="AZ103" s="59">
        <f>IFERROR(__xludf.DUMMYFUNCTION("importrange(""https://docs.google.com/spreadsheets/d/1nf1mZOdFw_I9WqkBXQwXHTbrrZ3qxgTnaC1u33tib50/edit#gid=610100622"",""2026-27!y3"")"),24.0)</f>
        <v>24</v>
      </c>
      <c r="BA103" s="61">
        <f>IFERROR(__xludf.DUMMYFUNCTION("importrange(""https://docs.google.com/spreadsheets/d/1nf1mZOdFw_I9WqkBXQwXHTbrrZ3qxgTnaC1u33tib50/edit#gid=610100622"",""2026-27!z4"")"),0.0)</f>
        <v>0</v>
      </c>
      <c r="BB103" s="59">
        <f>IFERROR(__xludf.DUMMYFUNCTION("importrange(""https://docs.google.com/spreadsheets/d/1nf1mZOdFw_I9WqkBXQwXHTbrrZ3qxgTnaC1u33tib50/edit#gid=610100622"",""2026-27!z3"")"),0.0)</f>
        <v>0</v>
      </c>
      <c r="BC103" s="63">
        <f t="shared" si="105"/>
        <v>0</v>
      </c>
      <c r="BD103" s="59">
        <f>IFERROR(__xludf.DUMMYFUNCTION("importrange(""https://docs.google.com/spreadsheets/d/1nf1mZOdFw_I9WqkBXQwXHTbrrZ3qxgTnaC1u33tib50/edit#gid=610100622"",""2026-27!aa4"")"),0.0)</f>
        <v>0</v>
      </c>
      <c r="BE103" s="59">
        <f>IFERROR(__xludf.DUMMYFUNCTION("importrange(""https://docs.google.com/spreadsheets/d/1nf1mZOdFw_I9WqkBXQwXHTbrrZ3qxgTnaC1u33tib50/edit#gid=610100622"",""2026-27!aa3"")"),0.0)</f>
        <v>0</v>
      </c>
      <c r="BF103" s="59">
        <f>IFERROR(__xludf.DUMMYFUNCTION("importrange(""https://docs.google.com/spreadsheets/d/1nf1mZOdFw_I9WqkBXQwXHTbrrZ3qxgTnaC1u33tib50/edit#gid=610100622"",""2026-27!ab4"")"),2708334.5500000003)</f>
        <v>2708334.55</v>
      </c>
      <c r="BG103" s="59">
        <f>IFERROR(__xludf.DUMMYFUNCTION("importrange(""https://docs.google.com/spreadsheets/d/1nf1mZOdFw_I9WqkBXQwXHTbrrZ3qxgTnaC1u33tib50/edit#gid=610100622"",""2026-27!ab3"")"),24.0)</f>
        <v>24</v>
      </c>
      <c r="BH103" s="59">
        <f>IFERROR(__xludf.DUMMYFUNCTION("importrange(""https://docs.google.com/spreadsheets/d/1nf1mZOdFw_I9WqkBXQwXHTbrrZ3qxgTnaC1u33tib50/edit#gid=610100622"",""2026-27!ac4"")"),0.0)</f>
        <v>0</v>
      </c>
      <c r="BI103" s="59">
        <f>IFERROR(__xludf.DUMMYFUNCTION("importrange(""https://docs.google.com/spreadsheets/d/1nf1mZOdFw_I9WqkBXQwXHTbrrZ3qxgTnaC1u33tib50/edit#gid=610100622"",""2026-27!ac3"")"),0.0)</f>
        <v>0</v>
      </c>
      <c r="BJ103" s="63">
        <f t="shared" si="106"/>
        <v>0</v>
      </c>
      <c r="BK103" s="59">
        <f>IFERROR(__xludf.DUMMYFUNCTION("importrange(""https://docs.google.com/spreadsheets/d/1nf1mZOdFw_I9WqkBXQwXHTbrrZ3qxgTnaC1u33tib50/edit#gid=610100622"",""2026-27!ad4"")"),0.0)</f>
        <v>0</v>
      </c>
      <c r="BL103" s="59">
        <f>IFERROR(__xludf.DUMMYFUNCTION("importrange(""https://docs.google.com/spreadsheets/d/1nf1mZOdFw_I9WqkBXQwXHTbrrZ3qxgTnaC1u33tib50/edit#gid=610100622"",""2026-27!ad3"")"),0.0)</f>
        <v>0</v>
      </c>
      <c r="BM103" s="59">
        <f>IFERROR(__xludf.DUMMYFUNCTION("importrange(""https://docs.google.com/spreadsheets/d/1nf1mZOdFw_I9WqkBXQwXHTbrrZ3qxgTnaC1u33tib50/edit#gid=610100622"",""2026-27!ae4"")"),2708334.5500000003)</f>
        <v>2708334.55</v>
      </c>
      <c r="BN103" s="59">
        <f>IFERROR(__xludf.DUMMYFUNCTION("importrange(""https://docs.google.com/spreadsheets/d/1nf1mZOdFw_I9WqkBXQwXHTbrrZ3qxgTnaC1u33tib50/edit#gid=610100622"",""2026-27!ae3"")"),24.0)</f>
        <v>24</v>
      </c>
      <c r="BO103" s="59">
        <f>IFERROR(__xludf.DUMMYFUNCTION("importrange(""https://docs.google.com/spreadsheets/d/1nf1mZOdFw_I9WqkBXQwXHTbrrZ3qxgTnaC1u33tib50/edit#gid=610100622"",""2026-27!af4"")"),0.0)</f>
        <v>0</v>
      </c>
      <c r="BP103" s="59">
        <f>IFERROR(__xludf.DUMMYFUNCTION("importrange(""https://docs.google.com/spreadsheets/d/1nf1mZOdFw_I9WqkBXQwXHTbrrZ3qxgTnaC1u33tib50/edit#gid=610100622"",""2026-27!af3"")"),0.0)</f>
        <v>0</v>
      </c>
      <c r="BQ103" s="63">
        <f t="shared" si="107"/>
        <v>0</v>
      </c>
      <c r="BR103" s="59">
        <f>IFERROR(__xludf.DUMMYFUNCTION("importrange(""https://docs.google.com/spreadsheets/d/1nf1mZOdFw_I9WqkBXQwXHTbrrZ3qxgTnaC1u33tib50/edit#gid=610100622"",""2026-27!ag4"")"),0.0)</f>
        <v>0</v>
      </c>
      <c r="BS103" s="59">
        <f>IFERROR(__xludf.DUMMYFUNCTION("importrange(""https://docs.google.com/spreadsheets/d/1nf1mZOdFw_I9WqkBXQwXHTbrrZ3qxgTnaC1u33tib50/edit#gid=610100622"",""2026-27!ag3"")"),0.0)</f>
        <v>0</v>
      </c>
      <c r="BT103" s="59">
        <f>IFERROR(__xludf.DUMMYFUNCTION("importrange(""https://docs.google.com/spreadsheets/d/1nf1mZOdFw_I9WqkBXQwXHTbrrZ3qxgTnaC1u33tib50/edit#gid=610100622"",""2026-27!ah4"")"),2666667.89)</f>
        <v>2666667.89</v>
      </c>
      <c r="BU103" s="59">
        <f>IFERROR(__xludf.DUMMYFUNCTION("importrange(""https://docs.google.com/spreadsheets/d/1nf1mZOdFw_I9WqkBXQwXHTbrrZ3qxgTnaC1u33tib50/edit#gid=610100622"",""2026-27!ah3"")"),23.0)</f>
        <v>23</v>
      </c>
      <c r="BV103" s="59">
        <f>IFERROR(__xludf.DUMMYFUNCTION("importrange(""https://docs.google.com/spreadsheets/d/1nf1mZOdFw_I9WqkBXQwXHTbrrZ3qxgTnaC1u33tib50/edit#gid=610100622"",""2026-27!ai4"")"),0.0)</f>
        <v>0</v>
      </c>
      <c r="BW103" s="59">
        <f>IFERROR(__xludf.DUMMYFUNCTION("importrange(""https://docs.google.com/spreadsheets/d/1nf1mZOdFw_I9WqkBXQwXHTbrrZ3qxgTnaC1u33tib50/edit#gid=610100622"",""2026-27!ai3"")"),0.0)</f>
        <v>0</v>
      </c>
      <c r="BX103" s="63">
        <f t="shared" si="108"/>
        <v>0</v>
      </c>
      <c r="BY103" s="59">
        <f>IFERROR(__xludf.DUMMYFUNCTION("importrange(""https://docs.google.com/spreadsheets/d/1nf1mZOdFw_I9WqkBXQwXHTbrrZ3qxgTnaC1u33tib50/edit#gid=610100622"",""2026-27!aj4"")"),0.0)</f>
        <v>0</v>
      </c>
      <c r="BZ103" s="59">
        <f>IFERROR(__xludf.DUMMYFUNCTION("importrange(""https://docs.google.com/spreadsheets/d/1nf1mZOdFw_I9WqkBXQwXHTbrrZ3qxgTnaC1u33tib50/edit#gid=610100622"",""2026-27!aj3"")"),0.0)</f>
        <v>0</v>
      </c>
      <c r="CA103" s="59">
        <f>IFERROR(__xludf.DUMMYFUNCTION("importrange(""https://docs.google.com/spreadsheets/d/1nf1mZOdFw_I9WqkBXQwXHTbrrZ3qxgTnaC1u33tib50/edit#gid=610100622"",""2026-27!ak4"")"),2666667.89)</f>
        <v>2666667.89</v>
      </c>
      <c r="CB103" s="59">
        <f>IFERROR(__xludf.DUMMYFUNCTION("importrange(""https://docs.google.com/spreadsheets/d/1nf1mZOdFw_I9WqkBXQwXHTbrrZ3qxgTnaC1u33tib50/edit#gid=610100622"",""2026-27!ak3"")"),23.0)</f>
        <v>23</v>
      </c>
      <c r="CC103" s="59">
        <f>IFERROR(__xludf.DUMMYFUNCTION("importrange(""https://docs.google.com/spreadsheets/d/1nf1mZOdFw_I9WqkBXQwXHTbrrZ3qxgTnaC1u33tib50/edit#gid=610100622"",""2026-27!al4"")"),0.0)</f>
        <v>0</v>
      </c>
      <c r="CD103" s="59">
        <f>IFERROR(__xludf.DUMMYFUNCTION("importrange(""https://docs.google.com/spreadsheets/d/1nf1mZOdFw_I9WqkBXQwXHTbrrZ3qxgTnaC1u33tib50/edit#gid=610100622"",""2026-27!ai3"")"),0.0)</f>
        <v>0</v>
      </c>
      <c r="CE103" s="63">
        <f t="shared" si="109"/>
        <v>0</v>
      </c>
      <c r="CF103" s="59">
        <f>IFERROR(__xludf.DUMMYFUNCTION("importrange(""https://docs.google.com/spreadsheets/d/1nf1mZOdFw_I9WqkBXQwXHTbrrZ3qxgTnaC1u33tib50/edit#gid=610100622"",""2026-27!am4"")"),0.0)</f>
        <v>0</v>
      </c>
      <c r="CG103" s="59">
        <f>IFERROR(__xludf.DUMMYFUNCTION("importrange(""https://docs.google.com/spreadsheets/d/1nf1mZOdFw_I9WqkBXQwXHTbrrZ3qxgTnaC1u33tib50/edit#gid=610100622"",""2026-27!am3"")"),0.0)</f>
        <v>0</v>
      </c>
      <c r="CH103" s="59">
        <f>IFERROR(__xludf.DUMMYFUNCTION("importrange(""https://docs.google.com/spreadsheets/d/1nf1mZOdFw_I9WqkBXQwXHTbrrZ3qxgTnaC1u33tib50/edit#gid=610100622"",""2026-27!an4"")"),2666667.89)</f>
        <v>2666667.89</v>
      </c>
      <c r="CI103" s="59">
        <f>IFERROR(__xludf.DUMMYFUNCTION("importrange(""https://docs.google.com/spreadsheets/d/1nf1mZOdFw_I9WqkBXQwXHTbrrZ3qxgTnaC1u33tib50/edit#gid=610100622"",""2026-27!an3"")"),23.0)</f>
        <v>23</v>
      </c>
      <c r="CJ103" s="59">
        <f>IFERROR(__xludf.DUMMYFUNCTION("importrange(""https://docs.google.com/spreadsheets/d/1nf1mZOdFw_I9WqkBXQwXHTbrrZ3qxgTnaC1u33tib50/edit#gid=610100622"",""2026-27!ao4"")"),0.0)</f>
        <v>0</v>
      </c>
      <c r="CK103" s="59">
        <f>IFERROR(__xludf.DUMMYFUNCTION("importrange(""https://docs.google.com/spreadsheets/d/1nf1mZOdFw_I9WqkBXQwXHTbrrZ3qxgTnaC1u33tib50/edit#gid=610100622"",""2026-27!ao3"")"),0.0)</f>
        <v>0</v>
      </c>
      <c r="CL103" s="63">
        <f t="shared" si="110"/>
        <v>0</v>
      </c>
      <c r="CM103" s="59">
        <f>IFERROR(__xludf.DUMMYFUNCTION("importrange(""https://docs.google.com/spreadsheets/d/1nf1mZOdFw_I9WqkBXQwXHTbrrZ3qxgTnaC1u33tib50/edit#gid=610100622"",""2026-27!ap4"")"),0.0)</f>
        <v>0</v>
      </c>
      <c r="CN103" s="59">
        <f>IFERROR(__xludf.DUMMYFUNCTION("importrange(""https://docs.google.com/spreadsheets/d/1nf1mZOdFw_I9WqkBXQwXHTbrrZ3qxgTnaC1u33tib50/edit#gid=610100622"",""2026-27!ap3"")"),0.0)</f>
        <v>0</v>
      </c>
      <c r="CO103" s="59">
        <f>IFERROR(__xludf.DUMMYFUNCTION("importrange(""https://docs.google.com/spreadsheets/d/1nf1mZOdFw_I9WqkBXQwXHTbrrZ3qxgTnaC1u33tib50/edit#gid=610100622"",""2026-27!aq4"")"),2625001.2300000004)</f>
        <v>2625001.23</v>
      </c>
      <c r="CP103" s="59">
        <f>IFERROR(__xludf.DUMMYFUNCTION("importrange(""https://docs.google.com/spreadsheets/d/1nf1mZOdFw_I9WqkBXQwXHTbrrZ3qxgTnaC1u33tib50/edit#gid=610100622"",""2026-27!aq3"")"),22.0)</f>
        <v>22</v>
      </c>
      <c r="CQ103" s="59">
        <f>IFERROR(__xludf.DUMMYFUNCTION("importrange(""https://docs.google.com/spreadsheets/d/1nf1mZOdFw_I9WqkBXQwXHTbrrZ3qxgTnaC1u33tib50/edit#gid=610100622"",""2026-27!ar4"")"),0.0)</f>
        <v>0</v>
      </c>
      <c r="CR103" s="59">
        <f>IFERROR(__xludf.DUMMYFUNCTION("importrange(""https://docs.google.com/spreadsheets/d/1nf1mZOdFw_I9WqkBXQwXHTbrrZ3qxgTnaC1u33tib50/edit#gid=610100622"",""2026-27!ar3"")"),0.0)</f>
        <v>0</v>
      </c>
      <c r="CS103" s="63">
        <f t="shared" si="111"/>
        <v>0</v>
      </c>
      <c r="CT103" s="59">
        <f>IFERROR(__xludf.DUMMYFUNCTION("importrange(""https://docs.google.com/spreadsheets/d/1nf1mZOdFw_I9WqkBXQwXHTbrrZ3qxgTnaC1u33tib50/edit#gid=610100622"",""2026-27!as4"")"),0.0)</f>
        <v>0</v>
      </c>
      <c r="CU103" s="59">
        <f>IFERROR(__xludf.DUMMYFUNCTION("importrange(""https://docs.google.com/spreadsheets/d/1nf1mZOdFw_I9WqkBXQwXHTbrrZ3qxgTnaC1u33tib50/edit#gid=610100622"",""2026-27!as3"")"),0.0)</f>
        <v>0</v>
      </c>
      <c r="CV103" s="64"/>
    </row>
    <row r="104">
      <c r="A104" s="1" t="s">
        <v>160</v>
      </c>
      <c r="B104" s="41"/>
      <c r="C104" s="68" t="s">
        <v>205</v>
      </c>
      <c r="D104" s="54" t="s">
        <v>206</v>
      </c>
      <c r="E104" s="54">
        <v>7.908973732E9</v>
      </c>
      <c r="F104" s="80">
        <v>45069.0</v>
      </c>
      <c r="G104" s="66"/>
      <c r="H104" s="66"/>
      <c r="I104" s="57">
        <v>22917.0</v>
      </c>
      <c r="J104" s="58">
        <v>2500000.0</v>
      </c>
      <c r="K104" s="61">
        <f>IFERROR(__xludf.DUMMYFUNCTION("IMPORTRANGE(""https://docs.google.com/spreadsheets/d/1BjyFlLZTYgD3mFAjCX0s67AY3qvKXaoe2hT6732MbyM/edit#gid=1725102871"",""2026-27!A3"")"),108.0)</f>
        <v>108</v>
      </c>
      <c r="L104" s="61">
        <f>IFERROR(__xludf.DUMMYFUNCTION("IMPORTRANGE(""https://docs.google.com/spreadsheets/d/1BjyFlLZTYgD3mFAjCX0s67AY3qvKXaoe2hT6732MbyM/edit#gid=1725102871"",""2026-27!G4"")"),2.74945E7)</f>
        <v>27494500</v>
      </c>
      <c r="M104" s="61">
        <f t="shared" si="97"/>
        <v>4917470.1</v>
      </c>
      <c r="N104" s="60">
        <f t="shared" si="98"/>
        <v>0.1187357108</v>
      </c>
      <c r="O104" s="61">
        <f t="shared" si="99"/>
        <v>3264579</v>
      </c>
      <c r="P104" s="59">
        <f>IFERROR(__xludf.DUMMYFUNCTION("IMPORTRANGE(""https://docs.google.com/spreadsheets/d/1BjyFlLZTYgD3mFAjCX0s67AY3qvKXaoe2hT6732MbyM/edit#gid=1725102871"",""2026-27!J4"")"),2239500.0)</f>
        <v>2239500</v>
      </c>
      <c r="Q104" s="59">
        <f>IFERROR(__xludf.DUMMYFUNCTION("IMPORTRANGE(""https://docs.google.com/spreadsheets/d/1BjyFlLZTYgD3mFAjCX0s67AY3qvKXaoe2hT6732MbyM/edit#gid=1725102871"",""2026-27!J3"")"),78.0)</f>
        <v>78</v>
      </c>
      <c r="R104" s="59">
        <f>IFERROR(__xludf.DUMMYFUNCTION("IMPORTRANGE(""https://docs.google.com/spreadsheets/d/1BjyFlLZTYgD3mFAjCX0s67AY3qvKXaoe2hT6732MbyM/edit#gid=1725102871"",""2026-27!K4"")"),1745155.3)</f>
        <v>1745155.3</v>
      </c>
      <c r="S104" s="59">
        <f>IFERROR(__xludf.DUMMYFUNCTION("IMPORTRANGE(""https://docs.google.com/spreadsheets/d/1BjyFlLZTYgD3mFAjCX0s67AY3qvKXaoe2hT6732MbyM/edit#gid=1725102871"",""2026-27!K3"")"),37.0)</f>
        <v>37</v>
      </c>
      <c r="T104" s="62">
        <f t="shared" si="100"/>
        <v>0.7583420406</v>
      </c>
      <c r="U104" s="59">
        <f>IFERROR(__xludf.DUMMYFUNCTION("IMPORTRANGE(""https://docs.google.com/spreadsheets/d/1BjyFlLZTYgD3mFAjCX0s67AY3qvKXaoe2hT6732MbyM/edit#gid=1725102871"",""2026-27!L4"")"),1698307.0)</f>
        <v>1698307</v>
      </c>
      <c r="V104" s="85">
        <f>IFERROR(__xludf.DUMMYFUNCTION("IMPORTRANGE(""https://docs.google.com/spreadsheets/d/1BjyFlLZTYgD3mFAjCX0s67AY3qvKXaoe2hT6732MbyM/edit#gid=1725102871"",""2026-27!L3"")"),50.0)</f>
        <v>50</v>
      </c>
      <c r="W104" s="59">
        <f>IFERROR(__xludf.DUMMYFUNCTION("IMPORTRANGE(""https://docs.google.com/spreadsheets/d/1BjyFlLZTYgD3mFAjCX0s67AY3qvKXaoe2hT6732MbyM/edit#gid=1725102871"",""2026-27!M4"")"),2275000.0)</f>
        <v>2275000</v>
      </c>
      <c r="X104" s="85">
        <f>IFERROR(__xludf.DUMMYFUNCTION("IMPORTRANGE(""https://docs.google.com/spreadsheets/d/1BjyFlLZTYgD3mFAjCX0s67AY3qvKXaoe2hT6732MbyM/edit#gid=1725102871"",""2026-27!M3"")"),78.0)</f>
        <v>78</v>
      </c>
      <c r="Y104" s="59">
        <f>IFERROR(__xludf.DUMMYFUNCTION("importrange(""https://docs.google.com/spreadsheets/d/1BjyFlLZTYgD3mFAjCX0s67AY3qvKXaoe2hT6732MbyM/edit#gid=1725102871"",""2026-27!n4"")"),1616387.6)</f>
        <v>1616387.6</v>
      </c>
      <c r="Z104" s="59">
        <f>IFERROR(__xludf.DUMMYFUNCTION("importrange(""https://docs.google.com/spreadsheets/d/1BjyFlLZTYgD3mFAjCX0s67AY3qvKXaoe2hT6732MbyM/edit#gid=1725102871"",""2026-27!n3"")"),38.0)</f>
        <v>38</v>
      </c>
      <c r="AA104" s="62">
        <f t="shared" si="101"/>
        <v>0.6884712088</v>
      </c>
      <c r="AB104" s="59">
        <f>IFERROR(__xludf.DUMMYFUNCTION("importrange(""https://docs.google.com/spreadsheets/d/1BjyFlLZTYgD3mFAjCX0s67AY3qvKXaoe2hT6732MbyM/edit#gid=1725102871"",""2026-27!o4"")"),1566272.0)</f>
        <v>1566272</v>
      </c>
      <c r="AC104" s="59">
        <f>IFERROR(__xludf.DUMMYFUNCTION("importrange(""https://docs.google.com/spreadsheets/d/1BjyFlLZTYgD3mFAjCX0s67AY3qvKXaoe2hT6732MbyM/edit#gid=1725102871"",""2026-27!o3"")"),61.0)</f>
        <v>61</v>
      </c>
      <c r="AD104" s="59">
        <f>IFERROR(__xludf.DUMMYFUNCTION("importrange(""https://docs.google.com/spreadsheets/d/1BjyFlLZTYgD3mFAjCX0s67AY3qvKXaoe2hT6732MbyM/edit#gid=1725102871"",""2026-27!p4"")"),2330500.0)</f>
        <v>2330500</v>
      </c>
      <c r="AE104" s="59">
        <f>IFERROR(__xludf.DUMMYFUNCTION("importrange(""https://docs.google.com/spreadsheets/d/1BjyFlLZTYgD3mFAjCX0s67AY3qvKXaoe2hT6732MbyM/edit#gid=1725102871"",""2026-27!p3"")"),78.0)</f>
        <v>78</v>
      </c>
      <c r="AF104" s="59">
        <f>IFERROR(__xludf.DUMMYFUNCTION("importrange(""https://docs.google.com/spreadsheets/d/1BjyFlLZTYgD3mFAjCX0s67AY3qvKXaoe2hT6732MbyM/edit#gid=1725102871"",""2026-27!q4"")"),1555927.1999999997)</f>
        <v>1555927.2</v>
      </c>
      <c r="AG104" s="59">
        <f>IFERROR(__xludf.DUMMYFUNCTION("importrange(""https://docs.google.com/spreadsheets/d/1BjyFlLZTYgD3mFAjCX0s67AY3qvKXaoe2hT6732MbyM/edit#gid=1725102871"",""2026-27!q3"")"),49.0)</f>
        <v>49</v>
      </c>
      <c r="AH104" s="62">
        <f t="shared" si="102"/>
        <v>0</v>
      </c>
      <c r="AI104" s="59">
        <f>IFERROR(__xludf.DUMMYFUNCTION("importrange(""https://docs.google.com/spreadsheets/d/1BjyFlLZTYgD3mFAjCX0s67AY3qvKXaoe2hT6732MbyM/edit#gid=1725102871"",""2026-27!r4"")"),0.0)</f>
        <v>0</v>
      </c>
      <c r="AJ104" s="59">
        <f>IFERROR(__xludf.DUMMYFUNCTION("importrange(""https://docs.google.com/spreadsheets/d/1BjyFlLZTYgD3mFAjCX0s67AY3qvKXaoe2hT6732MbyM/edit#gid=1725102871"",""2026-27!r3"")"),0.0)</f>
        <v>0</v>
      </c>
      <c r="AK104" s="59">
        <f>IFERROR(__xludf.DUMMYFUNCTION("importrange(""https://docs.google.com/spreadsheets/d/1BjyFlLZTYgD3mFAjCX0s67AY3qvKXaoe2hT6732MbyM/edit#gid=1725102871"",""2026-27!s4"")"),2420500.0)</f>
        <v>2420500</v>
      </c>
      <c r="AL104" s="59">
        <f>IFERROR(__xludf.DUMMYFUNCTION("importrange(""https://docs.google.com/spreadsheets/d/1BjyFlLZTYgD3mFAjCX0s67AY3qvKXaoe2hT6732MbyM/edit#gid=1725102871"",""2026-27!s3"")"),78.0)</f>
        <v>78</v>
      </c>
      <c r="AM104" s="61">
        <f>IFERROR(__xludf.DUMMYFUNCTION("importrange(""https://docs.google.com/spreadsheets/d/1BjyFlLZTYgD3mFAjCX0s67AY3qvKXaoe2hT6732MbyM/edit#gid=1725102871"",""2026-27!t4"")"),0.0)</f>
        <v>0</v>
      </c>
      <c r="AN104" s="59">
        <f>IFERROR(__xludf.DUMMYFUNCTION("importrange(""https://docs.google.com/spreadsheets/d/1BjyFlLZTYgD3mFAjCX0s67AY3qvKXaoe2hT6732MbyM/edit#gid=1725102871"",""2026-27!t3"")"),0.0)</f>
        <v>0</v>
      </c>
      <c r="AO104" s="62">
        <f t="shared" si="103"/>
        <v>0</v>
      </c>
      <c r="AP104" s="59">
        <f>IFERROR(__xludf.DUMMYFUNCTION("importrange(""https://docs.google.com/spreadsheets/d/1BjyFlLZTYgD3mFAjCX0s67AY3qvKXaoe2hT6732MbyM/edit#gid=1725102871"",""2026-27!u4"")"),0.0)</f>
        <v>0</v>
      </c>
      <c r="AQ104" s="59">
        <f>IFERROR(__xludf.DUMMYFUNCTION("importrange(""https://docs.google.com/spreadsheets/d/1BjyFlLZTYgD3mFAjCX0s67AY3qvKXaoe2hT6732MbyM/edit#gid=1725102871"",""2026-27!u3"")"),0.0)</f>
        <v>0</v>
      </c>
      <c r="AR104" s="59">
        <f>IFERROR(__xludf.DUMMYFUNCTION("importrange(""https://docs.google.com/spreadsheets/d/1BjyFlLZTYgD3mFAjCX0s67AY3qvKXaoe2hT6732MbyM/edit#gid=1725102871"",""2026-27!v4"")"),2022500.0)</f>
        <v>2022500</v>
      </c>
      <c r="AS104" s="59">
        <f>IFERROR(__xludf.DUMMYFUNCTION("importrange(""https://docs.google.com/spreadsheets/d/1BjyFlLZTYgD3mFAjCX0s67AY3qvKXaoe2hT6732MbyM/edit#gid=1725102871"",""2026-27!v3"")"),78.0)</f>
        <v>78</v>
      </c>
      <c r="AT104" s="61">
        <f>IFERROR(__xludf.DUMMYFUNCTION("importrange(""https://docs.google.com/spreadsheets/d/1BjyFlLZTYgD3mFAjCX0s67AY3qvKXaoe2hT6732MbyM/edit#gid=1725102871"",""2026-27!w4"")"),0.0)</f>
        <v>0</v>
      </c>
      <c r="AU104" s="59">
        <f>IFERROR(__xludf.DUMMYFUNCTION("importrange(""https://docs.google.com/spreadsheets/d/1BjyFlLZTYgD3mFAjCX0s67AY3qvKXaoe2hT6732MbyM/edit#gid=1725102871"",""2026-27!w3"")"),0.0)</f>
        <v>0</v>
      </c>
      <c r="AV104" s="62">
        <f t="shared" si="104"/>
        <v>0</v>
      </c>
      <c r="AW104" s="59">
        <f>IFERROR(__xludf.DUMMYFUNCTION("importrange(""https://docs.google.com/spreadsheets/d/1BjyFlLZTYgD3mFAjCX0s67AY3qvKXaoe2hT6732MbyM/edit#gid=1725102871"",""2026-27!x4"")"),0.0)</f>
        <v>0</v>
      </c>
      <c r="AX104" s="59">
        <f>IFERROR(__xludf.DUMMYFUNCTION("importrange(""https://docs.google.com/spreadsheets/d/1BjyFlLZTYgD3mFAjCX0s67AY3qvKXaoe2hT6732MbyM/edit#gid=1725102871"",""2026-27!x3"")"),0.0)</f>
        <v>0</v>
      </c>
      <c r="AY104" s="59">
        <f>IFERROR(__xludf.DUMMYFUNCTION("importrange(""https://docs.google.com/spreadsheets/d/1BjyFlLZTYgD3mFAjCX0s67AY3qvKXaoe2hT6732MbyM/edit#gid=1725102871"",""2026-27!y4"")"),2402000.0)</f>
        <v>2402000</v>
      </c>
      <c r="AZ104" s="59">
        <f>IFERROR(__xludf.DUMMYFUNCTION("importrange(""https://docs.google.com/spreadsheets/d/1BjyFlLZTYgD3mFAjCX0s67AY3qvKXaoe2hT6732MbyM/edit#gid=1725102871"",""2026-27!y3"")"),78.0)</f>
        <v>78</v>
      </c>
      <c r="BA104" s="61">
        <f>IFERROR(__xludf.DUMMYFUNCTION("importrange(""https://docs.google.com/spreadsheets/d/1BjyFlLZTYgD3mFAjCX0s67AY3qvKXaoe2hT6732MbyM/edit#gid=1725102871"",""2026-27!z4"")"),0.0)</f>
        <v>0</v>
      </c>
      <c r="BB104" s="59">
        <f>IFERROR(__xludf.DUMMYFUNCTION("importrange(""https://docs.google.com/spreadsheets/d/1BjyFlLZTYgD3mFAjCX0s67AY3qvKXaoe2hT6732MbyM/edit#gid=1725102871"",""2026-27!z3"")"),0.0)</f>
        <v>0</v>
      </c>
      <c r="BC104" s="63">
        <f t="shared" si="105"/>
        <v>0</v>
      </c>
      <c r="BD104" s="59">
        <f>IFERROR(__xludf.DUMMYFUNCTION("importrange(""https://docs.google.com/spreadsheets/d/1BjyFlLZTYgD3mFAjCX0s67AY3qvKXaoe2hT6732MbyM/edit#gid=1725102871"",""2026-27!aa4"")"),0.0)</f>
        <v>0</v>
      </c>
      <c r="BE104" s="59">
        <f>IFERROR(__xludf.DUMMYFUNCTION("importrange(""https://docs.google.com/spreadsheets/d/1BjyFlLZTYgD3mFAjCX0s67AY3qvKXaoe2hT6732MbyM/edit#gid=1725102871"",""2026-27!aa3"")"),0.0)</f>
        <v>0</v>
      </c>
      <c r="BF104" s="59">
        <f>IFERROR(__xludf.DUMMYFUNCTION("importrange(""https://docs.google.com/spreadsheets/d/1BjyFlLZTYgD3mFAjCX0s67AY3qvKXaoe2hT6732MbyM/edit#gid=1725102871"",""2026-27!ab4"")"),2085500.0)</f>
        <v>2085500</v>
      </c>
      <c r="BG104" s="59">
        <f>IFERROR(__xludf.DUMMYFUNCTION("importrange(""https://docs.google.com/spreadsheets/d/1BjyFlLZTYgD3mFAjCX0s67AY3qvKXaoe2hT6732MbyM/edit#gid=1725102871"",""2026-27!ab3"")"),78.0)</f>
        <v>78</v>
      </c>
      <c r="BH104" s="59">
        <f>IFERROR(__xludf.DUMMYFUNCTION("importrange(""https://docs.google.com/spreadsheets/d/1BjyFlLZTYgD3mFAjCX0s67AY3qvKXaoe2hT6732MbyM/edit#gid=1725102871"",""2026-27!ac4"")"),0.0)</f>
        <v>0</v>
      </c>
      <c r="BI104" s="59">
        <f>IFERROR(__xludf.DUMMYFUNCTION("importrange(""https://docs.google.com/spreadsheets/d/1BjyFlLZTYgD3mFAjCX0s67AY3qvKXaoe2hT6732MbyM/edit#gid=1725102871"",""2026-27!ac3"")"),0.0)</f>
        <v>0</v>
      </c>
      <c r="BJ104" s="63">
        <f t="shared" si="106"/>
        <v>0</v>
      </c>
      <c r="BK104" s="59">
        <f>IFERROR(__xludf.DUMMYFUNCTION("importrange(""https://docs.google.com/spreadsheets/d/1BjyFlLZTYgD3mFAjCX0s67AY3qvKXaoe2hT6732MbyM/edit#gid=1725102871"",""2026-27!ad4"")"),0.0)</f>
        <v>0</v>
      </c>
      <c r="BL104" s="59">
        <f>IFERROR(__xludf.DUMMYFUNCTION("importrange(""https://docs.google.com/spreadsheets/d/1BjyFlLZTYgD3mFAjCX0s67AY3qvKXaoe2hT6732MbyM/edit#gid=1725102871"",""2026-27!ad3"")"),0.0)</f>
        <v>0</v>
      </c>
      <c r="BM104" s="59">
        <f>IFERROR(__xludf.DUMMYFUNCTION("importrange(""https://docs.google.com/spreadsheets/d/1BjyFlLZTYgD3mFAjCX0s67AY3qvKXaoe2hT6732MbyM/edit#gid=1725102871"",""2026-27!ae4"")"),2312500.0)</f>
        <v>2312500</v>
      </c>
      <c r="BN104" s="59">
        <f>IFERROR(__xludf.DUMMYFUNCTION("importrange(""https://docs.google.com/spreadsheets/d/1BjyFlLZTYgD3mFAjCX0s67AY3qvKXaoe2hT6732MbyM/edit#gid=1725102871"",""2026-27!ae3"")"),78.0)</f>
        <v>78</v>
      </c>
      <c r="BO104" s="59">
        <f>IFERROR(__xludf.DUMMYFUNCTION("importrange(""https://docs.google.com/spreadsheets/d/1BjyFlLZTYgD3mFAjCX0s67AY3qvKXaoe2hT6732MbyM/edit#gid=1725102871"",""2026-27!af4"")"),0.0)</f>
        <v>0</v>
      </c>
      <c r="BP104" s="59">
        <f>IFERROR(__xludf.DUMMYFUNCTION("importrange(""https://docs.google.com/spreadsheets/d/1BjyFlLZTYgD3mFAjCX0s67AY3qvKXaoe2hT6732MbyM/edit#gid=1725102871"",""2026-27!af3"")"),0.0)</f>
        <v>0</v>
      </c>
      <c r="BQ104" s="63">
        <f t="shared" si="107"/>
        <v>0</v>
      </c>
      <c r="BR104" s="59">
        <f>IFERROR(__xludf.DUMMYFUNCTION("importrange(""https://docs.google.com/spreadsheets/d/1BjyFlLZTYgD3mFAjCX0s67AY3qvKXaoe2hT6732MbyM/edit#gid=1725102871"",""2026-27!ag4"")"),0.0)</f>
        <v>0</v>
      </c>
      <c r="BS104" s="59">
        <f>IFERROR(__xludf.DUMMYFUNCTION("importrange(""https://docs.google.com/spreadsheets/d/1BjyFlLZTYgD3mFAjCX0s67AY3qvKXaoe2hT6732MbyM/edit#gid=1725102871"",""2026-27!ag3"")"),0.0)</f>
        <v>0</v>
      </c>
      <c r="BT104" s="59">
        <f>IFERROR(__xludf.DUMMYFUNCTION("importrange(""https://docs.google.com/spreadsheets/d/1BjyFlLZTYgD3mFAjCX0s67AY3qvKXaoe2hT6732MbyM/edit#gid=1725102871"",""2026-27!ah4"")"),2448500.0)</f>
        <v>2448500</v>
      </c>
      <c r="BU104" s="59">
        <f>IFERROR(__xludf.DUMMYFUNCTION("importrange(""https://docs.google.com/spreadsheets/d/1BjyFlLZTYgD3mFAjCX0s67AY3qvKXaoe2hT6732MbyM/edit#gid=1725102871"",""2026-27!ah3"")"),78.0)</f>
        <v>78</v>
      </c>
      <c r="BV104" s="59">
        <f>IFERROR(__xludf.DUMMYFUNCTION("importrange(""https://docs.google.com/spreadsheets/d/1BjyFlLZTYgD3mFAjCX0s67AY3qvKXaoe2hT6732MbyM/edit#gid=1725102871"",""2026-27!ai4"")"),0.0)</f>
        <v>0</v>
      </c>
      <c r="BW104" s="59">
        <f>IFERROR(__xludf.DUMMYFUNCTION("importrange(""https://docs.google.com/spreadsheets/d/1BjyFlLZTYgD3mFAjCX0s67AY3qvKXaoe2hT6732MbyM/edit#gid=1725102871"",""2026-27!ai3"")"),0.0)</f>
        <v>0</v>
      </c>
      <c r="BX104" s="63">
        <f t="shared" si="108"/>
        <v>0</v>
      </c>
      <c r="BY104" s="59">
        <f>IFERROR(__xludf.DUMMYFUNCTION("importrange(""https://docs.google.com/spreadsheets/d/1BjyFlLZTYgD3mFAjCX0s67AY3qvKXaoe2hT6732MbyM/edit#gid=1725102871"",""2026-27!aj4"")"),0.0)</f>
        <v>0</v>
      </c>
      <c r="BZ104" s="59">
        <f>IFERROR(__xludf.DUMMYFUNCTION("importrange(""https://docs.google.com/spreadsheets/d/1BjyFlLZTYgD3mFAjCX0s67AY3qvKXaoe2hT6732MbyM/edit#gid=1725102871"",""2026-27!aj3"")"),0.0)</f>
        <v>0</v>
      </c>
      <c r="CA104" s="59">
        <f>IFERROR(__xludf.DUMMYFUNCTION("importrange(""https://docs.google.com/spreadsheets/d/1BjyFlLZTYgD3mFAjCX0s67AY3qvKXaoe2hT6732MbyM/edit#gid=1725102871"",""2026-27!ak4"")"),2013500.0)</f>
        <v>2013500</v>
      </c>
      <c r="CB104" s="59">
        <f>IFERROR(__xludf.DUMMYFUNCTION("importrange(""https://docs.google.com/spreadsheets/d/1BjyFlLZTYgD3mFAjCX0s67AY3qvKXaoe2hT6732MbyM/edit#gid=1725102871"",""2026-27!ak3"")"),78.0)</f>
        <v>78</v>
      </c>
      <c r="CC104" s="59">
        <f>IFERROR(__xludf.DUMMYFUNCTION("importrange(""https://docs.google.com/spreadsheets/d/1BjyFlLZTYgD3mFAjCX0s67AY3qvKXaoe2hT6732MbyM/edit#gid=1725102871"",""2026-27!al4"")"),0.0)</f>
        <v>0</v>
      </c>
      <c r="CD104" s="59">
        <f>IFERROR(__xludf.DUMMYFUNCTION("importrange(""https://docs.google.com/spreadsheets/d/1BjyFlLZTYgD3mFAjCX0s67AY3qvKXaoe2hT6732MbyM/edit#gid=1725102871"",""2026-27!ai3"")"),0.0)</f>
        <v>0</v>
      </c>
      <c r="CE104" s="63">
        <f t="shared" si="109"/>
        <v>0</v>
      </c>
      <c r="CF104" s="59">
        <f>IFERROR(__xludf.DUMMYFUNCTION("importrange(""https://docs.google.com/spreadsheets/d/1BjyFlLZTYgD3mFAjCX0s67AY3qvKXaoe2hT6732MbyM/edit#gid=1725102871"",""2026-27!am4"")"),0.0)</f>
        <v>0</v>
      </c>
      <c r="CG104" s="59">
        <f>IFERROR(__xludf.DUMMYFUNCTION("importrange(""https://docs.google.com/spreadsheets/d/1BjyFlLZTYgD3mFAjCX0s67AY3qvKXaoe2hT6732MbyM/edit#gid=1725102871"",""2026-27!am3"")"),0.0)</f>
        <v>0</v>
      </c>
      <c r="CH104" s="59">
        <f>IFERROR(__xludf.DUMMYFUNCTION("importrange(""https://docs.google.com/spreadsheets/d/1BjyFlLZTYgD3mFAjCX0s67AY3qvKXaoe2hT6732MbyM/edit#gid=1725102871"",""2026-27!an4"")"),2237500.0)</f>
        <v>2237500</v>
      </c>
      <c r="CI104" s="59">
        <f>IFERROR(__xludf.DUMMYFUNCTION("importrange(""https://docs.google.com/spreadsheets/d/1BjyFlLZTYgD3mFAjCX0s67AY3qvKXaoe2hT6732MbyM/edit#gid=1725102871"",""2026-27!an3"")"),78.0)</f>
        <v>78</v>
      </c>
      <c r="CJ104" s="59">
        <f>IFERROR(__xludf.DUMMYFUNCTION("importrange(""https://docs.google.com/spreadsheets/d/1BjyFlLZTYgD3mFAjCX0s67AY3qvKXaoe2hT6732MbyM/edit#gid=1725102871"",""2026-27!ao4"")"),0.0)</f>
        <v>0</v>
      </c>
      <c r="CK104" s="59">
        <f>IFERROR(__xludf.DUMMYFUNCTION("importrange(""https://docs.google.com/spreadsheets/d/1BjyFlLZTYgD3mFAjCX0s67AY3qvKXaoe2hT6732MbyM/edit#gid=1725102871"",""2026-27!ao3"")"),0.0)</f>
        <v>0</v>
      </c>
      <c r="CL104" s="63">
        <f t="shared" si="110"/>
        <v>0</v>
      </c>
      <c r="CM104" s="59">
        <f>IFERROR(__xludf.DUMMYFUNCTION("importrange(""https://docs.google.com/spreadsheets/d/1BjyFlLZTYgD3mFAjCX0s67AY3qvKXaoe2hT6732MbyM/edit#gid=1725102871"",""2026-27!ap4"")"),0.0)</f>
        <v>0</v>
      </c>
      <c r="CN104" s="59">
        <f>IFERROR(__xludf.DUMMYFUNCTION("importrange(""https://docs.google.com/spreadsheets/d/1BjyFlLZTYgD3mFAjCX0s67AY3qvKXaoe2hT6732MbyM/edit#gid=1725102871"",""2026-27!ap3"")"),0.0)</f>
        <v>0</v>
      </c>
      <c r="CO104" s="59">
        <f>IFERROR(__xludf.DUMMYFUNCTION("importrange(""https://docs.google.com/spreadsheets/d/1BjyFlLZTYgD3mFAjCX0s67AY3qvKXaoe2hT6732MbyM/edit#gid=1725102871"",""2026-27!aq4"")"),2707000.0)</f>
        <v>2707000</v>
      </c>
      <c r="CP104" s="59">
        <f>IFERROR(__xludf.DUMMYFUNCTION("importrange(""https://docs.google.com/spreadsheets/d/1BjyFlLZTYgD3mFAjCX0s67AY3qvKXaoe2hT6732MbyM/edit#gid=1725102871"",""2026-27!aq3"")"),78.0)</f>
        <v>78</v>
      </c>
      <c r="CQ104" s="59">
        <f>IFERROR(__xludf.DUMMYFUNCTION("importrange(""https://docs.google.com/spreadsheets/d/1BjyFlLZTYgD3mFAjCX0s67AY3qvKXaoe2hT6732MbyM/edit#gid=1725102871"",""2026-27!ar4"")"),0.0)</f>
        <v>0</v>
      </c>
      <c r="CR104" s="59">
        <f>IFERROR(__xludf.DUMMYFUNCTION("importrange(""https://docs.google.com/spreadsheets/d/1BjyFlLZTYgD3mFAjCX0s67AY3qvKXaoe2hT6732MbyM/edit#gid=1725102871"",""2026-27!ar3"")"),0.0)</f>
        <v>0</v>
      </c>
      <c r="CS104" s="63">
        <f t="shared" si="111"/>
        <v>0</v>
      </c>
      <c r="CT104" s="59">
        <f>IFERROR(__xludf.DUMMYFUNCTION("importrange(""https://docs.google.com/spreadsheets/d/1BjyFlLZTYgD3mFAjCX0s67AY3qvKXaoe2hT6732MbyM/edit#gid=1725102871"",""2026-27!as4"")"),0.0)</f>
        <v>0</v>
      </c>
      <c r="CU104" s="59">
        <f>IFERROR(__xludf.DUMMYFUNCTION("importrange(""https://docs.google.com/spreadsheets/d/1BjyFlLZTYgD3mFAjCX0s67AY3qvKXaoe2hT6732MbyM/edit#gid=1725102871"",""2026-27!as3"")"),0.0)</f>
        <v>0</v>
      </c>
      <c r="CV104" s="64"/>
    </row>
    <row r="105">
      <c r="A105" s="1" t="s">
        <v>160</v>
      </c>
      <c r="B105" s="41"/>
      <c r="C105" s="68" t="s">
        <v>207</v>
      </c>
      <c r="D105" s="54" t="s">
        <v>208</v>
      </c>
      <c r="E105" s="54">
        <v>6.002978448E9</v>
      </c>
      <c r="F105" s="80">
        <v>45108.0</v>
      </c>
      <c r="G105" s="66"/>
      <c r="H105" s="66"/>
      <c r="I105" s="57">
        <v>25165.0</v>
      </c>
      <c r="J105" s="58">
        <v>1666667.0</v>
      </c>
      <c r="K105" s="61">
        <f>IFERROR(__xludf.DUMMYFUNCTION("IMPORTRANGE(""https://docs.google.com/spreadsheets/d/1UteHRCCON4AO5JM7duOBoq72OM5x2CQQr2sJKgCMmOA/edit#gid=218756102"",""2026-27!A3"")"),78.0)</f>
        <v>78</v>
      </c>
      <c r="L105" s="61">
        <f>IFERROR(__xludf.DUMMYFUNCTION("IMPORTRANGE(""https://docs.google.com/spreadsheets/d/1UteHRCCON4AO5JM7duOBoq72OM5x2CQQr2sJKgCMmOA/edit#gid=218756102"",""2026-27!G4"")"),2.013E7)</f>
        <v>20130000</v>
      </c>
      <c r="M105" s="61">
        <f t="shared" si="97"/>
        <v>2501513.76</v>
      </c>
      <c r="N105" s="60">
        <f t="shared" si="98"/>
        <v>0.09363070045</v>
      </c>
      <c r="O105" s="61">
        <f t="shared" si="99"/>
        <v>1884786</v>
      </c>
      <c r="P105" s="59">
        <f>IFERROR(__xludf.DUMMYFUNCTION("IMPORTRANGE(""https://docs.google.com/spreadsheets/d/1UteHRCCON4AO5JM7duOBoq72OM5x2CQQr2sJKgCMmOA/edit#gid=218756102"",""2026-27!J4"")"),1677500.0)</f>
        <v>1677500</v>
      </c>
      <c r="Q105" s="59">
        <f>IFERROR(__xludf.DUMMYFUNCTION("IMPORTRANGE(""https://docs.google.com/spreadsheets/d/1UteHRCCON4AO5JM7duOBoq72OM5x2CQQr2sJKgCMmOA/edit#gid=218756102"",""2026-27!J3"")"),65.0)</f>
        <v>65</v>
      </c>
      <c r="R105" s="59">
        <f>IFERROR(__xludf.DUMMYFUNCTION("IMPORTRANGE(""https://docs.google.com/spreadsheets/d/1UteHRCCON4AO5JM7duOBoq72OM5x2CQQr2sJKgCMmOA/edit#gid=218756102"",""2026-27!K4"")"),474533.0)</f>
        <v>474533</v>
      </c>
      <c r="S105" s="59">
        <f>IFERROR(__xludf.DUMMYFUNCTION("IMPORTRANGE(""https://docs.google.com/spreadsheets/d/1UteHRCCON4AO5JM7duOBoq72OM5x2CQQr2sJKgCMmOA/edit#gid=218756102"",""2026-27!K3"")"),2.0)</f>
        <v>2</v>
      </c>
      <c r="T105" s="62">
        <f t="shared" si="100"/>
        <v>0.6693078987</v>
      </c>
      <c r="U105" s="59">
        <f>IFERROR(__xludf.DUMMYFUNCTION("IMPORTRANGE(""https://docs.google.com/spreadsheets/d/1UteHRCCON4AO5JM7duOBoq72OM5x2CQQr2sJKgCMmOA/edit#gid=218756102"",""2026-27!L4"")"),1122764.0)</f>
        <v>1122764</v>
      </c>
      <c r="V105" s="85">
        <f>IFERROR(__xludf.DUMMYFUNCTION("IMPORTRANGE(""https://docs.google.com/spreadsheets/d/1UteHRCCON4AO5JM7duOBoq72OM5x2CQQr2sJKgCMmOA/edit#gid=218756102"",""2026-27!L3"")"),9.0)</f>
        <v>9</v>
      </c>
      <c r="W105" s="59">
        <f>IFERROR(__xludf.DUMMYFUNCTION("IMPORTRANGE(""https://docs.google.com/spreadsheets/d/1UteHRCCON4AO5JM7duOBoq72OM5x2CQQr2sJKgCMmOA/edit#gid=218756102"",""2026-27!M4"")"),1677500.0)</f>
        <v>1677500</v>
      </c>
      <c r="X105" s="85">
        <f>IFERROR(__xludf.DUMMYFUNCTION("IMPORTRANGE(""https://docs.google.com/spreadsheets/d/1UteHRCCON4AO5JM7duOBoq72OM5x2CQQr2sJKgCMmOA/edit#gid=218756102"",""2026-27!M3"")"),65.0)</f>
        <v>65</v>
      </c>
      <c r="Y105" s="59">
        <f>IFERROR(__xludf.DUMMYFUNCTION("importrange(""https://docs.google.com/spreadsheets/d/1UteHRCCON4AO5JM7duOBoq72OM5x2CQQr2sJKgCMmOA/edit#gid=218756102"",""2026-27!n4"")"),572076.7)</f>
        <v>572076.7</v>
      </c>
      <c r="Z105" s="59">
        <f>IFERROR(__xludf.DUMMYFUNCTION("importrange(""https://docs.google.com/spreadsheets/d/1UteHRCCON4AO5JM7duOBoq72OM5x2CQQr2sJKgCMmOA/edit#gid=218756102"",""2026-27!n3"")"),4.0)</f>
        <v>4</v>
      </c>
      <c r="AA105" s="62">
        <f t="shared" si="101"/>
        <v>0.4542605067</v>
      </c>
      <c r="AB105" s="59">
        <f>IFERROR(__xludf.DUMMYFUNCTION("importrange(""https://docs.google.com/spreadsheets/d/1UteHRCCON4AO5JM7duOBoq72OM5x2CQQr2sJKgCMmOA/edit#gid=218756102"",""2026-27!o4"")"),762022.0)</f>
        <v>762022</v>
      </c>
      <c r="AC105" s="59">
        <f>IFERROR(__xludf.DUMMYFUNCTION("importrange(""https://docs.google.com/spreadsheets/d/1UteHRCCON4AO5JM7duOBoq72OM5x2CQQr2sJKgCMmOA/edit#gid=218756102"",""2026-27!o3"")"),10.0)</f>
        <v>10</v>
      </c>
      <c r="AD105" s="59">
        <f>IFERROR(__xludf.DUMMYFUNCTION("importrange(""https://docs.google.com/spreadsheets/d/1UteHRCCON4AO5JM7duOBoq72OM5x2CQQr2sJKgCMmOA/edit#gid=218756102"",""2026-27!p4"")"),1677500.0)</f>
        <v>1677500</v>
      </c>
      <c r="AE105" s="59">
        <f>IFERROR(__xludf.DUMMYFUNCTION("importrange(""https://docs.google.com/spreadsheets/d/1UteHRCCON4AO5JM7duOBoq72OM5x2CQQr2sJKgCMmOA/edit#gid=218756102"",""2026-27!p3"")"),65.0)</f>
        <v>65</v>
      </c>
      <c r="AF105" s="59">
        <f>IFERROR(__xludf.DUMMYFUNCTION("importrange(""https://docs.google.com/spreadsheets/d/1UteHRCCON4AO5JM7duOBoq72OM5x2CQQr2sJKgCMmOA/edit#gid=218756102"",""2026-27!q4"")"),1454904.06)</f>
        <v>1454904.06</v>
      </c>
      <c r="AG105" s="59">
        <f>IFERROR(__xludf.DUMMYFUNCTION("importrange(""https://docs.google.com/spreadsheets/d/1UteHRCCON4AO5JM7duOBoq72OM5x2CQQr2sJKgCMmOA/edit#gid=218756102"",""2026-27!q3"")"),12.0)</f>
        <v>12</v>
      </c>
      <c r="AH105" s="62">
        <f t="shared" si="102"/>
        <v>0</v>
      </c>
      <c r="AI105" s="59">
        <f>IFERROR(__xludf.DUMMYFUNCTION("importrange(""https://docs.google.com/spreadsheets/d/1UteHRCCON4AO5JM7duOBoq72OM5x2CQQr2sJKgCMmOA/edit#gid=218756102"",""2026-27!r4"")"),0.0)</f>
        <v>0</v>
      </c>
      <c r="AJ105" s="59">
        <f>IFERROR(__xludf.DUMMYFUNCTION("importrange(""https://docs.google.com/spreadsheets/d/1UteHRCCON4AO5JM7duOBoq72OM5x2CQQr2sJKgCMmOA/edit#gid=218756102"",""2026-27!r3"")"),0.0)</f>
        <v>0</v>
      </c>
      <c r="AK105" s="59">
        <f>IFERROR(__xludf.DUMMYFUNCTION("importrange(""https://docs.google.com/spreadsheets/d/1UteHRCCON4AO5JM7duOBoq72OM5x2CQQr2sJKgCMmOA/edit#gid=218756102"",""2026-27!s4"")"),1677500.0)</f>
        <v>1677500</v>
      </c>
      <c r="AL105" s="59">
        <f>IFERROR(__xludf.DUMMYFUNCTION("importrange(""https://docs.google.com/spreadsheets/d/1UteHRCCON4AO5JM7duOBoq72OM5x2CQQr2sJKgCMmOA/edit#gid=218756102"",""2026-27!s3"")"),65.0)</f>
        <v>65</v>
      </c>
      <c r="AM105" s="61">
        <f>IFERROR(__xludf.DUMMYFUNCTION("importrange(""https://docs.google.com/spreadsheets/d/1UteHRCCON4AO5JM7duOBoq72OM5x2CQQr2sJKgCMmOA/edit#gid=218756102"",""2026-27!t4"")"),0.0)</f>
        <v>0</v>
      </c>
      <c r="AN105" s="59">
        <f>IFERROR(__xludf.DUMMYFUNCTION("importrange(""https://docs.google.com/spreadsheets/d/1UteHRCCON4AO5JM7duOBoq72OM5x2CQQr2sJKgCMmOA/edit#gid=218756102"",""2026-27!t3"")"),0.0)</f>
        <v>0</v>
      </c>
      <c r="AO105" s="62">
        <f t="shared" si="103"/>
        <v>0</v>
      </c>
      <c r="AP105" s="59">
        <f>IFERROR(__xludf.DUMMYFUNCTION("importrange(""https://docs.google.com/spreadsheets/d/1UteHRCCON4AO5JM7duOBoq72OM5x2CQQr2sJKgCMmOA/edit#gid=218756102"",""2026-27!u4"")"),0.0)</f>
        <v>0</v>
      </c>
      <c r="AQ105" s="59">
        <f>IFERROR(__xludf.DUMMYFUNCTION("importrange(""https://docs.google.com/spreadsheets/d/1UteHRCCON4AO5JM7duOBoq72OM5x2CQQr2sJKgCMmOA/edit#gid=218756102"",""2026-27!u3"")"),0.0)</f>
        <v>0</v>
      </c>
      <c r="AR105" s="59">
        <f>IFERROR(__xludf.DUMMYFUNCTION("importrange(""https://docs.google.com/spreadsheets/d/1UteHRCCON4AO5JM7duOBoq72OM5x2CQQr2sJKgCMmOA/edit#gid=218756102"",""2026-27!v4"")"),1677500.0)</f>
        <v>1677500</v>
      </c>
      <c r="AS105" s="59">
        <f>IFERROR(__xludf.DUMMYFUNCTION("importrange(""https://docs.google.com/spreadsheets/d/1UteHRCCON4AO5JM7duOBoq72OM5x2CQQr2sJKgCMmOA/edit#gid=218756102"",""2026-27!v3"")"),65.0)</f>
        <v>65</v>
      </c>
      <c r="AT105" s="61">
        <f>IFERROR(__xludf.DUMMYFUNCTION("importrange(""https://docs.google.com/spreadsheets/d/1UteHRCCON4AO5JM7duOBoq72OM5x2CQQr2sJKgCMmOA/edit#gid=218756102"",""2026-27!w4"")"),0.0)</f>
        <v>0</v>
      </c>
      <c r="AU105" s="59">
        <f>IFERROR(__xludf.DUMMYFUNCTION("importrange(""https://docs.google.com/spreadsheets/d/1UteHRCCON4AO5JM7duOBoq72OM5x2CQQr2sJKgCMmOA/edit#gid=218756102"",""2026-27!w3"")"),0.0)</f>
        <v>0</v>
      </c>
      <c r="AV105" s="62">
        <f t="shared" si="104"/>
        <v>0</v>
      </c>
      <c r="AW105" s="59">
        <f>IFERROR(__xludf.DUMMYFUNCTION("importrange(""https://docs.google.com/spreadsheets/d/1UteHRCCON4AO5JM7duOBoq72OM5x2CQQr2sJKgCMmOA/edit#gid=218756102"",""2026-27!x4"")"),0.0)</f>
        <v>0</v>
      </c>
      <c r="AX105" s="59">
        <f>IFERROR(__xludf.DUMMYFUNCTION("importrange(""https://docs.google.com/spreadsheets/d/1UteHRCCON4AO5JM7duOBoq72OM5x2CQQr2sJKgCMmOA/edit#gid=218756102"",""2026-27!x3"")"),0.0)</f>
        <v>0</v>
      </c>
      <c r="AY105" s="59">
        <f>IFERROR(__xludf.DUMMYFUNCTION("importrange(""https://docs.google.com/spreadsheets/d/1UteHRCCON4AO5JM7duOBoq72OM5x2CQQr2sJKgCMmOA/edit#gid=218756102"",""2026-27!y4"")"),1677500.0)</f>
        <v>1677500</v>
      </c>
      <c r="AZ105" s="59">
        <f>IFERROR(__xludf.DUMMYFUNCTION("importrange(""https://docs.google.com/spreadsheets/d/1UteHRCCON4AO5JM7duOBoq72OM5x2CQQr2sJKgCMmOA/edit#gid=218756102"",""2026-27!y3"")"),65.0)</f>
        <v>65</v>
      </c>
      <c r="BA105" s="61">
        <f>IFERROR(__xludf.DUMMYFUNCTION("importrange(""https://docs.google.com/spreadsheets/d/1UteHRCCON4AO5JM7duOBoq72OM5x2CQQr2sJKgCMmOA/edit#gid=218756102"",""2026-27!z4"")"),0.0)</f>
        <v>0</v>
      </c>
      <c r="BB105" s="59">
        <f>IFERROR(__xludf.DUMMYFUNCTION("importrange(""https://docs.google.com/spreadsheets/d/1UteHRCCON4AO5JM7duOBoq72OM5x2CQQr2sJKgCMmOA/edit#gid=218756102"",""2026-27!z3"")"),0.0)</f>
        <v>0</v>
      </c>
      <c r="BC105" s="63">
        <f t="shared" si="105"/>
        <v>0</v>
      </c>
      <c r="BD105" s="59">
        <f>IFERROR(__xludf.DUMMYFUNCTION("importrange(""https://docs.google.com/spreadsheets/d/1UteHRCCON4AO5JM7duOBoq72OM5x2CQQr2sJKgCMmOA/edit#gid=218756102"",""2026-27!aa4"")"),0.0)</f>
        <v>0</v>
      </c>
      <c r="BE105" s="59">
        <f>IFERROR(__xludf.DUMMYFUNCTION("importrange(""https://docs.google.com/spreadsheets/d/1UteHRCCON4AO5JM7duOBoq72OM5x2CQQr2sJKgCMmOA/edit#gid=218756102"",""2026-27!aa3"")"),0.0)</f>
        <v>0</v>
      </c>
      <c r="BF105" s="59">
        <f>IFERROR(__xludf.DUMMYFUNCTION("importrange(""https://docs.google.com/spreadsheets/d/1UteHRCCON4AO5JM7duOBoq72OM5x2CQQr2sJKgCMmOA/edit#gid=218756102"",""2026-27!ab4"")"),1677500.0)</f>
        <v>1677500</v>
      </c>
      <c r="BG105" s="59">
        <f>IFERROR(__xludf.DUMMYFUNCTION("importrange(""https://docs.google.com/spreadsheets/d/1UteHRCCON4AO5JM7duOBoq72OM5x2CQQr2sJKgCMmOA/edit#gid=218756102"",""2026-27!ab3"")"),65.0)</f>
        <v>65</v>
      </c>
      <c r="BH105" s="59">
        <f>IFERROR(__xludf.DUMMYFUNCTION("importrange(""https://docs.google.com/spreadsheets/d/1UteHRCCON4AO5JM7duOBoq72OM5x2CQQr2sJKgCMmOA/edit#gid=218756102"",""2026-27!ac4"")"),0.0)</f>
        <v>0</v>
      </c>
      <c r="BI105" s="59">
        <f>IFERROR(__xludf.DUMMYFUNCTION("importrange(""https://docs.google.com/spreadsheets/d/1UteHRCCON4AO5JM7duOBoq72OM5x2CQQr2sJKgCMmOA/edit#gid=218756102"",""2026-27!ac3"")"),0.0)</f>
        <v>0</v>
      </c>
      <c r="BJ105" s="63">
        <f t="shared" si="106"/>
        <v>0</v>
      </c>
      <c r="BK105" s="59">
        <f>IFERROR(__xludf.DUMMYFUNCTION("importrange(""https://docs.google.com/spreadsheets/d/1UteHRCCON4AO5JM7duOBoq72OM5x2CQQr2sJKgCMmOA/edit#gid=218756102"",""2026-27!ad4"")"),0.0)</f>
        <v>0</v>
      </c>
      <c r="BL105" s="59">
        <f>IFERROR(__xludf.DUMMYFUNCTION("importrange(""https://docs.google.com/spreadsheets/d/1UteHRCCON4AO5JM7duOBoq72OM5x2CQQr2sJKgCMmOA/edit#gid=218756102"",""2026-27!ad3"")"),0.0)</f>
        <v>0</v>
      </c>
      <c r="BM105" s="59">
        <f>IFERROR(__xludf.DUMMYFUNCTION("importrange(""https://docs.google.com/spreadsheets/d/1UteHRCCON4AO5JM7duOBoq72OM5x2CQQr2sJKgCMmOA/edit#gid=218756102"",""2026-27!ae4"")"),1677500.0)</f>
        <v>1677500</v>
      </c>
      <c r="BN105" s="59">
        <f>IFERROR(__xludf.DUMMYFUNCTION("importrange(""https://docs.google.com/spreadsheets/d/1UteHRCCON4AO5JM7duOBoq72OM5x2CQQr2sJKgCMmOA/edit#gid=218756102"",""2026-27!ae3"")"),65.0)</f>
        <v>65</v>
      </c>
      <c r="BO105" s="59">
        <f>IFERROR(__xludf.DUMMYFUNCTION("importrange(""https://docs.google.com/spreadsheets/d/1UteHRCCON4AO5JM7duOBoq72OM5x2CQQr2sJKgCMmOA/edit#gid=218756102"",""2026-27!af4"")"),0.0)</f>
        <v>0</v>
      </c>
      <c r="BP105" s="59">
        <f>IFERROR(__xludf.DUMMYFUNCTION("importrange(""https://docs.google.com/spreadsheets/d/1UteHRCCON4AO5JM7duOBoq72OM5x2CQQr2sJKgCMmOA/edit#gid=218756102"",""2026-27!af3"")"),0.0)</f>
        <v>0</v>
      </c>
      <c r="BQ105" s="63">
        <f t="shared" si="107"/>
        <v>0</v>
      </c>
      <c r="BR105" s="59">
        <f>IFERROR(__xludf.DUMMYFUNCTION("importrange(""https://docs.google.com/spreadsheets/d/1UteHRCCON4AO5JM7duOBoq72OM5x2CQQr2sJKgCMmOA/edit#gid=218756102"",""2026-27!ag4"")"),0.0)</f>
        <v>0</v>
      </c>
      <c r="BS105" s="59">
        <f>IFERROR(__xludf.DUMMYFUNCTION("importrange(""https://docs.google.com/spreadsheets/d/1UteHRCCON4AO5JM7duOBoq72OM5x2CQQr2sJKgCMmOA/edit#gid=218756102"",""2026-27!ag3"")"),0.0)</f>
        <v>0</v>
      </c>
      <c r="BT105" s="59">
        <f>IFERROR(__xludf.DUMMYFUNCTION("importrange(""https://docs.google.com/spreadsheets/d/1UteHRCCON4AO5JM7duOBoq72OM5x2CQQr2sJKgCMmOA/edit#gid=218756102"",""2026-27!ah4"")"),1677500.0)</f>
        <v>1677500</v>
      </c>
      <c r="BU105" s="59">
        <f>IFERROR(__xludf.DUMMYFUNCTION("importrange(""https://docs.google.com/spreadsheets/d/1UteHRCCON4AO5JM7duOBoq72OM5x2CQQr2sJKgCMmOA/edit#gid=218756102"",""2026-27!ah3"")"),65.0)</f>
        <v>65</v>
      </c>
      <c r="BV105" s="59">
        <f>IFERROR(__xludf.DUMMYFUNCTION("importrange(""https://docs.google.com/spreadsheets/d/1UteHRCCON4AO5JM7duOBoq72OM5x2CQQr2sJKgCMmOA/edit#gid=218756102"",""2026-27!ai4"")"),0.0)</f>
        <v>0</v>
      </c>
      <c r="BW105" s="59">
        <f>IFERROR(__xludf.DUMMYFUNCTION("importrange(""https://docs.google.com/spreadsheets/d/1UteHRCCON4AO5JM7duOBoq72OM5x2CQQr2sJKgCMmOA/edit#gid=218756102"",""2026-27!ai3"")"),0.0)</f>
        <v>0</v>
      </c>
      <c r="BX105" s="63">
        <f t="shared" si="108"/>
        <v>0</v>
      </c>
      <c r="BY105" s="59">
        <f>IFERROR(__xludf.DUMMYFUNCTION("importrange(""https://docs.google.com/spreadsheets/d/1UteHRCCON4AO5JM7duOBoq72OM5x2CQQr2sJKgCMmOA/edit#gid=218756102"",""2026-27!aj4"")"),0.0)</f>
        <v>0</v>
      </c>
      <c r="BZ105" s="59">
        <f>IFERROR(__xludf.DUMMYFUNCTION("importrange(""https://docs.google.com/spreadsheets/d/1UteHRCCON4AO5JM7duOBoq72OM5x2CQQr2sJKgCMmOA/edit#gid=218756102"",""2026-27!aj3"")"),0.0)</f>
        <v>0</v>
      </c>
      <c r="CA105" s="59">
        <f>IFERROR(__xludf.DUMMYFUNCTION("importrange(""https://docs.google.com/spreadsheets/d/1UteHRCCON4AO5JM7duOBoq72OM5x2CQQr2sJKgCMmOA/edit#gid=218756102"",""2026-27!ak4"")"),1677500.0)</f>
        <v>1677500</v>
      </c>
      <c r="CB105" s="59">
        <f>IFERROR(__xludf.DUMMYFUNCTION("importrange(""https://docs.google.com/spreadsheets/d/1UteHRCCON4AO5JM7duOBoq72OM5x2CQQr2sJKgCMmOA/edit#gid=218756102"",""2026-27!ak3"")"),65.0)</f>
        <v>65</v>
      </c>
      <c r="CC105" s="59">
        <f>IFERROR(__xludf.DUMMYFUNCTION("importrange(""https://docs.google.com/spreadsheets/d/1UteHRCCON4AO5JM7duOBoq72OM5x2CQQr2sJKgCMmOA/edit#gid=218756102"",""2026-27!al4"")"),0.0)</f>
        <v>0</v>
      </c>
      <c r="CD105" s="59">
        <f>IFERROR(__xludf.DUMMYFUNCTION("importrange(""https://docs.google.com/spreadsheets/d/1UteHRCCON4AO5JM7duOBoq72OM5x2CQQr2sJKgCMmOA/edit#gid=218756102"",""2026-27!ai3"")"),0.0)</f>
        <v>0</v>
      </c>
      <c r="CE105" s="63">
        <f t="shared" si="109"/>
        <v>0</v>
      </c>
      <c r="CF105" s="59">
        <f>IFERROR(__xludf.DUMMYFUNCTION("importrange(""https://docs.google.com/spreadsheets/d/1UteHRCCON4AO5JM7duOBoq72OM5x2CQQr2sJKgCMmOA/edit#gid=218756102"",""2026-27!am4"")"),0.0)</f>
        <v>0</v>
      </c>
      <c r="CG105" s="59">
        <f>IFERROR(__xludf.DUMMYFUNCTION("importrange(""https://docs.google.com/spreadsheets/d/1UteHRCCON4AO5JM7duOBoq72OM5x2CQQr2sJKgCMmOA/edit#gid=218756102"",""2026-27!am3"")"),0.0)</f>
        <v>0</v>
      </c>
      <c r="CH105" s="59">
        <f>IFERROR(__xludf.DUMMYFUNCTION("importrange(""https://docs.google.com/spreadsheets/d/1UteHRCCON4AO5JM7duOBoq72OM5x2CQQr2sJKgCMmOA/edit#gid=218756102"",""2026-27!an4"")"),1677500.0)</f>
        <v>1677500</v>
      </c>
      <c r="CI105" s="59">
        <f>IFERROR(__xludf.DUMMYFUNCTION("importrange(""https://docs.google.com/spreadsheets/d/1UteHRCCON4AO5JM7duOBoq72OM5x2CQQr2sJKgCMmOA/edit#gid=218756102"",""2026-27!an3"")"),65.0)</f>
        <v>65</v>
      </c>
      <c r="CJ105" s="59">
        <f>IFERROR(__xludf.DUMMYFUNCTION("importrange(""https://docs.google.com/spreadsheets/d/1UteHRCCON4AO5JM7duOBoq72OM5x2CQQr2sJKgCMmOA/edit#gid=218756102"",""2026-27!ao4"")"),0.0)</f>
        <v>0</v>
      </c>
      <c r="CK105" s="59">
        <f>IFERROR(__xludf.DUMMYFUNCTION("importrange(""https://docs.google.com/spreadsheets/d/1UteHRCCON4AO5JM7duOBoq72OM5x2CQQr2sJKgCMmOA/edit#gid=218756102"",""2026-27!ao3"")"),0.0)</f>
        <v>0</v>
      </c>
      <c r="CL105" s="63">
        <f t="shared" si="110"/>
        <v>0</v>
      </c>
      <c r="CM105" s="59">
        <f>IFERROR(__xludf.DUMMYFUNCTION("importrange(""https://docs.google.com/spreadsheets/d/1UteHRCCON4AO5JM7duOBoq72OM5x2CQQr2sJKgCMmOA/edit#gid=218756102"",""2026-27!ap4"")"),0.0)</f>
        <v>0</v>
      </c>
      <c r="CN105" s="59">
        <f>IFERROR(__xludf.DUMMYFUNCTION("importrange(""https://docs.google.com/spreadsheets/d/1UteHRCCON4AO5JM7duOBoq72OM5x2CQQr2sJKgCMmOA/edit#gid=218756102"",""2026-27!ap3"")"),0.0)</f>
        <v>0</v>
      </c>
      <c r="CO105" s="59">
        <f>IFERROR(__xludf.DUMMYFUNCTION("importrange(""https://docs.google.com/spreadsheets/d/1UteHRCCON4AO5JM7duOBoq72OM5x2CQQr2sJKgCMmOA/edit#gid=218756102"",""2026-27!aq4"")"),1677500.0)</f>
        <v>1677500</v>
      </c>
      <c r="CP105" s="59">
        <f>IFERROR(__xludf.DUMMYFUNCTION("importrange(""https://docs.google.com/spreadsheets/d/1UteHRCCON4AO5JM7duOBoq72OM5x2CQQr2sJKgCMmOA/edit#gid=218756102"",""2026-27!aq3"")"),65.0)</f>
        <v>65</v>
      </c>
      <c r="CQ105" s="59">
        <f>IFERROR(__xludf.DUMMYFUNCTION("importrange(""https://docs.google.com/spreadsheets/d/1UteHRCCON4AO5JM7duOBoq72OM5x2CQQr2sJKgCMmOA/edit#gid=218756102"",""2026-27!ar4"")"),0.0)</f>
        <v>0</v>
      </c>
      <c r="CR105" s="59">
        <f>IFERROR(__xludf.DUMMYFUNCTION("importrange(""https://docs.google.com/spreadsheets/d/1UteHRCCON4AO5JM7duOBoq72OM5x2CQQr2sJKgCMmOA/edit#gid=218756102"",""2026-27!ar3"")"),0.0)</f>
        <v>0</v>
      </c>
      <c r="CS105" s="63">
        <f t="shared" si="111"/>
        <v>0</v>
      </c>
      <c r="CT105" s="59">
        <f>IFERROR(__xludf.DUMMYFUNCTION("importrange(""https://docs.google.com/spreadsheets/d/1UteHRCCON4AO5JM7duOBoq72OM5x2CQQr2sJKgCMmOA/edit#gid=218756102"",""2026-27!as4"")"),0.0)</f>
        <v>0</v>
      </c>
      <c r="CU105" s="59">
        <f>IFERROR(__xludf.DUMMYFUNCTION("importrange(""https://docs.google.com/spreadsheets/d/1UteHRCCON4AO5JM7duOBoq72OM5x2CQQr2sJKgCMmOA/edit#gid=218756102"",""2026-27!as3"")"),0.0)</f>
        <v>0</v>
      </c>
      <c r="CV105" s="64"/>
    </row>
    <row r="106">
      <c r="A106" s="1" t="s">
        <v>160</v>
      </c>
      <c r="B106" s="41"/>
      <c r="C106" s="68" t="s">
        <v>209</v>
      </c>
      <c r="D106" s="54" t="s">
        <v>210</v>
      </c>
      <c r="E106" s="54">
        <v>8.159069848E9</v>
      </c>
      <c r="F106" s="80">
        <v>45108.0</v>
      </c>
      <c r="G106" s="66"/>
      <c r="H106" s="66"/>
      <c r="I106" s="57">
        <v>18320.0</v>
      </c>
      <c r="J106" s="58">
        <v>4500000.0</v>
      </c>
      <c r="K106" s="61">
        <f>IFERROR(__xludf.DUMMYFUNCTION("IMPORTRANGE(""https://docs.google.com/spreadsheets/d/1nZS-t-cNO00Enmafk2x3CmLJnbno5WaD_EEIUOjJ93Q/edit#gid=1877619074"",""2026-27!A3"")"),45.0)</f>
        <v>45</v>
      </c>
      <c r="L106" s="61">
        <f>IFERROR(__xludf.DUMMYFUNCTION("IMPORTRANGE(""https://docs.google.com/spreadsheets/d/1nZS-t-cNO00Enmafk2x3CmLJnbno5WaD_EEIUOjJ93Q/edit#gid=1877619074"",""2026-27!G4"")"),5.5E7)</f>
        <v>55000000</v>
      </c>
      <c r="M106" s="61">
        <f t="shared" si="97"/>
        <v>8749932.79</v>
      </c>
      <c r="N106" s="60">
        <f t="shared" si="98"/>
        <v>0.1586155455</v>
      </c>
      <c r="O106" s="61">
        <f t="shared" si="99"/>
        <v>8723855</v>
      </c>
      <c r="P106" s="59">
        <f>IFERROR(__xludf.DUMMYFUNCTION("IMPORTRANGE(""https://docs.google.com/spreadsheets/d/1nZS-t-cNO00Enmafk2x3CmLJnbno5WaD_EEIUOjJ93Q/edit#gid=1877619074"",""2026-27!J4"")"),4583315.0)</f>
        <v>4583315</v>
      </c>
      <c r="Q106" s="59">
        <f>IFERROR(__xludf.DUMMYFUNCTION("IMPORTRANGE(""https://docs.google.com/spreadsheets/d/1nZS-t-cNO00Enmafk2x3CmLJnbno5WaD_EEIUOjJ93Q/edit#gid=1877619074"",""2026-27!J3"")"),45.0)</f>
        <v>45</v>
      </c>
      <c r="R106" s="59">
        <f>IFERROR(__xludf.DUMMYFUNCTION("IMPORTRANGE(""https://docs.google.com/spreadsheets/d/1nZS-t-cNO00Enmafk2x3CmLJnbno5WaD_EEIUOjJ93Q/edit#gid=1877619074"",""2026-27!K4"")"),1359389.38)</f>
        <v>1359389.38</v>
      </c>
      <c r="S106" s="59">
        <f>IFERROR(__xludf.DUMMYFUNCTION("IMPORTRANGE(""https://docs.google.com/spreadsheets/d/1nZS-t-cNO00Enmafk2x3CmLJnbno5WaD_EEIUOjJ93Q/edit#gid=1877619074"",""2026-27!K3"")"),8.0)</f>
        <v>8</v>
      </c>
      <c r="T106" s="62">
        <f t="shared" si="100"/>
        <v>0.2097809119</v>
      </c>
      <c r="U106" s="59">
        <f>IFERROR(__xludf.DUMMYFUNCTION("IMPORTRANGE(""https://docs.google.com/spreadsheets/d/1nZS-t-cNO00Enmafk2x3CmLJnbno5WaD_EEIUOjJ93Q/edit#gid=1877619074"",""2026-27!L4"")"),961492.0)</f>
        <v>961492</v>
      </c>
      <c r="V106" s="85">
        <f>IFERROR(__xludf.DUMMYFUNCTION("IMPORTRANGE(""https://docs.google.com/spreadsheets/d/1nZS-t-cNO00Enmafk2x3CmLJnbno5WaD_EEIUOjJ93Q/edit#gid=1877619074"",""2026-27!L3"")"),17.0)</f>
        <v>17</v>
      </c>
      <c r="W106" s="59">
        <f>IFERROR(__xludf.DUMMYFUNCTION("IMPORTRANGE(""https://docs.google.com/spreadsheets/d/1nZS-t-cNO00Enmafk2x3CmLJnbno5WaD_EEIUOjJ93Q/edit#gid=1877619074"",""2026-27!M4"")"),4583315.0)</f>
        <v>4583315</v>
      </c>
      <c r="X106" s="85">
        <f>IFERROR(__xludf.DUMMYFUNCTION("IMPORTRANGE(""https://docs.google.com/spreadsheets/d/1nZS-t-cNO00Enmafk2x3CmLJnbno5WaD_EEIUOjJ93Q/edit#gid=1877619074"",""2026-27!M3"")"),45.0)</f>
        <v>45</v>
      </c>
      <c r="Y106" s="59">
        <f>IFERROR(__xludf.DUMMYFUNCTION("importrange(""https://docs.google.com/spreadsheets/d/1nZS-t-cNO00Enmafk2x3CmLJnbno5WaD_EEIUOjJ93Q/edit#gid=1877619074"",""2026-27!n4"")"),3162194.21)</f>
        <v>3162194.21</v>
      </c>
      <c r="Z106" s="59">
        <f>IFERROR(__xludf.DUMMYFUNCTION("importrange(""https://docs.google.com/spreadsheets/d/1nZS-t-cNO00Enmafk2x3CmLJnbno5WaD_EEIUOjJ93Q/edit#gid=1877619074"",""2026-27!n3"")"),12.0)</f>
        <v>12</v>
      </c>
      <c r="AA106" s="62">
        <f t="shared" si="101"/>
        <v>0.6015888064</v>
      </c>
      <c r="AB106" s="59">
        <f>IFERROR(__xludf.DUMMYFUNCTION("importrange(""https://docs.google.com/spreadsheets/d/1nZS-t-cNO00Enmafk2x3CmLJnbno5WaD_EEIUOjJ93Q/edit#gid=1877619074"",""2026-27!o4"")"),2757271.0)</f>
        <v>2757271</v>
      </c>
      <c r="AC106" s="59">
        <f>IFERROR(__xludf.DUMMYFUNCTION("importrange(""https://docs.google.com/spreadsheets/d/1nZS-t-cNO00Enmafk2x3CmLJnbno5WaD_EEIUOjJ93Q/edit#gid=1877619074"",""2026-27!o3"")"),18.0)</f>
        <v>18</v>
      </c>
      <c r="AD106" s="59">
        <f>IFERROR(__xludf.DUMMYFUNCTION("importrange(""https://docs.google.com/spreadsheets/d/1nZS-t-cNO00Enmafk2x3CmLJnbno5WaD_EEIUOjJ93Q/edit#gid=1877619074"",""2026-27!p4"")"),4583315.0)</f>
        <v>4583315</v>
      </c>
      <c r="AE106" s="59">
        <f>IFERROR(__xludf.DUMMYFUNCTION("importrange(""https://docs.google.com/spreadsheets/d/1nZS-t-cNO00Enmafk2x3CmLJnbno5WaD_EEIUOjJ93Q/edit#gid=1877619074"",""2026-27!p3"")"),45.0)</f>
        <v>45</v>
      </c>
      <c r="AF106" s="59">
        <f>IFERROR(__xludf.DUMMYFUNCTION("importrange(""https://docs.google.com/spreadsheets/d/1nZS-t-cNO00Enmafk2x3CmLJnbno5WaD_EEIUOjJ93Q/edit#gid=1877619074"",""2026-27!q4"")"),4228349.2)</f>
        <v>4228349.2</v>
      </c>
      <c r="AG106" s="59">
        <f>IFERROR(__xludf.DUMMYFUNCTION("importrange(""https://docs.google.com/spreadsheets/d/1nZS-t-cNO00Enmafk2x3CmLJnbno5WaD_EEIUOjJ93Q/edit#gid=1877619074"",""2026-27!q3"")"),18.0)</f>
        <v>18</v>
      </c>
      <c r="AH106" s="62">
        <f t="shared" si="102"/>
        <v>1.092024441</v>
      </c>
      <c r="AI106" s="59">
        <f>IFERROR(__xludf.DUMMYFUNCTION("importrange(""https://docs.google.com/spreadsheets/d/1nZS-t-cNO00Enmafk2x3CmLJnbno5WaD_EEIUOjJ93Q/edit#gid=1877619074"",""2026-27!r4"")"),5005092.0)</f>
        <v>5005092</v>
      </c>
      <c r="AJ106" s="59">
        <f>IFERROR(__xludf.DUMMYFUNCTION("importrange(""https://docs.google.com/spreadsheets/d/1nZS-t-cNO00Enmafk2x3CmLJnbno5WaD_EEIUOjJ93Q/edit#gid=1877619074"",""2026-27!r3"")"),30.0)</f>
        <v>30</v>
      </c>
      <c r="AK106" s="59">
        <f>IFERROR(__xludf.DUMMYFUNCTION("importrange(""https://docs.google.com/spreadsheets/d/1nZS-t-cNO00Enmafk2x3CmLJnbno5WaD_EEIUOjJ93Q/edit#gid=1877619074"",""2026-27!s4"")"),4583315.0)</f>
        <v>4583315</v>
      </c>
      <c r="AL106" s="59">
        <f>IFERROR(__xludf.DUMMYFUNCTION("importrange(""https://docs.google.com/spreadsheets/d/1nZS-t-cNO00Enmafk2x3CmLJnbno5WaD_EEIUOjJ93Q/edit#gid=1877619074"",""2026-27!s3"")"),45.0)</f>
        <v>45</v>
      </c>
      <c r="AM106" s="61">
        <f>IFERROR(__xludf.DUMMYFUNCTION("importrange(""https://docs.google.com/spreadsheets/d/1nZS-t-cNO00Enmafk2x3CmLJnbno5WaD_EEIUOjJ93Q/edit#gid=1877619074"",""2026-27!t4"")"),0.0)</f>
        <v>0</v>
      </c>
      <c r="AN106" s="59">
        <f>IFERROR(__xludf.DUMMYFUNCTION("importrange(""https://docs.google.com/spreadsheets/d/1nZS-t-cNO00Enmafk2x3CmLJnbno5WaD_EEIUOjJ93Q/edit#gid=1877619074"",""2026-27!t3"")"),0.0)</f>
        <v>0</v>
      </c>
      <c r="AO106" s="62">
        <f t="shared" si="103"/>
        <v>0</v>
      </c>
      <c r="AP106" s="59">
        <f>IFERROR(__xludf.DUMMYFUNCTION("importrange(""https://docs.google.com/spreadsheets/d/1nZS-t-cNO00Enmafk2x3CmLJnbno5WaD_EEIUOjJ93Q/edit#gid=1877619074"",""2026-27!u4"")"),0.0)</f>
        <v>0</v>
      </c>
      <c r="AQ106" s="59">
        <f>IFERROR(__xludf.DUMMYFUNCTION("importrange(""https://docs.google.com/spreadsheets/d/1nZS-t-cNO00Enmafk2x3CmLJnbno5WaD_EEIUOjJ93Q/edit#gid=1877619074"",""2026-27!u3"")"),0.0)</f>
        <v>0</v>
      </c>
      <c r="AR106" s="59">
        <f>IFERROR(__xludf.DUMMYFUNCTION("importrange(""https://docs.google.com/spreadsheets/d/1nZS-t-cNO00Enmafk2x3CmLJnbno5WaD_EEIUOjJ93Q/edit#gid=1877619074"",""2026-27!v4"")"),4583315.0)</f>
        <v>4583315</v>
      </c>
      <c r="AS106" s="59">
        <f>IFERROR(__xludf.DUMMYFUNCTION("importrange(""https://docs.google.com/spreadsheets/d/1nZS-t-cNO00Enmafk2x3CmLJnbno5WaD_EEIUOjJ93Q/edit#gid=1877619074"",""2026-27!v3"")"),45.0)</f>
        <v>45</v>
      </c>
      <c r="AT106" s="61">
        <f>IFERROR(__xludf.DUMMYFUNCTION("importrange(""https://docs.google.com/spreadsheets/d/1nZS-t-cNO00Enmafk2x3CmLJnbno5WaD_EEIUOjJ93Q/edit#gid=1877619074"",""2026-27!w4"")"),0.0)</f>
        <v>0</v>
      </c>
      <c r="AU106" s="59">
        <f>IFERROR(__xludf.DUMMYFUNCTION("importrange(""https://docs.google.com/spreadsheets/d/1nZS-t-cNO00Enmafk2x3CmLJnbno5WaD_EEIUOjJ93Q/edit#gid=1877619074"",""2026-27!w3"")"),0.0)</f>
        <v>0</v>
      </c>
      <c r="AV106" s="62">
        <f t="shared" si="104"/>
        <v>0</v>
      </c>
      <c r="AW106" s="59">
        <f>IFERROR(__xludf.DUMMYFUNCTION("importrange(""https://docs.google.com/spreadsheets/d/1nZS-t-cNO00Enmafk2x3CmLJnbno5WaD_EEIUOjJ93Q/edit#gid=1877619074"",""2026-27!x4"")"),0.0)</f>
        <v>0</v>
      </c>
      <c r="AX106" s="59">
        <f>IFERROR(__xludf.DUMMYFUNCTION("importrange(""https://docs.google.com/spreadsheets/d/1nZS-t-cNO00Enmafk2x3CmLJnbno5WaD_EEIUOjJ93Q/edit#gid=1877619074"",""2026-27!x3"")"),0.0)</f>
        <v>0</v>
      </c>
      <c r="AY106" s="59">
        <f>IFERROR(__xludf.DUMMYFUNCTION("importrange(""https://docs.google.com/spreadsheets/d/1nZS-t-cNO00Enmafk2x3CmLJnbno5WaD_EEIUOjJ93Q/edit#gid=1877619074"",""2026-27!y4"")"),4583315.0)</f>
        <v>4583315</v>
      </c>
      <c r="AZ106" s="59">
        <f>IFERROR(__xludf.DUMMYFUNCTION("importrange(""https://docs.google.com/spreadsheets/d/1nZS-t-cNO00Enmafk2x3CmLJnbno5WaD_EEIUOjJ93Q/edit#gid=1877619074"",""2026-27!y3"")"),45.0)</f>
        <v>45</v>
      </c>
      <c r="BA106" s="61">
        <f>IFERROR(__xludf.DUMMYFUNCTION("importrange(""https://docs.google.com/spreadsheets/d/1nZS-t-cNO00Enmafk2x3CmLJnbno5WaD_EEIUOjJ93Q/edit#gid=1877619074"",""2026-27!z4"")"),0.0)</f>
        <v>0</v>
      </c>
      <c r="BB106" s="59">
        <f>IFERROR(__xludf.DUMMYFUNCTION("importrange(""https://docs.google.com/spreadsheets/d/1nZS-t-cNO00Enmafk2x3CmLJnbno5WaD_EEIUOjJ93Q/edit#gid=1877619074"",""2026-27!z3"")"),0.0)</f>
        <v>0</v>
      </c>
      <c r="BC106" s="63">
        <f t="shared" si="105"/>
        <v>0</v>
      </c>
      <c r="BD106" s="59">
        <f>IFERROR(__xludf.DUMMYFUNCTION("importrange(""https://docs.google.com/spreadsheets/d/1nZS-t-cNO00Enmafk2x3CmLJnbno5WaD_EEIUOjJ93Q/edit#gid=1877619074"",""2026-27!aa4"")"),0.0)</f>
        <v>0</v>
      </c>
      <c r="BE106" s="59">
        <f>IFERROR(__xludf.DUMMYFUNCTION("importrange(""https://docs.google.com/spreadsheets/d/1nZS-t-cNO00Enmafk2x3CmLJnbno5WaD_EEIUOjJ93Q/edit#gid=1877619074"",""2026-27!aa3"")"),0.0)</f>
        <v>0</v>
      </c>
      <c r="BF106" s="59">
        <f>IFERROR(__xludf.DUMMYFUNCTION("importrange(""https://docs.google.com/spreadsheets/d/1nZS-t-cNO00Enmafk2x3CmLJnbno5WaD_EEIUOjJ93Q/edit#gid=1877619074"",""2026-27!ab4"")"),4583315.0)</f>
        <v>4583315</v>
      </c>
      <c r="BG106" s="59">
        <f>IFERROR(__xludf.DUMMYFUNCTION("importrange(""https://docs.google.com/spreadsheets/d/1nZS-t-cNO00Enmafk2x3CmLJnbno5WaD_EEIUOjJ93Q/edit#gid=1877619074"",""2026-27!ab3"")"),45.0)</f>
        <v>45</v>
      </c>
      <c r="BH106" s="59">
        <f>IFERROR(__xludf.DUMMYFUNCTION("importrange(""https://docs.google.com/spreadsheets/d/1nZS-t-cNO00Enmafk2x3CmLJnbno5WaD_EEIUOjJ93Q/edit#gid=1877619074"",""2026-27!ac4"")"),0.0)</f>
        <v>0</v>
      </c>
      <c r="BI106" s="59">
        <f>IFERROR(__xludf.DUMMYFUNCTION("importrange(""https://docs.google.com/spreadsheets/d/1nZS-t-cNO00Enmafk2x3CmLJnbno5WaD_EEIUOjJ93Q/edit#gid=1877619074"",""2026-27!ac3"")"),0.0)</f>
        <v>0</v>
      </c>
      <c r="BJ106" s="63">
        <f t="shared" si="106"/>
        <v>0</v>
      </c>
      <c r="BK106" s="59">
        <f>IFERROR(__xludf.DUMMYFUNCTION("importrange(""https://docs.google.com/spreadsheets/d/1nZS-t-cNO00Enmafk2x3CmLJnbno5WaD_EEIUOjJ93Q/edit#gid=1877619074"",""2026-27!ad4"")"),0.0)</f>
        <v>0</v>
      </c>
      <c r="BL106" s="59">
        <f>IFERROR(__xludf.DUMMYFUNCTION("importrange(""https://docs.google.com/spreadsheets/d/1nZS-t-cNO00Enmafk2x3CmLJnbno5WaD_EEIUOjJ93Q/edit#gid=1877619074"",""2026-27!ad3"")"),0.0)</f>
        <v>0</v>
      </c>
      <c r="BM106" s="59">
        <f>IFERROR(__xludf.DUMMYFUNCTION("importrange(""https://docs.google.com/spreadsheets/d/1nZS-t-cNO00Enmafk2x3CmLJnbno5WaD_EEIUOjJ93Q/edit#gid=1877619074"",""2026-27!ae4"")"),4583315.0)</f>
        <v>4583315</v>
      </c>
      <c r="BN106" s="59">
        <f>IFERROR(__xludf.DUMMYFUNCTION("importrange(""https://docs.google.com/spreadsheets/d/1nZS-t-cNO00Enmafk2x3CmLJnbno5WaD_EEIUOjJ93Q/edit#gid=1877619074"",""2026-27!ae3"")"),45.0)</f>
        <v>45</v>
      </c>
      <c r="BO106" s="59">
        <f>IFERROR(__xludf.DUMMYFUNCTION("importrange(""https://docs.google.com/spreadsheets/d/1nZS-t-cNO00Enmafk2x3CmLJnbno5WaD_EEIUOjJ93Q/edit#gid=1877619074"",""2026-27!af4"")"),0.0)</f>
        <v>0</v>
      </c>
      <c r="BP106" s="59">
        <f>IFERROR(__xludf.DUMMYFUNCTION("importrange(""https://docs.google.com/spreadsheets/d/1nZS-t-cNO00Enmafk2x3CmLJnbno5WaD_EEIUOjJ93Q/edit#gid=1877619074"",""2026-27!af3"")"),0.0)</f>
        <v>0</v>
      </c>
      <c r="BQ106" s="63">
        <f t="shared" si="107"/>
        <v>0</v>
      </c>
      <c r="BR106" s="59">
        <f>IFERROR(__xludf.DUMMYFUNCTION("importrange(""https://docs.google.com/spreadsheets/d/1nZS-t-cNO00Enmafk2x3CmLJnbno5WaD_EEIUOjJ93Q/edit#gid=1877619074"",""2026-27!ag4"")"),0.0)</f>
        <v>0</v>
      </c>
      <c r="BS106" s="59">
        <f>IFERROR(__xludf.DUMMYFUNCTION("importrange(""https://docs.google.com/spreadsheets/d/1nZS-t-cNO00Enmafk2x3CmLJnbno5WaD_EEIUOjJ93Q/edit#gid=1877619074"",""2026-27!ag3"")"),0.0)</f>
        <v>0</v>
      </c>
      <c r="BT106" s="59">
        <f>IFERROR(__xludf.DUMMYFUNCTION("importrange(""https://docs.google.com/spreadsheets/d/1nZS-t-cNO00Enmafk2x3CmLJnbno5WaD_EEIUOjJ93Q/edit#gid=1877619074"",""2026-27!ah4"")"),4583315.0)</f>
        <v>4583315</v>
      </c>
      <c r="BU106" s="59">
        <f>IFERROR(__xludf.DUMMYFUNCTION("importrange(""https://docs.google.com/spreadsheets/d/1nZS-t-cNO00Enmafk2x3CmLJnbno5WaD_EEIUOjJ93Q/edit#gid=1877619074"",""2026-27!ah3"")"),45.0)</f>
        <v>45</v>
      </c>
      <c r="BV106" s="59">
        <f>IFERROR(__xludf.DUMMYFUNCTION("importrange(""https://docs.google.com/spreadsheets/d/1nZS-t-cNO00Enmafk2x3CmLJnbno5WaD_EEIUOjJ93Q/edit#gid=1877619074"",""2026-27!ai4"")"),0.0)</f>
        <v>0</v>
      </c>
      <c r="BW106" s="59">
        <f>IFERROR(__xludf.DUMMYFUNCTION("importrange(""https://docs.google.com/spreadsheets/d/1nZS-t-cNO00Enmafk2x3CmLJnbno5WaD_EEIUOjJ93Q/edit#gid=1877619074"",""2026-27!ai3"")"),0.0)</f>
        <v>0</v>
      </c>
      <c r="BX106" s="63">
        <f t="shared" si="108"/>
        <v>0</v>
      </c>
      <c r="BY106" s="59">
        <f>IFERROR(__xludf.DUMMYFUNCTION("importrange(""https://docs.google.com/spreadsheets/d/1nZS-t-cNO00Enmafk2x3CmLJnbno5WaD_EEIUOjJ93Q/edit#gid=1877619074"",""2026-27!aj4"")"),0.0)</f>
        <v>0</v>
      </c>
      <c r="BZ106" s="59">
        <f>IFERROR(__xludf.DUMMYFUNCTION("importrange(""https://docs.google.com/spreadsheets/d/1nZS-t-cNO00Enmafk2x3CmLJnbno5WaD_EEIUOjJ93Q/edit#gid=1877619074"",""2026-27!aj3"")"),0.0)</f>
        <v>0</v>
      </c>
      <c r="CA106" s="59">
        <f>IFERROR(__xludf.DUMMYFUNCTION("importrange(""https://docs.google.com/spreadsheets/d/1nZS-t-cNO00Enmafk2x3CmLJnbno5WaD_EEIUOjJ93Q/edit#gid=1877619074"",""2026-27!ak4"")"),4583315.0)</f>
        <v>4583315</v>
      </c>
      <c r="CB106" s="59">
        <f>IFERROR(__xludf.DUMMYFUNCTION("importrange(""https://docs.google.com/spreadsheets/d/1nZS-t-cNO00Enmafk2x3CmLJnbno5WaD_EEIUOjJ93Q/edit#gid=1877619074"",""2026-27!ak3"")"),45.0)</f>
        <v>45</v>
      </c>
      <c r="CC106" s="59">
        <f>IFERROR(__xludf.DUMMYFUNCTION("importrange(""https://docs.google.com/spreadsheets/d/1nZS-t-cNO00Enmafk2x3CmLJnbno5WaD_EEIUOjJ93Q/edit#gid=1877619074"",""2026-27!al4"")"),0.0)</f>
        <v>0</v>
      </c>
      <c r="CD106" s="59">
        <f>IFERROR(__xludf.DUMMYFUNCTION("importrange(""https://docs.google.com/spreadsheets/d/1nZS-t-cNO00Enmafk2x3CmLJnbno5WaD_EEIUOjJ93Q/edit#gid=1877619074"",""2026-27!ai3"")"),0.0)</f>
        <v>0</v>
      </c>
      <c r="CE106" s="63">
        <f t="shared" si="109"/>
        <v>0</v>
      </c>
      <c r="CF106" s="59">
        <f>IFERROR(__xludf.DUMMYFUNCTION("importrange(""https://docs.google.com/spreadsheets/d/1nZS-t-cNO00Enmafk2x3CmLJnbno5WaD_EEIUOjJ93Q/edit#gid=1877619074"",""2026-27!am4"")"),0.0)</f>
        <v>0</v>
      </c>
      <c r="CG106" s="59">
        <f>IFERROR(__xludf.DUMMYFUNCTION("importrange(""https://docs.google.com/spreadsheets/d/1nZS-t-cNO00Enmafk2x3CmLJnbno5WaD_EEIUOjJ93Q/edit#gid=1877619074"",""2026-27!am3"")"),0.0)</f>
        <v>0</v>
      </c>
      <c r="CH106" s="59">
        <f>IFERROR(__xludf.DUMMYFUNCTION("importrange(""https://docs.google.com/spreadsheets/d/1nZS-t-cNO00Enmafk2x3CmLJnbno5WaD_EEIUOjJ93Q/edit#gid=1877619074"",""2026-27!an4"")"),4583315.0)</f>
        <v>4583315</v>
      </c>
      <c r="CI106" s="59">
        <f>IFERROR(__xludf.DUMMYFUNCTION("importrange(""https://docs.google.com/spreadsheets/d/1nZS-t-cNO00Enmafk2x3CmLJnbno5WaD_EEIUOjJ93Q/edit#gid=1877619074"",""2026-27!an3"")"),45.0)</f>
        <v>45</v>
      </c>
      <c r="CJ106" s="59">
        <f>IFERROR(__xludf.DUMMYFUNCTION("importrange(""https://docs.google.com/spreadsheets/d/1nZS-t-cNO00Enmafk2x3CmLJnbno5WaD_EEIUOjJ93Q/edit#gid=1877619074"",""2026-27!ao4"")"),0.0)</f>
        <v>0</v>
      </c>
      <c r="CK106" s="59">
        <f>IFERROR(__xludf.DUMMYFUNCTION("importrange(""https://docs.google.com/spreadsheets/d/1nZS-t-cNO00Enmafk2x3CmLJnbno5WaD_EEIUOjJ93Q/edit#gid=1877619074"",""2026-27!ao3"")"),0.0)</f>
        <v>0</v>
      </c>
      <c r="CL106" s="63">
        <f t="shared" si="110"/>
        <v>0</v>
      </c>
      <c r="CM106" s="59">
        <f>IFERROR(__xludf.DUMMYFUNCTION("importrange(""https://docs.google.com/spreadsheets/d/1nZS-t-cNO00Enmafk2x3CmLJnbno5WaD_EEIUOjJ93Q/edit#gid=1877619074"",""2026-27!ap4"")"),0.0)</f>
        <v>0</v>
      </c>
      <c r="CN106" s="59">
        <f>IFERROR(__xludf.DUMMYFUNCTION("importrange(""https://docs.google.com/spreadsheets/d/1nZS-t-cNO00Enmafk2x3CmLJnbno5WaD_EEIUOjJ93Q/edit#gid=1877619074"",""2026-27!ap3"")"),0.0)</f>
        <v>0</v>
      </c>
      <c r="CO106" s="59">
        <f>IFERROR(__xludf.DUMMYFUNCTION("importrange(""https://docs.google.com/spreadsheets/d/1nZS-t-cNO00Enmafk2x3CmLJnbno5WaD_EEIUOjJ93Q/edit#gid=1877619074"",""2026-27!aq4"")"),4583315.0)</f>
        <v>4583315</v>
      </c>
      <c r="CP106" s="59">
        <f>IFERROR(__xludf.DUMMYFUNCTION("importrange(""https://docs.google.com/spreadsheets/d/1nZS-t-cNO00Enmafk2x3CmLJnbno5WaD_EEIUOjJ93Q/edit#gid=1877619074"",""2026-27!aq3"")"),45.0)</f>
        <v>45</v>
      </c>
      <c r="CQ106" s="59">
        <f>IFERROR(__xludf.DUMMYFUNCTION("importrange(""https://docs.google.com/spreadsheets/d/1nZS-t-cNO00Enmafk2x3CmLJnbno5WaD_EEIUOjJ93Q/edit#gid=1877619074"",""2026-27!ar4"")"),0.0)</f>
        <v>0</v>
      </c>
      <c r="CR106" s="59">
        <f>IFERROR(__xludf.DUMMYFUNCTION("importrange(""https://docs.google.com/spreadsheets/d/1nZS-t-cNO00Enmafk2x3CmLJnbno5WaD_EEIUOjJ93Q/edit#gid=1877619074"",""2026-27!ar3"")"),0.0)</f>
        <v>0</v>
      </c>
      <c r="CS106" s="63">
        <f t="shared" si="111"/>
        <v>0</v>
      </c>
      <c r="CT106" s="59">
        <f>IFERROR(__xludf.DUMMYFUNCTION("importrange(""https://docs.google.com/spreadsheets/d/1nZS-t-cNO00Enmafk2x3CmLJnbno5WaD_EEIUOjJ93Q/edit#gid=1877619074"",""2026-27!as4"")"),0.0)</f>
        <v>0</v>
      </c>
      <c r="CU106" s="59">
        <f>IFERROR(__xludf.DUMMYFUNCTION("importrange(""https://docs.google.com/spreadsheets/d/1nZS-t-cNO00Enmafk2x3CmLJnbno5WaD_EEIUOjJ93Q/edit#gid=1877619074"",""2026-27!as3"")"),0.0)</f>
        <v>0</v>
      </c>
      <c r="CV106" s="64"/>
    </row>
    <row r="107">
      <c r="A107" s="1" t="s">
        <v>160</v>
      </c>
      <c r="B107" s="41"/>
      <c r="C107" s="68" t="s">
        <v>211</v>
      </c>
      <c r="D107" s="54" t="s">
        <v>164</v>
      </c>
      <c r="E107" s="54">
        <v>8.116585185E9</v>
      </c>
      <c r="F107" s="80">
        <v>45117.0</v>
      </c>
      <c r="G107" s="66"/>
      <c r="H107" s="66"/>
      <c r="I107" s="57">
        <v>24120.0</v>
      </c>
      <c r="J107" s="58">
        <v>3333333.0</v>
      </c>
      <c r="K107" s="61">
        <f>IFERROR(__xludf.DUMMYFUNCTION("IMPORTRANGE(""https://docs.google.com/spreadsheets/d/1caQXh8WGfK5sXydbQ1cFTMP2RiGHVTedJ7iCzX2Bmes/edit#gid=1126716712"",""2026-27!A3"")"),67.0)</f>
        <v>67</v>
      </c>
      <c r="L107" s="61">
        <f>IFERROR(__xludf.DUMMYFUNCTION("IMPORTRANGE(""https://docs.google.com/spreadsheets/d/1caQXh8WGfK5sXydbQ1cFTMP2RiGHVTedJ7iCzX2Bmes/edit#gid=1126716712"",""2026-27!G4"")"),2.0035E7)</f>
        <v>20035000</v>
      </c>
      <c r="M107" s="61">
        <f t="shared" si="97"/>
        <v>6446412.21</v>
      </c>
      <c r="N107" s="60">
        <f t="shared" si="98"/>
        <v>0.1318884452</v>
      </c>
      <c r="O107" s="61">
        <f t="shared" si="99"/>
        <v>2642385</v>
      </c>
      <c r="P107" s="59">
        <f>IFERROR(__xludf.DUMMYFUNCTION("IMPORTRANGE(""https://docs.google.com/spreadsheets/d/1caQXh8WGfK5sXydbQ1cFTMP2RiGHVTedJ7iCzX2Bmes/edit#gid=1126716712"",""2026-27!J4"")"),1060000.0)</f>
        <v>1060000</v>
      </c>
      <c r="Q107" s="59">
        <f>IFERROR(__xludf.DUMMYFUNCTION("IMPORTRANGE(""https://docs.google.com/spreadsheets/d/1caQXh8WGfK5sXydbQ1cFTMP2RiGHVTedJ7iCzX2Bmes/edit#gid=1126716712"",""2026-27!J3"")"),17.0)</f>
        <v>17</v>
      </c>
      <c r="R107" s="59">
        <f>IFERROR(__xludf.DUMMYFUNCTION("IMPORTRANGE(""https://docs.google.com/spreadsheets/d/1caQXh8WGfK5sXydbQ1cFTMP2RiGHVTedJ7iCzX2Bmes/edit#gid=1126716712"",""2026-27!K4"")"),1095211.21)</f>
        <v>1095211.21</v>
      </c>
      <c r="S107" s="59">
        <f>IFERROR(__xludf.DUMMYFUNCTION("IMPORTRANGE(""https://docs.google.com/spreadsheets/d/1caQXh8WGfK5sXydbQ1cFTMP2RiGHVTedJ7iCzX2Bmes/edit#gid=1126716712"",""2026-27!K3"")"),14.0)</f>
        <v>14</v>
      </c>
      <c r="T107" s="62">
        <f t="shared" si="100"/>
        <v>0.9119245283</v>
      </c>
      <c r="U107" s="59">
        <f>IFERROR(__xludf.DUMMYFUNCTION("IMPORTRANGE(""https://docs.google.com/spreadsheets/d/1caQXh8WGfK5sXydbQ1cFTMP2RiGHVTedJ7iCzX2Bmes/edit#gid=1126716712"",""2026-27!L4"")"),966640.0)</f>
        <v>966640</v>
      </c>
      <c r="V107" s="85">
        <f>IFERROR(__xludf.DUMMYFUNCTION("IMPORTRANGE(""https://docs.google.com/spreadsheets/d/1caQXh8WGfK5sXydbQ1cFTMP2RiGHVTedJ7iCzX2Bmes/edit#gid=1126716712"",""2026-27!L3"")"),14.0)</f>
        <v>14</v>
      </c>
      <c r="W107" s="59">
        <f>IFERROR(__xludf.DUMMYFUNCTION("IMPORTRANGE(""https://docs.google.com/spreadsheets/d/1caQXh8WGfK5sXydbQ1cFTMP2RiGHVTedJ7iCzX2Bmes/edit#gid=1126716712"",""2026-27!M4"")"),1500000.0)</f>
        <v>1500000</v>
      </c>
      <c r="X107" s="85">
        <f>IFERROR(__xludf.DUMMYFUNCTION("IMPORTRANGE(""https://docs.google.com/spreadsheets/d/1caQXh8WGfK5sXydbQ1cFTMP2RiGHVTedJ7iCzX2Bmes/edit#gid=1126716712"",""2026-27!M3"")"),30.0)</f>
        <v>30</v>
      </c>
      <c r="Y107" s="59">
        <f>IFERROR(__xludf.DUMMYFUNCTION("importrange(""https://docs.google.com/spreadsheets/d/1caQXh8WGfK5sXydbQ1cFTMP2RiGHVTedJ7iCzX2Bmes/edit#gid=1126716712"",""2026-27!n4"")"),1828034.54)</f>
        <v>1828034.54</v>
      </c>
      <c r="Z107" s="59">
        <f>IFERROR(__xludf.DUMMYFUNCTION("importrange(""https://docs.google.com/spreadsheets/d/1caQXh8WGfK5sXydbQ1cFTMP2RiGHVTedJ7iCzX2Bmes/edit#gid=1126716712"",""2026-27!n3"")"),21.0)</f>
        <v>21</v>
      </c>
      <c r="AA107" s="62">
        <f t="shared" si="101"/>
        <v>1.117163333</v>
      </c>
      <c r="AB107" s="59">
        <f>IFERROR(__xludf.DUMMYFUNCTION("importrange(""https://docs.google.com/spreadsheets/d/1caQXh8WGfK5sXydbQ1cFTMP2RiGHVTedJ7iCzX2Bmes/edit#gid=1126716712"",""2026-27!o4"")"),1675745.0)</f>
        <v>1675745</v>
      </c>
      <c r="AC107" s="59">
        <f>IFERROR(__xludf.DUMMYFUNCTION("importrange(""https://docs.google.com/spreadsheets/d/1caQXh8WGfK5sXydbQ1cFTMP2RiGHVTedJ7iCzX2Bmes/edit#gid=1126716712"",""2026-27!o3"")"),21.0)</f>
        <v>21</v>
      </c>
      <c r="AD107" s="59">
        <f>IFERROR(__xludf.DUMMYFUNCTION("importrange(""https://docs.google.com/spreadsheets/d/1caQXh8WGfK5sXydbQ1cFTMP2RiGHVTedJ7iCzX2Bmes/edit#gid=1126716712"",""2026-27!p4"")"),1555000.0)</f>
        <v>1555000</v>
      </c>
      <c r="AE107" s="59">
        <f>IFERROR(__xludf.DUMMYFUNCTION("importrange(""https://docs.google.com/spreadsheets/d/1caQXh8WGfK5sXydbQ1cFTMP2RiGHVTedJ7iCzX2Bmes/edit#gid=1126716712"",""2026-27!p3"")"),36.0)</f>
        <v>36</v>
      </c>
      <c r="AF107" s="59">
        <f>IFERROR(__xludf.DUMMYFUNCTION("importrange(""https://docs.google.com/spreadsheets/d/1caQXh8WGfK5sXydbQ1cFTMP2RiGHVTedJ7iCzX2Bmes/edit#gid=1126716712"",""2026-27!q4"")"),3523166.4600000004)</f>
        <v>3523166.46</v>
      </c>
      <c r="AG107" s="59">
        <f>IFERROR(__xludf.DUMMYFUNCTION("importrange(""https://docs.google.com/spreadsheets/d/1caQXh8WGfK5sXydbQ1cFTMP2RiGHVTedJ7iCzX2Bmes/edit#gid=1126716712"",""2026-27!q3"")"),34.0)</f>
        <v>34</v>
      </c>
      <c r="AH107" s="62">
        <f t="shared" si="102"/>
        <v>0</v>
      </c>
      <c r="AI107" s="59">
        <f>IFERROR(__xludf.DUMMYFUNCTION("importrange(""https://docs.google.com/spreadsheets/d/1caQXh8WGfK5sXydbQ1cFTMP2RiGHVTedJ7iCzX2Bmes/edit#gid=1126716712"",""2026-27!r4"")"),0.0)</f>
        <v>0</v>
      </c>
      <c r="AJ107" s="59">
        <f>IFERROR(__xludf.DUMMYFUNCTION("importrange(""https://docs.google.com/spreadsheets/d/1caQXh8WGfK5sXydbQ1cFTMP2RiGHVTedJ7iCzX2Bmes/edit#gid=1126716712"",""2026-27!r3"")"),0.0)</f>
        <v>0</v>
      </c>
      <c r="AK107" s="59">
        <f>IFERROR(__xludf.DUMMYFUNCTION("importrange(""https://docs.google.com/spreadsheets/d/1caQXh8WGfK5sXydbQ1cFTMP2RiGHVTedJ7iCzX2Bmes/edit#gid=1126716712"",""2026-27!s4"")"),1530000.0)</f>
        <v>1530000</v>
      </c>
      <c r="AL107" s="59">
        <f>IFERROR(__xludf.DUMMYFUNCTION("importrange(""https://docs.google.com/spreadsheets/d/1caQXh8WGfK5sXydbQ1cFTMP2RiGHVTedJ7iCzX2Bmes/edit#gid=1126716712"",""2026-27!s3"")"),22.0)</f>
        <v>22</v>
      </c>
      <c r="AM107" s="61">
        <f>IFERROR(__xludf.DUMMYFUNCTION("importrange(""https://docs.google.com/spreadsheets/d/1caQXh8WGfK5sXydbQ1cFTMP2RiGHVTedJ7iCzX2Bmes/edit#gid=1126716712"",""2026-27!t4"")"),0.0)</f>
        <v>0</v>
      </c>
      <c r="AN107" s="59">
        <f>IFERROR(__xludf.DUMMYFUNCTION("importrange(""https://docs.google.com/spreadsheets/d/1caQXh8WGfK5sXydbQ1cFTMP2RiGHVTedJ7iCzX2Bmes/edit#gid=1126716712"",""2026-27!t3"")"),0.0)</f>
        <v>0</v>
      </c>
      <c r="AO107" s="62">
        <f t="shared" si="103"/>
        <v>0</v>
      </c>
      <c r="AP107" s="59">
        <f>IFERROR(__xludf.DUMMYFUNCTION("importrange(""https://docs.google.com/spreadsheets/d/1caQXh8WGfK5sXydbQ1cFTMP2RiGHVTedJ7iCzX2Bmes/edit#gid=1126716712"",""2026-27!u4"")"),0.0)</f>
        <v>0</v>
      </c>
      <c r="AQ107" s="59">
        <f>IFERROR(__xludf.DUMMYFUNCTION("importrange(""https://docs.google.com/spreadsheets/d/1caQXh8WGfK5sXydbQ1cFTMP2RiGHVTedJ7iCzX2Bmes/edit#gid=1126716712"",""2026-27!u3"")"),0.0)</f>
        <v>0</v>
      </c>
      <c r="AR107" s="59">
        <f>IFERROR(__xludf.DUMMYFUNCTION("importrange(""https://docs.google.com/spreadsheets/d/1caQXh8WGfK5sXydbQ1cFTMP2RiGHVTedJ7iCzX2Bmes/edit#gid=1126716712"",""2026-27!v4"")"),1640000.0)</f>
        <v>1640000</v>
      </c>
      <c r="AS107" s="59">
        <f>IFERROR(__xludf.DUMMYFUNCTION("importrange(""https://docs.google.com/spreadsheets/d/1caQXh8WGfK5sXydbQ1cFTMP2RiGHVTedJ7iCzX2Bmes/edit#gid=1126716712"",""2026-27!v3"")"),26.0)</f>
        <v>26</v>
      </c>
      <c r="AT107" s="61">
        <f>IFERROR(__xludf.DUMMYFUNCTION("importrange(""https://docs.google.com/spreadsheets/d/1caQXh8WGfK5sXydbQ1cFTMP2RiGHVTedJ7iCzX2Bmes/edit#gid=1126716712"",""2026-27!w4"")"),0.0)</f>
        <v>0</v>
      </c>
      <c r="AU107" s="59">
        <f>IFERROR(__xludf.DUMMYFUNCTION("importrange(""https://docs.google.com/spreadsheets/d/1caQXh8WGfK5sXydbQ1cFTMP2RiGHVTedJ7iCzX2Bmes/edit#gid=1126716712"",""2026-27!w3"")"),0.0)</f>
        <v>0</v>
      </c>
      <c r="AV107" s="62">
        <f t="shared" si="104"/>
        <v>0</v>
      </c>
      <c r="AW107" s="59">
        <f>IFERROR(__xludf.DUMMYFUNCTION("importrange(""https://docs.google.com/spreadsheets/d/1caQXh8WGfK5sXydbQ1cFTMP2RiGHVTedJ7iCzX2Bmes/edit#gid=1126716712"",""2026-27!x4"")"),0.0)</f>
        <v>0</v>
      </c>
      <c r="AX107" s="59">
        <f>IFERROR(__xludf.DUMMYFUNCTION("importrange(""https://docs.google.com/spreadsheets/d/1caQXh8WGfK5sXydbQ1cFTMP2RiGHVTedJ7iCzX2Bmes/edit#gid=1126716712"",""2026-27!x3"")"),0.0)</f>
        <v>0</v>
      </c>
      <c r="AY107" s="59">
        <f>IFERROR(__xludf.DUMMYFUNCTION("importrange(""https://docs.google.com/spreadsheets/d/1caQXh8WGfK5sXydbQ1cFTMP2RiGHVTedJ7iCzX2Bmes/edit#gid=1126716712"",""2026-27!y4"")"),1525000.0)</f>
        <v>1525000</v>
      </c>
      <c r="AZ107" s="59">
        <f>IFERROR(__xludf.DUMMYFUNCTION("importrange(""https://docs.google.com/spreadsheets/d/1caQXh8WGfK5sXydbQ1cFTMP2RiGHVTedJ7iCzX2Bmes/edit#gid=1126716712"",""2026-27!y3"")"),31.0)</f>
        <v>31</v>
      </c>
      <c r="BA107" s="61">
        <f>IFERROR(__xludf.DUMMYFUNCTION("importrange(""https://docs.google.com/spreadsheets/d/1caQXh8WGfK5sXydbQ1cFTMP2RiGHVTedJ7iCzX2Bmes/edit#gid=1126716712"",""2026-27!z4"")"),0.0)</f>
        <v>0</v>
      </c>
      <c r="BB107" s="59">
        <f>IFERROR(__xludf.DUMMYFUNCTION("importrange(""https://docs.google.com/spreadsheets/d/1caQXh8WGfK5sXydbQ1cFTMP2RiGHVTedJ7iCzX2Bmes/edit#gid=1126716712"",""2026-27!z3"")"),0.0)</f>
        <v>0</v>
      </c>
      <c r="BC107" s="63">
        <f t="shared" si="105"/>
        <v>0</v>
      </c>
      <c r="BD107" s="59">
        <f>IFERROR(__xludf.DUMMYFUNCTION("importrange(""https://docs.google.com/spreadsheets/d/1caQXh8WGfK5sXydbQ1cFTMP2RiGHVTedJ7iCzX2Bmes/edit#gid=1126716712"",""2026-27!aa4"")"),0.0)</f>
        <v>0</v>
      </c>
      <c r="BE107" s="59">
        <f>IFERROR(__xludf.DUMMYFUNCTION("importrange(""https://docs.google.com/spreadsheets/d/1caQXh8WGfK5sXydbQ1cFTMP2RiGHVTedJ7iCzX2Bmes/edit#gid=1126716712"",""2026-27!aa3"")"),0.0)</f>
        <v>0</v>
      </c>
      <c r="BF107" s="59">
        <f>IFERROR(__xludf.DUMMYFUNCTION("importrange(""https://docs.google.com/spreadsheets/d/1caQXh8WGfK5sXydbQ1cFTMP2RiGHVTedJ7iCzX2Bmes/edit#gid=1126716712"",""2026-27!ab4"")"),1650000.0)</f>
        <v>1650000</v>
      </c>
      <c r="BG107" s="59">
        <f>IFERROR(__xludf.DUMMYFUNCTION("importrange(""https://docs.google.com/spreadsheets/d/1caQXh8WGfK5sXydbQ1cFTMP2RiGHVTedJ7iCzX2Bmes/edit#gid=1126716712"",""2026-27!ab3"")"),25.0)</f>
        <v>25</v>
      </c>
      <c r="BH107" s="59">
        <f>IFERROR(__xludf.DUMMYFUNCTION("importrange(""https://docs.google.com/spreadsheets/d/1caQXh8WGfK5sXydbQ1cFTMP2RiGHVTedJ7iCzX2Bmes/edit#gid=1126716712"",""2026-27!ac4"")"),0.0)</f>
        <v>0</v>
      </c>
      <c r="BI107" s="59">
        <f>IFERROR(__xludf.DUMMYFUNCTION("importrange(""https://docs.google.com/spreadsheets/d/1caQXh8WGfK5sXydbQ1cFTMP2RiGHVTedJ7iCzX2Bmes/edit#gid=1126716712"",""2026-27!ac3"")"),0.0)</f>
        <v>0</v>
      </c>
      <c r="BJ107" s="63">
        <f t="shared" si="106"/>
        <v>0</v>
      </c>
      <c r="BK107" s="59">
        <f>IFERROR(__xludf.DUMMYFUNCTION("importrange(""https://docs.google.com/spreadsheets/d/1caQXh8WGfK5sXydbQ1cFTMP2RiGHVTedJ7iCzX2Bmes/edit#gid=1126716712"",""2026-27!ad4"")"),0.0)</f>
        <v>0</v>
      </c>
      <c r="BL107" s="59">
        <f>IFERROR(__xludf.DUMMYFUNCTION("importrange(""https://docs.google.com/spreadsheets/d/1caQXh8WGfK5sXydbQ1cFTMP2RiGHVTedJ7iCzX2Bmes/edit#gid=1126716712"",""2026-27!ad3"")"),0.0)</f>
        <v>0</v>
      </c>
      <c r="BM107" s="59">
        <f>IFERROR(__xludf.DUMMYFUNCTION("importrange(""https://docs.google.com/spreadsheets/d/1caQXh8WGfK5sXydbQ1cFTMP2RiGHVTedJ7iCzX2Bmes/edit#gid=1126716712"",""2026-27!ae4"")"),1700000.0)</f>
        <v>1700000</v>
      </c>
      <c r="BN107" s="59">
        <f>IFERROR(__xludf.DUMMYFUNCTION("importrange(""https://docs.google.com/spreadsheets/d/1caQXh8WGfK5sXydbQ1cFTMP2RiGHVTedJ7iCzX2Bmes/edit#gid=1126716712"",""2026-27!ae3"")"),31.0)</f>
        <v>31</v>
      </c>
      <c r="BO107" s="59">
        <f>IFERROR(__xludf.DUMMYFUNCTION("importrange(""https://docs.google.com/spreadsheets/d/1caQXh8WGfK5sXydbQ1cFTMP2RiGHVTedJ7iCzX2Bmes/edit#gid=1126716712"",""2026-27!af4"")"),0.0)</f>
        <v>0</v>
      </c>
      <c r="BP107" s="59">
        <f>IFERROR(__xludf.DUMMYFUNCTION("importrange(""https://docs.google.com/spreadsheets/d/1caQXh8WGfK5sXydbQ1cFTMP2RiGHVTedJ7iCzX2Bmes/edit#gid=1126716712"",""2026-27!af3"")"),0.0)</f>
        <v>0</v>
      </c>
      <c r="BQ107" s="63">
        <f t="shared" si="107"/>
        <v>0</v>
      </c>
      <c r="BR107" s="59">
        <f>IFERROR(__xludf.DUMMYFUNCTION("importrange(""https://docs.google.com/spreadsheets/d/1caQXh8WGfK5sXydbQ1cFTMP2RiGHVTedJ7iCzX2Bmes/edit#gid=1126716712"",""2026-27!ag4"")"),0.0)</f>
        <v>0</v>
      </c>
      <c r="BS107" s="59">
        <f>IFERROR(__xludf.DUMMYFUNCTION("importrange(""https://docs.google.com/spreadsheets/d/1caQXh8WGfK5sXydbQ1cFTMP2RiGHVTedJ7iCzX2Bmes/edit#gid=1126716712"",""2026-27!ag3"")"),0.0)</f>
        <v>0</v>
      </c>
      <c r="BT107" s="59">
        <f>IFERROR(__xludf.DUMMYFUNCTION("importrange(""https://docs.google.com/spreadsheets/d/1caQXh8WGfK5sXydbQ1cFTMP2RiGHVTedJ7iCzX2Bmes/edit#gid=1126716712"",""2026-27!ah4"")"),1685000.0)</f>
        <v>1685000</v>
      </c>
      <c r="BU107" s="59">
        <f>IFERROR(__xludf.DUMMYFUNCTION("importrange(""https://docs.google.com/spreadsheets/d/1caQXh8WGfK5sXydbQ1cFTMP2RiGHVTedJ7iCzX2Bmes/edit#gid=1126716712"",""2026-27!ah3"")"),23.0)</f>
        <v>23</v>
      </c>
      <c r="BV107" s="59">
        <f>IFERROR(__xludf.DUMMYFUNCTION("importrange(""https://docs.google.com/spreadsheets/d/1caQXh8WGfK5sXydbQ1cFTMP2RiGHVTedJ7iCzX2Bmes/edit#gid=1126716712"",""2026-27!ai4"")"),0.0)</f>
        <v>0</v>
      </c>
      <c r="BW107" s="59">
        <f>IFERROR(__xludf.DUMMYFUNCTION("importrange(""https://docs.google.com/spreadsheets/d/1caQXh8WGfK5sXydbQ1cFTMP2RiGHVTedJ7iCzX2Bmes/edit#gid=1126716712"",""2026-27!ai3"")"),0.0)</f>
        <v>0</v>
      </c>
      <c r="BX107" s="63">
        <f t="shared" si="108"/>
        <v>0</v>
      </c>
      <c r="BY107" s="59">
        <f>IFERROR(__xludf.DUMMYFUNCTION("importrange(""https://docs.google.com/spreadsheets/d/1caQXh8WGfK5sXydbQ1cFTMP2RiGHVTedJ7iCzX2Bmes/edit#gid=1126716712"",""2026-27!aj4"")"),0.0)</f>
        <v>0</v>
      </c>
      <c r="BZ107" s="59">
        <f>IFERROR(__xludf.DUMMYFUNCTION("importrange(""https://docs.google.com/spreadsheets/d/1caQXh8WGfK5sXydbQ1cFTMP2RiGHVTedJ7iCzX2Bmes/edit#gid=1126716712"",""2026-27!aj3"")"),0.0)</f>
        <v>0</v>
      </c>
      <c r="CA107" s="59">
        <f>IFERROR(__xludf.DUMMYFUNCTION("importrange(""https://docs.google.com/spreadsheets/d/1caQXh8WGfK5sXydbQ1cFTMP2RiGHVTedJ7iCzX2Bmes/edit#gid=1126716712"",""2026-27!ak4"")"),1625000.0)</f>
        <v>1625000</v>
      </c>
      <c r="CB107" s="59">
        <f>IFERROR(__xludf.DUMMYFUNCTION("importrange(""https://docs.google.com/spreadsheets/d/1caQXh8WGfK5sXydbQ1cFTMP2RiGHVTedJ7iCzX2Bmes/edit#gid=1126716712"",""2026-27!ak3"")"),21.0)</f>
        <v>21</v>
      </c>
      <c r="CC107" s="59">
        <f>IFERROR(__xludf.DUMMYFUNCTION("importrange(""https://docs.google.com/spreadsheets/d/1caQXh8WGfK5sXydbQ1cFTMP2RiGHVTedJ7iCzX2Bmes/edit#gid=1126716712"",""2026-27!al4"")"),0.0)</f>
        <v>0</v>
      </c>
      <c r="CD107" s="59">
        <f>IFERROR(__xludf.DUMMYFUNCTION("importrange(""https://docs.google.com/spreadsheets/d/1caQXh8WGfK5sXydbQ1cFTMP2RiGHVTedJ7iCzX2Bmes/edit#gid=1126716712"",""2026-27!ai3"")"),0.0)</f>
        <v>0</v>
      </c>
      <c r="CE107" s="63">
        <f t="shared" si="109"/>
        <v>0</v>
      </c>
      <c r="CF107" s="59">
        <f>IFERROR(__xludf.DUMMYFUNCTION("importrange(""https://docs.google.com/spreadsheets/d/1caQXh8WGfK5sXydbQ1cFTMP2RiGHVTedJ7iCzX2Bmes/edit#gid=1126716712"",""2026-27!am4"")"),0.0)</f>
        <v>0</v>
      </c>
      <c r="CG107" s="59">
        <f>IFERROR(__xludf.DUMMYFUNCTION("importrange(""https://docs.google.com/spreadsheets/d/1caQXh8WGfK5sXydbQ1cFTMP2RiGHVTedJ7iCzX2Bmes/edit#gid=1126716712"",""2026-27!am3"")"),0.0)</f>
        <v>0</v>
      </c>
      <c r="CH107" s="59">
        <f>IFERROR(__xludf.DUMMYFUNCTION("importrange(""https://docs.google.com/spreadsheets/d/1caQXh8WGfK5sXydbQ1cFTMP2RiGHVTedJ7iCzX2Bmes/edit#gid=1126716712"",""2026-27!an4"")"),1680000.0)</f>
        <v>1680000</v>
      </c>
      <c r="CI107" s="59">
        <f>IFERROR(__xludf.DUMMYFUNCTION("importrange(""https://docs.google.com/spreadsheets/d/1caQXh8WGfK5sXydbQ1cFTMP2RiGHVTedJ7iCzX2Bmes/edit#gid=1126716712"",""2026-27!an3"")"),27.0)</f>
        <v>27</v>
      </c>
      <c r="CJ107" s="59">
        <f>IFERROR(__xludf.DUMMYFUNCTION("importrange(""https://docs.google.com/spreadsheets/d/1caQXh8WGfK5sXydbQ1cFTMP2RiGHVTedJ7iCzX2Bmes/edit#gid=1126716712"",""2026-27!ao4"")"),0.0)</f>
        <v>0</v>
      </c>
      <c r="CK107" s="59">
        <f>IFERROR(__xludf.DUMMYFUNCTION("importrange(""https://docs.google.com/spreadsheets/d/1caQXh8WGfK5sXydbQ1cFTMP2RiGHVTedJ7iCzX2Bmes/edit#gid=1126716712"",""2026-27!ao3"")"),0.0)</f>
        <v>0</v>
      </c>
      <c r="CL107" s="63">
        <f t="shared" si="110"/>
        <v>0</v>
      </c>
      <c r="CM107" s="59">
        <f>IFERROR(__xludf.DUMMYFUNCTION("importrange(""https://docs.google.com/spreadsheets/d/1caQXh8WGfK5sXydbQ1cFTMP2RiGHVTedJ7iCzX2Bmes/edit#gid=1126716712"",""2026-27!ap4"")"),0.0)</f>
        <v>0</v>
      </c>
      <c r="CN107" s="59">
        <f>IFERROR(__xludf.DUMMYFUNCTION("importrange(""https://docs.google.com/spreadsheets/d/1caQXh8WGfK5sXydbQ1cFTMP2RiGHVTedJ7iCzX2Bmes/edit#gid=1126716712"",""2026-27!ap3"")"),0.0)</f>
        <v>0</v>
      </c>
      <c r="CO107" s="59">
        <f>IFERROR(__xludf.DUMMYFUNCTION("importrange(""https://docs.google.com/spreadsheets/d/1caQXh8WGfK5sXydbQ1cFTMP2RiGHVTedJ7iCzX2Bmes/edit#gid=1126716712"",""2026-27!aq4"")"),1905000.0)</f>
        <v>1905000</v>
      </c>
      <c r="CP107" s="59">
        <f>IFERROR(__xludf.DUMMYFUNCTION("importrange(""https://docs.google.com/spreadsheets/d/1caQXh8WGfK5sXydbQ1cFTMP2RiGHVTedJ7iCzX2Bmes/edit#gid=1126716712"",""2026-27!aq3"")"),22.0)</f>
        <v>22</v>
      </c>
      <c r="CQ107" s="59">
        <f>IFERROR(__xludf.DUMMYFUNCTION("importrange(""https://docs.google.com/spreadsheets/d/1caQXh8WGfK5sXydbQ1cFTMP2RiGHVTedJ7iCzX2Bmes/edit#gid=1126716712"",""2026-27!ar4"")"),0.0)</f>
        <v>0</v>
      </c>
      <c r="CR107" s="59">
        <f>IFERROR(__xludf.DUMMYFUNCTION("importrange(""https://docs.google.com/spreadsheets/d/1caQXh8WGfK5sXydbQ1cFTMP2RiGHVTedJ7iCzX2Bmes/edit#gid=1126716712"",""2026-27!ar3"")"),0.0)</f>
        <v>0</v>
      </c>
      <c r="CS107" s="63">
        <f t="shared" si="111"/>
        <v>0</v>
      </c>
      <c r="CT107" s="59">
        <f>IFERROR(__xludf.DUMMYFUNCTION("importrange(""https://docs.google.com/spreadsheets/d/1caQXh8WGfK5sXydbQ1cFTMP2RiGHVTedJ7iCzX2Bmes/edit#gid=1126716712"",""2026-27!as4"")"),0.0)</f>
        <v>0</v>
      </c>
      <c r="CU107" s="59">
        <f>IFERROR(__xludf.DUMMYFUNCTION("importrange(""https://docs.google.com/spreadsheets/d/1caQXh8WGfK5sXydbQ1cFTMP2RiGHVTedJ7iCzX2Bmes/edit#gid=1126716712"",""2026-27!as3"")"),0.0)</f>
        <v>0</v>
      </c>
      <c r="CV107" s="64"/>
    </row>
    <row r="108">
      <c r="A108" s="1" t="s">
        <v>160</v>
      </c>
      <c r="B108" s="41"/>
      <c r="C108" s="68" t="s">
        <v>212</v>
      </c>
      <c r="D108" s="54" t="s">
        <v>213</v>
      </c>
      <c r="E108" s="54">
        <v>9.955725835E9</v>
      </c>
      <c r="F108" s="80">
        <v>45184.0</v>
      </c>
      <c r="G108" s="66"/>
      <c r="H108" s="66"/>
      <c r="I108" s="57">
        <v>32500.0</v>
      </c>
      <c r="J108" s="58">
        <v>2333333.0</v>
      </c>
      <c r="K108" s="61">
        <f>IFERROR(__xludf.DUMMYFUNCTION("IMPORTRANGE(""https://docs.google.com/spreadsheets/u/0/d/1ePExRxwP6pYHNPcZoek1UEmUSlzyoQB26S6P0bkl_7w/edit"",""2026-27!A3"")"),56.0)</f>
        <v>56</v>
      </c>
      <c r="L108" s="61">
        <f>IFERROR(__xludf.DUMMYFUNCTION("IMPORTRANGE(""https://docs.google.com/spreadsheets/u/0/d/1ePExRxwP6pYHNPcZoek1UEmUSlzyoQB26S6P0bkl_7w/edit"",""2026-27!G4"")"),2.5E7)</f>
        <v>25000000</v>
      </c>
      <c r="M108" s="61">
        <f t="shared" si="97"/>
        <v>4295005.93</v>
      </c>
      <c r="N108" s="60">
        <f t="shared" si="98"/>
        <v>0.14926444</v>
      </c>
      <c r="O108" s="61">
        <f t="shared" si="99"/>
        <v>3731611</v>
      </c>
      <c r="P108" s="59">
        <f>IFERROR(__xludf.DUMMYFUNCTION("IMPORTRANGE(""https://docs.google.com/spreadsheets/u/0/d/1ePExRxwP6pYHNPcZoek1UEmUSlzyoQB26S6P0bkl_7w/edit"",""2026-27!J4"")"),2034576.0)</f>
        <v>2034576</v>
      </c>
      <c r="Q108" s="59">
        <f>IFERROR(__xludf.DUMMYFUNCTION("IMPORTRANGE(""https://docs.google.com/spreadsheets/u/0/d/1ePExRxwP6pYHNPcZoek1UEmUSlzyoQB26S6P0bkl_7w/edit"",""2026-27!J3"")"),48.0)</f>
        <v>48</v>
      </c>
      <c r="R108" s="59">
        <f>IFERROR(__xludf.DUMMYFUNCTION("IMPORTRANGE(""https://docs.google.com/spreadsheets/u/0/d/1ePExRxwP6pYHNPcZoek1UEmUSlzyoQB26S6P0bkl_7w/edit"",""2026-27!K4"")"),364813.19)</f>
        <v>364813.19</v>
      </c>
      <c r="S108" s="59">
        <f>IFERROR(__xludf.DUMMYFUNCTION("IMPORTRANGE(""https://docs.google.com/spreadsheets/u/0/d/1ePExRxwP6pYHNPcZoek1UEmUSlzyoQB26S6P0bkl_7w/edit"",""2026-27!K3"")"),4.0)</f>
        <v>4</v>
      </c>
      <c r="T108" s="62">
        <f t="shared" si="100"/>
        <v>0.1692804791</v>
      </c>
      <c r="U108" s="59">
        <f>IFERROR(__xludf.DUMMYFUNCTION("IMPORTRANGE(""https://docs.google.com/spreadsheets/u/0/d/1ePExRxwP6pYHNPcZoek1UEmUSlzyoQB26S6P0bkl_7w/edit"",""2026-27!L4"")"),344414.0)</f>
        <v>344414</v>
      </c>
      <c r="V108" s="85">
        <f>IFERROR(__xludf.DUMMYFUNCTION("IMPORTRANGE(""https://docs.google.com/spreadsheets/u/0/d/1ePExRxwP6pYHNPcZoek1UEmUSlzyoQB26S6P0bkl_7w/edit"",""2026-27!L3"")"),4.0)</f>
        <v>4</v>
      </c>
      <c r="W108" s="59">
        <f>IFERROR(__xludf.DUMMYFUNCTION("IMPORTRANGE(""https://docs.google.com/spreadsheets/u/0/d/1ePExRxwP6pYHNPcZoek1UEmUSlzyoQB26S6P0bkl_7w/edit"",""2026-27!M4"")"),2034576.0)</f>
        <v>2034576</v>
      </c>
      <c r="X108" s="85">
        <f>IFERROR(__xludf.DUMMYFUNCTION("IMPORTRANGE(""https://docs.google.com/spreadsheets/u/0/d/1ePExRxwP6pYHNPcZoek1UEmUSlzyoQB26S6P0bkl_7w/edit"",""2026-27!M3"")"),48.0)</f>
        <v>48</v>
      </c>
      <c r="Y108" s="59">
        <f>IFERROR(__xludf.DUMMYFUNCTION("importrange(""https://docs.google.com/spreadsheets/u/0/d/1ePExRxwP6pYHNPcZoek1UEmUSlzyoQB26S6P0bkl_7w/edit"",""2026-27!n4"")"),2119788.52)</f>
        <v>2119788.52</v>
      </c>
      <c r="Z108" s="59">
        <f>IFERROR(__xludf.DUMMYFUNCTION("importrange(""https://docs.google.com/spreadsheets/u/0/d/1ePExRxwP6pYHNPcZoek1UEmUSlzyoQB26S6P0bkl_7w/edit"",""2026-27!n3"")"),14.0)</f>
        <v>14</v>
      </c>
      <c r="AA108" s="62">
        <f t="shared" si="101"/>
        <v>0.8957011191</v>
      </c>
      <c r="AB108" s="59">
        <f>IFERROR(__xludf.DUMMYFUNCTION("importrange(""https://docs.google.com/spreadsheets/u/0/d/1ePExRxwP6pYHNPcZoek1UEmUSlzyoQB26S6P0bkl_7w/edit"",""2026-27!o4"")"),1822372.0)</f>
        <v>1822372</v>
      </c>
      <c r="AC108" s="59">
        <f>IFERROR(__xludf.DUMMYFUNCTION("importrange(""https://docs.google.com/spreadsheets/u/0/d/1ePExRxwP6pYHNPcZoek1UEmUSlzyoQB26S6P0bkl_7w/edit"",""2026-27!o3"")"),15.0)</f>
        <v>15</v>
      </c>
      <c r="AD108" s="59">
        <f>IFERROR(__xludf.DUMMYFUNCTION("importrange(""https://docs.google.com/spreadsheets/u/0/d/1ePExRxwP6pYHNPcZoek1UEmUSlzyoQB26S6P0bkl_7w/edit"",""2026-27!p4"")"),2034576.0)</f>
        <v>2034576</v>
      </c>
      <c r="AE108" s="59">
        <f>IFERROR(__xludf.DUMMYFUNCTION("importrange(""https://docs.google.com/spreadsheets/u/0/d/1ePExRxwP6pYHNPcZoek1UEmUSlzyoQB26S6P0bkl_7w/edit"",""2026-27!p3"")"),48.0)</f>
        <v>48</v>
      </c>
      <c r="AF108" s="59">
        <f>IFERROR(__xludf.DUMMYFUNCTION("importrange(""https://docs.google.com/spreadsheets/u/0/d/1ePExRxwP6pYHNPcZoek1UEmUSlzyoQB26S6P0bkl_7w/edit"",""2026-27!q4"")"),1810404.2199999997)</f>
        <v>1810404.22</v>
      </c>
      <c r="AG108" s="59">
        <f>IFERROR(__xludf.DUMMYFUNCTION("importrange(""https://docs.google.com/spreadsheets/u/0/d/1ePExRxwP6pYHNPcZoek1UEmUSlzyoQB26S6P0bkl_7w/edit"",""2026-27!q3"")"),13.0)</f>
        <v>13</v>
      </c>
      <c r="AH108" s="62">
        <f t="shared" si="102"/>
        <v>0.7691160222</v>
      </c>
      <c r="AI108" s="59">
        <f>IFERROR(__xludf.DUMMYFUNCTION("importrange(""https://docs.google.com/spreadsheets/u/0/d/1ePExRxwP6pYHNPcZoek1UEmUSlzyoQB26S6P0bkl_7w/edit"",""2026-27!r4"")"),1564825.0)</f>
        <v>1564825</v>
      </c>
      <c r="AJ108" s="59">
        <f>IFERROR(__xludf.DUMMYFUNCTION("importrange(""https://docs.google.com/spreadsheets/u/0/d/1ePExRxwP6pYHNPcZoek1UEmUSlzyoQB26S6P0bkl_7w/edit"",""2026-27!r3"")"),17.0)</f>
        <v>17</v>
      </c>
      <c r="AK108" s="59">
        <f>IFERROR(__xludf.DUMMYFUNCTION("importrange(""https://docs.google.com/spreadsheets/u/0/d/1ePExRxwP6pYHNPcZoek1UEmUSlzyoQB26S6P0bkl_7w/edit"",""2026-27!s4"")"),2034576.0)</f>
        <v>2034576</v>
      </c>
      <c r="AL108" s="59">
        <f>IFERROR(__xludf.DUMMYFUNCTION("importrange(""https://docs.google.com/spreadsheets/u/0/d/1ePExRxwP6pYHNPcZoek1UEmUSlzyoQB26S6P0bkl_7w/edit"",""2026-27!s3"")"),48.0)</f>
        <v>48</v>
      </c>
      <c r="AM108" s="61">
        <f>IFERROR(__xludf.DUMMYFUNCTION("importrange(""https://docs.google.com/spreadsheets/u/0/d/1ePExRxwP6pYHNPcZoek1UEmUSlzyoQB26S6P0bkl_7w/edit"",""2026-27!t4"")"),0.0)</f>
        <v>0</v>
      </c>
      <c r="AN108" s="59">
        <f>IFERROR(__xludf.DUMMYFUNCTION("importrange(""https://docs.google.com/spreadsheets/u/0/d/1ePExRxwP6pYHNPcZoek1UEmUSlzyoQB26S6P0bkl_7w/edit"",""2026-27!t3"")"),0.0)</f>
        <v>0</v>
      </c>
      <c r="AO108" s="62">
        <f t="shared" si="103"/>
        <v>0</v>
      </c>
      <c r="AP108" s="59">
        <f>IFERROR(__xludf.DUMMYFUNCTION("importrange(""https://docs.google.com/spreadsheets/u/0/d/1ePExRxwP6pYHNPcZoek1UEmUSlzyoQB26S6P0bkl_7w/edit"",""2026-27!u4"")"),0.0)</f>
        <v>0</v>
      </c>
      <c r="AQ108" s="59">
        <f>IFERROR(__xludf.DUMMYFUNCTION("importrange(""https://docs.google.com/spreadsheets/u/0/d/1ePExRxwP6pYHNPcZoek1UEmUSlzyoQB26S6P0bkl_7w/edit"",""2026-27!u3"")"),0.0)</f>
        <v>0</v>
      </c>
      <c r="AR108" s="59">
        <f>IFERROR(__xludf.DUMMYFUNCTION("importrange(""https://docs.google.com/spreadsheets/u/0/d/1ePExRxwP6pYHNPcZoek1UEmUSlzyoQB26S6P0bkl_7w/edit"",""2026-27!v4"")"),2034576.0)</f>
        <v>2034576</v>
      </c>
      <c r="AS108" s="59">
        <f>IFERROR(__xludf.DUMMYFUNCTION("importrange(""https://docs.google.com/spreadsheets/u/0/d/1ePExRxwP6pYHNPcZoek1UEmUSlzyoQB26S6P0bkl_7w/edit"",""2026-27!v3"")"),48.0)</f>
        <v>48</v>
      </c>
      <c r="AT108" s="61">
        <f>IFERROR(__xludf.DUMMYFUNCTION("importrange(""https://docs.google.com/spreadsheets/u/0/d/1ePExRxwP6pYHNPcZoek1UEmUSlzyoQB26S6P0bkl_7w/edit"",""2026-27!w4"")"),0.0)</f>
        <v>0</v>
      </c>
      <c r="AU108" s="59">
        <f>IFERROR(__xludf.DUMMYFUNCTION("importrange(""https://docs.google.com/spreadsheets/u/0/d/1ePExRxwP6pYHNPcZoek1UEmUSlzyoQB26S6P0bkl_7w/edit"",""2026-27!w3"")"),0.0)</f>
        <v>0</v>
      </c>
      <c r="AV108" s="62">
        <f t="shared" si="104"/>
        <v>0</v>
      </c>
      <c r="AW108" s="59">
        <f>IFERROR(__xludf.DUMMYFUNCTION("importrange(""https://docs.google.com/spreadsheets/u/0/d/1ePExRxwP6pYHNPcZoek1UEmUSlzyoQB26S6P0bkl_7w/edit"",""2026-27!x4"")"),0.0)</f>
        <v>0</v>
      </c>
      <c r="AX108" s="59">
        <f>IFERROR(__xludf.DUMMYFUNCTION("importrange(""https://docs.google.com/spreadsheets/u/0/d/1ePExRxwP6pYHNPcZoek1UEmUSlzyoQB26S6P0bkl_7w/edit"",""2026-27!x3"")"),0.0)</f>
        <v>0</v>
      </c>
      <c r="AY108" s="59">
        <f>IFERROR(__xludf.DUMMYFUNCTION("importrange(""https://docs.google.com/spreadsheets/u/0/d/1ePExRxwP6pYHNPcZoek1UEmUSlzyoQB26S6P0bkl_7w/edit"",""2026-27!y4"")"),2034576.0)</f>
        <v>2034576</v>
      </c>
      <c r="AZ108" s="59">
        <f>IFERROR(__xludf.DUMMYFUNCTION("importrange(""https://docs.google.com/spreadsheets/u/0/d/1ePExRxwP6pYHNPcZoek1UEmUSlzyoQB26S6P0bkl_7w/edit"",""2026-27!y3"")"),48.0)</f>
        <v>48</v>
      </c>
      <c r="BA108" s="61">
        <f>IFERROR(__xludf.DUMMYFUNCTION("importrange(""https://docs.google.com/spreadsheets/u/0/d/1ePExRxwP6pYHNPcZoek1UEmUSlzyoQB26S6P0bkl_7w/edit"",""2026-27!z4"")"),0.0)</f>
        <v>0</v>
      </c>
      <c r="BB108" s="59">
        <f>IFERROR(__xludf.DUMMYFUNCTION("importrange(""https://docs.google.com/spreadsheets/u/0/d/1ePExRxwP6pYHNPcZoek1UEmUSlzyoQB26S6P0bkl_7w/edit"",""2026-27!z3"")"),0.0)</f>
        <v>0</v>
      </c>
      <c r="BC108" s="63">
        <f t="shared" si="105"/>
        <v>0</v>
      </c>
      <c r="BD108" s="59">
        <f>IFERROR(__xludf.DUMMYFUNCTION("importrange(""https://docs.google.com/spreadsheets/u/0/d/1ePExRxwP6pYHNPcZoek1UEmUSlzyoQB26S6P0bkl_7w/edit"",""2026-27!aa4"")"),0.0)</f>
        <v>0</v>
      </c>
      <c r="BE108" s="59">
        <f>IFERROR(__xludf.DUMMYFUNCTION("importrange(""https://docs.google.com/spreadsheets/u/0/d/1ePExRxwP6pYHNPcZoek1UEmUSlzyoQB26S6P0bkl_7w/edit"",""2026-27!aa3"")"),0.0)</f>
        <v>0</v>
      </c>
      <c r="BF108" s="59">
        <f>IFERROR(__xludf.DUMMYFUNCTION("importrange(""https://docs.google.com/spreadsheets/u/0/d/1ePExRxwP6pYHNPcZoek1UEmUSlzyoQB26S6P0bkl_7w/edit"",""2026-27!ab4"")"),2034576.0)</f>
        <v>2034576</v>
      </c>
      <c r="BG108" s="59">
        <f>IFERROR(__xludf.DUMMYFUNCTION("importrange(""https://docs.google.com/spreadsheets/u/0/d/1ePExRxwP6pYHNPcZoek1UEmUSlzyoQB26S6P0bkl_7w/edit"",""2026-27!ab3"")"),48.0)</f>
        <v>48</v>
      </c>
      <c r="BH108" s="59">
        <f>IFERROR(__xludf.DUMMYFUNCTION("importrange(""https://docs.google.com/spreadsheets/u/0/d/1ePExRxwP6pYHNPcZoek1UEmUSlzyoQB26S6P0bkl_7w/edit"",""2026-27!ac4"")"),0.0)</f>
        <v>0</v>
      </c>
      <c r="BI108" s="59">
        <f>IFERROR(__xludf.DUMMYFUNCTION("importrange(""https://docs.google.com/spreadsheets/u/0/d/1ePExRxwP6pYHNPcZoek1UEmUSlzyoQB26S6P0bkl_7w/edit"",""2026-27!ac3"")"),0.0)</f>
        <v>0</v>
      </c>
      <c r="BJ108" s="63">
        <f t="shared" si="106"/>
        <v>0</v>
      </c>
      <c r="BK108" s="59">
        <f>IFERROR(__xludf.DUMMYFUNCTION("importrange(""https://docs.google.com/spreadsheets/u/0/d/1ePExRxwP6pYHNPcZoek1UEmUSlzyoQB26S6P0bkl_7w/edit"",""2026-27!ad4"")"),0.0)</f>
        <v>0</v>
      </c>
      <c r="BL108" s="59">
        <f>IFERROR(__xludf.DUMMYFUNCTION("importrange(""https://docs.google.com/spreadsheets/u/0/d/1ePExRxwP6pYHNPcZoek1UEmUSlzyoQB26S6P0bkl_7w/edit"",""2026-27!ad3"")"),0.0)</f>
        <v>0</v>
      </c>
      <c r="BM108" s="59">
        <f>IFERROR(__xludf.DUMMYFUNCTION("importrange(""https://docs.google.com/spreadsheets/u/0/d/1ePExRxwP6pYHNPcZoek1UEmUSlzyoQB26S6P0bkl_7w/edit"",""2026-27!ae4"")"),2034576.0)</f>
        <v>2034576</v>
      </c>
      <c r="BN108" s="59">
        <f>IFERROR(__xludf.DUMMYFUNCTION("importrange(""https://docs.google.com/spreadsheets/u/0/d/1ePExRxwP6pYHNPcZoek1UEmUSlzyoQB26S6P0bkl_7w/edit"",""2026-27!ae3"")"),48.0)</f>
        <v>48</v>
      </c>
      <c r="BO108" s="59">
        <f>IFERROR(__xludf.DUMMYFUNCTION("importrange(""https://docs.google.com/spreadsheets/u/0/d/1ePExRxwP6pYHNPcZoek1UEmUSlzyoQB26S6P0bkl_7w/edit"",""2026-27!af4"")"),0.0)</f>
        <v>0</v>
      </c>
      <c r="BP108" s="59">
        <f>IFERROR(__xludf.DUMMYFUNCTION("importrange(""https://docs.google.com/spreadsheets/u/0/d/1ePExRxwP6pYHNPcZoek1UEmUSlzyoQB26S6P0bkl_7w/edit"",""2026-27!af3"")"),0.0)</f>
        <v>0</v>
      </c>
      <c r="BQ108" s="63">
        <f t="shared" si="107"/>
        <v>0</v>
      </c>
      <c r="BR108" s="59">
        <f>IFERROR(__xludf.DUMMYFUNCTION("importrange(""https://docs.google.com/spreadsheets/u/0/d/1ePExRxwP6pYHNPcZoek1UEmUSlzyoQB26S6P0bkl_7w/edit"",""2026-27!ag4"")"),0.0)</f>
        <v>0</v>
      </c>
      <c r="BS108" s="59">
        <f>IFERROR(__xludf.DUMMYFUNCTION("importrange(""https://docs.google.com/spreadsheets/u/0/d/1ePExRxwP6pYHNPcZoek1UEmUSlzyoQB26S6P0bkl_7w/edit"",""2026-27!ag3"")"),0.0)</f>
        <v>0</v>
      </c>
      <c r="BT108" s="59">
        <f>IFERROR(__xludf.DUMMYFUNCTION("importrange(""https://docs.google.com/spreadsheets/u/0/d/1ePExRxwP6pYHNPcZoek1UEmUSlzyoQB26S6P0bkl_7w/edit"",""2026-27!ah4"")"),2034576.0)</f>
        <v>2034576</v>
      </c>
      <c r="BU108" s="59">
        <f>IFERROR(__xludf.DUMMYFUNCTION("importrange(""https://docs.google.com/spreadsheets/u/0/d/1ePExRxwP6pYHNPcZoek1UEmUSlzyoQB26S6P0bkl_7w/edit"",""2026-27!ah3"")"),48.0)</f>
        <v>48</v>
      </c>
      <c r="BV108" s="59">
        <f>IFERROR(__xludf.DUMMYFUNCTION("importrange(""https://docs.google.com/spreadsheets/u/0/d/1ePExRxwP6pYHNPcZoek1UEmUSlzyoQB26S6P0bkl_7w/edit"",""2026-27!ai4"")"),0.0)</f>
        <v>0</v>
      </c>
      <c r="BW108" s="59">
        <f>IFERROR(__xludf.DUMMYFUNCTION("importrange(""https://docs.google.com/spreadsheets/u/0/d/1ePExRxwP6pYHNPcZoek1UEmUSlzyoQB26S6P0bkl_7w/edit"",""2026-27!ai3"")"),0.0)</f>
        <v>0</v>
      </c>
      <c r="BX108" s="63">
        <f t="shared" si="108"/>
        <v>0</v>
      </c>
      <c r="BY108" s="59">
        <f>IFERROR(__xludf.DUMMYFUNCTION("importrange(""https://docs.google.com/spreadsheets/u/0/d/1ePExRxwP6pYHNPcZoek1UEmUSlzyoQB26S6P0bkl_7w/edit"",""2026-27!aj4"")"),0.0)</f>
        <v>0</v>
      </c>
      <c r="BZ108" s="59">
        <f>IFERROR(__xludf.DUMMYFUNCTION("importrange(""https://docs.google.com/spreadsheets/u/0/d/1ePExRxwP6pYHNPcZoek1UEmUSlzyoQB26S6P0bkl_7w/edit"",""2026-27!aj3"")"),0.0)</f>
        <v>0</v>
      </c>
      <c r="CA108" s="59">
        <f>IFERROR(__xludf.DUMMYFUNCTION("importrange(""https://docs.google.com/spreadsheets/u/0/d/1ePExRxwP6pYHNPcZoek1UEmUSlzyoQB26S6P0bkl_7w/edit"",""2026-27!ak4"")"),2034576.0)</f>
        <v>2034576</v>
      </c>
      <c r="CB108" s="59">
        <f>IFERROR(__xludf.DUMMYFUNCTION("importrange(""https://docs.google.com/spreadsheets/u/0/d/1ePExRxwP6pYHNPcZoek1UEmUSlzyoQB26S6P0bkl_7w/edit"",""2026-27!ak3"")"),48.0)</f>
        <v>48</v>
      </c>
      <c r="CC108" s="59">
        <f>IFERROR(__xludf.DUMMYFUNCTION("importrange(""https://docs.google.com/spreadsheets/u/0/d/1ePExRxwP6pYHNPcZoek1UEmUSlzyoQB26S6P0bkl_7w/edit"",""2026-27!al4"")"),0.0)</f>
        <v>0</v>
      </c>
      <c r="CD108" s="59">
        <f>IFERROR(__xludf.DUMMYFUNCTION("importrange(""https://docs.google.com/spreadsheets/u/0/d/1ePExRxwP6pYHNPcZoek1UEmUSlzyoQB26S6P0bkl_7w/edit"",""2026-27!ai3"")"),0.0)</f>
        <v>0</v>
      </c>
      <c r="CE108" s="63">
        <f t="shared" si="109"/>
        <v>0</v>
      </c>
      <c r="CF108" s="59">
        <f>IFERROR(__xludf.DUMMYFUNCTION("importrange(""https://docs.google.com/spreadsheets/u/0/d/1ePExRxwP6pYHNPcZoek1UEmUSlzyoQB26S6P0bkl_7w/edit"",""2026-27!am4"")"),0.0)</f>
        <v>0</v>
      </c>
      <c r="CG108" s="59">
        <f>IFERROR(__xludf.DUMMYFUNCTION("importrange(""https://docs.google.com/spreadsheets/u/0/d/1ePExRxwP6pYHNPcZoek1UEmUSlzyoQB26S6P0bkl_7w/edit"",""2026-27!am3"")"),0.0)</f>
        <v>0</v>
      </c>
      <c r="CH108" s="59">
        <f>IFERROR(__xludf.DUMMYFUNCTION("importrange(""https://docs.google.com/spreadsheets/u/0/d/1ePExRxwP6pYHNPcZoek1UEmUSlzyoQB26S6P0bkl_7w/edit"",""2026-27!an4"")"),2034576.0)</f>
        <v>2034576</v>
      </c>
      <c r="CI108" s="59">
        <f>IFERROR(__xludf.DUMMYFUNCTION("importrange(""https://docs.google.com/spreadsheets/u/0/d/1ePExRxwP6pYHNPcZoek1UEmUSlzyoQB26S6P0bkl_7w/edit"",""2026-27!an3"")"),48.0)</f>
        <v>48</v>
      </c>
      <c r="CJ108" s="59">
        <f>IFERROR(__xludf.DUMMYFUNCTION("importrange(""https://docs.google.com/spreadsheets/u/0/d/1ePExRxwP6pYHNPcZoek1UEmUSlzyoQB26S6P0bkl_7w/edit"",""2026-27!ao4"")"),0.0)</f>
        <v>0</v>
      </c>
      <c r="CK108" s="59">
        <f>IFERROR(__xludf.DUMMYFUNCTION("importrange(""https://docs.google.com/spreadsheets/u/0/d/1ePExRxwP6pYHNPcZoek1UEmUSlzyoQB26S6P0bkl_7w/edit"",""2026-27!ao3"")"),0.0)</f>
        <v>0</v>
      </c>
      <c r="CL108" s="63">
        <f t="shared" si="110"/>
        <v>0</v>
      </c>
      <c r="CM108" s="59">
        <f>IFERROR(__xludf.DUMMYFUNCTION("importrange(""https://docs.google.com/spreadsheets/u/0/d/1ePExRxwP6pYHNPcZoek1UEmUSlzyoQB26S6P0bkl_7w/edit"",""2026-27!ap4"")"),0.0)</f>
        <v>0</v>
      </c>
      <c r="CN108" s="59">
        <f>IFERROR(__xludf.DUMMYFUNCTION("importrange(""https://docs.google.com/spreadsheets/u/0/d/1ePExRxwP6pYHNPcZoek1UEmUSlzyoQB26S6P0bkl_7w/edit"",""2026-27!ap3"")"),0.0)</f>
        <v>0</v>
      </c>
      <c r="CO108" s="59">
        <f>IFERROR(__xludf.DUMMYFUNCTION("importrange(""https://docs.google.com/spreadsheets/u/0/d/1ePExRxwP6pYHNPcZoek1UEmUSlzyoQB26S6P0bkl_7w/edit"",""2026-27!aq4"")"),1940826.0)</f>
        <v>1940826</v>
      </c>
      <c r="CP108" s="59">
        <f>IFERROR(__xludf.DUMMYFUNCTION("importrange(""https://docs.google.com/spreadsheets/u/0/d/1ePExRxwP6pYHNPcZoek1UEmUSlzyoQB26S6P0bkl_7w/edit"",""2026-27!aq3"")"),48.0)</f>
        <v>48</v>
      </c>
      <c r="CQ108" s="59">
        <f>IFERROR(__xludf.DUMMYFUNCTION("importrange(""https://docs.google.com/spreadsheets/u/0/d/1ePExRxwP6pYHNPcZoek1UEmUSlzyoQB26S6P0bkl_7w/edit"",""2026-27!ar4"")"),0.0)</f>
        <v>0</v>
      </c>
      <c r="CR108" s="59">
        <f>IFERROR(__xludf.DUMMYFUNCTION("importrange(""https://docs.google.com/spreadsheets/u/0/d/1ePExRxwP6pYHNPcZoek1UEmUSlzyoQB26S6P0bkl_7w/edit"",""2026-27!ar3"")"),0.0)</f>
        <v>0</v>
      </c>
      <c r="CS108" s="63">
        <f t="shared" si="111"/>
        <v>0</v>
      </c>
      <c r="CT108" s="59">
        <f>IFERROR(__xludf.DUMMYFUNCTION("importrange(""https://docs.google.com/spreadsheets/u/0/d/1ePExRxwP6pYHNPcZoek1UEmUSlzyoQB26S6P0bkl_7w/edit"",""2026-27!as4"")"),0.0)</f>
        <v>0</v>
      </c>
      <c r="CU108" s="59">
        <f>IFERROR(__xludf.DUMMYFUNCTION("importrange(""https://docs.google.com/spreadsheets/u/0/d/1ePExRxwP6pYHNPcZoek1UEmUSlzyoQB26S6P0bkl_7w/edit"",""2026-27!as3"")"),0.0)</f>
        <v>0</v>
      </c>
      <c r="CV108" s="64"/>
    </row>
    <row r="109">
      <c r="A109" s="1" t="s">
        <v>160</v>
      </c>
      <c r="B109" s="41"/>
      <c r="C109" s="68" t="s">
        <v>214</v>
      </c>
      <c r="D109" s="54" t="s">
        <v>215</v>
      </c>
      <c r="E109" s="54">
        <v>9.934900424E9</v>
      </c>
      <c r="F109" s="80">
        <v>45231.0</v>
      </c>
      <c r="G109" s="66"/>
      <c r="H109" s="66"/>
      <c r="I109" s="57">
        <v>24120.0</v>
      </c>
      <c r="J109" s="58">
        <v>1250000.0</v>
      </c>
      <c r="K109" s="61">
        <f>IFERROR(__xludf.DUMMYFUNCTION("IMPORTRANGE(""https://docs.google.com/spreadsheets/d/1lrzJ0bcPvcbipm39nmARSoKIg0_81LFUcUZBMTIXHW8/edit#gid=32282635"",""2026-27!A3"")"),37.0)</f>
        <v>37</v>
      </c>
      <c r="L109" s="61">
        <f>IFERROR(__xludf.DUMMYFUNCTION("IMPORTRANGE(""https://docs.google.com/spreadsheets/d/1lrzJ0bcPvcbipm39nmARSoKIg0_81LFUcUZBMTIXHW8/edit#gid=32282635"",""2026-27!G4"")"),1.898E7)</f>
        <v>18980000</v>
      </c>
      <c r="M109" s="61">
        <f t="shared" si="97"/>
        <v>2188228.58</v>
      </c>
      <c r="N109" s="60">
        <f t="shared" si="98"/>
        <v>0.1050950474</v>
      </c>
      <c r="O109" s="61">
        <f t="shared" si="99"/>
        <v>1994704</v>
      </c>
      <c r="P109" s="59">
        <f>IFERROR(__xludf.DUMMYFUNCTION("IMPORTRANGE(""https://docs.google.com/spreadsheets/d/1lrzJ0bcPvcbipm39nmARSoKIg0_81LFUcUZBMTIXHW8/edit#gid=32282635"",""2026-27!J4"")"),1581989.0)</f>
        <v>1581989</v>
      </c>
      <c r="Q109" s="59">
        <f>IFERROR(__xludf.DUMMYFUNCTION("IMPORTRANGE(""https://docs.google.com/spreadsheets/d/1lrzJ0bcPvcbipm39nmARSoKIg0_81LFUcUZBMTIXHW8/edit#gid=32282635"",""2026-27!J3"")"),30.0)</f>
        <v>30</v>
      </c>
      <c r="R109" s="59">
        <f>IFERROR(__xludf.DUMMYFUNCTION("IMPORTRANGE(""https://docs.google.com/spreadsheets/d/1lrzJ0bcPvcbipm39nmARSoKIg0_81LFUcUZBMTIXHW8/edit#gid=32282635"",""2026-27!K4"")"),0.0)</f>
        <v>0</v>
      </c>
      <c r="S109" s="59">
        <f>IFERROR(__xludf.DUMMYFUNCTION("IMPORTRANGE(""https://docs.google.com/spreadsheets/d/1lrzJ0bcPvcbipm39nmARSoKIg0_81LFUcUZBMTIXHW8/edit#gid=32282635"",""2026-27!K3"")"),0.0)</f>
        <v>0</v>
      </c>
      <c r="T109" s="62">
        <f t="shared" si="100"/>
        <v>0.4231736125</v>
      </c>
      <c r="U109" s="59">
        <f>IFERROR(__xludf.DUMMYFUNCTION("IMPORTRANGE(""https://docs.google.com/spreadsheets/d/1lrzJ0bcPvcbipm39nmARSoKIg0_81LFUcUZBMTIXHW8/edit#gid=32282635"",""2026-27!L4"")"),669456.0)</f>
        <v>669456</v>
      </c>
      <c r="V109" s="85">
        <f>IFERROR(__xludf.DUMMYFUNCTION("IMPORTRANGE(""https://docs.google.com/spreadsheets/d/1lrzJ0bcPvcbipm39nmARSoKIg0_81LFUcUZBMTIXHW8/edit#gid=32282635"",""2026-27!L3"")"),15.0)</f>
        <v>15</v>
      </c>
      <c r="W109" s="59">
        <f>IFERROR(__xludf.DUMMYFUNCTION("IMPORTRANGE(""https://docs.google.com/spreadsheets/d/1lrzJ0bcPvcbipm39nmARSoKIg0_81LFUcUZBMTIXHW8/edit#gid=32282635"",""2026-27!M4"")"),1581989.0)</f>
        <v>1581989</v>
      </c>
      <c r="X109" s="85">
        <f>IFERROR(__xludf.DUMMYFUNCTION("IMPORTRANGE(""https://docs.google.com/spreadsheets/d/1lrzJ0bcPvcbipm39nmARSoKIg0_81LFUcUZBMTIXHW8/edit#gid=32282635"",""2026-27!M3"")"),30.0)</f>
        <v>30</v>
      </c>
      <c r="Y109" s="59">
        <f>IFERROR(__xludf.DUMMYFUNCTION("importrange(""https://docs.google.com/spreadsheets/d/1lrzJ0bcPvcbipm39nmARSoKIg0_81LFUcUZBMTIXHW8/edit#gid=32282635"",""2026-27!n4"")"),1325337.3900000001)</f>
        <v>1325337.39</v>
      </c>
      <c r="Z109" s="59">
        <f>IFERROR(__xludf.DUMMYFUNCTION("importrange(""https://docs.google.com/spreadsheets/d/1lrzJ0bcPvcbipm39nmARSoKIg0_81LFUcUZBMTIXHW8/edit#gid=32282635"",""2026-27!n3"")"),8.0)</f>
        <v>8</v>
      </c>
      <c r="AA109" s="62">
        <f t="shared" si="101"/>
        <v>0.8377099967</v>
      </c>
      <c r="AB109" s="59">
        <f>IFERROR(__xludf.DUMMYFUNCTION("importrange(""https://docs.google.com/spreadsheets/d/1lrzJ0bcPvcbipm39nmARSoKIg0_81LFUcUZBMTIXHW8/edit#gid=32282635"",""2026-27!o4"")"),1325248.0)</f>
        <v>1325248</v>
      </c>
      <c r="AC109" s="59">
        <f>IFERROR(__xludf.DUMMYFUNCTION("importrange(""https://docs.google.com/spreadsheets/d/1lrzJ0bcPvcbipm39nmARSoKIg0_81LFUcUZBMTIXHW8/edit#gid=32282635"",""2026-27!o3"")"),8.0)</f>
        <v>8</v>
      </c>
      <c r="AD109" s="59">
        <f>IFERROR(__xludf.DUMMYFUNCTION("importrange(""https://docs.google.com/spreadsheets/d/1lrzJ0bcPvcbipm39nmARSoKIg0_81LFUcUZBMTIXHW8/edit#gid=32282635"",""2026-27!p4"")"),1581989.0)</f>
        <v>1581989</v>
      </c>
      <c r="AE109" s="59">
        <f>IFERROR(__xludf.DUMMYFUNCTION("importrange(""https://docs.google.com/spreadsheets/d/1lrzJ0bcPvcbipm39nmARSoKIg0_81LFUcUZBMTIXHW8/edit#gid=32282635"",""2026-27!p3"")"),30.0)</f>
        <v>30</v>
      </c>
      <c r="AF109" s="59">
        <f>IFERROR(__xludf.DUMMYFUNCTION("importrange(""https://docs.google.com/spreadsheets/d/1lrzJ0bcPvcbipm39nmARSoKIg0_81LFUcUZBMTIXHW8/edit#gid=32282635"",""2026-27!q4"")"),862891.1900000001)</f>
        <v>862891.19</v>
      </c>
      <c r="AG109" s="59">
        <f>IFERROR(__xludf.DUMMYFUNCTION("importrange(""https://docs.google.com/spreadsheets/d/1lrzJ0bcPvcbipm39nmARSoKIg0_81LFUcUZBMTIXHW8/edit#gid=32282635"",""2026-27!q3"")"),7.0)</f>
        <v>7</v>
      </c>
      <c r="AH109" s="62">
        <f t="shared" si="102"/>
        <v>0</v>
      </c>
      <c r="AI109" s="59">
        <f>IFERROR(__xludf.DUMMYFUNCTION("importrange(""https://docs.google.com/spreadsheets/d/1lrzJ0bcPvcbipm39nmARSoKIg0_81LFUcUZBMTIXHW8/edit#gid=32282635"",""2026-27!r4"")"),0.0)</f>
        <v>0</v>
      </c>
      <c r="AJ109" s="59">
        <f>IFERROR(__xludf.DUMMYFUNCTION("importrange(""https://docs.google.com/spreadsheets/d/1lrzJ0bcPvcbipm39nmARSoKIg0_81LFUcUZBMTIXHW8/edit#gid=32282635"",""2026-27!r3"")"),0.0)</f>
        <v>0</v>
      </c>
      <c r="AK109" s="59">
        <f>IFERROR(__xludf.DUMMYFUNCTION("importrange(""https://docs.google.com/spreadsheets/d/1lrzJ0bcPvcbipm39nmARSoKIg0_81LFUcUZBMTIXHW8/edit#gid=32282635"",""2026-27!s4"")"),1581989.0)</f>
        <v>1581989</v>
      </c>
      <c r="AL109" s="59">
        <f>IFERROR(__xludf.DUMMYFUNCTION("importrange(""https://docs.google.com/spreadsheets/d/1lrzJ0bcPvcbipm39nmARSoKIg0_81LFUcUZBMTIXHW8/edit#gid=32282635"",""2026-27!s3"")"),30.0)</f>
        <v>30</v>
      </c>
      <c r="AM109" s="61">
        <f>IFERROR(__xludf.DUMMYFUNCTION("importrange(""https://docs.google.com/spreadsheets/d/1lrzJ0bcPvcbipm39nmARSoKIg0_81LFUcUZBMTIXHW8/edit#gid=32282635"",""2026-27!t4"")"),0.0)</f>
        <v>0</v>
      </c>
      <c r="AN109" s="59">
        <f>IFERROR(__xludf.DUMMYFUNCTION("importrange(""https://docs.google.com/spreadsheets/d/1lrzJ0bcPvcbipm39nmARSoKIg0_81LFUcUZBMTIXHW8/edit#gid=32282635"",""2026-27!t3"")"),0.0)</f>
        <v>0</v>
      </c>
      <c r="AO109" s="62">
        <f t="shared" si="103"/>
        <v>0</v>
      </c>
      <c r="AP109" s="59">
        <f>IFERROR(__xludf.DUMMYFUNCTION("importrange(""https://docs.google.com/spreadsheets/d/1lrzJ0bcPvcbipm39nmARSoKIg0_81LFUcUZBMTIXHW8/edit#gid=32282635"",""2026-27!u4"")"),0.0)</f>
        <v>0</v>
      </c>
      <c r="AQ109" s="59">
        <f>IFERROR(__xludf.DUMMYFUNCTION("importrange(""https://docs.google.com/spreadsheets/d/1lrzJ0bcPvcbipm39nmARSoKIg0_81LFUcUZBMTIXHW8/edit#gid=32282635"",""2026-27!u3"")"),0.0)</f>
        <v>0</v>
      </c>
      <c r="AR109" s="59">
        <f>IFERROR(__xludf.DUMMYFUNCTION("importrange(""https://docs.google.com/spreadsheets/d/1lrzJ0bcPvcbipm39nmARSoKIg0_81LFUcUZBMTIXHW8/edit#gid=32282635"",""2026-27!v4"")"),1581989.0)</f>
        <v>1581989</v>
      </c>
      <c r="AS109" s="59">
        <f>IFERROR(__xludf.DUMMYFUNCTION("importrange(""https://docs.google.com/spreadsheets/d/1lrzJ0bcPvcbipm39nmARSoKIg0_81LFUcUZBMTIXHW8/edit#gid=32282635"",""2026-27!v3"")"),30.0)</f>
        <v>30</v>
      </c>
      <c r="AT109" s="61">
        <f>IFERROR(__xludf.DUMMYFUNCTION("importrange(""https://docs.google.com/spreadsheets/d/1lrzJ0bcPvcbipm39nmARSoKIg0_81LFUcUZBMTIXHW8/edit#gid=32282635"",""2026-27!w4"")"),0.0)</f>
        <v>0</v>
      </c>
      <c r="AU109" s="59">
        <f>IFERROR(__xludf.DUMMYFUNCTION("importrange(""https://docs.google.com/spreadsheets/d/1lrzJ0bcPvcbipm39nmARSoKIg0_81LFUcUZBMTIXHW8/edit#gid=32282635"",""2026-27!w3"")"),0.0)</f>
        <v>0</v>
      </c>
      <c r="AV109" s="62">
        <f t="shared" si="104"/>
        <v>0</v>
      </c>
      <c r="AW109" s="59">
        <f>IFERROR(__xludf.DUMMYFUNCTION("importrange(""https://docs.google.com/spreadsheets/d/1lrzJ0bcPvcbipm39nmARSoKIg0_81LFUcUZBMTIXHW8/edit#gid=32282635"",""2026-27!x4"")"),0.0)</f>
        <v>0</v>
      </c>
      <c r="AX109" s="59">
        <f>IFERROR(__xludf.DUMMYFUNCTION("importrange(""https://docs.google.com/spreadsheets/d/1lrzJ0bcPvcbipm39nmARSoKIg0_81LFUcUZBMTIXHW8/edit#gid=32282635"",""2026-27!x3"")"),0.0)</f>
        <v>0</v>
      </c>
      <c r="AY109" s="59">
        <f>IFERROR(__xludf.DUMMYFUNCTION("importrange(""https://docs.google.com/spreadsheets/d/1lrzJ0bcPvcbipm39nmARSoKIg0_81LFUcUZBMTIXHW8/edit#gid=32282635"",""2026-27!y4"")"),1581989.0)</f>
        <v>1581989</v>
      </c>
      <c r="AZ109" s="59">
        <f>IFERROR(__xludf.DUMMYFUNCTION("importrange(""https://docs.google.com/spreadsheets/d/1lrzJ0bcPvcbipm39nmARSoKIg0_81LFUcUZBMTIXHW8/edit#gid=32282635"",""2026-27!y3"")"),30.0)</f>
        <v>30</v>
      </c>
      <c r="BA109" s="61">
        <f>IFERROR(__xludf.DUMMYFUNCTION("importrange(""https://docs.google.com/spreadsheets/d/1lrzJ0bcPvcbipm39nmARSoKIg0_81LFUcUZBMTIXHW8/edit#gid=32282635"",""2026-27!z4"")"),0.0)</f>
        <v>0</v>
      </c>
      <c r="BB109" s="59">
        <f>IFERROR(__xludf.DUMMYFUNCTION("importrange(""https://docs.google.com/spreadsheets/d/1lrzJ0bcPvcbipm39nmARSoKIg0_81LFUcUZBMTIXHW8/edit#gid=32282635"",""2026-27!z3"")"),0.0)</f>
        <v>0</v>
      </c>
      <c r="BC109" s="63">
        <f t="shared" si="105"/>
        <v>0</v>
      </c>
      <c r="BD109" s="59">
        <f>IFERROR(__xludf.DUMMYFUNCTION("importrange(""https://docs.google.com/spreadsheets/d/1lrzJ0bcPvcbipm39nmARSoKIg0_81LFUcUZBMTIXHW8/edit#gid=32282635"",""2026-27!aa4"")"),0.0)</f>
        <v>0</v>
      </c>
      <c r="BE109" s="59">
        <f>IFERROR(__xludf.DUMMYFUNCTION("importrange(""https://docs.google.com/spreadsheets/d/1lrzJ0bcPvcbipm39nmARSoKIg0_81LFUcUZBMTIXHW8/edit#gid=32282635"",""2026-27!aa3"")"),0.0)</f>
        <v>0</v>
      </c>
      <c r="BF109" s="59">
        <f>IFERROR(__xludf.DUMMYFUNCTION("importrange(""https://docs.google.com/spreadsheets/d/1lrzJ0bcPvcbipm39nmARSoKIg0_81LFUcUZBMTIXHW8/edit#gid=32282635"",""2026-27!ab4"")"),1581989.0)</f>
        <v>1581989</v>
      </c>
      <c r="BG109" s="59">
        <f>IFERROR(__xludf.DUMMYFUNCTION("importrange(""https://docs.google.com/spreadsheets/d/1lrzJ0bcPvcbipm39nmARSoKIg0_81LFUcUZBMTIXHW8/edit#gid=32282635"",""2026-27!ab3"")"),30.0)</f>
        <v>30</v>
      </c>
      <c r="BH109" s="59">
        <f>IFERROR(__xludf.DUMMYFUNCTION("importrange(""https://docs.google.com/spreadsheets/d/1lrzJ0bcPvcbipm39nmARSoKIg0_81LFUcUZBMTIXHW8/edit#gid=32282635"",""2026-27!ac4"")"),0.0)</f>
        <v>0</v>
      </c>
      <c r="BI109" s="59">
        <f>IFERROR(__xludf.DUMMYFUNCTION("importrange(""https://docs.google.com/spreadsheets/d/1lrzJ0bcPvcbipm39nmARSoKIg0_81LFUcUZBMTIXHW8/edit#gid=32282635"",""2026-27!ac3"")"),0.0)</f>
        <v>0</v>
      </c>
      <c r="BJ109" s="63">
        <f t="shared" si="106"/>
        <v>0</v>
      </c>
      <c r="BK109" s="59">
        <f>IFERROR(__xludf.DUMMYFUNCTION("importrange(""https://docs.google.com/spreadsheets/d/1lrzJ0bcPvcbipm39nmARSoKIg0_81LFUcUZBMTIXHW8/edit#gid=32282635"",""2026-27!ad4"")"),0.0)</f>
        <v>0</v>
      </c>
      <c r="BL109" s="59">
        <f>IFERROR(__xludf.DUMMYFUNCTION("importrange(""https://docs.google.com/spreadsheets/d/1lrzJ0bcPvcbipm39nmARSoKIg0_81LFUcUZBMTIXHW8/edit#gid=32282635"",""2026-27!ad3"")"),0.0)</f>
        <v>0</v>
      </c>
      <c r="BM109" s="59">
        <f>IFERROR(__xludf.DUMMYFUNCTION("importrange(""https://docs.google.com/spreadsheets/d/1lrzJ0bcPvcbipm39nmARSoKIg0_81LFUcUZBMTIXHW8/edit#gid=32282635"",""2026-27!ae4"")"),1581989.0)</f>
        <v>1581989</v>
      </c>
      <c r="BN109" s="59">
        <f>IFERROR(__xludf.DUMMYFUNCTION("importrange(""https://docs.google.com/spreadsheets/d/1lrzJ0bcPvcbipm39nmARSoKIg0_81LFUcUZBMTIXHW8/edit#gid=32282635"",""2026-27!ae3"")"),30.0)</f>
        <v>30</v>
      </c>
      <c r="BO109" s="59">
        <f>IFERROR(__xludf.DUMMYFUNCTION("importrange(""https://docs.google.com/spreadsheets/d/1lrzJ0bcPvcbipm39nmARSoKIg0_81LFUcUZBMTIXHW8/edit#gid=32282635"",""2026-27!af4"")"),0.0)</f>
        <v>0</v>
      </c>
      <c r="BP109" s="59">
        <f>IFERROR(__xludf.DUMMYFUNCTION("importrange(""https://docs.google.com/spreadsheets/d/1lrzJ0bcPvcbipm39nmARSoKIg0_81LFUcUZBMTIXHW8/edit#gid=32282635"",""2026-27!af3"")"),0.0)</f>
        <v>0</v>
      </c>
      <c r="BQ109" s="63">
        <f t="shared" si="107"/>
        <v>0</v>
      </c>
      <c r="BR109" s="59">
        <f>IFERROR(__xludf.DUMMYFUNCTION("importrange(""https://docs.google.com/spreadsheets/d/1lrzJ0bcPvcbipm39nmARSoKIg0_81LFUcUZBMTIXHW8/edit#gid=32282635"",""2026-27!ag4"")"),0.0)</f>
        <v>0</v>
      </c>
      <c r="BS109" s="59">
        <f>IFERROR(__xludf.DUMMYFUNCTION("importrange(""https://docs.google.com/spreadsheets/d/1lrzJ0bcPvcbipm39nmARSoKIg0_81LFUcUZBMTIXHW8/edit#gid=32282635"",""2026-27!ag3"")"),0.0)</f>
        <v>0</v>
      </c>
      <c r="BT109" s="59">
        <f>IFERROR(__xludf.DUMMYFUNCTION("importrange(""https://docs.google.com/spreadsheets/d/1lrzJ0bcPvcbipm39nmARSoKIg0_81LFUcUZBMTIXHW8/edit#gid=32282635"",""2026-27!ah4"")"),1581989.0)</f>
        <v>1581989</v>
      </c>
      <c r="BU109" s="59">
        <f>IFERROR(__xludf.DUMMYFUNCTION("importrange(""https://docs.google.com/spreadsheets/d/1lrzJ0bcPvcbipm39nmARSoKIg0_81LFUcUZBMTIXHW8/edit#gid=32282635"",""2026-27!ah3"")"),30.0)</f>
        <v>30</v>
      </c>
      <c r="BV109" s="59">
        <f>IFERROR(__xludf.DUMMYFUNCTION("importrange(""https://docs.google.com/spreadsheets/d/1lrzJ0bcPvcbipm39nmARSoKIg0_81LFUcUZBMTIXHW8/edit#gid=32282635"",""2026-27!ai4"")"),0.0)</f>
        <v>0</v>
      </c>
      <c r="BW109" s="59">
        <f>IFERROR(__xludf.DUMMYFUNCTION("importrange(""https://docs.google.com/spreadsheets/d/1lrzJ0bcPvcbipm39nmARSoKIg0_81LFUcUZBMTIXHW8/edit#gid=32282635"",""2026-27!ai3"")"),0.0)</f>
        <v>0</v>
      </c>
      <c r="BX109" s="63">
        <f t="shared" si="108"/>
        <v>0</v>
      </c>
      <c r="BY109" s="59">
        <f>IFERROR(__xludf.DUMMYFUNCTION("importrange(""https://docs.google.com/spreadsheets/d/1lrzJ0bcPvcbipm39nmARSoKIg0_81LFUcUZBMTIXHW8/edit#gid=32282635"",""2026-27!aj4"")"),0.0)</f>
        <v>0</v>
      </c>
      <c r="BZ109" s="59">
        <f>IFERROR(__xludf.DUMMYFUNCTION("importrange(""https://docs.google.com/spreadsheets/d/1lrzJ0bcPvcbipm39nmARSoKIg0_81LFUcUZBMTIXHW8/edit#gid=32282635"",""2026-27!aj3"")"),0.0)</f>
        <v>0</v>
      </c>
      <c r="CA109" s="59">
        <f>IFERROR(__xludf.DUMMYFUNCTION("importrange(""https://docs.google.com/spreadsheets/d/1lrzJ0bcPvcbipm39nmARSoKIg0_81LFUcUZBMTIXHW8/edit#gid=32282635"",""2026-27!ak4"")"),1581989.0)</f>
        <v>1581989</v>
      </c>
      <c r="CB109" s="59">
        <f>IFERROR(__xludf.DUMMYFUNCTION("importrange(""https://docs.google.com/spreadsheets/d/1lrzJ0bcPvcbipm39nmARSoKIg0_81LFUcUZBMTIXHW8/edit#gid=32282635"",""2026-27!ak3"")"),30.0)</f>
        <v>30</v>
      </c>
      <c r="CC109" s="59">
        <f>IFERROR(__xludf.DUMMYFUNCTION("importrange(""https://docs.google.com/spreadsheets/d/1lrzJ0bcPvcbipm39nmARSoKIg0_81LFUcUZBMTIXHW8/edit#gid=32282635"",""2026-27!al4"")"),0.0)</f>
        <v>0</v>
      </c>
      <c r="CD109" s="59">
        <f>IFERROR(__xludf.DUMMYFUNCTION("importrange(""https://docs.google.com/spreadsheets/d/1lrzJ0bcPvcbipm39nmARSoKIg0_81LFUcUZBMTIXHW8/edit#gid=32282635"",""2026-27!ai3"")"),0.0)</f>
        <v>0</v>
      </c>
      <c r="CE109" s="63">
        <f t="shared" si="109"/>
        <v>0</v>
      </c>
      <c r="CF109" s="59">
        <f>IFERROR(__xludf.DUMMYFUNCTION("importrange(""https://docs.google.com/spreadsheets/d/1lrzJ0bcPvcbipm39nmARSoKIg0_81LFUcUZBMTIXHW8/edit#gid=32282635"",""2026-27!am4"")"),0.0)</f>
        <v>0</v>
      </c>
      <c r="CG109" s="59">
        <f>IFERROR(__xludf.DUMMYFUNCTION("importrange(""https://docs.google.com/spreadsheets/d/1lrzJ0bcPvcbipm39nmARSoKIg0_81LFUcUZBMTIXHW8/edit#gid=32282635"",""2026-27!am3"")"),0.0)</f>
        <v>0</v>
      </c>
      <c r="CH109" s="59">
        <f>IFERROR(__xludf.DUMMYFUNCTION("importrange(""https://docs.google.com/spreadsheets/d/1lrzJ0bcPvcbipm39nmARSoKIg0_81LFUcUZBMTIXHW8/edit#gid=32282635"",""2026-27!an4"")"),1581989.0)</f>
        <v>1581989</v>
      </c>
      <c r="CI109" s="59">
        <f>IFERROR(__xludf.DUMMYFUNCTION("importrange(""https://docs.google.com/spreadsheets/d/1lrzJ0bcPvcbipm39nmARSoKIg0_81LFUcUZBMTIXHW8/edit#gid=32282635"",""2026-27!an3"")"),30.0)</f>
        <v>30</v>
      </c>
      <c r="CJ109" s="59">
        <f>IFERROR(__xludf.DUMMYFUNCTION("importrange(""https://docs.google.com/spreadsheets/d/1lrzJ0bcPvcbipm39nmARSoKIg0_81LFUcUZBMTIXHW8/edit#gid=32282635"",""2026-27!ao4"")"),0.0)</f>
        <v>0</v>
      </c>
      <c r="CK109" s="59">
        <f>IFERROR(__xludf.DUMMYFUNCTION("importrange(""https://docs.google.com/spreadsheets/d/1lrzJ0bcPvcbipm39nmARSoKIg0_81LFUcUZBMTIXHW8/edit#gid=32282635"",""2026-27!ao3"")"),0.0)</f>
        <v>0</v>
      </c>
      <c r="CL109" s="63">
        <f t="shared" si="110"/>
        <v>0</v>
      </c>
      <c r="CM109" s="59">
        <f>IFERROR(__xludf.DUMMYFUNCTION("importrange(""https://docs.google.com/spreadsheets/d/1lrzJ0bcPvcbipm39nmARSoKIg0_81LFUcUZBMTIXHW8/edit#gid=32282635"",""2026-27!ap4"")"),0.0)</f>
        <v>0</v>
      </c>
      <c r="CN109" s="59">
        <f>IFERROR(__xludf.DUMMYFUNCTION("importrange(""https://docs.google.com/spreadsheets/d/1lrzJ0bcPvcbipm39nmARSoKIg0_81LFUcUZBMTIXHW8/edit#gid=32282635"",""2026-27!ap3"")"),0.0)</f>
        <v>0</v>
      </c>
      <c r="CO109" s="59">
        <f>IFERROR(__xludf.DUMMYFUNCTION("importrange(""https://docs.google.com/spreadsheets/d/1lrzJ0bcPvcbipm39nmARSoKIg0_81LFUcUZBMTIXHW8/edit#gid=32282635"",""2026-27!aq4"")"),1581989.0)</f>
        <v>1581989</v>
      </c>
      <c r="CP109" s="59">
        <f>IFERROR(__xludf.DUMMYFUNCTION("importrange(""https://docs.google.com/spreadsheets/d/1lrzJ0bcPvcbipm39nmARSoKIg0_81LFUcUZBMTIXHW8/edit#gid=32282635"",""2026-27!aq3"")"),30.0)</f>
        <v>30</v>
      </c>
      <c r="CQ109" s="59">
        <f>IFERROR(__xludf.DUMMYFUNCTION("importrange(""https://docs.google.com/spreadsheets/d/1lrzJ0bcPvcbipm39nmARSoKIg0_81LFUcUZBMTIXHW8/edit#gid=32282635"",""2026-27!ar4"")"),0.0)</f>
        <v>0</v>
      </c>
      <c r="CR109" s="59">
        <f>IFERROR(__xludf.DUMMYFUNCTION("importrange(""https://docs.google.com/spreadsheets/d/1lrzJ0bcPvcbipm39nmARSoKIg0_81LFUcUZBMTIXHW8/edit#gid=32282635"",""2026-27!ar3"")"),0.0)</f>
        <v>0</v>
      </c>
      <c r="CS109" s="63">
        <f t="shared" si="111"/>
        <v>0</v>
      </c>
      <c r="CT109" s="59">
        <f>IFERROR(__xludf.DUMMYFUNCTION("importrange(""https://docs.google.com/spreadsheets/d/1lrzJ0bcPvcbipm39nmARSoKIg0_81LFUcUZBMTIXHW8/edit#gid=32282635"",""2026-27!as4"")"),0.0)</f>
        <v>0</v>
      </c>
      <c r="CU109" s="59">
        <f>IFERROR(__xludf.DUMMYFUNCTION("importrange(""https://docs.google.com/spreadsheets/d/1lrzJ0bcPvcbipm39nmARSoKIg0_81LFUcUZBMTIXHW8/edit#gid=32282635"",""2026-27!as3"")"),0.0)</f>
        <v>0</v>
      </c>
      <c r="CV109" s="64"/>
    </row>
    <row r="110">
      <c r="A110" s="1" t="s">
        <v>160</v>
      </c>
      <c r="B110" s="41"/>
      <c r="C110" s="68" t="s">
        <v>216</v>
      </c>
      <c r="D110" s="54" t="s">
        <v>217</v>
      </c>
      <c r="E110" s="54">
        <v>9.148584478E9</v>
      </c>
      <c r="F110" s="80">
        <v>45233.0</v>
      </c>
      <c r="G110" s="66"/>
      <c r="H110" s="66"/>
      <c r="I110" s="57">
        <v>24120.0</v>
      </c>
      <c r="J110" s="58">
        <v>1750000.0</v>
      </c>
      <c r="K110" s="61">
        <f>IFERROR(__xludf.DUMMYFUNCTION("IMPORTRANGE(""https://docs.google.com/spreadsheets/d/1mi1sDldXWcjlwchNl1AQUNhqAUBYBIp7wc37TNeFjug/edit#gid=187761907"",""2026-27!A3"")"),64.0)</f>
        <v>64</v>
      </c>
      <c r="L110" s="61">
        <f>IFERROR(__xludf.DUMMYFUNCTION("IMPORTRANGE(""https://docs.google.com/spreadsheets/d/1mi1sDldXWcjlwchNl1AQUNhqAUBYBIp7wc37TNeFjug/edit#gid=187761907"",""2026-27!G4"")"),1.6E7)</f>
        <v>16000000</v>
      </c>
      <c r="M110" s="61">
        <f t="shared" si="97"/>
        <v>3773495.52</v>
      </c>
      <c r="N110" s="60">
        <f t="shared" si="98"/>
        <v>0.1235529588</v>
      </c>
      <c r="O110" s="61">
        <f t="shared" si="99"/>
        <v>1976847.34</v>
      </c>
      <c r="P110" s="59">
        <f>IFERROR(__xludf.DUMMYFUNCTION("IMPORTRANGE(""https://docs.google.com/spreadsheets/d/1mi1sDldXWcjlwchNl1AQUNhqAUBYBIp7wc37TNeFjug/edit#gid=187761907"",""2026-27!J4"")"),1322492.0)</f>
        <v>1322492</v>
      </c>
      <c r="Q110" s="59">
        <f>IFERROR(__xludf.DUMMYFUNCTION("IMPORTRANGE(""https://docs.google.com/spreadsheets/d/1mi1sDldXWcjlwchNl1AQUNhqAUBYBIp7wc37TNeFjug/edit#gid=187761907"",""2026-27!J3"")"),50.0)</f>
        <v>50</v>
      </c>
      <c r="R110" s="59">
        <f>IFERROR(__xludf.DUMMYFUNCTION("IMPORTRANGE(""https://docs.google.com/spreadsheets/d/1mi1sDldXWcjlwchNl1AQUNhqAUBYBIp7wc37TNeFjug/edit#gid=187761907"",""2026-27!K4"")"),1218372.4300000002)</f>
        <v>1218372.43</v>
      </c>
      <c r="S110" s="59">
        <f>IFERROR(__xludf.DUMMYFUNCTION("IMPORTRANGE(""https://docs.google.com/spreadsheets/d/1mi1sDldXWcjlwchNl1AQUNhqAUBYBIp7wc37TNeFjug/edit#gid=187761907"",""2026-27!K3"")"),16.0)</f>
        <v>16</v>
      </c>
      <c r="T110" s="62">
        <f t="shared" si="100"/>
        <v>0.9212706618</v>
      </c>
      <c r="U110" s="59">
        <f>IFERROR(__xludf.DUMMYFUNCTION("IMPORTRANGE(""https://docs.google.com/spreadsheets/d/1mi1sDldXWcjlwchNl1AQUNhqAUBYBIp7wc37TNeFjug/edit#gid=187761907"",""2026-27!L4"")"),1218373.08)</f>
        <v>1218373.08</v>
      </c>
      <c r="V110" s="85">
        <f>IFERROR(__xludf.DUMMYFUNCTION("IMPORTRANGE(""https://docs.google.com/spreadsheets/d/1mi1sDldXWcjlwchNl1AQUNhqAUBYBIp7wc37TNeFjug/edit#gid=187761907"",""2026-27!L3"")"),16.0)</f>
        <v>16</v>
      </c>
      <c r="W110" s="59">
        <f>IFERROR(__xludf.DUMMYFUNCTION("IMPORTRANGE(""https://docs.google.com/spreadsheets/d/1mi1sDldXWcjlwchNl1AQUNhqAUBYBIp7wc37TNeFjug/edit#gid=187761907"",""2026-27!M4"")"),1322492.0)</f>
        <v>1322492</v>
      </c>
      <c r="X110" s="85">
        <f>IFERROR(__xludf.DUMMYFUNCTION("IMPORTRANGE(""https://docs.google.com/spreadsheets/d/1mi1sDldXWcjlwchNl1AQUNhqAUBYBIp7wc37TNeFjug/edit#gid=187761907"",""2026-27!M3"")"),50.0)</f>
        <v>50</v>
      </c>
      <c r="Y110" s="59">
        <f>IFERROR(__xludf.DUMMYFUNCTION("importrange(""https://docs.google.com/spreadsheets/d/1mi1sDldXWcjlwchNl1AQUNhqAUBYBIp7wc37TNeFjug/edit#gid=187761907"",""2026-27!n4"")"),758474.94)</f>
        <v>758474.94</v>
      </c>
      <c r="Z110" s="59">
        <f>IFERROR(__xludf.DUMMYFUNCTION("importrange(""https://docs.google.com/spreadsheets/d/1mi1sDldXWcjlwchNl1AQUNhqAUBYBIp7wc37TNeFjug/edit#gid=187761907"",""2026-27!n3"")"),10.0)</f>
        <v>10</v>
      </c>
      <c r="AA110" s="62">
        <f t="shared" si="101"/>
        <v>0.5735189778</v>
      </c>
      <c r="AB110" s="59">
        <f>IFERROR(__xludf.DUMMYFUNCTION("importrange(""https://docs.google.com/spreadsheets/d/1mi1sDldXWcjlwchNl1AQUNhqAUBYBIp7wc37TNeFjug/edit#gid=187761907"",""2026-27!o4"")"),758474.26)</f>
        <v>758474.26</v>
      </c>
      <c r="AC110" s="59">
        <f>IFERROR(__xludf.DUMMYFUNCTION("importrange(""https://docs.google.com/spreadsheets/d/1mi1sDldXWcjlwchNl1AQUNhqAUBYBIp7wc37TNeFjug/edit#gid=187761907"",""2026-27!o3"")"),10.0)</f>
        <v>10</v>
      </c>
      <c r="AD110" s="59">
        <f>IFERROR(__xludf.DUMMYFUNCTION("importrange(""https://docs.google.com/spreadsheets/d/1mi1sDldXWcjlwchNl1AQUNhqAUBYBIp7wc37TNeFjug/edit#gid=187761907"",""2026-27!p4"")"),1322492.0)</f>
        <v>1322492</v>
      </c>
      <c r="AE110" s="59">
        <f>IFERROR(__xludf.DUMMYFUNCTION("importrange(""https://docs.google.com/spreadsheets/d/1mi1sDldXWcjlwchNl1AQUNhqAUBYBIp7wc37TNeFjug/edit#gid=187761907"",""2026-27!p3"")"),50.0)</f>
        <v>50</v>
      </c>
      <c r="AF110" s="59">
        <f>IFERROR(__xludf.DUMMYFUNCTION("importrange(""https://docs.google.com/spreadsheets/d/1mi1sDldXWcjlwchNl1AQUNhqAUBYBIp7wc37TNeFjug/edit#gid=187761907"",""2026-27!q4"")"),1796648.1500000001)</f>
        <v>1796648.15</v>
      </c>
      <c r="AG110" s="59">
        <f>IFERROR(__xludf.DUMMYFUNCTION("importrange(""https://docs.google.com/spreadsheets/d/1mi1sDldXWcjlwchNl1AQUNhqAUBYBIp7wc37TNeFjug/edit#gid=187761907"",""2026-27!q3"")"),22.0)</f>
        <v>22</v>
      </c>
      <c r="AH110" s="62">
        <f t="shared" si="102"/>
        <v>0</v>
      </c>
      <c r="AI110" s="59">
        <f>IFERROR(__xludf.DUMMYFUNCTION("importrange(""https://docs.google.com/spreadsheets/d/1mi1sDldXWcjlwchNl1AQUNhqAUBYBIp7wc37TNeFjug/edit#gid=187761907"",""2026-27!r4"")"),0.0)</f>
        <v>0</v>
      </c>
      <c r="AJ110" s="59">
        <f>IFERROR(__xludf.DUMMYFUNCTION("importrange(""https://docs.google.com/spreadsheets/d/1mi1sDldXWcjlwchNl1AQUNhqAUBYBIp7wc37TNeFjug/edit#gid=187761907"",""2026-27!r3"")"),0.0)</f>
        <v>0</v>
      </c>
      <c r="AK110" s="59">
        <f>IFERROR(__xludf.DUMMYFUNCTION("importrange(""https://docs.google.com/spreadsheets/d/1mi1sDldXWcjlwchNl1AQUNhqAUBYBIp7wc37TNeFjug/edit#gid=187761907"",""2026-27!s4"")"),1322492.0)</f>
        <v>1322492</v>
      </c>
      <c r="AL110" s="59">
        <f>IFERROR(__xludf.DUMMYFUNCTION("importrange(""https://docs.google.com/spreadsheets/d/1mi1sDldXWcjlwchNl1AQUNhqAUBYBIp7wc37TNeFjug/edit#gid=187761907"",""2026-27!s3"")"),50.0)</f>
        <v>50</v>
      </c>
      <c r="AM110" s="61">
        <f>IFERROR(__xludf.DUMMYFUNCTION("importrange(""https://docs.google.com/spreadsheets/d/1mi1sDldXWcjlwchNl1AQUNhqAUBYBIp7wc37TNeFjug/edit#gid=187761907"",""2026-27!t4"")"),0.0)</f>
        <v>0</v>
      </c>
      <c r="AN110" s="59">
        <f>IFERROR(__xludf.DUMMYFUNCTION("importrange(""https://docs.google.com/spreadsheets/d/1mi1sDldXWcjlwchNl1AQUNhqAUBYBIp7wc37TNeFjug/edit#gid=187761907"",""2026-27!t3"")"),0.0)</f>
        <v>0</v>
      </c>
      <c r="AO110" s="62">
        <f t="shared" si="103"/>
        <v>0</v>
      </c>
      <c r="AP110" s="59">
        <f>IFERROR(__xludf.DUMMYFUNCTION("importrange(""https://docs.google.com/spreadsheets/d/1mi1sDldXWcjlwchNl1AQUNhqAUBYBIp7wc37TNeFjug/edit#gid=187761907"",""2026-27!u4"")"),0.0)</f>
        <v>0</v>
      </c>
      <c r="AQ110" s="59">
        <f>IFERROR(__xludf.DUMMYFUNCTION("importrange(""https://docs.google.com/spreadsheets/d/1mi1sDldXWcjlwchNl1AQUNhqAUBYBIp7wc37TNeFjug/edit#gid=187761907"",""2026-27!u3"")"),0.0)</f>
        <v>0</v>
      </c>
      <c r="AR110" s="59">
        <f>IFERROR(__xludf.DUMMYFUNCTION("importrange(""https://docs.google.com/spreadsheets/d/1mi1sDldXWcjlwchNl1AQUNhqAUBYBIp7wc37TNeFjug/edit#gid=187761907"",""2026-27!v4"")"),1322492.0)</f>
        <v>1322492</v>
      </c>
      <c r="AS110" s="59">
        <f>IFERROR(__xludf.DUMMYFUNCTION("importrange(""https://docs.google.com/spreadsheets/d/1mi1sDldXWcjlwchNl1AQUNhqAUBYBIp7wc37TNeFjug/edit#gid=187761907"",""2026-27!v3"")"),50.0)</f>
        <v>50</v>
      </c>
      <c r="AT110" s="61">
        <f>IFERROR(__xludf.DUMMYFUNCTION("importrange(""https://docs.google.com/spreadsheets/d/1mi1sDldXWcjlwchNl1AQUNhqAUBYBIp7wc37TNeFjug/edit#gid=187761907"",""2026-27!w4"")"),0.0)</f>
        <v>0</v>
      </c>
      <c r="AU110" s="59">
        <f>IFERROR(__xludf.DUMMYFUNCTION("importrange(""https://docs.google.com/spreadsheets/d/1mi1sDldXWcjlwchNl1AQUNhqAUBYBIp7wc37TNeFjug/edit#gid=187761907"",""2026-27!w3"")"),0.0)</f>
        <v>0</v>
      </c>
      <c r="AV110" s="62">
        <f t="shared" si="104"/>
        <v>0</v>
      </c>
      <c r="AW110" s="59">
        <f>IFERROR(__xludf.DUMMYFUNCTION("importrange(""https://docs.google.com/spreadsheets/d/1mi1sDldXWcjlwchNl1AQUNhqAUBYBIp7wc37TNeFjug/edit#gid=187761907"",""2026-27!x4"")"),0.0)</f>
        <v>0</v>
      </c>
      <c r="AX110" s="59">
        <f>IFERROR(__xludf.DUMMYFUNCTION("importrange(""https://docs.google.com/spreadsheets/d/1mi1sDldXWcjlwchNl1AQUNhqAUBYBIp7wc37TNeFjug/edit#gid=187761907"",""2026-27!x3"")"),0.0)</f>
        <v>0</v>
      </c>
      <c r="AY110" s="59">
        <f>IFERROR(__xludf.DUMMYFUNCTION("importrange(""https://docs.google.com/spreadsheets/d/1mi1sDldXWcjlwchNl1AQUNhqAUBYBIp7wc37TNeFjug/edit#gid=187761907"",""2026-27!y4"")"),1322492.0)</f>
        <v>1322492</v>
      </c>
      <c r="AZ110" s="59">
        <f>IFERROR(__xludf.DUMMYFUNCTION("importrange(""https://docs.google.com/spreadsheets/d/1mi1sDldXWcjlwchNl1AQUNhqAUBYBIp7wc37TNeFjug/edit#gid=187761907"",""2026-27!y3"")"),50.0)</f>
        <v>50</v>
      </c>
      <c r="BA110" s="61">
        <f>IFERROR(__xludf.DUMMYFUNCTION("importrange(""https://docs.google.com/spreadsheets/d/1mi1sDldXWcjlwchNl1AQUNhqAUBYBIp7wc37TNeFjug/edit#gid=187761907"",""2026-27!z4"")"),0.0)</f>
        <v>0</v>
      </c>
      <c r="BB110" s="59">
        <f>IFERROR(__xludf.DUMMYFUNCTION("importrange(""https://docs.google.com/spreadsheets/d/1mi1sDldXWcjlwchNl1AQUNhqAUBYBIp7wc37TNeFjug/edit#gid=187761907"",""2026-27!z3"")"),0.0)</f>
        <v>0</v>
      </c>
      <c r="BC110" s="63">
        <f t="shared" si="105"/>
        <v>0</v>
      </c>
      <c r="BD110" s="59">
        <f>IFERROR(__xludf.DUMMYFUNCTION("importrange(""https://docs.google.com/spreadsheets/d/1mi1sDldXWcjlwchNl1AQUNhqAUBYBIp7wc37TNeFjug/edit#gid=187761907"",""2026-27!aa4"")"),0.0)</f>
        <v>0</v>
      </c>
      <c r="BE110" s="59">
        <f>IFERROR(__xludf.DUMMYFUNCTION("importrange(""https://docs.google.com/spreadsheets/d/1mi1sDldXWcjlwchNl1AQUNhqAUBYBIp7wc37TNeFjug/edit#gid=187761907"",""2026-27!aa3"")"),0.0)</f>
        <v>0</v>
      </c>
      <c r="BF110" s="59">
        <f>IFERROR(__xludf.DUMMYFUNCTION("importrange(""https://docs.google.com/spreadsheets/d/1mi1sDldXWcjlwchNl1AQUNhqAUBYBIp7wc37TNeFjug/edit#gid=187761907"",""2026-27!ab4"")"),1322492.0)</f>
        <v>1322492</v>
      </c>
      <c r="BG110" s="59">
        <f>IFERROR(__xludf.DUMMYFUNCTION("importrange(""https://docs.google.com/spreadsheets/d/1mi1sDldXWcjlwchNl1AQUNhqAUBYBIp7wc37TNeFjug/edit#gid=187761907"",""2026-27!ab3"")"),50.0)</f>
        <v>50</v>
      </c>
      <c r="BH110" s="59">
        <f>IFERROR(__xludf.DUMMYFUNCTION("importrange(""https://docs.google.com/spreadsheets/d/1mi1sDldXWcjlwchNl1AQUNhqAUBYBIp7wc37TNeFjug/edit#gid=187761907"",""2026-27!ac4"")"),0.0)</f>
        <v>0</v>
      </c>
      <c r="BI110" s="59">
        <f>IFERROR(__xludf.DUMMYFUNCTION("importrange(""https://docs.google.com/spreadsheets/d/1mi1sDldXWcjlwchNl1AQUNhqAUBYBIp7wc37TNeFjug/edit#gid=187761907"",""2026-27!ac3"")"),0.0)</f>
        <v>0</v>
      </c>
      <c r="BJ110" s="63">
        <f t="shared" si="106"/>
        <v>0</v>
      </c>
      <c r="BK110" s="59">
        <f>IFERROR(__xludf.DUMMYFUNCTION("importrange(""https://docs.google.com/spreadsheets/d/1mi1sDldXWcjlwchNl1AQUNhqAUBYBIp7wc37TNeFjug/edit#gid=187761907"",""2026-27!ad4"")"),0.0)</f>
        <v>0</v>
      </c>
      <c r="BL110" s="59">
        <f>IFERROR(__xludf.DUMMYFUNCTION("importrange(""https://docs.google.com/spreadsheets/d/1mi1sDldXWcjlwchNl1AQUNhqAUBYBIp7wc37TNeFjug/edit#gid=187761907"",""2026-27!ad3"")"),0.0)</f>
        <v>0</v>
      </c>
      <c r="BM110" s="59">
        <f>IFERROR(__xludf.DUMMYFUNCTION("importrange(""https://docs.google.com/spreadsheets/d/1mi1sDldXWcjlwchNl1AQUNhqAUBYBIp7wc37TNeFjug/edit#gid=187761907"",""2026-27!ae4"")"),1322492.0)</f>
        <v>1322492</v>
      </c>
      <c r="BN110" s="59">
        <f>IFERROR(__xludf.DUMMYFUNCTION("importrange(""https://docs.google.com/spreadsheets/d/1mi1sDldXWcjlwchNl1AQUNhqAUBYBIp7wc37TNeFjug/edit#gid=187761907"",""2026-27!ae3"")"),50.0)</f>
        <v>50</v>
      </c>
      <c r="BO110" s="59">
        <f>IFERROR(__xludf.DUMMYFUNCTION("importrange(""https://docs.google.com/spreadsheets/d/1mi1sDldXWcjlwchNl1AQUNhqAUBYBIp7wc37TNeFjug/edit#gid=187761907"",""2026-27!af4"")"),0.0)</f>
        <v>0</v>
      </c>
      <c r="BP110" s="59">
        <f>IFERROR(__xludf.DUMMYFUNCTION("importrange(""https://docs.google.com/spreadsheets/d/1mi1sDldXWcjlwchNl1AQUNhqAUBYBIp7wc37TNeFjug/edit#gid=187761907"",""2026-27!af3"")"),0.0)</f>
        <v>0</v>
      </c>
      <c r="BQ110" s="63">
        <f t="shared" si="107"/>
        <v>0</v>
      </c>
      <c r="BR110" s="59">
        <f>IFERROR(__xludf.DUMMYFUNCTION("importrange(""https://docs.google.com/spreadsheets/d/1mi1sDldXWcjlwchNl1AQUNhqAUBYBIp7wc37TNeFjug/edit#gid=187761907"",""2026-27!ag4"")"),0.0)</f>
        <v>0</v>
      </c>
      <c r="BS110" s="59">
        <f>IFERROR(__xludf.DUMMYFUNCTION("importrange(""https://docs.google.com/spreadsheets/d/1mi1sDldXWcjlwchNl1AQUNhqAUBYBIp7wc37TNeFjug/edit#gid=187761907"",""2026-27!ag3"")"),0.0)</f>
        <v>0</v>
      </c>
      <c r="BT110" s="59">
        <f>IFERROR(__xludf.DUMMYFUNCTION("importrange(""https://docs.google.com/spreadsheets/d/1mi1sDldXWcjlwchNl1AQUNhqAUBYBIp7wc37TNeFjug/edit#gid=187761907"",""2026-27!ah4"")"),1322492.0)</f>
        <v>1322492</v>
      </c>
      <c r="BU110" s="59">
        <f>IFERROR(__xludf.DUMMYFUNCTION("importrange(""https://docs.google.com/spreadsheets/d/1mi1sDldXWcjlwchNl1AQUNhqAUBYBIp7wc37TNeFjug/edit#gid=187761907"",""2026-27!ah3"")"),50.0)</f>
        <v>50</v>
      </c>
      <c r="BV110" s="59">
        <f>IFERROR(__xludf.DUMMYFUNCTION("importrange(""https://docs.google.com/spreadsheets/d/1mi1sDldXWcjlwchNl1AQUNhqAUBYBIp7wc37TNeFjug/edit#gid=187761907"",""2026-27!ai4"")"),0.0)</f>
        <v>0</v>
      </c>
      <c r="BW110" s="59">
        <f>IFERROR(__xludf.DUMMYFUNCTION("importrange(""https://docs.google.com/spreadsheets/d/1mi1sDldXWcjlwchNl1AQUNhqAUBYBIp7wc37TNeFjug/edit#gid=187761907"",""2026-27!ai3"")"),0.0)</f>
        <v>0</v>
      </c>
      <c r="BX110" s="63">
        <f t="shared" si="108"/>
        <v>0</v>
      </c>
      <c r="BY110" s="59">
        <f>IFERROR(__xludf.DUMMYFUNCTION("importrange(""https://docs.google.com/spreadsheets/d/1mi1sDldXWcjlwchNl1AQUNhqAUBYBIp7wc37TNeFjug/edit#gid=187761907"",""2026-27!aj4"")"),0.0)</f>
        <v>0</v>
      </c>
      <c r="BZ110" s="59">
        <f>IFERROR(__xludf.DUMMYFUNCTION("importrange(""https://docs.google.com/spreadsheets/d/1mi1sDldXWcjlwchNl1AQUNhqAUBYBIp7wc37TNeFjug/edit#gid=187761907"",""2026-27!aj3"")"),0.0)</f>
        <v>0</v>
      </c>
      <c r="CA110" s="59">
        <f>IFERROR(__xludf.DUMMYFUNCTION("importrange(""https://docs.google.com/spreadsheets/d/1mi1sDldXWcjlwchNl1AQUNhqAUBYBIp7wc37TNeFjug/edit#gid=187761907"",""2026-27!ak4"")"),1322492.0)</f>
        <v>1322492</v>
      </c>
      <c r="CB110" s="59">
        <f>IFERROR(__xludf.DUMMYFUNCTION("importrange(""https://docs.google.com/spreadsheets/d/1mi1sDldXWcjlwchNl1AQUNhqAUBYBIp7wc37TNeFjug/edit#gid=187761907"",""2026-27!ak3"")"),50.0)</f>
        <v>50</v>
      </c>
      <c r="CC110" s="59">
        <f>IFERROR(__xludf.DUMMYFUNCTION("importrange(""https://docs.google.com/spreadsheets/d/1mi1sDldXWcjlwchNl1AQUNhqAUBYBIp7wc37TNeFjug/edit#gid=187761907"",""2026-27!al4"")"),0.0)</f>
        <v>0</v>
      </c>
      <c r="CD110" s="59">
        <f>IFERROR(__xludf.DUMMYFUNCTION("importrange(""https://docs.google.com/spreadsheets/d/1mi1sDldXWcjlwchNl1AQUNhqAUBYBIp7wc37TNeFjug/edit#gid=187761907"",""2026-27!ai3"")"),0.0)</f>
        <v>0</v>
      </c>
      <c r="CE110" s="63">
        <f t="shared" si="109"/>
        <v>0</v>
      </c>
      <c r="CF110" s="59">
        <f>IFERROR(__xludf.DUMMYFUNCTION("importrange(""https://docs.google.com/spreadsheets/d/1mi1sDldXWcjlwchNl1AQUNhqAUBYBIp7wc37TNeFjug/edit#gid=187761907"",""2026-27!am4"")"),0.0)</f>
        <v>0</v>
      </c>
      <c r="CG110" s="59">
        <f>IFERROR(__xludf.DUMMYFUNCTION("importrange(""https://docs.google.com/spreadsheets/d/1mi1sDldXWcjlwchNl1AQUNhqAUBYBIp7wc37TNeFjug/edit#gid=187761907"",""2026-27!am3"")"),0.0)</f>
        <v>0</v>
      </c>
      <c r="CH110" s="59">
        <f>IFERROR(__xludf.DUMMYFUNCTION("importrange(""https://docs.google.com/spreadsheets/d/1mi1sDldXWcjlwchNl1AQUNhqAUBYBIp7wc37TNeFjug/edit#gid=187761907"",""2026-27!an4"")"),1322492.0)</f>
        <v>1322492</v>
      </c>
      <c r="CI110" s="59">
        <f>IFERROR(__xludf.DUMMYFUNCTION("importrange(""https://docs.google.com/spreadsheets/d/1mi1sDldXWcjlwchNl1AQUNhqAUBYBIp7wc37TNeFjug/edit#gid=187761907"",""2026-27!an3"")"),50.0)</f>
        <v>50</v>
      </c>
      <c r="CJ110" s="59">
        <f>IFERROR(__xludf.DUMMYFUNCTION("importrange(""https://docs.google.com/spreadsheets/d/1mi1sDldXWcjlwchNl1AQUNhqAUBYBIp7wc37TNeFjug/edit#gid=187761907"",""2026-27!ao4"")"),0.0)</f>
        <v>0</v>
      </c>
      <c r="CK110" s="59">
        <f>IFERROR(__xludf.DUMMYFUNCTION("importrange(""https://docs.google.com/spreadsheets/d/1mi1sDldXWcjlwchNl1AQUNhqAUBYBIp7wc37TNeFjug/edit#gid=187761907"",""2026-27!ao3"")"),0.0)</f>
        <v>0</v>
      </c>
      <c r="CL110" s="63">
        <f t="shared" si="110"/>
        <v>0</v>
      </c>
      <c r="CM110" s="59">
        <f>IFERROR(__xludf.DUMMYFUNCTION("importrange(""https://docs.google.com/spreadsheets/d/1mi1sDldXWcjlwchNl1AQUNhqAUBYBIp7wc37TNeFjug/edit#gid=187761907"",""2026-27!ap4"")"),0.0)</f>
        <v>0</v>
      </c>
      <c r="CN110" s="59">
        <f>IFERROR(__xludf.DUMMYFUNCTION("importrange(""https://docs.google.com/spreadsheets/d/1mi1sDldXWcjlwchNl1AQUNhqAUBYBIp7wc37TNeFjug/edit#gid=187761907"",""2026-27!ap3"")"),0.0)</f>
        <v>0</v>
      </c>
      <c r="CO110" s="59">
        <f>IFERROR(__xludf.DUMMYFUNCTION("importrange(""https://docs.google.com/spreadsheets/d/1mi1sDldXWcjlwchNl1AQUNhqAUBYBIp7wc37TNeFjug/edit#gid=187761907"",""2026-27!aq4"")"),1322492.0)</f>
        <v>1322492</v>
      </c>
      <c r="CP110" s="59">
        <f>IFERROR(__xludf.DUMMYFUNCTION("importrange(""https://docs.google.com/spreadsheets/d/1mi1sDldXWcjlwchNl1AQUNhqAUBYBIp7wc37TNeFjug/edit#gid=187761907"",""2026-27!aq3"")"),50.0)</f>
        <v>50</v>
      </c>
      <c r="CQ110" s="59">
        <f>IFERROR(__xludf.DUMMYFUNCTION("importrange(""https://docs.google.com/spreadsheets/d/1mi1sDldXWcjlwchNl1AQUNhqAUBYBIp7wc37TNeFjug/edit#gid=187761907"",""2026-27!ar4"")"),0.0)</f>
        <v>0</v>
      </c>
      <c r="CR110" s="59">
        <f>IFERROR(__xludf.DUMMYFUNCTION("importrange(""https://docs.google.com/spreadsheets/d/1mi1sDldXWcjlwchNl1AQUNhqAUBYBIp7wc37TNeFjug/edit#gid=187761907"",""2026-27!ar3"")"),0.0)</f>
        <v>0</v>
      </c>
      <c r="CS110" s="63">
        <f t="shared" si="111"/>
        <v>0</v>
      </c>
      <c r="CT110" s="59">
        <f>IFERROR(__xludf.DUMMYFUNCTION("importrange(""https://docs.google.com/spreadsheets/d/1mi1sDldXWcjlwchNl1AQUNhqAUBYBIp7wc37TNeFjug/edit#gid=187761907"",""2026-27!as4"")"),0.0)</f>
        <v>0</v>
      </c>
      <c r="CU110" s="59">
        <f>IFERROR(__xludf.DUMMYFUNCTION("importrange(""https://docs.google.com/spreadsheets/d/1mi1sDldXWcjlwchNl1AQUNhqAUBYBIp7wc37TNeFjug/edit#gid=187761907"",""2026-27!as3"")"),0.0)</f>
        <v>0</v>
      </c>
      <c r="CV110" s="64"/>
    </row>
    <row r="111">
      <c r="A111" s="1" t="s">
        <v>160</v>
      </c>
      <c r="B111" s="41"/>
      <c r="C111" s="68" t="s">
        <v>218</v>
      </c>
      <c r="D111" s="54" t="s">
        <v>219</v>
      </c>
      <c r="E111" s="54">
        <v>8.340731423E9</v>
      </c>
      <c r="F111" s="80">
        <v>45236.0</v>
      </c>
      <c r="G111" s="66"/>
      <c r="H111" s="66"/>
      <c r="I111" s="57">
        <v>25165.0</v>
      </c>
      <c r="J111" s="58">
        <v>1833333.0</v>
      </c>
      <c r="K111" s="61">
        <f>IFERROR(__xludf.DUMMYFUNCTION("IMPORTRANGE(""https://docs.google.com/spreadsheets/d/14k9zl8QJZNDdLexy-mL85RC3KURzq9Zn4glvtZCxREk/edit#gid=507036928"",""2026-27!A3"")"),84.0)</f>
        <v>84</v>
      </c>
      <c r="L111" s="61">
        <f>IFERROR(__xludf.DUMMYFUNCTION("IMPORTRANGE(""https://docs.google.com/spreadsheets/d/14k9zl8QJZNDdLexy-mL85RC3KURzq9Zn4glvtZCxREk/edit#gid=507036928"",""2026-27!G4"")"),2.18315E7)</f>
        <v>21831500</v>
      </c>
      <c r="M111" s="61">
        <f t="shared" si="97"/>
        <v>5190986.96</v>
      </c>
      <c r="N111" s="60">
        <f t="shared" si="98"/>
        <v>0.247207567</v>
      </c>
      <c r="O111" s="61">
        <f t="shared" si="99"/>
        <v>5396912</v>
      </c>
      <c r="P111" s="59">
        <f>IFERROR(__xludf.DUMMYFUNCTION("IMPORTRANGE(""https://docs.google.com/spreadsheets/d/14k9zl8QJZNDdLexy-mL85RC3KURzq9Zn4glvtZCxREk/edit#gid=507036928"",""2026-27!J4"")"),1456000.0)</f>
        <v>1456000</v>
      </c>
      <c r="Q111" s="59">
        <f>IFERROR(__xludf.DUMMYFUNCTION("IMPORTRANGE(""https://docs.google.com/spreadsheets/d/14k9zl8QJZNDdLexy-mL85RC3KURzq9Zn4glvtZCxREk/edit#gid=507036928"",""2026-27!J3"")"),39.0)</f>
        <v>39</v>
      </c>
      <c r="R111" s="59">
        <f>IFERROR(__xludf.DUMMYFUNCTION("IMPORTRANGE(""https://docs.google.com/spreadsheets/d/14k9zl8QJZNDdLexy-mL85RC3KURzq9Zn4glvtZCxREk/edit#gid=507036928"",""2026-27!K4"")"),1473120.49)</f>
        <v>1473120.49</v>
      </c>
      <c r="S111" s="59">
        <f>IFERROR(__xludf.DUMMYFUNCTION("IMPORTRANGE(""https://docs.google.com/spreadsheets/d/14k9zl8QJZNDdLexy-mL85RC3KURzq9Zn4glvtZCxREk/edit#gid=507036928"",""2026-27!K3"")"),27.0)</f>
        <v>27</v>
      </c>
      <c r="T111" s="62">
        <f t="shared" si="100"/>
        <v>1.011760989</v>
      </c>
      <c r="U111" s="59">
        <f>IFERROR(__xludf.DUMMYFUNCTION("IMPORTRANGE(""https://docs.google.com/spreadsheets/d/14k9zl8QJZNDdLexy-mL85RC3KURzq9Zn4glvtZCxREk/edit#gid=507036928"",""2026-27!L4"")"),1473124.0)</f>
        <v>1473124</v>
      </c>
      <c r="V111" s="85">
        <f>IFERROR(__xludf.DUMMYFUNCTION("IMPORTRANGE(""https://docs.google.com/spreadsheets/d/14k9zl8QJZNDdLexy-mL85RC3KURzq9Zn4glvtZCxREk/edit#gid=507036928"",""2026-27!L3"")"),27.0)</f>
        <v>27</v>
      </c>
      <c r="W111" s="59">
        <f>IFERROR(__xludf.DUMMYFUNCTION("IMPORTRANGE(""https://docs.google.com/spreadsheets/d/14k9zl8QJZNDdLexy-mL85RC3KURzq9Zn4glvtZCxREk/edit#gid=507036928"",""2026-27!M4"")"),1674000.0)</f>
        <v>1674000</v>
      </c>
      <c r="X111" s="85">
        <f>IFERROR(__xludf.DUMMYFUNCTION("IMPORTRANGE(""https://docs.google.com/spreadsheets/d/14k9zl8QJZNDdLexy-mL85RC3KURzq9Zn4glvtZCxREk/edit#gid=507036928"",""2026-27!M3"")"),54.0)</f>
        <v>54</v>
      </c>
      <c r="Y111" s="59">
        <f>IFERROR(__xludf.DUMMYFUNCTION("importrange(""https://docs.google.com/spreadsheets/d/14k9zl8QJZNDdLexy-mL85RC3KURzq9Zn4glvtZCxREk/edit#gid=507036928"",""2026-27!n4"")"),1801051.3499999999)</f>
        <v>1801051.35</v>
      </c>
      <c r="Z111" s="59">
        <f>IFERROR(__xludf.DUMMYFUNCTION("importrange(""https://docs.google.com/spreadsheets/d/14k9zl8QJZNDdLexy-mL85RC3KURzq9Zn4glvtZCxREk/edit#gid=507036928"",""2026-27!n3"")"),37.0)</f>
        <v>37</v>
      </c>
      <c r="AA111" s="62">
        <f t="shared" si="101"/>
        <v>1.198901434</v>
      </c>
      <c r="AB111" s="59">
        <f>IFERROR(__xludf.DUMMYFUNCTION("importrange(""https://docs.google.com/spreadsheets/d/14k9zl8QJZNDdLexy-mL85RC3KURzq9Zn4glvtZCxREk/edit#gid=507036928"",""2026-27!o4"")"),2006961.0)</f>
        <v>2006961</v>
      </c>
      <c r="AC111" s="59">
        <f>IFERROR(__xludf.DUMMYFUNCTION("importrange(""https://docs.google.com/spreadsheets/d/14k9zl8QJZNDdLexy-mL85RC3KURzq9Zn4glvtZCxREk/edit#gid=507036928"",""2026-27!o3"")"),37.0)</f>
        <v>37</v>
      </c>
      <c r="AD111" s="59">
        <f>IFERROR(__xludf.DUMMYFUNCTION("importrange(""https://docs.google.com/spreadsheets/d/14k9zl8QJZNDdLexy-mL85RC3KURzq9Zn4glvtZCxREk/edit#gid=507036928"",""2026-27!p4"")"),1796000.0)</f>
        <v>1796000</v>
      </c>
      <c r="AE111" s="59">
        <f>IFERROR(__xludf.DUMMYFUNCTION("importrange(""https://docs.google.com/spreadsheets/d/14k9zl8QJZNDdLexy-mL85RC3KURzq9Zn4glvtZCxREk/edit#gid=507036928"",""2026-27!p3"")"),61.0)</f>
        <v>61</v>
      </c>
      <c r="AF111" s="59">
        <f>IFERROR(__xludf.DUMMYFUNCTION("importrange(""https://docs.google.com/spreadsheets/d/14k9zl8QJZNDdLexy-mL85RC3KURzq9Zn4glvtZCxREk/edit#gid=507036928"",""2026-27!q4"")"),1916815.1199999996)</f>
        <v>1916815.12</v>
      </c>
      <c r="AG111" s="59">
        <f>IFERROR(__xludf.DUMMYFUNCTION("importrange(""https://docs.google.com/spreadsheets/d/14k9zl8QJZNDdLexy-mL85RC3KURzq9Zn4glvtZCxREk/edit#gid=507036928"",""2026-27!q3"")"),33.0)</f>
        <v>33</v>
      </c>
      <c r="AH111" s="62">
        <f t="shared" si="102"/>
        <v>1.067275612</v>
      </c>
      <c r="AI111" s="59">
        <f>IFERROR(__xludf.DUMMYFUNCTION("importrange(""https://docs.google.com/spreadsheets/d/14k9zl8QJZNDdLexy-mL85RC3KURzq9Zn4glvtZCxREk/edit#gid=507036928"",""2026-27!r4"")"),1916827.0)</f>
        <v>1916827</v>
      </c>
      <c r="AJ111" s="59">
        <f>IFERROR(__xludf.DUMMYFUNCTION("importrange(""https://docs.google.com/spreadsheets/d/14k9zl8QJZNDdLexy-mL85RC3KURzq9Zn4glvtZCxREk/edit#gid=507036928"",""2026-27!r3"")"),33.0)</f>
        <v>33</v>
      </c>
      <c r="AK111" s="59">
        <f>IFERROR(__xludf.DUMMYFUNCTION("importrange(""https://docs.google.com/spreadsheets/d/14k9zl8QJZNDdLexy-mL85RC3KURzq9Zn4glvtZCxREk/edit#gid=507036928"",""2026-27!s4"")"),1877000.0)</f>
        <v>1877000</v>
      </c>
      <c r="AL111" s="59">
        <f>IFERROR(__xludf.DUMMYFUNCTION("importrange(""https://docs.google.com/spreadsheets/d/14k9zl8QJZNDdLexy-mL85RC3KURzq9Zn4glvtZCxREk/edit#gid=507036928"",""2026-27!s3"")"),61.0)</f>
        <v>61</v>
      </c>
      <c r="AM111" s="61">
        <f>IFERROR(__xludf.DUMMYFUNCTION("importrange(""https://docs.google.com/spreadsheets/d/14k9zl8QJZNDdLexy-mL85RC3KURzq9Zn4glvtZCxREk/edit#gid=507036928"",""2026-27!t4"")"),0.0)</f>
        <v>0</v>
      </c>
      <c r="AN111" s="59">
        <f>IFERROR(__xludf.DUMMYFUNCTION("importrange(""https://docs.google.com/spreadsheets/d/14k9zl8QJZNDdLexy-mL85RC3KURzq9Zn4glvtZCxREk/edit#gid=507036928"",""2026-27!t3"")"),0.0)</f>
        <v>0</v>
      </c>
      <c r="AO111" s="62">
        <f t="shared" si="103"/>
        <v>0</v>
      </c>
      <c r="AP111" s="59">
        <f>IFERROR(__xludf.DUMMYFUNCTION("importrange(""https://docs.google.com/spreadsheets/d/14k9zl8QJZNDdLexy-mL85RC3KURzq9Zn4glvtZCxREk/edit#gid=507036928"",""2026-27!u4"")"),0.0)</f>
        <v>0</v>
      </c>
      <c r="AQ111" s="59">
        <f>IFERROR(__xludf.DUMMYFUNCTION("importrange(""https://docs.google.com/spreadsheets/d/14k9zl8QJZNDdLexy-mL85RC3KURzq9Zn4glvtZCxREk/edit#gid=507036928"",""2026-27!u3"")"),0.0)</f>
        <v>0</v>
      </c>
      <c r="AR111" s="59">
        <f>IFERROR(__xludf.DUMMYFUNCTION("importrange(""https://docs.google.com/spreadsheets/d/14k9zl8QJZNDdLexy-mL85RC3KURzq9Zn4glvtZCxREk/edit#gid=507036928"",""2026-27!v4"")"),1880500.0)</f>
        <v>1880500</v>
      </c>
      <c r="AS111" s="59">
        <f>IFERROR(__xludf.DUMMYFUNCTION("importrange(""https://docs.google.com/spreadsheets/d/14k9zl8QJZNDdLexy-mL85RC3KURzq9Zn4glvtZCxREk/edit#gid=507036928"",""2026-27!v3"")"),61.0)</f>
        <v>61</v>
      </c>
      <c r="AT111" s="61">
        <f>IFERROR(__xludf.DUMMYFUNCTION("importrange(""https://docs.google.com/spreadsheets/d/14k9zl8QJZNDdLexy-mL85RC3KURzq9Zn4glvtZCxREk/edit#gid=507036928"",""2026-27!w4"")"),0.0)</f>
        <v>0</v>
      </c>
      <c r="AU111" s="59">
        <f>IFERROR(__xludf.DUMMYFUNCTION("importrange(""https://docs.google.com/spreadsheets/d/14k9zl8QJZNDdLexy-mL85RC3KURzq9Zn4glvtZCxREk/edit#gid=507036928"",""2026-27!w3"")"),0.0)</f>
        <v>0</v>
      </c>
      <c r="AV111" s="62">
        <f t="shared" si="104"/>
        <v>0</v>
      </c>
      <c r="AW111" s="59">
        <f>IFERROR(__xludf.DUMMYFUNCTION("importrange(""https://docs.google.com/spreadsheets/d/14k9zl8QJZNDdLexy-mL85RC3KURzq9Zn4glvtZCxREk/edit#gid=507036928"",""2026-27!x4"")"),0.0)</f>
        <v>0</v>
      </c>
      <c r="AX111" s="59">
        <f>IFERROR(__xludf.DUMMYFUNCTION("importrange(""https://docs.google.com/spreadsheets/d/14k9zl8QJZNDdLexy-mL85RC3KURzq9Zn4glvtZCxREk/edit#gid=507036928"",""2026-27!x3"")"),0.0)</f>
        <v>0</v>
      </c>
      <c r="AY111" s="59">
        <f>IFERROR(__xludf.DUMMYFUNCTION("importrange(""https://docs.google.com/spreadsheets/d/14k9zl8QJZNDdLexy-mL85RC3KURzq9Zn4glvtZCxREk/edit#gid=507036928"",""2026-27!y4"")"),1854000.0)</f>
        <v>1854000</v>
      </c>
      <c r="AZ111" s="59">
        <f>IFERROR(__xludf.DUMMYFUNCTION("importrange(""https://docs.google.com/spreadsheets/d/14k9zl8QJZNDdLexy-mL85RC3KURzq9Zn4glvtZCxREk/edit#gid=507036928"",""2026-27!y3"")"),61.0)</f>
        <v>61</v>
      </c>
      <c r="BA111" s="61">
        <f>IFERROR(__xludf.DUMMYFUNCTION("importrange(""https://docs.google.com/spreadsheets/d/14k9zl8QJZNDdLexy-mL85RC3KURzq9Zn4glvtZCxREk/edit#gid=507036928"",""2026-27!z4"")"),0.0)</f>
        <v>0</v>
      </c>
      <c r="BB111" s="59">
        <f>IFERROR(__xludf.DUMMYFUNCTION("importrange(""https://docs.google.com/spreadsheets/d/14k9zl8QJZNDdLexy-mL85RC3KURzq9Zn4glvtZCxREk/edit#gid=507036928"",""2026-27!z3"")"),0.0)</f>
        <v>0</v>
      </c>
      <c r="BC111" s="63">
        <f t="shared" si="105"/>
        <v>0</v>
      </c>
      <c r="BD111" s="59">
        <f>IFERROR(__xludf.DUMMYFUNCTION("importrange(""https://docs.google.com/spreadsheets/d/14k9zl8QJZNDdLexy-mL85RC3KURzq9Zn4glvtZCxREk/edit#gid=507036928"",""2026-27!aa4"")"),0.0)</f>
        <v>0</v>
      </c>
      <c r="BE111" s="59">
        <f>IFERROR(__xludf.DUMMYFUNCTION("importrange(""https://docs.google.com/spreadsheets/d/14k9zl8QJZNDdLexy-mL85RC3KURzq9Zn4glvtZCxREk/edit#gid=507036928"",""2026-27!aa3"")"),0.0)</f>
        <v>0</v>
      </c>
      <c r="BF111" s="59">
        <f>IFERROR(__xludf.DUMMYFUNCTION("importrange(""https://docs.google.com/spreadsheets/d/14k9zl8QJZNDdLexy-mL85RC3KURzq9Zn4glvtZCxREk/edit#gid=507036928"",""2026-27!ab4"")"),1847000.0)</f>
        <v>1847000</v>
      </c>
      <c r="BG111" s="59">
        <f>IFERROR(__xludf.DUMMYFUNCTION("importrange(""https://docs.google.com/spreadsheets/d/14k9zl8QJZNDdLexy-mL85RC3KURzq9Zn4glvtZCxREk/edit#gid=507036928"",""2026-27!ab3"")"),61.0)</f>
        <v>61</v>
      </c>
      <c r="BH111" s="59">
        <f>IFERROR(__xludf.DUMMYFUNCTION("importrange(""https://docs.google.com/spreadsheets/d/14k9zl8QJZNDdLexy-mL85RC3KURzq9Zn4glvtZCxREk/edit#gid=507036928"",""2026-27!ac4"")"),0.0)</f>
        <v>0</v>
      </c>
      <c r="BI111" s="59">
        <f>IFERROR(__xludf.DUMMYFUNCTION("importrange(""https://docs.google.com/spreadsheets/d/14k9zl8QJZNDdLexy-mL85RC3KURzq9Zn4glvtZCxREk/edit#gid=507036928"",""2026-27!ac3"")"),0.0)</f>
        <v>0</v>
      </c>
      <c r="BJ111" s="63">
        <f t="shared" si="106"/>
        <v>0</v>
      </c>
      <c r="BK111" s="59">
        <f>IFERROR(__xludf.DUMMYFUNCTION("importrange(""https://docs.google.com/spreadsheets/d/14k9zl8QJZNDdLexy-mL85RC3KURzq9Zn4glvtZCxREk/edit#gid=507036928"",""2026-27!ad4"")"),0.0)</f>
        <v>0</v>
      </c>
      <c r="BL111" s="59">
        <f>IFERROR(__xludf.DUMMYFUNCTION("importrange(""https://docs.google.com/spreadsheets/d/14k9zl8QJZNDdLexy-mL85RC3KURzq9Zn4glvtZCxREk/edit#gid=507036928"",""2026-27!ad3"")"),0.0)</f>
        <v>0</v>
      </c>
      <c r="BM111" s="59">
        <f>IFERROR(__xludf.DUMMYFUNCTION("importrange(""https://docs.google.com/spreadsheets/d/14k9zl8QJZNDdLexy-mL85RC3KURzq9Zn4glvtZCxREk/edit#gid=507036928"",""2026-27!ae4"")"),1895000.0)</f>
        <v>1895000</v>
      </c>
      <c r="BN111" s="59">
        <f>IFERROR(__xludf.DUMMYFUNCTION("importrange(""https://docs.google.com/spreadsheets/d/14k9zl8QJZNDdLexy-mL85RC3KURzq9Zn4glvtZCxREk/edit#gid=507036928"",""2026-27!ae3"")"),61.0)</f>
        <v>61</v>
      </c>
      <c r="BO111" s="59">
        <f>IFERROR(__xludf.DUMMYFUNCTION("importrange(""https://docs.google.com/spreadsheets/d/14k9zl8QJZNDdLexy-mL85RC3KURzq9Zn4glvtZCxREk/edit#gid=507036928"",""2026-27!af4"")"),0.0)</f>
        <v>0</v>
      </c>
      <c r="BP111" s="59">
        <f>IFERROR(__xludf.DUMMYFUNCTION("importrange(""https://docs.google.com/spreadsheets/d/14k9zl8QJZNDdLexy-mL85RC3KURzq9Zn4glvtZCxREk/edit#gid=507036928"",""2026-27!af3"")"),0.0)</f>
        <v>0</v>
      </c>
      <c r="BQ111" s="63">
        <f t="shared" si="107"/>
        <v>0</v>
      </c>
      <c r="BR111" s="59">
        <f>IFERROR(__xludf.DUMMYFUNCTION("importrange(""https://docs.google.com/spreadsheets/d/14k9zl8QJZNDdLexy-mL85RC3KURzq9Zn4glvtZCxREk/edit#gid=507036928"",""2026-27!ag4"")"),0.0)</f>
        <v>0</v>
      </c>
      <c r="BS111" s="59">
        <f>IFERROR(__xludf.DUMMYFUNCTION("importrange(""https://docs.google.com/spreadsheets/d/14k9zl8QJZNDdLexy-mL85RC3KURzq9Zn4glvtZCxREk/edit#gid=507036928"",""2026-27!ag3"")"),0.0)</f>
        <v>0</v>
      </c>
      <c r="BT111" s="59">
        <f>IFERROR(__xludf.DUMMYFUNCTION("importrange(""https://docs.google.com/spreadsheets/d/14k9zl8QJZNDdLexy-mL85RC3KURzq9Zn4glvtZCxREk/edit#gid=507036928"",""2026-27!ah4"")"),1893000.0)</f>
        <v>1893000</v>
      </c>
      <c r="BU111" s="59">
        <f>IFERROR(__xludf.DUMMYFUNCTION("importrange(""https://docs.google.com/spreadsheets/d/14k9zl8QJZNDdLexy-mL85RC3KURzq9Zn4glvtZCxREk/edit#gid=507036928"",""2026-27!ah3"")"),61.0)</f>
        <v>61</v>
      </c>
      <c r="BV111" s="59">
        <f>IFERROR(__xludf.DUMMYFUNCTION("importrange(""https://docs.google.com/spreadsheets/d/14k9zl8QJZNDdLexy-mL85RC3KURzq9Zn4glvtZCxREk/edit#gid=507036928"",""2026-27!ai4"")"),0.0)</f>
        <v>0</v>
      </c>
      <c r="BW111" s="59">
        <f>IFERROR(__xludf.DUMMYFUNCTION("importrange(""https://docs.google.com/spreadsheets/d/14k9zl8QJZNDdLexy-mL85RC3KURzq9Zn4glvtZCxREk/edit#gid=507036928"",""2026-27!ai3"")"),0.0)</f>
        <v>0</v>
      </c>
      <c r="BX111" s="63">
        <f t="shared" si="108"/>
        <v>0</v>
      </c>
      <c r="BY111" s="59">
        <f>IFERROR(__xludf.DUMMYFUNCTION("importrange(""https://docs.google.com/spreadsheets/d/14k9zl8QJZNDdLexy-mL85RC3KURzq9Zn4glvtZCxREk/edit#gid=507036928"",""2026-27!aj4"")"),0.0)</f>
        <v>0</v>
      </c>
      <c r="BZ111" s="59">
        <f>IFERROR(__xludf.DUMMYFUNCTION("importrange(""https://docs.google.com/spreadsheets/d/14k9zl8QJZNDdLexy-mL85RC3KURzq9Zn4glvtZCxREk/edit#gid=507036928"",""2026-27!aj3"")"),0.0)</f>
        <v>0</v>
      </c>
      <c r="CA111" s="59">
        <f>IFERROR(__xludf.DUMMYFUNCTION("importrange(""https://docs.google.com/spreadsheets/d/14k9zl8QJZNDdLexy-mL85RC3KURzq9Zn4glvtZCxREk/edit#gid=507036928"",""2026-27!ak4"")"),1881000.0)</f>
        <v>1881000</v>
      </c>
      <c r="CB111" s="59">
        <f>IFERROR(__xludf.DUMMYFUNCTION("importrange(""https://docs.google.com/spreadsheets/d/14k9zl8QJZNDdLexy-mL85RC3KURzq9Zn4glvtZCxREk/edit#gid=507036928"",""2026-27!ak3"")"),61.0)</f>
        <v>61</v>
      </c>
      <c r="CC111" s="59">
        <f>IFERROR(__xludf.DUMMYFUNCTION("importrange(""https://docs.google.com/spreadsheets/d/14k9zl8QJZNDdLexy-mL85RC3KURzq9Zn4glvtZCxREk/edit#gid=507036928"",""2026-27!al4"")"),0.0)</f>
        <v>0</v>
      </c>
      <c r="CD111" s="59">
        <f>IFERROR(__xludf.DUMMYFUNCTION("importrange(""https://docs.google.com/spreadsheets/d/14k9zl8QJZNDdLexy-mL85RC3KURzq9Zn4glvtZCxREk/edit#gid=507036928"",""2026-27!ai3"")"),0.0)</f>
        <v>0</v>
      </c>
      <c r="CE111" s="63">
        <f t="shared" si="109"/>
        <v>0</v>
      </c>
      <c r="CF111" s="59">
        <f>IFERROR(__xludf.DUMMYFUNCTION("importrange(""https://docs.google.com/spreadsheets/d/14k9zl8QJZNDdLexy-mL85RC3KURzq9Zn4glvtZCxREk/edit#gid=507036928"",""2026-27!am4"")"),0.0)</f>
        <v>0</v>
      </c>
      <c r="CG111" s="59">
        <f>IFERROR(__xludf.DUMMYFUNCTION("importrange(""https://docs.google.com/spreadsheets/d/14k9zl8QJZNDdLexy-mL85RC3KURzq9Zn4glvtZCxREk/edit#gid=507036928"",""2026-27!am3"")"),0.0)</f>
        <v>0</v>
      </c>
      <c r="CH111" s="59">
        <f>IFERROR(__xludf.DUMMYFUNCTION("importrange(""https://docs.google.com/spreadsheets/d/14k9zl8QJZNDdLexy-mL85RC3KURzq9Zn4glvtZCxREk/edit#gid=507036928"",""2026-27!an4"")"),1882000.0)</f>
        <v>1882000</v>
      </c>
      <c r="CI111" s="59">
        <f>IFERROR(__xludf.DUMMYFUNCTION("importrange(""https://docs.google.com/spreadsheets/d/14k9zl8QJZNDdLexy-mL85RC3KURzq9Zn4glvtZCxREk/edit#gid=507036928"",""2026-27!an3"")"),61.0)</f>
        <v>61</v>
      </c>
      <c r="CJ111" s="59">
        <f>IFERROR(__xludf.DUMMYFUNCTION("importrange(""https://docs.google.com/spreadsheets/d/14k9zl8QJZNDdLexy-mL85RC3KURzq9Zn4glvtZCxREk/edit#gid=507036928"",""2026-27!ao4"")"),0.0)</f>
        <v>0</v>
      </c>
      <c r="CK111" s="59">
        <f>IFERROR(__xludf.DUMMYFUNCTION("importrange(""https://docs.google.com/spreadsheets/d/14k9zl8QJZNDdLexy-mL85RC3KURzq9Zn4glvtZCxREk/edit#gid=507036928"",""2026-27!ao3"")"),0.0)</f>
        <v>0</v>
      </c>
      <c r="CL111" s="63">
        <f t="shared" si="110"/>
        <v>0</v>
      </c>
      <c r="CM111" s="59">
        <f>IFERROR(__xludf.DUMMYFUNCTION("importrange(""https://docs.google.com/spreadsheets/d/14k9zl8QJZNDdLexy-mL85RC3KURzq9Zn4glvtZCxREk/edit#gid=507036928"",""2026-27!ap4"")"),0.0)</f>
        <v>0</v>
      </c>
      <c r="CN111" s="59">
        <f>IFERROR(__xludf.DUMMYFUNCTION("importrange(""https://docs.google.com/spreadsheets/d/14k9zl8QJZNDdLexy-mL85RC3KURzq9Zn4glvtZCxREk/edit#gid=507036928"",""2026-27!ap3"")"),0.0)</f>
        <v>0</v>
      </c>
      <c r="CO111" s="59">
        <f>IFERROR(__xludf.DUMMYFUNCTION("importrange(""https://docs.google.com/spreadsheets/d/14k9zl8QJZNDdLexy-mL85RC3KURzq9Zn4glvtZCxREk/edit#gid=507036928"",""2026-27!aq4"")"),1896000.0)</f>
        <v>1896000</v>
      </c>
      <c r="CP111" s="59">
        <f>IFERROR(__xludf.DUMMYFUNCTION("importrange(""https://docs.google.com/spreadsheets/d/14k9zl8QJZNDdLexy-mL85RC3KURzq9Zn4glvtZCxREk/edit#gid=507036928"",""2026-27!aq3"")"),61.0)</f>
        <v>61</v>
      </c>
      <c r="CQ111" s="59">
        <f>IFERROR(__xludf.DUMMYFUNCTION("importrange(""https://docs.google.com/spreadsheets/d/14k9zl8QJZNDdLexy-mL85RC3KURzq9Zn4glvtZCxREk/edit#gid=507036928"",""2026-27!ar4"")"),0.0)</f>
        <v>0</v>
      </c>
      <c r="CR111" s="59">
        <f>IFERROR(__xludf.DUMMYFUNCTION("importrange(""https://docs.google.com/spreadsheets/d/14k9zl8QJZNDdLexy-mL85RC3KURzq9Zn4glvtZCxREk/edit#gid=507036928"",""2026-27!ar3"")"),0.0)</f>
        <v>0</v>
      </c>
      <c r="CS111" s="63">
        <f t="shared" si="111"/>
        <v>0</v>
      </c>
      <c r="CT111" s="59">
        <f>IFERROR(__xludf.DUMMYFUNCTION("importrange(""https://docs.google.com/spreadsheets/d/14k9zl8QJZNDdLexy-mL85RC3KURzq9Zn4glvtZCxREk/edit#gid=507036928"",""2026-27!as4"")"),0.0)</f>
        <v>0</v>
      </c>
      <c r="CU111" s="59">
        <f>IFERROR(__xludf.DUMMYFUNCTION("importrange(""https://docs.google.com/spreadsheets/d/14k9zl8QJZNDdLexy-mL85RC3KURzq9Zn4glvtZCxREk/edit#gid=507036928"",""2026-27!as3"")"),0.0)</f>
        <v>0</v>
      </c>
      <c r="CV111" s="64"/>
    </row>
    <row r="112">
      <c r="A112" s="1" t="s">
        <v>160</v>
      </c>
      <c r="B112" s="41"/>
      <c r="C112" s="68" t="s">
        <v>220</v>
      </c>
      <c r="D112" s="54" t="s">
        <v>221</v>
      </c>
      <c r="E112" s="54">
        <v>7.004203576E9</v>
      </c>
      <c r="F112" s="80">
        <v>45236.0</v>
      </c>
      <c r="G112" s="66"/>
      <c r="H112" s="66"/>
      <c r="I112" s="57">
        <v>27260.0</v>
      </c>
      <c r="J112" s="58">
        <v>2250000.0</v>
      </c>
      <c r="K112" s="61">
        <f>IFERROR(__xludf.DUMMYFUNCTION("IMPORTRANGE(""https://docs.google.com/spreadsheets/d/1f-Q3GKpCdBCdJNXC0PAWbenumI9Kvif8dR3uM-wiA14/edit#gid=187761907"",""2026-27!A3"")"),35.0)</f>
        <v>35</v>
      </c>
      <c r="L112" s="61">
        <f>IFERROR(__xludf.DUMMYFUNCTION("IMPORTRANGE(""https://docs.google.com/spreadsheets/d/1f-Q3GKpCdBCdJNXC0PAWbenumI9Kvif8dR3uM-wiA14/edit#gid=187761907"",""2026-27!G4"")"),2.7000000800000004E7)</f>
        <v>27000000.8</v>
      </c>
      <c r="M112" s="61">
        <f t="shared" si="97"/>
        <v>3476078.08</v>
      </c>
      <c r="N112" s="60">
        <f t="shared" si="98"/>
        <v>0.1233902556</v>
      </c>
      <c r="O112" s="61">
        <f t="shared" si="99"/>
        <v>3331537</v>
      </c>
      <c r="P112" s="59">
        <f>IFERROR(__xludf.DUMMYFUNCTION("IMPORTRANGE(""https://docs.google.com/spreadsheets/d/1f-Q3GKpCdBCdJNXC0PAWbenumI9Kvif8dR3uM-wiA14/edit#gid=187761907"",""2026-27!J4"")"),2250000.066666667)</f>
        <v>2250000.067</v>
      </c>
      <c r="Q112" s="59">
        <f>IFERROR(__xludf.DUMMYFUNCTION("IMPORTRANGE(""https://docs.google.com/spreadsheets/d/1f-Q3GKpCdBCdJNXC0PAWbenumI9Kvif8dR3uM-wiA14/edit#gid=187761907"",""2026-27!J3"")"),35.0)</f>
        <v>35</v>
      </c>
      <c r="R112" s="59">
        <f>IFERROR(__xludf.DUMMYFUNCTION("IMPORTRANGE(""https://docs.google.com/spreadsheets/d/1f-Q3GKpCdBCdJNXC0PAWbenumI9Kvif8dR3uM-wiA14/edit#gid=187761907"",""2026-27!K4"")"),496945.45)</f>
        <v>496945.45</v>
      </c>
      <c r="S112" s="59">
        <f>IFERROR(__xludf.DUMMYFUNCTION("IMPORTRANGE(""https://docs.google.com/spreadsheets/d/1f-Q3GKpCdBCdJNXC0PAWbenumI9Kvif8dR3uM-wiA14/edit#gid=187761907"",""2026-27!K3"")"),4.0)</f>
        <v>4</v>
      </c>
      <c r="T112" s="62">
        <f t="shared" si="100"/>
        <v>0.6683582024</v>
      </c>
      <c r="U112" s="59">
        <f>IFERROR(__xludf.DUMMYFUNCTION("IMPORTRANGE(""https://docs.google.com/spreadsheets/d/1f-Q3GKpCdBCdJNXC0PAWbenumI9Kvif8dR3uM-wiA14/edit#gid=187761907"",""2026-27!L4"")"),1503806.0)</f>
        <v>1503806</v>
      </c>
      <c r="V112" s="85">
        <f>IFERROR(__xludf.DUMMYFUNCTION("IMPORTRANGE(""https://docs.google.com/spreadsheets/d/1f-Q3GKpCdBCdJNXC0PAWbenumI9Kvif8dR3uM-wiA14/edit#gid=187761907"",""2026-27!L3"")"),18.0)</f>
        <v>18</v>
      </c>
      <c r="W112" s="59">
        <f>IFERROR(__xludf.DUMMYFUNCTION("IMPORTRANGE(""https://docs.google.com/spreadsheets/d/1f-Q3GKpCdBCdJNXC0PAWbenumI9Kvif8dR3uM-wiA14/edit#gid=187761907"",""2026-27!M4"")"),2224711.3166666673)</f>
        <v>2224711.317</v>
      </c>
      <c r="X112" s="85">
        <f>IFERROR(__xludf.DUMMYFUNCTION("IMPORTRANGE(""https://docs.google.com/spreadsheets/d/1f-Q3GKpCdBCdJNXC0PAWbenumI9Kvif8dR3uM-wiA14/edit#gid=187761907"",""2026-27!M3"")"),30.0)</f>
        <v>30</v>
      </c>
      <c r="Y112" s="59">
        <f>IFERROR(__xludf.DUMMYFUNCTION("importrange(""https://docs.google.com/spreadsheets/d/1f-Q3GKpCdBCdJNXC0PAWbenumI9Kvif8dR3uM-wiA14/edit#gid=187761907"",""2026-27!n4"")"),1252148.72)</f>
        <v>1252148.72</v>
      </c>
      <c r="Z112" s="59">
        <f>IFERROR(__xludf.DUMMYFUNCTION("importrange(""https://docs.google.com/spreadsheets/d/1f-Q3GKpCdBCdJNXC0PAWbenumI9Kvif8dR3uM-wiA14/edit#gid=187761907"",""2026-27!n3"")"),10.0)</f>
        <v>10</v>
      </c>
      <c r="AA112" s="62">
        <f t="shared" si="101"/>
        <v>0.8215587282</v>
      </c>
      <c r="AB112" s="59">
        <f>IFERROR(__xludf.DUMMYFUNCTION("importrange(""https://docs.google.com/spreadsheets/d/1f-Q3GKpCdBCdJNXC0PAWbenumI9Kvif8dR3uM-wiA14/edit#gid=187761907"",""2026-27!o4"")"),1827731.0)</f>
        <v>1827731</v>
      </c>
      <c r="AC112" s="59">
        <f>IFERROR(__xludf.DUMMYFUNCTION("importrange(""https://docs.google.com/spreadsheets/d/1f-Q3GKpCdBCdJNXC0PAWbenumI9Kvif8dR3uM-wiA14/edit#gid=187761907"",""2026-27!o3"")"),18.0)</f>
        <v>18</v>
      </c>
      <c r="AD112" s="59">
        <f>IFERROR(__xludf.DUMMYFUNCTION("importrange(""https://docs.google.com/spreadsheets/d/1f-Q3GKpCdBCdJNXC0PAWbenumI9Kvif8dR3uM-wiA14/edit#gid=187761907"",""2026-27!p4"")"),2224711.3166666673)</f>
        <v>2224711.317</v>
      </c>
      <c r="AE112" s="59">
        <f>IFERROR(__xludf.DUMMYFUNCTION("importrange(""https://docs.google.com/spreadsheets/d/1f-Q3GKpCdBCdJNXC0PAWbenumI9Kvif8dR3uM-wiA14/edit#gid=187761907"",""2026-27!p3"")"),30.0)</f>
        <v>30</v>
      </c>
      <c r="AF112" s="59">
        <f>IFERROR(__xludf.DUMMYFUNCTION("importrange(""https://docs.google.com/spreadsheets/d/1f-Q3GKpCdBCdJNXC0PAWbenumI9Kvif8dR3uM-wiA14/edit#gid=187761907"",""2026-27!q4"")"),1726983.9100000004)</f>
        <v>1726983.91</v>
      </c>
      <c r="AG112" s="59">
        <f>IFERROR(__xludf.DUMMYFUNCTION("importrange(""https://docs.google.com/spreadsheets/d/1f-Q3GKpCdBCdJNXC0PAWbenumI9Kvif8dR3uM-wiA14/edit#gid=187761907"",""2026-27!q3"")"),12.0)</f>
        <v>12</v>
      </c>
      <c r="AH112" s="62">
        <f t="shared" si="102"/>
        <v>0</v>
      </c>
      <c r="AI112" s="59">
        <f>IFERROR(__xludf.DUMMYFUNCTION("importrange(""https://docs.google.com/spreadsheets/d/1f-Q3GKpCdBCdJNXC0PAWbenumI9Kvif8dR3uM-wiA14/edit#gid=187761907"",""2026-27!r4"")"),0.0)</f>
        <v>0</v>
      </c>
      <c r="AJ112" s="59">
        <f>IFERROR(__xludf.DUMMYFUNCTION("importrange(""https://docs.google.com/spreadsheets/d/1f-Q3GKpCdBCdJNXC0PAWbenumI9Kvif8dR3uM-wiA14/edit#gid=187761907"",""2026-27!r3"")"),0.0)</f>
        <v>0</v>
      </c>
      <c r="AK112" s="59">
        <f>IFERROR(__xludf.DUMMYFUNCTION("importrange(""https://docs.google.com/spreadsheets/d/1f-Q3GKpCdBCdJNXC0PAWbenumI9Kvif8dR3uM-wiA14/edit#gid=187761907"",""2026-27!s4"")"),2224711.3166666673)</f>
        <v>2224711.317</v>
      </c>
      <c r="AL112" s="59">
        <f>IFERROR(__xludf.DUMMYFUNCTION("importrange(""https://docs.google.com/spreadsheets/d/1f-Q3GKpCdBCdJNXC0PAWbenumI9Kvif8dR3uM-wiA14/edit#gid=187761907"",""2026-27!s3"")"),30.0)</f>
        <v>30</v>
      </c>
      <c r="AM112" s="61">
        <f>IFERROR(__xludf.DUMMYFUNCTION("importrange(""https://docs.google.com/spreadsheets/d/1f-Q3GKpCdBCdJNXC0PAWbenumI9Kvif8dR3uM-wiA14/edit#gid=187761907"",""2026-27!t4"")"),0.0)</f>
        <v>0</v>
      </c>
      <c r="AN112" s="59">
        <f>IFERROR(__xludf.DUMMYFUNCTION("importrange(""https://docs.google.com/spreadsheets/d/1f-Q3GKpCdBCdJNXC0PAWbenumI9Kvif8dR3uM-wiA14/edit#gid=187761907"",""2026-27!t3"")"),0.0)</f>
        <v>0</v>
      </c>
      <c r="AO112" s="62">
        <f t="shared" si="103"/>
        <v>0</v>
      </c>
      <c r="AP112" s="59">
        <f>IFERROR(__xludf.DUMMYFUNCTION("importrange(""https://docs.google.com/spreadsheets/d/1f-Q3GKpCdBCdJNXC0PAWbenumI9Kvif8dR3uM-wiA14/edit#gid=187761907"",""2026-27!u4"")"),0.0)</f>
        <v>0</v>
      </c>
      <c r="AQ112" s="59">
        <f>IFERROR(__xludf.DUMMYFUNCTION("importrange(""https://docs.google.com/spreadsheets/d/1f-Q3GKpCdBCdJNXC0PAWbenumI9Kvif8dR3uM-wiA14/edit#gid=187761907"",""2026-27!u3"")"),0.0)</f>
        <v>0</v>
      </c>
      <c r="AR112" s="59">
        <f>IFERROR(__xludf.DUMMYFUNCTION("importrange(""https://docs.google.com/spreadsheets/d/1f-Q3GKpCdBCdJNXC0PAWbenumI9Kvif8dR3uM-wiA14/edit#gid=187761907"",""2026-27!v4"")"),2224711.3166666673)</f>
        <v>2224711.317</v>
      </c>
      <c r="AS112" s="59">
        <f>IFERROR(__xludf.DUMMYFUNCTION("importrange(""https://docs.google.com/spreadsheets/d/1f-Q3GKpCdBCdJNXC0PAWbenumI9Kvif8dR3uM-wiA14/edit#gid=187761907"",""2026-27!v3"")"),30.0)</f>
        <v>30</v>
      </c>
      <c r="AT112" s="61">
        <f>IFERROR(__xludf.DUMMYFUNCTION("importrange(""https://docs.google.com/spreadsheets/d/1f-Q3GKpCdBCdJNXC0PAWbenumI9Kvif8dR3uM-wiA14/edit#gid=187761907"",""2026-27!w4"")"),0.0)</f>
        <v>0</v>
      </c>
      <c r="AU112" s="59">
        <f>IFERROR(__xludf.DUMMYFUNCTION("importrange(""https://docs.google.com/spreadsheets/d/1f-Q3GKpCdBCdJNXC0PAWbenumI9Kvif8dR3uM-wiA14/edit#gid=187761907"",""2026-27!w3"")"),0.0)</f>
        <v>0</v>
      </c>
      <c r="AV112" s="62">
        <f t="shared" si="104"/>
        <v>0</v>
      </c>
      <c r="AW112" s="59">
        <f>IFERROR(__xludf.DUMMYFUNCTION("importrange(""https://docs.google.com/spreadsheets/d/1f-Q3GKpCdBCdJNXC0PAWbenumI9Kvif8dR3uM-wiA14/edit#gid=187761907"",""2026-27!x4"")"),0.0)</f>
        <v>0</v>
      </c>
      <c r="AX112" s="59">
        <f>IFERROR(__xludf.DUMMYFUNCTION("importrange(""https://docs.google.com/spreadsheets/d/1f-Q3GKpCdBCdJNXC0PAWbenumI9Kvif8dR3uM-wiA14/edit#gid=187761907"",""2026-27!x3"")"),0.0)</f>
        <v>0</v>
      </c>
      <c r="AY112" s="59">
        <f>IFERROR(__xludf.DUMMYFUNCTION("importrange(""https://docs.google.com/spreadsheets/d/1f-Q3GKpCdBCdJNXC0PAWbenumI9Kvif8dR3uM-wiA14/edit#gid=187761907"",""2026-27!y4"")"),2224711.3166666673)</f>
        <v>2224711.317</v>
      </c>
      <c r="AZ112" s="59">
        <f>IFERROR(__xludf.DUMMYFUNCTION("importrange(""https://docs.google.com/spreadsheets/d/1f-Q3GKpCdBCdJNXC0PAWbenumI9Kvif8dR3uM-wiA14/edit#gid=187761907"",""2026-27!y3"")"),30.0)</f>
        <v>30</v>
      </c>
      <c r="BA112" s="61">
        <f>IFERROR(__xludf.DUMMYFUNCTION("importrange(""https://docs.google.com/spreadsheets/d/1f-Q3GKpCdBCdJNXC0PAWbenumI9Kvif8dR3uM-wiA14/edit#gid=187761907"",""2026-27!z4"")"),0.0)</f>
        <v>0</v>
      </c>
      <c r="BB112" s="59">
        <f>IFERROR(__xludf.DUMMYFUNCTION("importrange(""https://docs.google.com/spreadsheets/d/1f-Q3GKpCdBCdJNXC0PAWbenumI9Kvif8dR3uM-wiA14/edit#gid=187761907"",""2026-27!z3"")"),0.0)</f>
        <v>0</v>
      </c>
      <c r="BC112" s="63">
        <f t="shared" si="105"/>
        <v>0</v>
      </c>
      <c r="BD112" s="59">
        <f>IFERROR(__xludf.DUMMYFUNCTION("importrange(""https://docs.google.com/spreadsheets/d/1f-Q3GKpCdBCdJNXC0PAWbenumI9Kvif8dR3uM-wiA14/edit#gid=187761907"",""2026-27!aa4"")"),0.0)</f>
        <v>0</v>
      </c>
      <c r="BE112" s="59">
        <f>IFERROR(__xludf.DUMMYFUNCTION("importrange(""https://docs.google.com/spreadsheets/d/1f-Q3GKpCdBCdJNXC0PAWbenumI9Kvif8dR3uM-wiA14/edit#gid=187761907"",""2026-27!aa3"")"),0.0)</f>
        <v>0</v>
      </c>
      <c r="BF112" s="59">
        <f>IFERROR(__xludf.DUMMYFUNCTION("importrange(""https://docs.google.com/spreadsheets/d/1f-Q3GKpCdBCdJNXC0PAWbenumI9Kvif8dR3uM-wiA14/edit#gid=187761907"",""2026-27!ab4"")"),2224711.3166666673)</f>
        <v>2224711.317</v>
      </c>
      <c r="BG112" s="59">
        <f>IFERROR(__xludf.DUMMYFUNCTION("importrange(""https://docs.google.com/spreadsheets/d/1f-Q3GKpCdBCdJNXC0PAWbenumI9Kvif8dR3uM-wiA14/edit#gid=187761907"",""2026-27!ab3"")"),30.0)</f>
        <v>30</v>
      </c>
      <c r="BH112" s="59">
        <f>IFERROR(__xludf.DUMMYFUNCTION("importrange(""https://docs.google.com/spreadsheets/d/1f-Q3GKpCdBCdJNXC0PAWbenumI9Kvif8dR3uM-wiA14/edit#gid=187761907"",""2026-27!ac4"")"),0.0)</f>
        <v>0</v>
      </c>
      <c r="BI112" s="59">
        <f>IFERROR(__xludf.DUMMYFUNCTION("importrange(""https://docs.google.com/spreadsheets/d/1f-Q3GKpCdBCdJNXC0PAWbenumI9Kvif8dR3uM-wiA14/edit#gid=187761907"",""2026-27!ac3"")"),0.0)</f>
        <v>0</v>
      </c>
      <c r="BJ112" s="63">
        <f t="shared" si="106"/>
        <v>0</v>
      </c>
      <c r="BK112" s="59">
        <f>IFERROR(__xludf.DUMMYFUNCTION("importrange(""https://docs.google.com/spreadsheets/d/1f-Q3GKpCdBCdJNXC0PAWbenumI9Kvif8dR3uM-wiA14/edit#gid=187761907"",""2026-27!ad4"")"),0.0)</f>
        <v>0</v>
      </c>
      <c r="BL112" s="59">
        <f>IFERROR(__xludf.DUMMYFUNCTION("importrange(""https://docs.google.com/spreadsheets/d/1f-Q3GKpCdBCdJNXC0PAWbenumI9Kvif8dR3uM-wiA14/edit#gid=187761907"",""2026-27!ad3"")"),0.0)</f>
        <v>0</v>
      </c>
      <c r="BM112" s="59">
        <f>IFERROR(__xludf.DUMMYFUNCTION("importrange(""https://docs.google.com/spreadsheets/d/1f-Q3GKpCdBCdJNXC0PAWbenumI9Kvif8dR3uM-wiA14/edit#gid=187761907"",""2026-27!ae4"")"),2224711.3166666673)</f>
        <v>2224711.317</v>
      </c>
      <c r="BN112" s="59">
        <f>IFERROR(__xludf.DUMMYFUNCTION("importrange(""https://docs.google.com/spreadsheets/d/1f-Q3GKpCdBCdJNXC0PAWbenumI9Kvif8dR3uM-wiA14/edit#gid=187761907"",""2026-27!ae3"")"),30.0)</f>
        <v>30</v>
      </c>
      <c r="BO112" s="59">
        <f>IFERROR(__xludf.DUMMYFUNCTION("importrange(""https://docs.google.com/spreadsheets/d/1f-Q3GKpCdBCdJNXC0PAWbenumI9Kvif8dR3uM-wiA14/edit#gid=187761907"",""2026-27!af4"")"),0.0)</f>
        <v>0</v>
      </c>
      <c r="BP112" s="59">
        <f>IFERROR(__xludf.DUMMYFUNCTION("importrange(""https://docs.google.com/spreadsheets/d/1f-Q3GKpCdBCdJNXC0PAWbenumI9Kvif8dR3uM-wiA14/edit#gid=187761907"",""2026-27!af3"")"),0.0)</f>
        <v>0</v>
      </c>
      <c r="BQ112" s="63">
        <f t="shared" si="107"/>
        <v>0</v>
      </c>
      <c r="BR112" s="59">
        <f>IFERROR(__xludf.DUMMYFUNCTION("importrange(""https://docs.google.com/spreadsheets/d/1f-Q3GKpCdBCdJNXC0PAWbenumI9Kvif8dR3uM-wiA14/edit#gid=187761907"",""2026-27!ag4"")"),0.0)</f>
        <v>0</v>
      </c>
      <c r="BS112" s="59">
        <f>IFERROR(__xludf.DUMMYFUNCTION("importrange(""https://docs.google.com/spreadsheets/d/1f-Q3GKpCdBCdJNXC0PAWbenumI9Kvif8dR3uM-wiA14/edit#gid=187761907"",""2026-27!ag3"")"),0.0)</f>
        <v>0</v>
      </c>
      <c r="BT112" s="59">
        <f>IFERROR(__xludf.DUMMYFUNCTION("importrange(""https://docs.google.com/spreadsheets/d/1f-Q3GKpCdBCdJNXC0PAWbenumI9Kvif8dR3uM-wiA14/edit#gid=187761907"",""2026-27!ah4"")"),2224711.3166666673)</f>
        <v>2224711.317</v>
      </c>
      <c r="BU112" s="59">
        <f>IFERROR(__xludf.DUMMYFUNCTION("importrange(""https://docs.google.com/spreadsheets/d/1f-Q3GKpCdBCdJNXC0PAWbenumI9Kvif8dR3uM-wiA14/edit#gid=187761907"",""2026-27!ah3"")"),30.0)</f>
        <v>30</v>
      </c>
      <c r="BV112" s="59">
        <f>IFERROR(__xludf.DUMMYFUNCTION("importrange(""https://docs.google.com/spreadsheets/d/1f-Q3GKpCdBCdJNXC0PAWbenumI9Kvif8dR3uM-wiA14/edit#gid=187761907"",""2026-27!ai4"")"),0.0)</f>
        <v>0</v>
      </c>
      <c r="BW112" s="59">
        <f>IFERROR(__xludf.DUMMYFUNCTION("importrange(""https://docs.google.com/spreadsheets/d/1f-Q3GKpCdBCdJNXC0PAWbenumI9Kvif8dR3uM-wiA14/edit#gid=187761907"",""2026-27!ai3"")"),0.0)</f>
        <v>0</v>
      </c>
      <c r="BX112" s="63">
        <f t="shared" si="108"/>
        <v>0</v>
      </c>
      <c r="BY112" s="59">
        <f>IFERROR(__xludf.DUMMYFUNCTION("importrange(""https://docs.google.com/spreadsheets/d/1f-Q3GKpCdBCdJNXC0PAWbenumI9Kvif8dR3uM-wiA14/edit#gid=187761907"",""2026-27!aj4"")"),0.0)</f>
        <v>0</v>
      </c>
      <c r="BZ112" s="59">
        <f>IFERROR(__xludf.DUMMYFUNCTION("importrange(""https://docs.google.com/spreadsheets/d/1f-Q3GKpCdBCdJNXC0PAWbenumI9Kvif8dR3uM-wiA14/edit#gid=187761907"",""2026-27!aj3"")"),0.0)</f>
        <v>0</v>
      </c>
      <c r="CA112" s="59">
        <f>IFERROR(__xludf.DUMMYFUNCTION("importrange(""https://docs.google.com/spreadsheets/d/1f-Q3GKpCdBCdJNXC0PAWbenumI9Kvif8dR3uM-wiA14/edit#gid=187761907"",""2026-27!ak4"")"),2224711.3166666673)</f>
        <v>2224711.317</v>
      </c>
      <c r="CB112" s="59">
        <f>IFERROR(__xludf.DUMMYFUNCTION("importrange(""https://docs.google.com/spreadsheets/d/1f-Q3GKpCdBCdJNXC0PAWbenumI9Kvif8dR3uM-wiA14/edit#gid=187761907"",""2026-27!ak3"")"),30.0)</f>
        <v>30</v>
      </c>
      <c r="CC112" s="59">
        <f>IFERROR(__xludf.DUMMYFUNCTION("importrange(""https://docs.google.com/spreadsheets/d/1f-Q3GKpCdBCdJNXC0PAWbenumI9Kvif8dR3uM-wiA14/edit#gid=187761907"",""2026-27!al4"")"),0.0)</f>
        <v>0</v>
      </c>
      <c r="CD112" s="59">
        <f>IFERROR(__xludf.DUMMYFUNCTION("importrange(""https://docs.google.com/spreadsheets/d/1f-Q3GKpCdBCdJNXC0PAWbenumI9Kvif8dR3uM-wiA14/edit#gid=187761907"",""2026-27!ai3"")"),0.0)</f>
        <v>0</v>
      </c>
      <c r="CE112" s="63">
        <f t="shared" si="109"/>
        <v>0</v>
      </c>
      <c r="CF112" s="59">
        <f>IFERROR(__xludf.DUMMYFUNCTION("importrange(""https://docs.google.com/spreadsheets/d/1f-Q3GKpCdBCdJNXC0PAWbenumI9Kvif8dR3uM-wiA14/edit#gid=187761907"",""2026-27!am4"")"),0.0)</f>
        <v>0</v>
      </c>
      <c r="CG112" s="59">
        <f>IFERROR(__xludf.DUMMYFUNCTION("importrange(""https://docs.google.com/spreadsheets/d/1f-Q3GKpCdBCdJNXC0PAWbenumI9Kvif8dR3uM-wiA14/edit#gid=187761907"",""2026-27!am3"")"),0.0)</f>
        <v>0</v>
      </c>
      <c r="CH112" s="59">
        <f>IFERROR(__xludf.DUMMYFUNCTION("importrange(""https://docs.google.com/spreadsheets/d/1f-Q3GKpCdBCdJNXC0PAWbenumI9Kvif8dR3uM-wiA14/edit#gid=187761907"",""2026-27!an4"")"),2224711.3166666673)</f>
        <v>2224711.317</v>
      </c>
      <c r="CI112" s="59">
        <f>IFERROR(__xludf.DUMMYFUNCTION("importrange(""https://docs.google.com/spreadsheets/d/1f-Q3GKpCdBCdJNXC0PAWbenumI9Kvif8dR3uM-wiA14/edit#gid=187761907"",""2026-27!an3"")"),30.0)</f>
        <v>30</v>
      </c>
      <c r="CJ112" s="59">
        <f>IFERROR(__xludf.DUMMYFUNCTION("importrange(""https://docs.google.com/spreadsheets/d/1f-Q3GKpCdBCdJNXC0PAWbenumI9Kvif8dR3uM-wiA14/edit#gid=187761907"",""2026-27!ao4"")"),0.0)</f>
        <v>0</v>
      </c>
      <c r="CK112" s="59">
        <f>IFERROR(__xludf.DUMMYFUNCTION("importrange(""https://docs.google.com/spreadsheets/d/1f-Q3GKpCdBCdJNXC0PAWbenumI9Kvif8dR3uM-wiA14/edit#gid=187761907"",""2026-27!ao3"")"),0.0)</f>
        <v>0</v>
      </c>
      <c r="CL112" s="63">
        <f t="shared" si="110"/>
        <v>0</v>
      </c>
      <c r="CM112" s="59">
        <f>IFERROR(__xludf.DUMMYFUNCTION("importrange(""https://docs.google.com/spreadsheets/d/1f-Q3GKpCdBCdJNXC0PAWbenumI9Kvif8dR3uM-wiA14/edit#gid=187761907"",""2026-27!ap4"")"),0.0)</f>
        <v>0</v>
      </c>
      <c r="CN112" s="59">
        <f>IFERROR(__xludf.DUMMYFUNCTION("importrange(""https://docs.google.com/spreadsheets/d/1f-Q3GKpCdBCdJNXC0PAWbenumI9Kvif8dR3uM-wiA14/edit#gid=187761907"",""2026-27!ap3"")"),0.0)</f>
        <v>0</v>
      </c>
      <c r="CO112" s="59">
        <f>IFERROR(__xludf.DUMMYFUNCTION("importrange(""https://docs.google.com/spreadsheets/d/1f-Q3GKpCdBCdJNXC0PAWbenumI9Kvif8dR3uM-wiA14/edit#gid=187761907"",""2026-27!aq4"")"),2224711.3166666673)</f>
        <v>2224711.317</v>
      </c>
      <c r="CP112" s="59">
        <f>IFERROR(__xludf.DUMMYFUNCTION("importrange(""https://docs.google.com/spreadsheets/d/1f-Q3GKpCdBCdJNXC0PAWbenumI9Kvif8dR3uM-wiA14/edit#gid=187761907"",""2026-27!aq3"")"),30.0)</f>
        <v>30</v>
      </c>
      <c r="CQ112" s="59">
        <f>IFERROR(__xludf.DUMMYFUNCTION("importrange(""https://docs.google.com/spreadsheets/d/1f-Q3GKpCdBCdJNXC0PAWbenumI9Kvif8dR3uM-wiA14/edit#gid=187761907"",""2026-27!ar4"")"),0.0)</f>
        <v>0</v>
      </c>
      <c r="CR112" s="59">
        <f>IFERROR(__xludf.DUMMYFUNCTION("importrange(""https://docs.google.com/spreadsheets/d/1f-Q3GKpCdBCdJNXC0PAWbenumI9Kvif8dR3uM-wiA14/edit#gid=187761907"",""2026-27!ar3"")"),0.0)</f>
        <v>0</v>
      </c>
      <c r="CS112" s="63">
        <f t="shared" si="111"/>
        <v>0</v>
      </c>
      <c r="CT112" s="59">
        <f>IFERROR(__xludf.DUMMYFUNCTION("importrange(""https://docs.google.com/spreadsheets/d/1f-Q3GKpCdBCdJNXC0PAWbenumI9Kvif8dR3uM-wiA14/edit#gid=187761907"",""2026-27!as4"")"),0.0)</f>
        <v>0</v>
      </c>
      <c r="CU112" s="59">
        <f>IFERROR(__xludf.DUMMYFUNCTION("importrange(""https://docs.google.com/spreadsheets/d/1f-Q3GKpCdBCdJNXC0PAWbenumI9Kvif8dR3uM-wiA14/edit#gid=187761907"",""2026-27!as3"")"),0.0)</f>
        <v>0</v>
      </c>
      <c r="CV112" s="64"/>
    </row>
    <row r="113">
      <c r="A113" s="1" t="s">
        <v>160</v>
      </c>
      <c r="B113" s="41"/>
      <c r="C113" s="68" t="s">
        <v>222</v>
      </c>
      <c r="D113" s="54" t="s">
        <v>223</v>
      </c>
      <c r="E113" s="54">
        <v>8.917427613E9</v>
      </c>
      <c r="F113" s="80">
        <v>45278.0</v>
      </c>
      <c r="G113" s="66"/>
      <c r="H113" s="66"/>
      <c r="I113" s="57">
        <v>36190.0</v>
      </c>
      <c r="J113" s="58">
        <v>2200000.0</v>
      </c>
      <c r="K113" s="61">
        <f>IFERROR(__xludf.DUMMYFUNCTION("IMPORTRANGE(""https://docs.google.com/spreadsheets/d/1kXi-Po5tHh3RtsiZDCgyu75R5xrra0yqvmCs6fPdJr0/edit#gid=187761907"",""2026-27!A3"")"),78.0)</f>
        <v>78</v>
      </c>
      <c r="L113" s="61">
        <f>IFERROR(__xludf.DUMMYFUNCTION("IMPORTRANGE(""https://docs.google.com/spreadsheets/d/1kXi-Po5tHh3RtsiZDCgyu75R5xrra0yqvmCs6fPdJr0/edit#gid=187761907"",""2026-27!G4"")"),2.1322E7)</f>
        <v>21322000</v>
      </c>
      <c r="M113" s="61">
        <f t="shared" si="97"/>
        <v>4548005.31</v>
      </c>
      <c r="N113" s="60">
        <f t="shared" si="98"/>
        <v>0.136967217</v>
      </c>
      <c r="O113" s="61">
        <f t="shared" si="99"/>
        <v>2920415</v>
      </c>
      <c r="P113" s="59">
        <f>IFERROR(__xludf.DUMMYFUNCTION("IMPORTRANGE(""https://docs.google.com/spreadsheets/d/1kXi-Po5tHh3RtsiZDCgyu75R5xrra0yqvmCs6fPdJr0/edit#gid=187761907"",""2026-27!J4"")"),1778500.0)</f>
        <v>1778500</v>
      </c>
      <c r="Q113" s="59">
        <f>IFERROR(__xludf.DUMMYFUNCTION("IMPORTRANGE(""https://docs.google.com/spreadsheets/d/1kXi-Po5tHh3RtsiZDCgyu75R5xrra0yqvmCs6fPdJr0/edit#gid=187761907"",""2026-27!J3"")"),74.0)</f>
        <v>74</v>
      </c>
      <c r="R113" s="59">
        <f>IFERROR(__xludf.DUMMYFUNCTION("IMPORTRANGE(""https://docs.google.com/spreadsheets/d/1kXi-Po5tHh3RtsiZDCgyu75R5xrra0yqvmCs6fPdJr0/edit#gid=187761907"",""2026-27!K4"")"),1160386.3800000001)</f>
        <v>1160386.38</v>
      </c>
      <c r="S113" s="59">
        <f>IFERROR(__xludf.DUMMYFUNCTION("IMPORTRANGE(""https://docs.google.com/spreadsheets/d/1kXi-Po5tHh3RtsiZDCgyu75R5xrra0yqvmCs6fPdJr0/edit#gid=187761907"",""2026-27!K3"")"),23.0)</f>
        <v>23</v>
      </c>
      <c r="T113" s="62">
        <f t="shared" si="100"/>
        <v>0.6733359573</v>
      </c>
      <c r="U113" s="59">
        <f>IFERROR(__xludf.DUMMYFUNCTION("IMPORTRANGE(""https://docs.google.com/spreadsheets/d/1kXi-Po5tHh3RtsiZDCgyu75R5xrra0yqvmCs6fPdJr0/edit#gid=187761907"",""2026-27!L4"")"),1197528.0)</f>
        <v>1197528</v>
      </c>
      <c r="V113" s="85">
        <f>IFERROR(__xludf.DUMMYFUNCTION("IMPORTRANGE(""https://docs.google.com/spreadsheets/d/1kXi-Po5tHh3RtsiZDCgyu75R5xrra0yqvmCs6fPdJr0/edit#gid=187761907"",""2026-27!L3"")"),26.0)</f>
        <v>26</v>
      </c>
      <c r="W113" s="59">
        <f>IFERROR(__xludf.DUMMYFUNCTION("IMPORTRANGE(""https://docs.google.com/spreadsheets/d/1kXi-Po5tHh3RtsiZDCgyu75R5xrra0yqvmCs6fPdJr0/edit#gid=187761907"",""2026-27!M4"")"),1783500.0)</f>
        <v>1783500</v>
      </c>
      <c r="X113" s="85">
        <f>IFERROR(__xludf.DUMMYFUNCTION("IMPORTRANGE(""https://docs.google.com/spreadsheets/d/1kXi-Po5tHh3RtsiZDCgyu75R5xrra0yqvmCs6fPdJr0/edit#gid=187761907"",""2026-27!M3"")"),74.0)</f>
        <v>74</v>
      </c>
      <c r="Y113" s="59">
        <f>IFERROR(__xludf.DUMMYFUNCTION("importrange(""https://docs.google.com/spreadsheets/d/1kXi-Po5tHh3RtsiZDCgyu75R5xrra0yqvmCs6fPdJr0/edit#gid=187761907"",""2026-27!n4"")"),1657998.28)</f>
        <v>1657998.28</v>
      </c>
      <c r="Z113" s="59">
        <f>IFERROR(__xludf.DUMMYFUNCTION("importrange(""https://docs.google.com/spreadsheets/d/1kXi-Po5tHh3RtsiZDCgyu75R5xrra0yqvmCs6fPdJr0/edit#gid=187761907"",""2026-27!n3"")"),23.0)</f>
        <v>23</v>
      </c>
      <c r="AA113" s="62">
        <f t="shared" si="101"/>
        <v>0.9660145781</v>
      </c>
      <c r="AB113" s="59">
        <f>IFERROR(__xludf.DUMMYFUNCTION("importrange(""https://docs.google.com/spreadsheets/d/1kXi-Po5tHh3RtsiZDCgyu75R5xrra0yqvmCs6fPdJr0/edit#gid=187761907"",""2026-27!o4"")"),1722887.0)</f>
        <v>1722887</v>
      </c>
      <c r="AC113" s="59">
        <f>IFERROR(__xludf.DUMMYFUNCTION("importrange(""https://docs.google.com/spreadsheets/d/1kXi-Po5tHh3RtsiZDCgyu75R5xrra0yqvmCs6fPdJr0/edit#gid=187761907"",""2026-27!o3"")"),26.0)</f>
        <v>26</v>
      </c>
      <c r="AD113" s="59">
        <f>IFERROR(__xludf.DUMMYFUNCTION("importrange(""https://docs.google.com/spreadsheets/d/1kXi-Po5tHh3RtsiZDCgyu75R5xrra0yqvmCs6fPdJr0/edit#gid=187761907"",""2026-27!p4"")"),1773500.0)</f>
        <v>1773500</v>
      </c>
      <c r="AE113" s="59">
        <f>IFERROR(__xludf.DUMMYFUNCTION("importrange(""https://docs.google.com/spreadsheets/d/1kXi-Po5tHh3RtsiZDCgyu75R5xrra0yqvmCs6fPdJr0/edit#gid=187761907"",""2026-27!p3"")"),74.0)</f>
        <v>74</v>
      </c>
      <c r="AF113" s="59">
        <f>IFERROR(__xludf.DUMMYFUNCTION("importrange(""https://docs.google.com/spreadsheets/d/1kXi-Po5tHh3RtsiZDCgyu75R5xrra0yqvmCs6fPdJr0/edit#gid=187761907"",""2026-27!q4"")"),1729620.65)</f>
        <v>1729620.65</v>
      </c>
      <c r="AG113" s="59">
        <f>IFERROR(__xludf.DUMMYFUNCTION("importrange(""https://docs.google.com/spreadsheets/d/1kXi-Po5tHh3RtsiZDCgyu75R5xrra0yqvmCs6fPdJr0/edit#gid=187761907"",""2026-27!q3"")"),22.0)</f>
        <v>22</v>
      </c>
      <c r="AH113" s="62">
        <f t="shared" si="102"/>
        <v>0</v>
      </c>
      <c r="AI113" s="59">
        <f>IFERROR(__xludf.DUMMYFUNCTION("importrange(""https://docs.google.com/spreadsheets/d/1kXi-Po5tHh3RtsiZDCgyu75R5xrra0yqvmCs6fPdJr0/edit#gid=187761907"",""2026-27!r4"")"),0.0)</f>
        <v>0</v>
      </c>
      <c r="AJ113" s="59">
        <f>IFERROR(__xludf.DUMMYFUNCTION("importrange(""https://docs.google.com/spreadsheets/d/1kXi-Po5tHh3RtsiZDCgyu75R5xrra0yqvmCs6fPdJr0/edit#gid=187761907"",""2026-27!r3"")"),0.0)</f>
        <v>0</v>
      </c>
      <c r="AK113" s="59">
        <f>IFERROR(__xludf.DUMMYFUNCTION("importrange(""https://docs.google.com/spreadsheets/d/1kXi-Po5tHh3RtsiZDCgyu75R5xrra0yqvmCs6fPdJr0/edit#gid=187761907"",""2026-27!s4"")"),1768500.0)</f>
        <v>1768500</v>
      </c>
      <c r="AL113" s="59">
        <f>IFERROR(__xludf.DUMMYFUNCTION("importrange(""https://docs.google.com/spreadsheets/d/1kXi-Po5tHh3RtsiZDCgyu75R5xrra0yqvmCs6fPdJr0/edit#gid=187761907"",""2026-27!s3"")"),74.0)</f>
        <v>74</v>
      </c>
      <c r="AM113" s="61">
        <f>IFERROR(__xludf.DUMMYFUNCTION("importrange(""https://docs.google.com/spreadsheets/d/1kXi-Po5tHh3RtsiZDCgyu75R5xrra0yqvmCs6fPdJr0/edit#gid=187761907"",""2026-27!t4"")"),0.0)</f>
        <v>0</v>
      </c>
      <c r="AN113" s="59">
        <f>IFERROR(__xludf.DUMMYFUNCTION("importrange(""https://docs.google.com/spreadsheets/d/1kXi-Po5tHh3RtsiZDCgyu75R5xrra0yqvmCs6fPdJr0/edit#gid=187761907"",""2026-27!t3"")"),0.0)</f>
        <v>0</v>
      </c>
      <c r="AO113" s="62">
        <f t="shared" si="103"/>
        <v>0</v>
      </c>
      <c r="AP113" s="59">
        <f>IFERROR(__xludf.DUMMYFUNCTION("importrange(""https://docs.google.com/spreadsheets/d/1kXi-Po5tHh3RtsiZDCgyu75R5xrra0yqvmCs6fPdJr0/edit#gid=187761907"",""2026-27!u4"")"),0.0)</f>
        <v>0</v>
      </c>
      <c r="AQ113" s="59">
        <f>IFERROR(__xludf.DUMMYFUNCTION("importrange(""https://docs.google.com/spreadsheets/d/1kXi-Po5tHh3RtsiZDCgyu75R5xrra0yqvmCs6fPdJr0/edit#gid=187761907"",""2026-27!u3"")"),0.0)</f>
        <v>0</v>
      </c>
      <c r="AR113" s="59">
        <f>IFERROR(__xludf.DUMMYFUNCTION("importrange(""https://docs.google.com/spreadsheets/d/1kXi-Po5tHh3RtsiZDCgyu75R5xrra0yqvmCs6fPdJr0/edit#gid=187761907"",""2026-27!v4"")"),1788500.0)</f>
        <v>1788500</v>
      </c>
      <c r="AS113" s="59">
        <f>IFERROR(__xludf.DUMMYFUNCTION("importrange(""https://docs.google.com/spreadsheets/d/1kXi-Po5tHh3RtsiZDCgyu75R5xrra0yqvmCs6fPdJr0/edit#gid=187761907"",""2026-27!v3"")"),74.0)</f>
        <v>74</v>
      </c>
      <c r="AT113" s="61">
        <f>IFERROR(__xludf.DUMMYFUNCTION("importrange(""https://docs.google.com/spreadsheets/d/1kXi-Po5tHh3RtsiZDCgyu75R5xrra0yqvmCs6fPdJr0/edit#gid=187761907"",""2026-27!w4"")"),0.0)</f>
        <v>0</v>
      </c>
      <c r="AU113" s="59">
        <f>IFERROR(__xludf.DUMMYFUNCTION("importrange(""https://docs.google.com/spreadsheets/d/1kXi-Po5tHh3RtsiZDCgyu75R5xrra0yqvmCs6fPdJr0/edit#gid=187761907"",""2026-27!w3"")"),0.0)</f>
        <v>0</v>
      </c>
      <c r="AV113" s="62">
        <f t="shared" si="104"/>
        <v>0</v>
      </c>
      <c r="AW113" s="59">
        <f>IFERROR(__xludf.DUMMYFUNCTION("importrange(""https://docs.google.com/spreadsheets/d/1kXi-Po5tHh3RtsiZDCgyu75R5xrra0yqvmCs6fPdJr0/edit#gid=187761907"",""2026-27!x4"")"),0.0)</f>
        <v>0</v>
      </c>
      <c r="AX113" s="59">
        <f>IFERROR(__xludf.DUMMYFUNCTION("importrange(""https://docs.google.com/spreadsheets/d/1kXi-Po5tHh3RtsiZDCgyu75R5xrra0yqvmCs6fPdJr0/edit#gid=187761907"",""2026-27!x3"")"),0.0)</f>
        <v>0</v>
      </c>
      <c r="AY113" s="59">
        <f>IFERROR(__xludf.DUMMYFUNCTION("importrange(""https://docs.google.com/spreadsheets/d/1kXi-Po5tHh3RtsiZDCgyu75R5xrra0yqvmCs6fPdJr0/edit#gid=187761907"",""2026-27!y4"")"),1778500.0)</f>
        <v>1778500</v>
      </c>
      <c r="AZ113" s="59">
        <f>IFERROR(__xludf.DUMMYFUNCTION("importrange(""https://docs.google.com/spreadsheets/d/1kXi-Po5tHh3RtsiZDCgyu75R5xrra0yqvmCs6fPdJr0/edit#gid=187761907"",""2026-27!y3"")"),74.0)</f>
        <v>74</v>
      </c>
      <c r="BA113" s="61">
        <f>IFERROR(__xludf.DUMMYFUNCTION("importrange(""https://docs.google.com/spreadsheets/d/1kXi-Po5tHh3RtsiZDCgyu75R5xrra0yqvmCs6fPdJr0/edit#gid=187761907"",""2026-27!z4"")"),0.0)</f>
        <v>0</v>
      </c>
      <c r="BB113" s="59">
        <f>IFERROR(__xludf.DUMMYFUNCTION("importrange(""https://docs.google.com/spreadsheets/d/1kXi-Po5tHh3RtsiZDCgyu75R5xrra0yqvmCs6fPdJr0/edit#gid=187761907"",""2026-27!z3"")"),0.0)</f>
        <v>0</v>
      </c>
      <c r="BC113" s="63">
        <f t="shared" si="105"/>
        <v>0</v>
      </c>
      <c r="BD113" s="59">
        <f>IFERROR(__xludf.DUMMYFUNCTION("importrange(""https://docs.google.com/spreadsheets/d/1kXi-Po5tHh3RtsiZDCgyu75R5xrra0yqvmCs6fPdJr0/edit#gid=187761907"",""2026-27!aa4"")"),0.0)</f>
        <v>0</v>
      </c>
      <c r="BE113" s="59">
        <f>IFERROR(__xludf.DUMMYFUNCTION("importrange(""https://docs.google.com/spreadsheets/d/1kXi-Po5tHh3RtsiZDCgyu75R5xrra0yqvmCs6fPdJr0/edit#gid=187761907"",""2026-27!aa3"")"),0.0)</f>
        <v>0</v>
      </c>
      <c r="BF113" s="59">
        <f>IFERROR(__xludf.DUMMYFUNCTION("importrange(""https://docs.google.com/spreadsheets/d/1kXi-Po5tHh3RtsiZDCgyu75R5xrra0yqvmCs6fPdJr0/edit#gid=187761907"",""2026-27!ab4"")"),1778500.0)</f>
        <v>1778500</v>
      </c>
      <c r="BG113" s="59">
        <f>IFERROR(__xludf.DUMMYFUNCTION("importrange(""https://docs.google.com/spreadsheets/d/1kXi-Po5tHh3RtsiZDCgyu75R5xrra0yqvmCs6fPdJr0/edit#gid=187761907"",""2026-27!ab3"")"),74.0)</f>
        <v>74</v>
      </c>
      <c r="BH113" s="59">
        <f>IFERROR(__xludf.DUMMYFUNCTION("importrange(""https://docs.google.com/spreadsheets/d/1kXi-Po5tHh3RtsiZDCgyu75R5xrra0yqvmCs6fPdJr0/edit#gid=187761907"",""2026-27!ac4"")"),0.0)</f>
        <v>0</v>
      </c>
      <c r="BI113" s="59">
        <f>IFERROR(__xludf.DUMMYFUNCTION("importrange(""https://docs.google.com/spreadsheets/d/1kXi-Po5tHh3RtsiZDCgyu75R5xrra0yqvmCs6fPdJr0/edit#gid=187761907"",""2026-27!ac3"")"),0.0)</f>
        <v>0</v>
      </c>
      <c r="BJ113" s="63">
        <f t="shared" si="106"/>
        <v>0</v>
      </c>
      <c r="BK113" s="59">
        <f>IFERROR(__xludf.DUMMYFUNCTION("importrange(""https://docs.google.com/spreadsheets/d/1kXi-Po5tHh3RtsiZDCgyu75R5xrra0yqvmCs6fPdJr0/edit#gid=187761907"",""2026-27!ad4"")"),0.0)</f>
        <v>0</v>
      </c>
      <c r="BL113" s="59">
        <f>IFERROR(__xludf.DUMMYFUNCTION("importrange(""https://docs.google.com/spreadsheets/d/1kXi-Po5tHh3RtsiZDCgyu75R5xrra0yqvmCs6fPdJr0/edit#gid=187761907"",""2026-27!ad3"")"),0.0)</f>
        <v>0</v>
      </c>
      <c r="BM113" s="59">
        <f>IFERROR(__xludf.DUMMYFUNCTION("importrange(""https://docs.google.com/spreadsheets/d/1kXi-Po5tHh3RtsiZDCgyu75R5xrra0yqvmCs6fPdJr0/edit#gid=187761907"",""2026-27!ae4"")"),1788500.0)</f>
        <v>1788500</v>
      </c>
      <c r="BN113" s="59">
        <f>IFERROR(__xludf.DUMMYFUNCTION("importrange(""https://docs.google.com/spreadsheets/d/1kXi-Po5tHh3RtsiZDCgyu75R5xrra0yqvmCs6fPdJr0/edit#gid=187761907"",""2026-27!ae3"")"),74.0)</f>
        <v>74</v>
      </c>
      <c r="BO113" s="59">
        <f>IFERROR(__xludf.DUMMYFUNCTION("importrange(""https://docs.google.com/spreadsheets/d/1kXi-Po5tHh3RtsiZDCgyu75R5xrra0yqvmCs6fPdJr0/edit#gid=187761907"",""2026-27!af4"")"),0.0)</f>
        <v>0</v>
      </c>
      <c r="BP113" s="59">
        <f>IFERROR(__xludf.DUMMYFUNCTION("importrange(""https://docs.google.com/spreadsheets/d/1kXi-Po5tHh3RtsiZDCgyu75R5xrra0yqvmCs6fPdJr0/edit#gid=187761907"",""2026-27!af3"")"),0.0)</f>
        <v>0</v>
      </c>
      <c r="BQ113" s="63">
        <f t="shared" si="107"/>
        <v>0</v>
      </c>
      <c r="BR113" s="59">
        <f>IFERROR(__xludf.DUMMYFUNCTION("importrange(""https://docs.google.com/spreadsheets/d/1kXi-Po5tHh3RtsiZDCgyu75R5xrra0yqvmCs6fPdJr0/edit#gid=187761907"",""2026-27!ag4"")"),0.0)</f>
        <v>0</v>
      </c>
      <c r="BS113" s="59">
        <f>IFERROR(__xludf.DUMMYFUNCTION("importrange(""https://docs.google.com/spreadsheets/d/1kXi-Po5tHh3RtsiZDCgyu75R5xrra0yqvmCs6fPdJr0/edit#gid=187761907"",""2026-27!ag3"")"),0.0)</f>
        <v>0</v>
      </c>
      <c r="BT113" s="59">
        <f>IFERROR(__xludf.DUMMYFUNCTION("importrange(""https://docs.google.com/spreadsheets/d/1kXi-Po5tHh3RtsiZDCgyu75R5xrra0yqvmCs6fPdJr0/edit#gid=187761907"",""2026-27!ah4"")"),1763500.0)</f>
        <v>1763500</v>
      </c>
      <c r="BU113" s="59">
        <f>IFERROR(__xludf.DUMMYFUNCTION("importrange(""https://docs.google.com/spreadsheets/d/1kXi-Po5tHh3RtsiZDCgyu75R5xrra0yqvmCs6fPdJr0/edit#gid=187761907"",""2026-27!ah3"")"),74.0)</f>
        <v>74</v>
      </c>
      <c r="BV113" s="59">
        <f>IFERROR(__xludf.DUMMYFUNCTION("importrange(""https://docs.google.com/spreadsheets/d/1kXi-Po5tHh3RtsiZDCgyu75R5xrra0yqvmCs6fPdJr0/edit#gid=187761907"",""2026-27!ai4"")"),0.0)</f>
        <v>0</v>
      </c>
      <c r="BW113" s="59">
        <f>IFERROR(__xludf.DUMMYFUNCTION("importrange(""https://docs.google.com/spreadsheets/d/1kXi-Po5tHh3RtsiZDCgyu75R5xrra0yqvmCs6fPdJr0/edit#gid=187761907"",""2026-27!ai3"")"),0.0)</f>
        <v>0</v>
      </c>
      <c r="BX113" s="63">
        <f t="shared" si="108"/>
        <v>0</v>
      </c>
      <c r="BY113" s="59">
        <f>IFERROR(__xludf.DUMMYFUNCTION("importrange(""https://docs.google.com/spreadsheets/d/1kXi-Po5tHh3RtsiZDCgyu75R5xrra0yqvmCs6fPdJr0/edit#gid=187761907"",""2026-27!aj4"")"),0.0)</f>
        <v>0</v>
      </c>
      <c r="BZ113" s="59">
        <f>IFERROR(__xludf.DUMMYFUNCTION("importrange(""https://docs.google.com/spreadsheets/d/1kXi-Po5tHh3RtsiZDCgyu75R5xrra0yqvmCs6fPdJr0/edit#gid=187761907"",""2026-27!aj3"")"),0.0)</f>
        <v>0</v>
      </c>
      <c r="CA113" s="59">
        <f>IFERROR(__xludf.DUMMYFUNCTION("importrange(""https://docs.google.com/spreadsheets/d/1kXi-Po5tHh3RtsiZDCgyu75R5xrra0yqvmCs6fPdJr0/edit#gid=187761907"",""2026-27!ak4"")"),1758500.0)</f>
        <v>1758500</v>
      </c>
      <c r="CB113" s="59">
        <f>IFERROR(__xludf.DUMMYFUNCTION("importrange(""https://docs.google.com/spreadsheets/d/1kXi-Po5tHh3RtsiZDCgyu75R5xrra0yqvmCs6fPdJr0/edit#gid=187761907"",""2026-27!ak3"")"),74.0)</f>
        <v>74</v>
      </c>
      <c r="CC113" s="59">
        <f>IFERROR(__xludf.DUMMYFUNCTION("importrange(""https://docs.google.com/spreadsheets/d/1kXi-Po5tHh3RtsiZDCgyu75R5xrra0yqvmCs6fPdJr0/edit#gid=187761907"",""2026-27!al4"")"),0.0)</f>
        <v>0</v>
      </c>
      <c r="CD113" s="59">
        <f>IFERROR(__xludf.DUMMYFUNCTION("importrange(""https://docs.google.com/spreadsheets/d/1kXi-Po5tHh3RtsiZDCgyu75R5xrra0yqvmCs6fPdJr0/edit#gid=187761907"",""2026-27!ai3"")"),0.0)</f>
        <v>0</v>
      </c>
      <c r="CE113" s="63">
        <f t="shared" si="109"/>
        <v>0</v>
      </c>
      <c r="CF113" s="59">
        <f>IFERROR(__xludf.DUMMYFUNCTION("importrange(""https://docs.google.com/spreadsheets/d/1kXi-Po5tHh3RtsiZDCgyu75R5xrra0yqvmCs6fPdJr0/edit#gid=187761907"",""2026-27!am4"")"),0.0)</f>
        <v>0</v>
      </c>
      <c r="CG113" s="59">
        <f>IFERROR(__xludf.DUMMYFUNCTION("importrange(""https://docs.google.com/spreadsheets/d/1kXi-Po5tHh3RtsiZDCgyu75R5xrra0yqvmCs6fPdJr0/edit#gid=187761907"",""2026-27!am3"")"),0.0)</f>
        <v>0</v>
      </c>
      <c r="CH113" s="59">
        <f>IFERROR(__xludf.DUMMYFUNCTION("importrange(""https://docs.google.com/spreadsheets/d/1kXi-Po5tHh3RtsiZDCgyu75R5xrra0yqvmCs6fPdJr0/edit#gid=187761907"",""2026-27!an4"")"),1778500.0)</f>
        <v>1778500</v>
      </c>
      <c r="CI113" s="59">
        <f>IFERROR(__xludf.DUMMYFUNCTION("importrange(""https://docs.google.com/spreadsheets/d/1kXi-Po5tHh3RtsiZDCgyu75R5xrra0yqvmCs6fPdJr0/edit#gid=187761907"",""2026-27!an3"")"),74.0)</f>
        <v>74</v>
      </c>
      <c r="CJ113" s="59">
        <f>IFERROR(__xludf.DUMMYFUNCTION("importrange(""https://docs.google.com/spreadsheets/d/1kXi-Po5tHh3RtsiZDCgyu75R5xrra0yqvmCs6fPdJr0/edit#gid=187761907"",""2026-27!ao4"")"),0.0)</f>
        <v>0</v>
      </c>
      <c r="CK113" s="59">
        <f>IFERROR(__xludf.DUMMYFUNCTION("importrange(""https://docs.google.com/spreadsheets/d/1kXi-Po5tHh3RtsiZDCgyu75R5xrra0yqvmCs6fPdJr0/edit#gid=187761907"",""2026-27!ao3"")"),0.0)</f>
        <v>0</v>
      </c>
      <c r="CL113" s="63">
        <f t="shared" si="110"/>
        <v>0</v>
      </c>
      <c r="CM113" s="59">
        <f>IFERROR(__xludf.DUMMYFUNCTION("importrange(""https://docs.google.com/spreadsheets/d/1kXi-Po5tHh3RtsiZDCgyu75R5xrra0yqvmCs6fPdJr0/edit#gid=187761907"",""2026-27!ap4"")"),0.0)</f>
        <v>0</v>
      </c>
      <c r="CN113" s="59">
        <f>IFERROR(__xludf.DUMMYFUNCTION("importrange(""https://docs.google.com/spreadsheets/d/1kXi-Po5tHh3RtsiZDCgyu75R5xrra0yqvmCs6fPdJr0/edit#gid=187761907"",""2026-27!ap3"")"),0.0)</f>
        <v>0</v>
      </c>
      <c r="CO113" s="59">
        <f>IFERROR(__xludf.DUMMYFUNCTION("importrange(""https://docs.google.com/spreadsheets/d/1kXi-Po5tHh3RtsiZDCgyu75R5xrra0yqvmCs6fPdJr0/edit#gid=187761907"",""2026-27!aq4"")"),1764750.0)</f>
        <v>1764750</v>
      </c>
      <c r="CP113" s="59">
        <f>IFERROR(__xludf.DUMMYFUNCTION("importrange(""https://docs.google.com/spreadsheets/d/1kXi-Po5tHh3RtsiZDCgyu75R5xrra0yqvmCs6fPdJr0/edit#gid=187761907"",""2026-27!aq3"")"),74.0)</f>
        <v>74</v>
      </c>
      <c r="CQ113" s="59">
        <f>IFERROR(__xludf.DUMMYFUNCTION("importrange(""https://docs.google.com/spreadsheets/d/1kXi-Po5tHh3RtsiZDCgyu75R5xrra0yqvmCs6fPdJr0/edit#gid=187761907"",""2026-27!ar4"")"),0.0)</f>
        <v>0</v>
      </c>
      <c r="CR113" s="59">
        <f>IFERROR(__xludf.DUMMYFUNCTION("importrange(""https://docs.google.com/spreadsheets/d/1kXi-Po5tHh3RtsiZDCgyu75R5xrra0yqvmCs6fPdJr0/edit#gid=187761907"",""2026-27!ar3"")"),0.0)</f>
        <v>0</v>
      </c>
      <c r="CS113" s="63">
        <f t="shared" si="111"/>
        <v>0</v>
      </c>
      <c r="CT113" s="59">
        <f>IFERROR(__xludf.DUMMYFUNCTION("importrange(""https://docs.google.com/spreadsheets/d/1kXi-Po5tHh3RtsiZDCgyu75R5xrra0yqvmCs6fPdJr0/edit#gid=187761907"",""2026-27!as4"")"),0.0)</f>
        <v>0</v>
      </c>
      <c r="CU113" s="59">
        <f>IFERROR(__xludf.DUMMYFUNCTION("importrange(""https://docs.google.com/spreadsheets/d/1kXi-Po5tHh3RtsiZDCgyu75R5xrra0yqvmCs6fPdJr0/edit#gid=187761907"",""2026-27!as3"")"),0.0)</f>
        <v>0</v>
      </c>
      <c r="CV113" s="64"/>
    </row>
    <row r="114">
      <c r="A114" s="1" t="s">
        <v>160</v>
      </c>
      <c r="B114" s="41"/>
      <c r="C114" s="68" t="s">
        <v>224</v>
      </c>
      <c r="D114" s="54" t="s">
        <v>225</v>
      </c>
      <c r="E114" s="54">
        <v>8.761014898E9</v>
      </c>
      <c r="F114" s="80">
        <v>45309.0</v>
      </c>
      <c r="G114" s="66"/>
      <c r="H114" s="66"/>
      <c r="I114" s="57">
        <v>37235.0</v>
      </c>
      <c r="J114" s="58">
        <v>2083333.0</v>
      </c>
      <c r="K114" s="61">
        <f>IFERROR(__xludf.DUMMYFUNCTION("IMPORTRANGE(""https://docs.google.com/spreadsheets/d/1Kbg-PEBsKwSxEO5N_-jXktJpPSl1uQP-6wpQXKr9BiM/edit#gid=187761907"",""2026-27!A3"")"),82.0)</f>
        <v>82</v>
      </c>
      <c r="L114" s="61">
        <f>IFERROR(__xludf.DUMMYFUNCTION("IMPORTRANGE(""https://docs.google.com/spreadsheets/d/1Kbg-PEBsKwSxEO5N_-jXktJpPSl1uQP-6wpQXKr9BiM/edit#gid=187761907"",""2026-27!G4"")"),1.865E7)</f>
        <v>18650000</v>
      </c>
      <c r="M114" s="61">
        <f t="shared" si="97"/>
        <v>4155100.01</v>
      </c>
      <c r="N114" s="60">
        <f t="shared" si="98"/>
        <v>0.1443596247</v>
      </c>
      <c r="O114" s="61">
        <f t="shared" si="99"/>
        <v>2692307</v>
      </c>
      <c r="P114" s="59">
        <f>IFERROR(__xludf.DUMMYFUNCTION("IMPORTRANGE(""https://docs.google.com/spreadsheets/d/1Kbg-PEBsKwSxEO5N_-jXktJpPSl1uQP-6wpQXKr9BiM/edit#gid=187761907"",""2026-27!J4"")"),1557500.0)</f>
        <v>1557500</v>
      </c>
      <c r="Q114" s="59">
        <f>IFERROR(__xludf.DUMMYFUNCTION("IMPORTRANGE(""https://docs.google.com/spreadsheets/d/1Kbg-PEBsKwSxEO5N_-jXktJpPSl1uQP-6wpQXKr9BiM/edit#gid=187761907"",""2026-27!J3"")"),23.0)</f>
        <v>23</v>
      </c>
      <c r="R114" s="59">
        <f>IFERROR(__xludf.DUMMYFUNCTION("IMPORTRANGE(""https://docs.google.com/spreadsheets/d/1Kbg-PEBsKwSxEO5N_-jXktJpPSl1uQP-6wpQXKr9BiM/edit#gid=187761907"",""2026-27!K4"")"),1337558.47)</f>
        <v>1337558.47</v>
      </c>
      <c r="S114" s="59">
        <f>IFERROR(__xludf.DUMMYFUNCTION("IMPORTRANGE(""https://docs.google.com/spreadsheets/d/1Kbg-PEBsKwSxEO5N_-jXktJpPSl1uQP-6wpQXKr9BiM/edit#gid=187761907"",""2026-27!K3"")"),18.0)</f>
        <v>18</v>
      </c>
      <c r="T114" s="62">
        <f t="shared" si="100"/>
        <v>0.8587852327</v>
      </c>
      <c r="U114" s="59">
        <f>IFERROR(__xludf.DUMMYFUNCTION("IMPORTRANGE(""https://docs.google.com/spreadsheets/d/1Kbg-PEBsKwSxEO5N_-jXktJpPSl1uQP-6wpQXKr9BiM/edit#gid=187761907"",""2026-27!L4"")"),1337558.0)</f>
        <v>1337558</v>
      </c>
      <c r="V114" s="85">
        <f>IFERROR(__xludf.DUMMYFUNCTION("IMPORTRANGE(""https://docs.google.com/spreadsheets/d/1Kbg-PEBsKwSxEO5N_-jXktJpPSl1uQP-6wpQXKr9BiM/edit#gid=187761907"",""2026-27!L3"")"),18.0)</f>
        <v>18</v>
      </c>
      <c r="W114" s="59">
        <f>IFERROR(__xludf.DUMMYFUNCTION("IMPORTRANGE(""https://docs.google.com/spreadsheets/d/1Kbg-PEBsKwSxEO5N_-jXktJpPSl1uQP-6wpQXKr9BiM/edit#gid=187761907"",""2026-27!M4"")"),1580000.0)</f>
        <v>1580000</v>
      </c>
      <c r="X114" s="85">
        <f>IFERROR(__xludf.DUMMYFUNCTION("IMPORTRANGE(""https://docs.google.com/spreadsheets/d/1Kbg-PEBsKwSxEO5N_-jXktJpPSl1uQP-6wpQXKr9BiM/edit#gid=187761907"",""2026-27!M3"")"),27.0)</f>
        <v>27</v>
      </c>
      <c r="Y114" s="59">
        <f>IFERROR(__xludf.DUMMYFUNCTION("importrange(""https://docs.google.com/spreadsheets/d/1Kbg-PEBsKwSxEO5N_-jXktJpPSl1uQP-6wpQXKr9BiM/edit#gid=187761907"",""2026-27!n4"")"),1354759.0099999998)</f>
        <v>1354759.01</v>
      </c>
      <c r="Z114" s="59">
        <f>IFERROR(__xludf.DUMMYFUNCTION("importrange(""https://docs.google.com/spreadsheets/d/1Kbg-PEBsKwSxEO5N_-jXktJpPSl1uQP-6wpQXKr9BiM/edit#gid=187761907"",""2026-27!n3"")"),21.0)</f>
        <v>21</v>
      </c>
      <c r="AA114" s="62">
        <f t="shared" si="101"/>
        <v>0.8574360759</v>
      </c>
      <c r="AB114" s="59">
        <f>IFERROR(__xludf.DUMMYFUNCTION("importrange(""https://docs.google.com/spreadsheets/d/1Kbg-PEBsKwSxEO5N_-jXktJpPSl1uQP-6wpQXKr9BiM/edit#gid=187761907"",""2026-27!o4"")"),1354749.0)</f>
        <v>1354749</v>
      </c>
      <c r="AC114" s="59">
        <f>IFERROR(__xludf.DUMMYFUNCTION("importrange(""https://docs.google.com/spreadsheets/d/1Kbg-PEBsKwSxEO5N_-jXktJpPSl1uQP-6wpQXKr9BiM/edit#gid=187761907"",""2026-27!o3"")"),21.0)</f>
        <v>21</v>
      </c>
      <c r="AD114" s="59">
        <f>IFERROR(__xludf.DUMMYFUNCTION("importrange(""https://docs.google.com/spreadsheets/d/1Kbg-PEBsKwSxEO5N_-jXktJpPSl1uQP-6wpQXKr9BiM/edit#gid=187761907"",""2026-27!p4"")"),1550000.0)</f>
        <v>1550000</v>
      </c>
      <c r="AE114" s="59">
        <f>IFERROR(__xludf.DUMMYFUNCTION("importrange(""https://docs.google.com/spreadsheets/d/1Kbg-PEBsKwSxEO5N_-jXktJpPSl1uQP-6wpQXKr9BiM/edit#gid=187761907"",""2026-27!p3"")"),27.0)</f>
        <v>27</v>
      </c>
      <c r="AF114" s="59">
        <f>IFERROR(__xludf.DUMMYFUNCTION("importrange(""https://docs.google.com/spreadsheets/d/1Kbg-PEBsKwSxEO5N_-jXktJpPSl1uQP-6wpQXKr9BiM/edit#gid=187761907"",""2026-27!q4"")"),1462782.5300000003)</f>
        <v>1462782.53</v>
      </c>
      <c r="AG114" s="59">
        <f>IFERROR(__xludf.DUMMYFUNCTION("importrange(""https://docs.google.com/spreadsheets/d/1Kbg-PEBsKwSxEO5N_-jXktJpPSl1uQP-6wpQXKr9BiM/edit#gid=187761907"",""2026-27!q3"")"),22.0)</f>
        <v>22</v>
      </c>
      <c r="AH114" s="62">
        <f t="shared" si="102"/>
        <v>0</v>
      </c>
      <c r="AI114" s="59">
        <f>IFERROR(__xludf.DUMMYFUNCTION("importrange(""https://docs.google.com/spreadsheets/d/1Kbg-PEBsKwSxEO5N_-jXktJpPSl1uQP-6wpQXKr9BiM/edit#gid=187761907"",""2026-27!r4"")"),0.0)</f>
        <v>0</v>
      </c>
      <c r="AJ114" s="59">
        <f>IFERROR(__xludf.DUMMYFUNCTION("importrange(""https://docs.google.com/spreadsheets/d/1Kbg-PEBsKwSxEO5N_-jXktJpPSl1uQP-6wpQXKr9BiM/edit#gid=187761907"",""2026-27!r3"")"),0.0)</f>
        <v>0</v>
      </c>
      <c r="AK114" s="59">
        <f>IFERROR(__xludf.DUMMYFUNCTION("importrange(""https://docs.google.com/spreadsheets/d/1Kbg-PEBsKwSxEO5N_-jXktJpPSl1uQP-6wpQXKr9BiM/edit#gid=187761907"",""2026-27!s4"")"),1550000.0)</f>
        <v>1550000</v>
      </c>
      <c r="AL114" s="59">
        <f>IFERROR(__xludf.DUMMYFUNCTION("importrange(""https://docs.google.com/spreadsheets/d/1Kbg-PEBsKwSxEO5N_-jXktJpPSl1uQP-6wpQXKr9BiM/edit#gid=187761907"",""2026-27!s3"")"),24.0)</f>
        <v>24</v>
      </c>
      <c r="AM114" s="61">
        <f>IFERROR(__xludf.DUMMYFUNCTION("importrange(""https://docs.google.com/spreadsheets/d/1Kbg-PEBsKwSxEO5N_-jXktJpPSl1uQP-6wpQXKr9BiM/edit#gid=187761907"",""2026-27!t4"")"),0.0)</f>
        <v>0</v>
      </c>
      <c r="AN114" s="59">
        <f>IFERROR(__xludf.DUMMYFUNCTION("importrange(""https://docs.google.com/spreadsheets/d/1Kbg-PEBsKwSxEO5N_-jXktJpPSl1uQP-6wpQXKr9BiM/edit#gid=187761907"",""2026-27!t3"")"),0.0)</f>
        <v>0</v>
      </c>
      <c r="AO114" s="62">
        <f t="shared" si="103"/>
        <v>0</v>
      </c>
      <c r="AP114" s="59">
        <f>IFERROR(__xludf.DUMMYFUNCTION("importrange(""https://docs.google.com/spreadsheets/d/1Kbg-PEBsKwSxEO5N_-jXktJpPSl1uQP-6wpQXKr9BiM/edit#gid=187761907"",""2026-27!u4"")"),0.0)</f>
        <v>0</v>
      </c>
      <c r="AQ114" s="59">
        <f>IFERROR(__xludf.DUMMYFUNCTION("importrange(""https://docs.google.com/spreadsheets/d/1Kbg-PEBsKwSxEO5N_-jXktJpPSl1uQP-6wpQXKr9BiM/edit#gid=187761907"",""2026-27!u3"")"),0.0)</f>
        <v>0</v>
      </c>
      <c r="AR114" s="59">
        <f>IFERROR(__xludf.DUMMYFUNCTION("importrange(""https://docs.google.com/spreadsheets/d/1Kbg-PEBsKwSxEO5N_-jXktJpPSl1uQP-6wpQXKr9BiM/edit#gid=187761907"",""2026-27!v4"")"),1580000.0)</f>
        <v>1580000</v>
      </c>
      <c r="AS114" s="59">
        <f>IFERROR(__xludf.DUMMYFUNCTION("importrange(""https://docs.google.com/spreadsheets/d/1Kbg-PEBsKwSxEO5N_-jXktJpPSl1uQP-6wpQXKr9BiM/edit#gid=187761907"",""2026-27!v3"")"),26.0)</f>
        <v>26</v>
      </c>
      <c r="AT114" s="61">
        <f>IFERROR(__xludf.DUMMYFUNCTION("importrange(""https://docs.google.com/spreadsheets/d/1Kbg-PEBsKwSxEO5N_-jXktJpPSl1uQP-6wpQXKr9BiM/edit#gid=187761907"",""2026-27!w4"")"),0.0)</f>
        <v>0</v>
      </c>
      <c r="AU114" s="59">
        <f>IFERROR(__xludf.DUMMYFUNCTION("importrange(""https://docs.google.com/spreadsheets/d/1Kbg-PEBsKwSxEO5N_-jXktJpPSl1uQP-6wpQXKr9BiM/edit#gid=187761907"",""2026-27!w3"")"),0.0)</f>
        <v>0</v>
      </c>
      <c r="AV114" s="62">
        <f t="shared" si="104"/>
        <v>0</v>
      </c>
      <c r="AW114" s="59">
        <f>IFERROR(__xludf.DUMMYFUNCTION("importrange(""https://docs.google.com/spreadsheets/d/1Kbg-PEBsKwSxEO5N_-jXktJpPSl1uQP-6wpQXKr9BiM/edit#gid=187761907"",""2026-27!x4"")"),0.0)</f>
        <v>0</v>
      </c>
      <c r="AX114" s="59">
        <f>IFERROR(__xludf.DUMMYFUNCTION("importrange(""https://docs.google.com/spreadsheets/d/1Kbg-PEBsKwSxEO5N_-jXktJpPSl1uQP-6wpQXKr9BiM/edit#gid=187761907"",""2026-27!x3"")"),0.0)</f>
        <v>0</v>
      </c>
      <c r="AY114" s="59">
        <f>IFERROR(__xludf.DUMMYFUNCTION("importrange(""https://docs.google.com/spreadsheets/d/1Kbg-PEBsKwSxEO5N_-jXktJpPSl1uQP-6wpQXKr9BiM/edit#gid=187761907"",""2026-27!y4"")"),1550000.0)</f>
        <v>1550000</v>
      </c>
      <c r="AZ114" s="59">
        <f>IFERROR(__xludf.DUMMYFUNCTION("importrange(""https://docs.google.com/spreadsheets/d/1Kbg-PEBsKwSxEO5N_-jXktJpPSl1uQP-6wpQXKr9BiM/edit#gid=187761907"",""2026-27!y3"")"),28.0)</f>
        <v>28</v>
      </c>
      <c r="BA114" s="61">
        <f>IFERROR(__xludf.DUMMYFUNCTION("importrange(""https://docs.google.com/spreadsheets/d/1Kbg-PEBsKwSxEO5N_-jXktJpPSl1uQP-6wpQXKr9BiM/edit#gid=187761907"",""2026-27!z4"")"),0.0)</f>
        <v>0</v>
      </c>
      <c r="BB114" s="59">
        <f>IFERROR(__xludf.DUMMYFUNCTION("importrange(""https://docs.google.com/spreadsheets/d/1Kbg-PEBsKwSxEO5N_-jXktJpPSl1uQP-6wpQXKr9BiM/edit#gid=187761907"",""2026-27!z3"")"),0.0)</f>
        <v>0</v>
      </c>
      <c r="BC114" s="63">
        <f t="shared" si="105"/>
        <v>0</v>
      </c>
      <c r="BD114" s="59">
        <f>IFERROR(__xludf.DUMMYFUNCTION("importrange(""https://docs.google.com/spreadsheets/d/1Kbg-PEBsKwSxEO5N_-jXktJpPSl1uQP-6wpQXKr9BiM/edit#gid=187761907"",""2026-27!aa4"")"),0.0)</f>
        <v>0</v>
      </c>
      <c r="BE114" s="59">
        <f>IFERROR(__xludf.DUMMYFUNCTION("importrange(""https://docs.google.com/spreadsheets/d/1Kbg-PEBsKwSxEO5N_-jXktJpPSl1uQP-6wpQXKr9BiM/edit#gid=187761907"",""2026-27!aa3"")"),0.0)</f>
        <v>0</v>
      </c>
      <c r="BF114" s="59">
        <f>IFERROR(__xludf.DUMMYFUNCTION("importrange(""https://docs.google.com/spreadsheets/d/1Kbg-PEBsKwSxEO5N_-jXktJpPSl1uQP-6wpQXKr9BiM/edit#gid=187761907"",""2026-27!ab4"")"),1580000.0)</f>
        <v>1580000</v>
      </c>
      <c r="BG114" s="59">
        <f>IFERROR(__xludf.DUMMYFUNCTION("importrange(""https://docs.google.com/spreadsheets/d/1Kbg-PEBsKwSxEO5N_-jXktJpPSl1uQP-6wpQXKr9BiM/edit#gid=187761907"",""2026-27!ab3"")"),30.0)</f>
        <v>30</v>
      </c>
      <c r="BH114" s="59">
        <f>IFERROR(__xludf.DUMMYFUNCTION("importrange(""https://docs.google.com/spreadsheets/d/1Kbg-PEBsKwSxEO5N_-jXktJpPSl1uQP-6wpQXKr9BiM/edit#gid=187761907"",""2026-27!ac4"")"),0.0)</f>
        <v>0</v>
      </c>
      <c r="BI114" s="59">
        <f>IFERROR(__xludf.DUMMYFUNCTION("importrange(""https://docs.google.com/spreadsheets/d/1Kbg-PEBsKwSxEO5N_-jXktJpPSl1uQP-6wpQXKr9BiM/edit#gid=187761907"",""2026-27!ac3"")"),0.0)</f>
        <v>0</v>
      </c>
      <c r="BJ114" s="63">
        <f t="shared" si="106"/>
        <v>0</v>
      </c>
      <c r="BK114" s="59">
        <f>IFERROR(__xludf.DUMMYFUNCTION("importrange(""https://docs.google.com/spreadsheets/d/1Kbg-PEBsKwSxEO5N_-jXktJpPSl1uQP-6wpQXKr9BiM/edit#gid=187761907"",""2026-27!ad4"")"),0.0)</f>
        <v>0</v>
      </c>
      <c r="BL114" s="59">
        <f>IFERROR(__xludf.DUMMYFUNCTION("importrange(""https://docs.google.com/spreadsheets/d/1Kbg-PEBsKwSxEO5N_-jXktJpPSl1uQP-6wpQXKr9BiM/edit#gid=187761907"",""2026-27!ad3"")"),0.0)</f>
        <v>0</v>
      </c>
      <c r="BM114" s="59">
        <f>IFERROR(__xludf.DUMMYFUNCTION("importrange(""https://docs.google.com/spreadsheets/d/1Kbg-PEBsKwSxEO5N_-jXktJpPSl1uQP-6wpQXKr9BiM/edit#gid=187761907"",""2026-27!ae4"")"),1560000.0)</f>
        <v>1560000</v>
      </c>
      <c r="BN114" s="59">
        <f>IFERROR(__xludf.DUMMYFUNCTION("importrange(""https://docs.google.com/spreadsheets/d/1Kbg-PEBsKwSxEO5N_-jXktJpPSl1uQP-6wpQXKr9BiM/edit#gid=187761907"",""2026-27!ae3"")"),26.0)</f>
        <v>26</v>
      </c>
      <c r="BO114" s="59">
        <f>IFERROR(__xludf.DUMMYFUNCTION("importrange(""https://docs.google.com/spreadsheets/d/1Kbg-PEBsKwSxEO5N_-jXktJpPSl1uQP-6wpQXKr9BiM/edit#gid=187761907"",""2026-27!af4"")"),0.0)</f>
        <v>0</v>
      </c>
      <c r="BP114" s="59">
        <f>IFERROR(__xludf.DUMMYFUNCTION("importrange(""https://docs.google.com/spreadsheets/d/1Kbg-PEBsKwSxEO5N_-jXktJpPSl1uQP-6wpQXKr9BiM/edit#gid=187761907"",""2026-27!af3"")"),0.0)</f>
        <v>0</v>
      </c>
      <c r="BQ114" s="63">
        <f t="shared" si="107"/>
        <v>0</v>
      </c>
      <c r="BR114" s="59">
        <f>IFERROR(__xludf.DUMMYFUNCTION("importrange(""https://docs.google.com/spreadsheets/d/1Kbg-PEBsKwSxEO5N_-jXktJpPSl1uQP-6wpQXKr9BiM/edit#gid=187761907"",""2026-27!ag4"")"),0.0)</f>
        <v>0</v>
      </c>
      <c r="BS114" s="59">
        <f>IFERROR(__xludf.DUMMYFUNCTION("importrange(""https://docs.google.com/spreadsheets/d/1Kbg-PEBsKwSxEO5N_-jXktJpPSl1uQP-6wpQXKr9BiM/edit#gid=187761907"",""2026-27!ag3"")"),0.0)</f>
        <v>0</v>
      </c>
      <c r="BT114" s="59">
        <f>IFERROR(__xludf.DUMMYFUNCTION("importrange(""https://docs.google.com/spreadsheets/d/1Kbg-PEBsKwSxEO5N_-jXktJpPSl1uQP-6wpQXKr9BiM/edit#gid=187761907"",""2026-27!ah4"")"),1570000.0)</f>
        <v>1570000</v>
      </c>
      <c r="BU114" s="59">
        <f>IFERROR(__xludf.DUMMYFUNCTION("importrange(""https://docs.google.com/spreadsheets/d/1Kbg-PEBsKwSxEO5N_-jXktJpPSl1uQP-6wpQXKr9BiM/edit#gid=187761907"",""2026-27!ah3"")"),28.0)</f>
        <v>28</v>
      </c>
      <c r="BV114" s="59">
        <f>IFERROR(__xludf.DUMMYFUNCTION("importrange(""https://docs.google.com/spreadsheets/d/1Kbg-PEBsKwSxEO5N_-jXktJpPSl1uQP-6wpQXKr9BiM/edit#gid=187761907"",""2026-27!ai4"")"),0.0)</f>
        <v>0</v>
      </c>
      <c r="BW114" s="59">
        <f>IFERROR(__xludf.DUMMYFUNCTION("importrange(""https://docs.google.com/spreadsheets/d/1Kbg-PEBsKwSxEO5N_-jXktJpPSl1uQP-6wpQXKr9BiM/edit#gid=187761907"",""2026-27!ai3"")"),0.0)</f>
        <v>0</v>
      </c>
      <c r="BX114" s="63">
        <f t="shared" si="108"/>
        <v>0</v>
      </c>
      <c r="BY114" s="59">
        <f>IFERROR(__xludf.DUMMYFUNCTION("importrange(""https://docs.google.com/spreadsheets/d/1Kbg-PEBsKwSxEO5N_-jXktJpPSl1uQP-6wpQXKr9BiM/edit#gid=187761907"",""2026-27!aj4"")"),0.0)</f>
        <v>0</v>
      </c>
      <c r="BZ114" s="59">
        <f>IFERROR(__xludf.DUMMYFUNCTION("importrange(""https://docs.google.com/spreadsheets/d/1Kbg-PEBsKwSxEO5N_-jXktJpPSl1uQP-6wpQXKr9BiM/edit#gid=187761907"",""2026-27!aj3"")"),0.0)</f>
        <v>0</v>
      </c>
      <c r="CA114" s="59">
        <f>IFERROR(__xludf.DUMMYFUNCTION("importrange(""https://docs.google.com/spreadsheets/d/1Kbg-PEBsKwSxEO5N_-jXktJpPSl1uQP-6wpQXKr9BiM/edit#gid=187761907"",""2026-27!ak4"")"),1565000.0)</f>
        <v>1565000</v>
      </c>
      <c r="CB114" s="59">
        <f>IFERROR(__xludf.DUMMYFUNCTION("importrange(""https://docs.google.com/spreadsheets/d/1Kbg-PEBsKwSxEO5N_-jXktJpPSl1uQP-6wpQXKr9BiM/edit#gid=187761907"",""2026-27!ak3"")"),28.0)</f>
        <v>28</v>
      </c>
      <c r="CC114" s="59">
        <f>IFERROR(__xludf.DUMMYFUNCTION("importrange(""https://docs.google.com/spreadsheets/d/1Kbg-PEBsKwSxEO5N_-jXktJpPSl1uQP-6wpQXKr9BiM/edit#gid=187761907"",""2026-27!al4"")"),0.0)</f>
        <v>0</v>
      </c>
      <c r="CD114" s="59">
        <f>IFERROR(__xludf.DUMMYFUNCTION("importrange(""https://docs.google.com/spreadsheets/d/1Kbg-PEBsKwSxEO5N_-jXktJpPSl1uQP-6wpQXKr9BiM/edit#gid=187761907"",""2026-27!ai3"")"),0.0)</f>
        <v>0</v>
      </c>
      <c r="CE114" s="63">
        <f t="shared" si="109"/>
        <v>0</v>
      </c>
      <c r="CF114" s="59">
        <f>IFERROR(__xludf.DUMMYFUNCTION("importrange(""https://docs.google.com/spreadsheets/d/1Kbg-PEBsKwSxEO5N_-jXktJpPSl1uQP-6wpQXKr9BiM/edit#gid=187761907"",""2026-27!am4"")"),0.0)</f>
        <v>0</v>
      </c>
      <c r="CG114" s="59">
        <f>IFERROR(__xludf.DUMMYFUNCTION("importrange(""https://docs.google.com/spreadsheets/d/1Kbg-PEBsKwSxEO5N_-jXktJpPSl1uQP-6wpQXKr9BiM/edit#gid=187761907"",""2026-27!am3"")"),0.0)</f>
        <v>0</v>
      </c>
      <c r="CH114" s="59">
        <f>IFERROR(__xludf.DUMMYFUNCTION("importrange(""https://docs.google.com/spreadsheets/d/1Kbg-PEBsKwSxEO5N_-jXktJpPSl1uQP-6wpQXKr9BiM/edit#gid=187761907"",""2026-27!an4"")"),1555000.0)</f>
        <v>1555000</v>
      </c>
      <c r="CI114" s="59">
        <f>IFERROR(__xludf.DUMMYFUNCTION("importrange(""https://docs.google.com/spreadsheets/d/1Kbg-PEBsKwSxEO5N_-jXktJpPSl1uQP-6wpQXKr9BiM/edit#gid=187761907"",""2026-27!an3"")"),27.0)</f>
        <v>27</v>
      </c>
      <c r="CJ114" s="59">
        <f>IFERROR(__xludf.DUMMYFUNCTION("importrange(""https://docs.google.com/spreadsheets/d/1Kbg-PEBsKwSxEO5N_-jXktJpPSl1uQP-6wpQXKr9BiM/edit#gid=187761907"",""2026-27!ao4"")"),0.0)</f>
        <v>0</v>
      </c>
      <c r="CK114" s="59">
        <f>IFERROR(__xludf.DUMMYFUNCTION("importrange(""https://docs.google.com/spreadsheets/d/1Kbg-PEBsKwSxEO5N_-jXktJpPSl1uQP-6wpQXKr9BiM/edit#gid=187761907"",""2026-27!ao3"")"),0.0)</f>
        <v>0</v>
      </c>
      <c r="CL114" s="63">
        <f t="shared" si="110"/>
        <v>0</v>
      </c>
      <c r="CM114" s="59">
        <f>IFERROR(__xludf.DUMMYFUNCTION("importrange(""https://docs.google.com/spreadsheets/d/1Kbg-PEBsKwSxEO5N_-jXktJpPSl1uQP-6wpQXKr9BiM/edit#gid=187761907"",""2026-27!ap4"")"),0.0)</f>
        <v>0</v>
      </c>
      <c r="CN114" s="59">
        <f>IFERROR(__xludf.DUMMYFUNCTION("importrange(""https://docs.google.com/spreadsheets/d/1Kbg-PEBsKwSxEO5N_-jXktJpPSl1uQP-6wpQXKr9BiM/edit#gid=187761907"",""2026-27!ap3"")"),0.0)</f>
        <v>0</v>
      </c>
      <c r="CO114" s="59">
        <f>IFERROR(__xludf.DUMMYFUNCTION("importrange(""https://docs.google.com/spreadsheets/d/1Kbg-PEBsKwSxEO5N_-jXktJpPSl1uQP-6wpQXKr9BiM/edit#gid=187761907"",""2026-27!aq4"")"),1563000.0)</f>
        <v>1563000</v>
      </c>
      <c r="CP114" s="59">
        <f>IFERROR(__xludf.DUMMYFUNCTION("importrange(""https://docs.google.com/spreadsheets/d/1Kbg-PEBsKwSxEO5N_-jXktJpPSl1uQP-6wpQXKr9BiM/edit#gid=187761907"",""2026-27!aq3"")"),30.0)</f>
        <v>30</v>
      </c>
      <c r="CQ114" s="59">
        <f>IFERROR(__xludf.DUMMYFUNCTION("importrange(""https://docs.google.com/spreadsheets/d/1Kbg-PEBsKwSxEO5N_-jXktJpPSl1uQP-6wpQXKr9BiM/edit#gid=187761907"",""2026-27!ar4"")"),0.0)</f>
        <v>0</v>
      </c>
      <c r="CR114" s="59">
        <f>IFERROR(__xludf.DUMMYFUNCTION("importrange(""https://docs.google.com/spreadsheets/d/1Kbg-PEBsKwSxEO5N_-jXktJpPSl1uQP-6wpQXKr9BiM/edit#gid=187761907"",""2026-27!ar3"")"),0.0)</f>
        <v>0</v>
      </c>
      <c r="CS114" s="63">
        <f t="shared" si="111"/>
        <v>0</v>
      </c>
      <c r="CT114" s="59">
        <f>IFERROR(__xludf.DUMMYFUNCTION("importrange(""https://docs.google.com/spreadsheets/d/1Kbg-PEBsKwSxEO5N_-jXktJpPSl1uQP-6wpQXKr9BiM/edit#gid=187761907"",""2026-27!as4"")"),0.0)</f>
        <v>0</v>
      </c>
      <c r="CU114" s="59">
        <f>IFERROR(__xludf.DUMMYFUNCTION("importrange(""https://docs.google.com/spreadsheets/d/1Kbg-PEBsKwSxEO5N_-jXktJpPSl1uQP-6wpQXKr9BiM/edit#gid=187761907"",""2026-27!as3"")"),0.0)</f>
        <v>0</v>
      </c>
      <c r="CV114" s="64"/>
    </row>
    <row r="115">
      <c r="A115" s="1" t="s">
        <v>160</v>
      </c>
      <c r="B115" s="41"/>
      <c r="C115" s="68" t="s">
        <v>226</v>
      </c>
      <c r="D115" s="72" t="s">
        <v>227</v>
      </c>
      <c r="E115" s="54">
        <v>7.076505033E9</v>
      </c>
      <c r="F115" s="80">
        <v>45323.0</v>
      </c>
      <c r="G115" s="66"/>
      <c r="H115" s="66"/>
      <c r="I115" s="57">
        <v>25700.0</v>
      </c>
      <c r="J115" s="58">
        <v>4166667.0</v>
      </c>
      <c r="K115" s="61">
        <f>IFERROR(__xludf.DUMMYFUNCTION("IMPORTRANGE(""https://docs.google.com/spreadsheets/d/1O8_IB27WHzeYapUtQjxSkdl_JCT9lSSz357rD743jfU/edit#gid=187761907"",""2026-27!A3"")"),70.0)</f>
        <v>70</v>
      </c>
      <c r="L115" s="61">
        <f>IFERROR(__xludf.DUMMYFUNCTION("IMPORTRANGE(""https://docs.google.com/spreadsheets/d/1O8_IB27WHzeYapUtQjxSkdl_JCT9lSSz357rD743jfU/edit#gid=187761907"",""2026-27!G4"")"),3.275E7)</f>
        <v>32750000</v>
      </c>
      <c r="M115" s="61">
        <f t="shared" si="97"/>
        <v>5038060.64</v>
      </c>
      <c r="N115" s="60">
        <f t="shared" si="98"/>
        <v>0.09472351145</v>
      </c>
      <c r="O115" s="61">
        <f t="shared" si="99"/>
        <v>3102195</v>
      </c>
      <c r="P115" s="59">
        <f>IFERROR(__xludf.DUMMYFUNCTION("IMPORTRANGE(""https://docs.google.com/spreadsheets/d/1O8_IB27WHzeYapUtQjxSkdl_JCT9lSSz357rD743jfU/edit#gid=187761907"",""2026-27!J4"")"),1580000.0)</f>
        <v>1580000</v>
      </c>
      <c r="Q115" s="59">
        <f>IFERROR(__xludf.DUMMYFUNCTION("IMPORTRANGE(""https://docs.google.com/spreadsheets/d/1O8_IB27WHzeYapUtQjxSkdl_JCT9lSSz357rD743jfU/edit#gid=187761907"",""2026-27!J3"")"),17.0)</f>
        <v>17</v>
      </c>
      <c r="R115" s="59">
        <f>IFERROR(__xludf.DUMMYFUNCTION("IMPORTRANGE(""https://docs.google.com/spreadsheets/d/1O8_IB27WHzeYapUtQjxSkdl_JCT9lSSz357rD743jfU/edit#gid=187761907"",""2026-27!K4"")"),1579653.4700000002)</f>
        <v>1579653.47</v>
      </c>
      <c r="S115" s="59">
        <f>IFERROR(__xludf.DUMMYFUNCTION("IMPORTRANGE(""https://docs.google.com/spreadsheets/d/1O8_IB27WHzeYapUtQjxSkdl_JCT9lSSz357rD743jfU/edit#gid=187761907"",""2026-27!K3"")"),19.0)</f>
        <v>19</v>
      </c>
      <c r="T115" s="62">
        <f t="shared" si="100"/>
        <v>0.9997841772</v>
      </c>
      <c r="U115" s="59">
        <f>IFERROR(__xludf.DUMMYFUNCTION("IMPORTRANGE(""https://docs.google.com/spreadsheets/d/1O8_IB27WHzeYapUtQjxSkdl_JCT9lSSz357rD743jfU/edit#gid=187761907"",""2026-27!L4"")"),1579659.0)</f>
        <v>1579659</v>
      </c>
      <c r="V115" s="85">
        <f>IFERROR(__xludf.DUMMYFUNCTION("IMPORTRANGE(""https://docs.google.com/spreadsheets/d/1O8_IB27WHzeYapUtQjxSkdl_JCT9lSSz357rD743jfU/edit#gid=187761907"",""2026-27!L3"")"),19.0)</f>
        <v>19</v>
      </c>
      <c r="W115" s="59">
        <f>IFERROR(__xludf.DUMMYFUNCTION("IMPORTRANGE(""https://docs.google.com/spreadsheets/d/1O8_IB27WHzeYapUtQjxSkdl_JCT9lSSz357rD743jfU/edit#gid=187761907"",""2026-27!M4"")"),1540000.0)</f>
        <v>1540000</v>
      </c>
      <c r="X115" s="85">
        <f>IFERROR(__xludf.DUMMYFUNCTION("IMPORTRANGE(""https://docs.google.com/spreadsheets/d/1O8_IB27WHzeYapUtQjxSkdl_JCT9lSSz357rD743jfU/edit#gid=187761907"",""2026-27!M3"")"),21.0)</f>
        <v>21</v>
      </c>
      <c r="Y115" s="59">
        <f>IFERROR(__xludf.DUMMYFUNCTION("importrange(""https://docs.google.com/spreadsheets/d/1O8_IB27WHzeYapUtQjxSkdl_JCT9lSSz357rD743jfU/edit#gid=187761907"",""2026-27!n4"")"),1522529.7100000002)</f>
        <v>1522529.71</v>
      </c>
      <c r="Z115" s="59">
        <f>IFERROR(__xludf.DUMMYFUNCTION("importrange(""https://docs.google.com/spreadsheets/d/1O8_IB27WHzeYapUtQjxSkdl_JCT9lSSz357rD743jfU/edit#gid=187761907"",""2026-27!n3"")"),23.0)</f>
        <v>23</v>
      </c>
      <c r="AA115" s="62">
        <f t="shared" si="101"/>
        <v>0.9886597403</v>
      </c>
      <c r="AB115" s="59">
        <f>IFERROR(__xludf.DUMMYFUNCTION("importrange(""https://docs.google.com/spreadsheets/d/1O8_IB27WHzeYapUtQjxSkdl_JCT9lSSz357rD743jfU/edit#gid=187761907"",""2026-27!o4"")"),1522536.0)</f>
        <v>1522536</v>
      </c>
      <c r="AC115" s="59">
        <f>IFERROR(__xludf.DUMMYFUNCTION("importrange(""https://docs.google.com/spreadsheets/d/1O8_IB27WHzeYapUtQjxSkdl_JCT9lSSz357rD743jfU/edit#gid=187761907"",""2026-27!o3"")"),23.0)</f>
        <v>23</v>
      </c>
      <c r="AD115" s="59">
        <f>IFERROR(__xludf.DUMMYFUNCTION("importrange(""https://docs.google.com/spreadsheets/d/1O8_IB27WHzeYapUtQjxSkdl_JCT9lSSz357rD743jfU/edit#gid=187761907"",""2026-27!p4"")"),3380000.0)</f>
        <v>3380000</v>
      </c>
      <c r="AE115" s="59">
        <f>IFERROR(__xludf.DUMMYFUNCTION("importrange(""https://docs.google.com/spreadsheets/d/1O8_IB27WHzeYapUtQjxSkdl_JCT9lSSz357rD743jfU/edit#gid=187761907"",""2026-27!p3"")"),37.0)</f>
        <v>37</v>
      </c>
      <c r="AF115" s="59">
        <f>IFERROR(__xludf.DUMMYFUNCTION("importrange(""https://docs.google.com/spreadsheets/d/1O8_IB27WHzeYapUtQjxSkdl_JCT9lSSz357rD743jfU/edit#gid=187761907"",""2026-27!q4"")"),1935877.4599999995)</f>
        <v>1935877.46</v>
      </c>
      <c r="AG115" s="59">
        <f>IFERROR(__xludf.DUMMYFUNCTION("importrange(""https://docs.google.com/spreadsheets/d/1O8_IB27WHzeYapUtQjxSkdl_JCT9lSSz357rD743jfU/edit#gid=187761907"",""2026-27!q3"")"),27.0)</f>
        <v>27</v>
      </c>
      <c r="AH115" s="62">
        <f t="shared" si="102"/>
        <v>0</v>
      </c>
      <c r="AI115" s="59">
        <f>IFERROR(__xludf.DUMMYFUNCTION("importrange(""https://docs.google.com/spreadsheets/d/1O8_IB27WHzeYapUtQjxSkdl_JCT9lSSz357rD743jfU/edit#gid=187761907"",""2026-27!r4"")"),0.0)</f>
        <v>0</v>
      </c>
      <c r="AJ115" s="59">
        <f>IFERROR(__xludf.DUMMYFUNCTION("importrange(""https://docs.google.com/spreadsheets/d/1O8_IB27WHzeYapUtQjxSkdl_JCT9lSSz357rD743jfU/edit#gid=187761907"",""2026-27!r3"")"),0.0)</f>
        <v>0</v>
      </c>
      <c r="AK115" s="59">
        <f>IFERROR(__xludf.DUMMYFUNCTION("importrange(""https://docs.google.com/spreadsheets/d/1O8_IB27WHzeYapUtQjxSkdl_JCT9lSSz357rD743jfU/edit#gid=187761907"",""2026-27!s4"")"),2730000.0)</f>
        <v>2730000</v>
      </c>
      <c r="AL115" s="59">
        <f>IFERROR(__xludf.DUMMYFUNCTION("importrange(""https://docs.google.com/spreadsheets/d/1O8_IB27WHzeYapUtQjxSkdl_JCT9lSSz357rD743jfU/edit#gid=187761907"",""2026-27!s3"")"),28.0)</f>
        <v>28</v>
      </c>
      <c r="AM115" s="61">
        <f>IFERROR(__xludf.DUMMYFUNCTION("importrange(""https://docs.google.com/spreadsheets/d/1O8_IB27WHzeYapUtQjxSkdl_JCT9lSSz357rD743jfU/edit#gid=187761907"",""2026-27!t4"")"),0.0)</f>
        <v>0</v>
      </c>
      <c r="AN115" s="59">
        <f>IFERROR(__xludf.DUMMYFUNCTION("importrange(""https://docs.google.com/spreadsheets/d/1O8_IB27WHzeYapUtQjxSkdl_JCT9lSSz357rD743jfU/edit#gid=187761907"",""2026-27!t3"")"),0.0)</f>
        <v>0</v>
      </c>
      <c r="AO115" s="62">
        <f t="shared" si="103"/>
        <v>0</v>
      </c>
      <c r="AP115" s="59">
        <f>IFERROR(__xludf.DUMMYFUNCTION("importrange(""https://docs.google.com/spreadsheets/d/1O8_IB27WHzeYapUtQjxSkdl_JCT9lSSz357rD743jfU/edit#gid=187761907"",""2026-27!u4"")"),0.0)</f>
        <v>0</v>
      </c>
      <c r="AQ115" s="59">
        <f>IFERROR(__xludf.DUMMYFUNCTION("importrange(""https://docs.google.com/spreadsheets/d/1O8_IB27WHzeYapUtQjxSkdl_JCT9lSSz357rD743jfU/edit#gid=187761907"",""2026-27!u3"")"),0.0)</f>
        <v>0</v>
      </c>
      <c r="AR115" s="59">
        <f>IFERROR(__xludf.DUMMYFUNCTION("importrange(""https://docs.google.com/spreadsheets/d/1O8_IB27WHzeYapUtQjxSkdl_JCT9lSSz357rD743jfU/edit#gid=187761907"",""2026-27!v4"")"),2530000.0)</f>
        <v>2530000</v>
      </c>
      <c r="AS115" s="59">
        <f>IFERROR(__xludf.DUMMYFUNCTION("importrange(""https://docs.google.com/spreadsheets/d/1O8_IB27WHzeYapUtQjxSkdl_JCT9lSSz357rD743jfU/edit#gid=187761907"",""2026-27!v3"")"),25.0)</f>
        <v>25</v>
      </c>
      <c r="AT115" s="61">
        <f>IFERROR(__xludf.DUMMYFUNCTION("importrange(""https://docs.google.com/spreadsheets/d/1O8_IB27WHzeYapUtQjxSkdl_JCT9lSSz357rD743jfU/edit#gid=187761907"",""2026-27!w4"")"),0.0)</f>
        <v>0</v>
      </c>
      <c r="AU115" s="59">
        <f>IFERROR(__xludf.DUMMYFUNCTION("importrange(""https://docs.google.com/spreadsheets/d/1O8_IB27WHzeYapUtQjxSkdl_JCT9lSSz357rD743jfU/edit#gid=187761907"",""2026-27!w3"")"),0.0)</f>
        <v>0</v>
      </c>
      <c r="AV115" s="62">
        <f t="shared" si="104"/>
        <v>0</v>
      </c>
      <c r="AW115" s="59">
        <f>IFERROR(__xludf.DUMMYFUNCTION("importrange(""https://docs.google.com/spreadsheets/d/1O8_IB27WHzeYapUtQjxSkdl_JCT9lSSz357rD743jfU/edit#gid=187761907"",""2026-27!x4"")"),0.0)</f>
        <v>0</v>
      </c>
      <c r="AX115" s="59">
        <f>IFERROR(__xludf.DUMMYFUNCTION("importrange(""https://docs.google.com/spreadsheets/d/1O8_IB27WHzeYapUtQjxSkdl_JCT9lSSz357rD743jfU/edit#gid=187761907"",""2026-27!x3"")"),0.0)</f>
        <v>0</v>
      </c>
      <c r="AY115" s="59">
        <f>IFERROR(__xludf.DUMMYFUNCTION("importrange(""https://docs.google.com/spreadsheets/d/1O8_IB27WHzeYapUtQjxSkdl_JCT9lSSz357rD743jfU/edit#gid=187761907"",""2026-27!y4"")"),2770000.0)</f>
        <v>2770000</v>
      </c>
      <c r="AZ115" s="59">
        <f>IFERROR(__xludf.DUMMYFUNCTION("importrange(""https://docs.google.com/spreadsheets/d/1O8_IB27WHzeYapUtQjxSkdl_JCT9lSSz357rD743jfU/edit#gid=187761907"",""2026-27!y3"")"),26.0)</f>
        <v>26</v>
      </c>
      <c r="BA115" s="61">
        <f>IFERROR(__xludf.DUMMYFUNCTION("importrange(""https://docs.google.com/spreadsheets/d/1O8_IB27WHzeYapUtQjxSkdl_JCT9lSSz357rD743jfU/edit#gid=187761907"",""2026-27!z4"")"),0.0)</f>
        <v>0</v>
      </c>
      <c r="BB115" s="59">
        <f>IFERROR(__xludf.DUMMYFUNCTION("importrange(""https://docs.google.com/spreadsheets/d/1O8_IB27WHzeYapUtQjxSkdl_JCT9lSSz357rD743jfU/edit#gid=187761907"",""2026-27!z3"")"),0.0)</f>
        <v>0</v>
      </c>
      <c r="BC115" s="63">
        <f t="shared" si="105"/>
        <v>0</v>
      </c>
      <c r="BD115" s="59">
        <f>IFERROR(__xludf.DUMMYFUNCTION("importrange(""https://docs.google.com/spreadsheets/d/1O8_IB27WHzeYapUtQjxSkdl_JCT9lSSz357rD743jfU/edit#gid=187761907"",""2026-27!aa4"")"),0.0)</f>
        <v>0</v>
      </c>
      <c r="BE115" s="59">
        <f>IFERROR(__xludf.DUMMYFUNCTION("importrange(""https://docs.google.com/spreadsheets/d/1O8_IB27WHzeYapUtQjxSkdl_JCT9lSSz357rD743jfU/edit#gid=187761907"",""2026-27!aa3"")"),0.0)</f>
        <v>0</v>
      </c>
      <c r="BF115" s="59">
        <f>IFERROR(__xludf.DUMMYFUNCTION("importrange(""https://docs.google.com/spreadsheets/d/1O8_IB27WHzeYapUtQjxSkdl_JCT9lSSz357rD743jfU/edit#gid=187761907"",""2026-27!ab4"")"),2280000.0)</f>
        <v>2280000</v>
      </c>
      <c r="BG115" s="59">
        <f>IFERROR(__xludf.DUMMYFUNCTION("importrange(""https://docs.google.com/spreadsheets/d/1O8_IB27WHzeYapUtQjxSkdl_JCT9lSSz357rD743jfU/edit#gid=187761907"",""2026-27!ab3"")"),28.0)</f>
        <v>28</v>
      </c>
      <c r="BH115" s="59">
        <f>IFERROR(__xludf.DUMMYFUNCTION("importrange(""https://docs.google.com/spreadsheets/d/1O8_IB27WHzeYapUtQjxSkdl_JCT9lSSz357rD743jfU/edit#gid=187761907"",""2026-27!ac4"")"),0.0)</f>
        <v>0</v>
      </c>
      <c r="BI115" s="59">
        <f>IFERROR(__xludf.DUMMYFUNCTION("importrange(""https://docs.google.com/spreadsheets/d/1O8_IB27WHzeYapUtQjxSkdl_JCT9lSSz357rD743jfU/edit#gid=187761907"",""2026-27!ac3"")"),0.0)</f>
        <v>0</v>
      </c>
      <c r="BJ115" s="63">
        <f t="shared" si="106"/>
        <v>0</v>
      </c>
      <c r="BK115" s="59">
        <f>IFERROR(__xludf.DUMMYFUNCTION("importrange(""https://docs.google.com/spreadsheets/d/1O8_IB27WHzeYapUtQjxSkdl_JCT9lSSz357rD743jfU/edit#gid=187761907"",""2026-27!ad4"")"),0.0)</f>
        <v>0</v>
      </c>
      <c r="BL115" s="59">
        <f>IFERROR(__xludf.DUMMYFUNCTION("importrange(""https://docs.google.com/spreadsheets/d/1O8_IB27WHzeYapUtQjxSkdl_JCT9lSSz357rD743jfU/edit#gid=187761907"",""2026-27!ad3"")"),0.0)</f>
        <v>0</v>
      </c>
      <c r="BM115" s="59">
        <f>IFERROR(__xludf.DUMMYFUNCTION("importrange(""https://docs.google.com/spreadsheets/d/1O8_IB27WHzeYapUtQjxSkdl_JCT9lSSz357rD743jfU/edit#gid=187761907"",""2026-27!ae4"")"),3015000.0)</f>
        <v>3015000</v>
      </c>
      <c r="BN115" s="59">
        <f>IFERROR(__xludf.DUMMYFUNCTION("importrange(""https://docs.google.com/spreadsheets/d/1O8_IB27WHzeYapUtQjxSkdl_JCT9lSSz357rD743jfU/edit#gid=187761907"",""2026-27!ae3"")"),28.0)</f>
        <v>28</v>
      </c>
      <c r="BO115" s="59">
        <f>IFERROR(__xludf.DUMMYFUNCTION("importrange(""https://docs.google.com/spreadsheets/d/1O8_IB27WHzeYapUtQjxSkdl_JCT9lSSz357rD743jfU/edit#gid=187761907"",""2026-27!af4"")"),0.0)</f>
        <v>0</v>
      </c>
      <c r="BP115" s="59">
        <f>IFERROR(__xludf.DUMMYFUNCTION("importrange(""https://docs.google.com/spreadsheets/d/1O8_IB27WHzeYapUtQjxSkdl_JCT9lSSz357rD743jfU/edit#gid=187761907"",""2026-27!af3"")"),0.0)</f>
        <v>0</v>
      </c>
      <c r="BQ115" s="63">
        <f t="shared" si="107"/>
        <v>0</v>
      </c>
      <c r="BR115" s="59">
        <f>IFERROR(__xludf.DUMMYFUNCTION("importrange(""https://docs.google.com/spreadsheets/d/1O8_IB27WHzeYapUtQjxSkdl_JCT9lSSz357rD743jfU/edit#gid=187761907"",""2026-27!ag4"")"),0.0)</f>
        <v>0</v>
      </c>
      <c r="BS115" s="59">
        <f>IFERROR(__xludf.DUMMYFUNCTION("importrange(""https://docs.google.com/spreadsheets/d/1O8_IB27WHzeYapUtQjxSkdl_JCT9lSSz357rD743jfU/edit#gid=187761907"",""2026-27!ag3"")"),0.0)</f>
        <v>0</v>
      </c>
      <c r="BT115" s="59">
        <f>IFERROR(__xludf.DUMMYFUNCTION("importrange(""https://docs.google.com/spreadsheets/d/1O8_IB27WHzeYapUtQjxSkdl_JCT9lSSz357rD743jfU/edit#gid=187761907"",""2026-27!ah4"")"),3405000.0)</f>
        <v>3405000</v>
      </c>
      <c r="BU115" s="59">
        <f>IFERROR(__xludf.DUMMYFUNCTION("importrange(""https://docs.google.com/spreadsheets/d/1O8_IB27WHzeYapUtQjxSkdl_JCT9lSSz357rD743jfU/edit#gid=187761907"",""2026-27!ah3"")"),32.0)</f>
        <v>32</v>
      </c>
      <c r="BV115" s="59">
        <f>IFERROR(__xludf.DUMMYFUNCTION("importrange(""https://docs.google.com/spreadsheets/d/1O8_IB27WHzeYapUtQjxSkdl_JCT9lSSz357rD743jfU/edit#gid=187761907"",""2026-27!ai4"")"),0.0)</f>
        <v>0</v>
      </c>
      <c r="BW115" s="59">
        <f>IFERROR(__xludf.DUMMYFUNCTION("importrange(""https://docs.google.com/spreadsheets/d/1O8_IB27WHzeYapUtQjxSkdl_JCT9lSSz357rD743jfU/edit#gid=187761907"",""2026-27!ai3"")"),0.0)</f>
        <v>0</v>
      </c>
      <c r="BX115" s="63">
        <f t="shared" si="108"/>
        <v>0</v>
      </c>
      <c r="BY115" s="59">
        <f>IFERROR(__xludf.DUMMYFUNCTION("importrange(""https://docs.google.com/spreadsheets/d/1O8_IB27WHzeYapUtQjxSkdl_JCT9lSSz357rD743jfU/edit#gid=187761907"",""2026-27!aj4"")"),0.0)</f>
        <v>0</v>
      </c>
      <c r="BZ115" s="59">
        <f>IFERROR(__xludf.DUMMYFUNCTION("importrange(""https://docs.google.com/spreadsheets/d/1O8_IB27WHzeYapUtQjxSkdl_JCT9lSSz357rD743jfU/edit#gid=187761907"",""2026-27!aj3"")"),0.0)</f>
        <v>0</v>
      </c>
      <c r="CA115" s="59">
        <f>IFERROR(__xludf.DUMMYFUNCTION("importrange(""https://docs.google.com/spreadsheets/d/1O8_IB27WHzeYapUtQjxSkdl_JCT9lSSz357rD743jfU/edit#gid=187761907"",""2026-27!ak4"")"),3115000.0)</f>
        <v>3115000</v>
      </c>
      <c r="CB115" s="59">
        <f>IFERROR(__xludf.DUMMYFUNCTION("importrange(""https://docs.google.com/spreadsheets/d/1O8_IB27WHzeYapUtQjxSkdl_JCT9lSSz357rD743jfU/edit#gid=187761907"",""2026-27!ak3"")"),27.0)</f>
        <v>27</v>
      </c>
      <c r="CC115" s="59">
        <f>IFERROR(__xludf.DUMMYFUNCTION("importrange(""https://docs.google.com/spreadsheets/d/1O8_IB27WHzeYapUtQjxSkdl_JCT9lSSz357rD743jfU/edit#gid=187761907"",""2026-27!al4"")"),0.0)</f>
        <v>0</v>
      </c>
      <c r="CD115" s="59">
        <f>IFERROR(__xludf.DUMMYFUNCTION("importrange(""https://docs.google.com/spreadsheets/d/1O8_IB27WHzeYapUtQjxSkdl_JCT9lSSz357rD743jfU/edit#gid=187761907"",""2026-27!ai3"")"),0.0)</f>
        <v>0</v>
      </c>
      <c r="CE115" s="63">
        <f t="shared" si="109"/>
        <v>0</v>
      </c>
      <c r="CF115" s="59">
        <f>IFERROR(__xludf.DUMMYFUNCTION("importrange(""https://docs.google.com/spreadsheets/d/1O8_IB27WHzeYapUtQjxSkdl_JCT9lSSz357rD743jfU/edit#gid=187761907"",""2026-27!am4"")"),0.0)</f>
        <v>0</v>
      </c>
      <c r="CG115" s="59">
        <f>IFERROR(__xludf.DUMMYFUNCTION("importrange(""https://docs.google.com/spreadsheets/d/1O8_IB27WHzeYapUtQjxSkdl_JCT9lSSz357rD743jfU/edit#gid=187761907"",""2026-27!am3"")"),0.0)</f>
        <v>0</v>
      </c>
      <c r="CH115" s="59">
        <f>IFERROR(__xludf.DUMMYFUNCTION("importrange(""https://docs.google.com/spreadsheets/d/1O8_IB27WHzeYapUtQjxSkdl_JCT9lSSz357rD743jfU/edit#gid=187761907"",""2026-27!an4"")"),2325000.0)</f>
        <v>2325000</v>
      </c>
      <c r="CI115" s="59">
        <f>IFERROR(__xludf.DUMMYFUNCTION("importrange(""https://docs.google.com/spreadsheets/d/1O8_IB27WHzeYapUtQjxSkdl_JCT9lSSz357rD743jfU/edit#gid=187761907"",""2026-27!an3"")"),26.0)</f>
        <v>26</v>
      </c>
      <c r="CJ115" s="59">
        <f>IFERROR(__xludf.DUMMYFUNCTION("importrange(""https://docs.google.com/spreadsheets/d/1O8_IB27WHzeYapUtQjxSkdl_JCT9lSSz357rD743jfU/edit#gid=187761907"",""2026-27!ao4"")"),0.0)</f>
        <v>0</v>
      </c>
      <c r="CK115" s="59">
        <f>IFERROR(__xludf.DUMMYFUNCTION("importrange(""https://docs.google.com/spreadsheets/d/1O8_IB27WHzeYapUtQjxSkdl_JCT9lSSz357rD743jfU/edit#gid=187761907"",""2026-27!ao3"")"),0.0)</f>
        <v>0</v>
      </c>
      <c r="CL115" s="63">
        <f t="shared" si="110"/>
        <v>0</v>
      </c>
      <c r="CM115" s="59">
        <f>IFERROR(__xludf.DUMMYFUNCTION("importrange(""https://docs.google.com/spreadsheets/d/1O8_IB27WHzeYapUtQjxSkdl_JCT9lSSz357rD743jfU/edit#gid=187761907"",""2026-27!ap4"")"),0.0)</f>
        <v>0</v>
      </c>
      <c r="CN115" s="59">
        <f>IFERROR(__xludf.DUMMYFUNCTION("importrange(""https://docs.google.com/spreadsheets/d/1O8_IB27WHzeYapUtQjxSkdl_JCT9lSSz357rD743jfU/edit#gid=187761907"",""2026-27!ap3"")"),0.0)</f>
        <v>0</v>
      </c>
      <c r="CO115" s="59">
        <f>IFERROR(__xludf.DUMMYFUNCTION("importrange(""https://docs.google.com/spreadsheets/d/1O8_IB27WHzeYapUtQjxSkdl_JCT9lSSz357rD743jfU/edit#gid=187761907"",""2026-27!aq4"")"),4080000.0)</f>
        <v>4080000</v>
      </c>
      <c r="CP115" s="59">
        <f>IFERROR(__xludf.DUMMYFUNCTION("importrange(""https://docs.google.com/spreadsheets/d/1O8_IB27WHzeYapUtQjxSkdl_JCT9lSSz357rD743jfU/edit#gid=187761907"",""2026-27!aq3"")"),38.0)</f>
        <v>38</v>
      </c>
      <c r="CQ115" s="59">
        <f>IFERROR(__xludf.DUMMYFUNCTION("importrange(""https://docs.google.com/spreadsheets/d/1O8_IB27WHzeYapUtQjxSkdl_JCT9lSSz357rD743jfU/edit#gid=187761907"",""2026-27!ar4"")"),0.0)</f>
        <v>0</v>
      </c>
      <c r="CR115" s="59">
        <f>IFERROR(__xludf.DUMMYFUNCTION("importrange(""https://docs.google.com/spreadsheets/d/1O8_IB27WHzeYapUtQjxSkdl_JCT9lSSz357rD743jfU/edit#gid=187761907"",""2026-27!ar3"")"),0.0)</f>
        <v>0</v>
      </c>
      <c r="CS115" s="63">
        <f t="shared" si="111"/>
        <v>0</v>
      </c>
      <c r="CT115" s="59">
        <f>IFERROR(__xludf.DUMMYFUNCTION("importrange(""https://docs.google.com/spreadsheets/d/1O8_IB27WHzeYapUtQjxSkdl_JCT9lSSz357rD743jfU/edit#gid=187761907"",""2026-27!as4"")"),0.0)</f>
        <v>0</v>
      </c>
      <c r="CU115" s="59">
        <f>IFERROR(__xludf.DUMMYFUNCTION("importrange(""https://docs.google.com/spreadsheets/d/1O8_IB27WHzeYapUtQjxSkdl_JCT9lSSz357rD743jfU/edit#gid=187761907"",""2026-27!as3"")"),0.0)</f>
        <v>0</v>
      </c>
      <c r="CV115" s="64"/>
    </row>
    <row r="116">
      <c r="A116" s="1" t="s">
        <v>160</v>
      </c>
      <c r="B116" s="41"/>
      <c r="C116" s="68" t="s">
        <v>228</v>
      </c>
      <c r="D116" s="72" t="s">
        <v>229</v>
      </c>
      <c r="E116" s="54">
        <v>9.304866414E9</v>
      </c>
      <c r="F116" s="80">
        <v>45432.0</v>
      </c>
      <c r="G116" s="81"/>
      <c r="H116" s="81"/>
      <c r="I116" s="57">
        <v>41430.0</v>
      </c>
      <c r="J116" s="58">
        <v>3083333.0</v>
      </c>
      <c r="K116" s="61">
        <f>IFERROR(__xludf.DUMMYFUNCTION("IMPORTRANGE(""https://docs.google.com/spreadsheets/d/1WBmn03mnxrtox5uWO2YKJB7PYVfHYAUNt150alXp7eg/edit?gid=1996990278#gid=1996990278"",""2026-27!A3"")"),107.0)</f>
        <v>107</v>
      </c>
      <c r="L116" s="61">
        <f>IFERROR(__xludf.DUMMYFUNCTION("IMPORTRANGE(""https://docs.google.com/spreadsheets/d/1WBmn03mnxrtox5uWO2YKJB7PYVfHYAUNt150alXp7eg/edit?gid=1996990278#gid=1996990278"",""2026-27!G4"")"),4.5E7)</f>
        <v>45000000</v>
      </c>
      <c r="M116" s="61">
        <f t="shared" si="97"/>
        <v>7609600.44</v>
      </c>
      <c r="N116" s="60">
        <f t="shared" si="98"/>
        <v>0.08447526667</v>
      </c>
      <c r="O116" s="61">
        <f t="shared" si="99"/>
        <v>3801387</v>
      </c>
      <c r="P116" s="59">
        <f>IFERROR(__xludf.DUMMYFUNCTION("IMPORTRANGE(""https://docs.google.com/spreadsheets/d/1WBmn03mnxrtox5uWO2YKJB7PYVfHYAUNt150alXp7eg/edit?gid=1996990278#gid=1996990278"",""2026-27!J4"")"),3750000.0000000005)</f>
        <v>3750000</v>
      </c>
      <c r="Q116" s="59">
        <f>IFERROR(__xludf.DUMMYFUNCTION("IMPORTRANGE(""https://docs.google.com/spreadsheets/d/1WBmn03mnxrtox5uWO2YKJB7PYVfHYAUNt150alXp7eg/edit?gid=1996990278#gid=1996990278"",""2026-27!J3"")"),87.0)</f>
        <v>87</v>
      </c>
      <c r="R116" s="59">
        <f>IFERROR(__xludf.DUMMYFUNCTION("IMPORTRANGE(""https://docs.google.com/spreadsheets/d/1WBmn03mnxrtox5uWO2YKJB7PYVfHYAUNt150alXp7eg/edit?gid=1996990278#gid=1996990278"",""2026-27!K4"")"),1646334.28)</f>
        <v>1646334.28</v>
      </c>
      <c r="S116" s="59">
        <f>IFERROR(__xludf.DUMMYFUNCTION("IMPORTRANGE(""https://docs.google.com/spreadsheets/d/1WBmn03mnxrtox5uWO2YKJB7PYVfHYAUNt150alXp7eg/edit?gid=1996990278#gid=1996990278"",""2026-27!K3"")"),30.0)</f>
        <v>30</v>
      </c>
      <c r="T116" s="62">
        <f t="shared" si="100"/>
        <v>0.4567645333</v>
      </c>
      <c r="U116" s="59">
        <f>IFERROR(__xludf.DUMMYFUNCTION("IMPORTRANGE(""https://docs.google.com/spreadsheets/d/1WBmn03mnxrtox5uWO2YKJB7PYVfHYAUNt150alXp7eg/edit?gid=1996990278#gid=1996990278"",""2026-27!L4"")"),1712867.0)</f>
        <v>1712867</v>
      </c>
      <c r="V116" s="85">
        <f>IFERROR(__xludf.DUMMYFUNCTION("IMPORTRANGE(""https://docs.google.com/spreadsheets/d/1WBmn03mnxrtox5uWO2YKJB7PYVfHYAUNt150alXp7eg/edit?gid=1996990278#gid=1996990278"",""2026-27!L3"")"),35.0)</f>
        <v>35</v>
      </c>
      <c r="W116" s="59">
        <f>IFERROR(__xludf.DUMMYFUNCTION("IMPORTRANGE(""https://docs.google.com/spreadsheets/d/1WBmn03mnxrtox5uWO2YKJB7PYVfHYAUNt150alXp7eg/edit?gid=1996990278#gid=1996990278"",""2026-27!M4"")"),3750000.0000000005)</f>
        <v>3750000</v>
      </c>
      <c r="X116" s="85">
        <f>IFERROR(__xludf.DUMMYFUNCTION("IMPORTRANGE(""https://docs.google.com/spreadsheets/d/1WBmn03mnxrtox5uWO2YKJB7PYVfHYAUNt150alXp7eg/edit?gid=1996990278#gid=1996990278"",""2026-27!M3"")"),87.0)</f>
        <v>87</v>
      </c>
      <c r="Y116" s="59">
        <f>IFERROR(__xludf.DUMMYFUNCTION("importrange(""https://docs.google.com/spreadsheets/d/1WBmn03mnxrtox5uWO2YKJB7PYVfHYAUNt150alXp7eg/edit?gid=1996990278#gid=1996990278"",""2026-27!n4"")"),2853666.2199999993)</f>
        <v>2853666.22</v>
      </c>
      <c r="Z116" s="59">
        <f>IFERROR(__xludf.DUMMYFUNCTION("importrange(""https://docs.google.com/spreadsheets/d/1WBmn03mnxrtox5uWO2YKJB7PYVfHYAUNt150alXp7eg/edit?gid=1996990278#gid=1996990278"",""2026-27!n3"")"),38.0)</f>
        <v>38</v>
      </c>
      <c r="AA116" s="62">
        <f t="shared" si="101"/>
        <v>0.5569386667</v>
      </c>
      <c r="AB116" s="59">
        <f>IFERROR(__xludf.DUMMYFUNCTION("importrange(""https://docs.google.com/spreadsheets/d/1WBmn03mnxrtox5uWO2YKJB7PYVfHYAUNt150alXp7eg/edit?gid=1996990278#gid=1996990278"",""2026-27!o4"")"),2088520.0)</f>
        <v>2088520</v>
      </c>
      <c r="AC116" s="59">
        <f>IFERROR(__xludf.DUMMYFUNCTION("importrange(""https://docs.google.com/spreadsheets/d/1WBmn03mnxrtox5uWO2YKJB7PYVfHYAUNt150alXp7eg/edit?gid=1996990278#gid=1996990278"",""2026-27!o3"")"),38.0)</f>
        <v>38</v>
      </c>
      <c r="AD116" s="59">
        <f>IFERROR(__xludf.DUMMYFUNCTION("importrange(""https://docs.google.com/spreadsheets/d/1WBmn03mnxrtox5uWO2YKJB7PYVfHYAUNt150alXp7eg/edit?gid=1996990278#gid=1996990278"",""2026-27!p4"")"),3750000.0000000005)</f>
        <v>3750000</v>
      </c>
      <c r="AE116" s="59">
        <f>IFERROR(__xludf.DUMMYFUNCTION("importrange(""https://docs.google.com/spreadsheets/d/1WBmn03mnxrtox5uWO2YKJB7PYVfHYAUNt150alXp7eg/edit?gid=1996990278#gid=1996990278"",""2026-27!p3"")"),87.0)</f>
        <v>87</v>
      </c>
      <c r="AF116" s="59">
        <f>IFERROR(__xludf.DUMMYFUNCTION("importrange(""https://docs.google.com/spreadsheets/d/1WBmn03mnxrtox5uWO2YKJB7PYVfHYAUNt150alXp7eg/edit?gid=1996990278#gid=1996990278"",""2026-27!q4"")"),3109599.939999999)</f>
        <v>3109599.94</v>
      </c>
      <c r="AG116" s="59">
        <f>IFERROR(__xludf.DUMMYFUNCTION("importrange(""https://docs.google.com/spreadsheets/d/1WBmn03mnxrtox5uWO2YKJB7PYVfHYAUNt150alXp7eg/edit?gid=1996990278#gid=1996990278"",""2026-27!q3"")"),41.0)</f>
        <v>41</v>
      </c>
      <c r="AH116" s="62">
        <f t="shared" si="102"/>
        <v>0</v>
      </c>
      <c r="AI116" s="59">
        <f>IFERROR(__xludf.DUMMYFUNCTION("importrange(""https://docs.google.com/spreadsheets/d/1WBmn03mnxrtox5uWO2YKJB7PYVfHYAUNt150alXp7eg/edit?gid=1996990278#gid=1996990278"",""2026-27!r4"")"),0.0)</f>
        <v>0</v>
      </c>
      <c r="AJ116" s="59">
        <f>IFERROR(__xludf.DUMMYFUNCTION("importrange(""https://docs.google.com/spreadsheets/d/1WBmn03mnxrtox5uWO2YKJB7PYVfHYAUNt150alXp7eg/edit?gid=1996990278#gid=1996990278"",""2026-27!r3"")"),0.0)</f>
        <v>0</v>
      </c>
      <c r="AK116" s="59">
        <f>IFERROR(__xludf.DUMMYFUNCTION("importrange(""https://docs.google.com/spreadsheets/d/1WBmn03mnxrtox5uWO2YKJB7PYVfHYAUNt150alXp7eg/edit?gid=1996990278#gid=1996990278"",""2026-27!s4"")"),3750000.0000000005)</f>
        <v>3750000</v>
      </c>
      <c r="AL116" s="59">
        <f>IFERROR(__xludf.DUMMYFUNCTION("importrange(""https://docs.google.com/spreadsheets/d/1WBmn03mnxrtox5uWO2YKJB7PYVfHYAUNt150alXp7eg/edit?gid=1996990278#gid=1996990278"",""2026-27!s3"")"),87.0)</f>
        <v>87</v>
      </c>
      <c r="AM116" s="61">
        <f>IFERROR(__xludf.DUMMYFUNCTION("importrange(""https://docs.google.com/spreadsheets/d/1WBmn03mnxrtox5uWO2YKJB7PYVfHYAUNt150alXp7eg/edit?gid=1996990278#gid=1996990278"",""2026-27!t4"")"),0.0)</f>
        <v>0</v>
      </c>
      <c r="AN116" s="59">
        <f>IFERROR(__xludf.DUMMYFUNCTION("importrange(""https://docs.google.com/spreadsheets/d/1WBmn03mnxrtox5uWO2YKJB7PYVfHYAUNt150alXp7eg/edit?gid=1996990278#gid=1996990278"",""2026-27!t3"")"),0.0)</f>
        <v>0</v>
      </c>
      <c r="AO116" s="62">
        <f t="shared" si="103"/>
        <v>0</v>
      </c>
      <c r="AP116" s="59">
        <f>IFERROR(__xludf.DUMMYFUNCTION("importrange(""https://docs.google.com/spreadsheets/d/1WBmn03mnxrtox5uWO2YKJB7PYVfHYAUNt150alXp7eg/edit?gid=1996990278#gid=1996990278"",""2026-27!u4"")"),0.0)</f>
        <v>0</v>
      </c>
      <c r="AQ116" s="59">
        <f>IFERROR(__xludf.DUMMYFUNCTION("importrange(""https://docs.google.com/spreadsheets/d/1WBmn03mnxrtox5uWO2YKJB7PYVfHYAUNt150alXp7eg/edit?gid=1996990278#gid=1996990278"",""2026-27!u3"")"),0.0)</f>
        <v>0</v>
      </c>
      <c r="AR116" s="59">
        <f>IFERROR(__xludf.DUMMYFUNCTION("importrange(""https://docs.google.com/spreadsheets/d/1WBmn03mnxrtox5uWO2YKJB7PYVfHYAUNt150alXp7eg/edit?gid=1996990278#gid=1996990278"",""2026-27!v4"")"),3750000.0000000005)</f>
        <v>3750000</v>
      </c>
      <c r="AS116" s="59">
        <f>IFERROR(__xludf.DUMMYFUNCTION("importrange(""https://docs.google.com/spreadsheets/d/1WBmn03mnxrtox5uWO2YKJB7PYVfHYAUNt150alXp7eg/edit?gid=1996990278#gid=1996990278"",""2026-27!v3"")"),87.0)</f>
        <v>87</v>
      </c>
      <c r="AT116" s="61">
        <f>IFERROR(__xludf.DUMMYFUNCTION("importrange(""https://docs.google.com/spreadsheets/d/1WBmn03mnxrtox5uWO2YKJB7PYVfHYAUNt150alXp7eg/edit?gid=1996990278#gid=1996990278"",""2026-27!w4"")"),0.0)</f>
        <v>0</v>
      </c>
      <c r="AU116" s="59">
        <f>IFERROR(__xludf.DUMMYFUNCTION("importrange(""https://docs.google.com/spreadsheets/d/1WBmn03mnxrtox5uWO2YKJB7PYVfHYAUNt150alXp7eg/edit?gid=1996990278#gid=1996990278"",""2026-27!w3"")"),0.0)</f>
        <v>0</v>
      </c>
      <c r="AV116" s="62">
        <f t="shared" si="104"/>
        <v>0</v>
      </c>
      <c r="AW116" s="59">
        <f>IFERROR(__xludf.DUMMYFUNCTION("importrange(""https://docs.google.com/spreadsheets/d/1WBmn03mnxrtox5uWO2YKJB7PYVfHYAUNt150alXp7eg/edit?gid=1996990278#gid=1996990278"",""2026-27!x4"")"),0.0)</f>
        <v>0</v>
      </c>
      <c r="AX116" s="59">
        <f>IFERROR(__xludf.DUMMYFUNCTION("importrange(""https://docs.google.com/spreadsheets/d/1WBmn03mnxrtox5uWO2YKJB7PYVfHYAUNt150alXp7eg/edit?gid=1996990278#gid=1996990278"",""2026-27!x3"")"),0.0)</f>
        <v>0</v>
      </c>
      <c r="AY116" s="59">
        <f>IFERROR(__xludf.DUMMYFUNCTION("importrange(""https://docs.google.com/spreadsheets/d/1WBmn03mnxrtox5uWO2YKJB7PYVfHYAUNt150alXp7eg/edit?gid=1996990278#gid=1996990278"",""2026-27!y4"")"),3750000.0000000005)</f>
        <v>3750000</v>
      </c>
      <c r="AZ116" s="59">
        <f>IFERROR(__xludf.DUMMYFUNCTION("importrange(""https://docs.google.com/spreadsheets/d/1WBmn03mnxrtox5uWO2YKJB7PYVfHYAUNt150alXp7eg/edit?gid=1996990278#gid=1996990278"",""2026-27!y3"")"),87.0)</f>
        <v>87</v>
      </c>
      <c r="BA116" s="61">
        <f>IFERROR(__xludf.DUMMYFUNCTION("importrange(""https://docs.google.com/spreadsheets/d/1WBmn03mnxrtox5uWO2YKJB7PYVfHYAUNt150alXp7eg/edit?gid=1996990278#gid=1996990278"",""2026-27!z4"")"),0.0)</f>
        <v>0</v>
      </c>
      <c r="BB116" s="59">
        <f>IFERROR(__xludf.DUMMYFUNCTION("importrange(""https://docs.google.com/spreadsheets/d/1WBmn03mnxrtox5uWO2YKJB7PYVfHYAUNt150alXp7eg/edit?gid=1996990278#gid=1996990278"",""2026-27!z3"")"),0.0)</f>
        <v>0</v>
      </c>
      <c r="BC116" s="63">
        <f t="shared" si="105"/>
        <v>0</v>
      </c>
      <c r="BD116" s="59">
        <f>IFERROR(__xludf.DUMMYFUNCTION("importrange(""https://docs.google.com/spreadsheets/d/1WBmn03mnxrtox5uWO2YKJB7PYVfHYAUNt150alXp7eg/edit?gid=1996990278#gid=1996990278"",""2026-27!aa4"")"),0.0)</f>
        <v>0</v>
      </c>
      <c r="BE116" s="59">
        <f>IFERROR(__xludf.DUMMYFUNCTION("importrange(""https://docs.google.com/spreadsheets/d/1WBmn03mnxrtox5uWO2YKJB7PYVfHYAUNt150alXp7eg/edit?gid=1996990278#gid=1996990278"",""2026-27!aa3"")"),0.0)</f>
        <v>0</v>
      </c>
      <c r="BF116" s="59">
        <f>IFERROR(__xludf.DUMMYFUNCTION("importrange(""https://docs.google.com/spreadsheets/d/1WBmn03mnxrtox5uWO2YKJB7PYVfHYAUNt150alXp7eg/edit?gid=1996990278#gid=1996990278"",""2026-27!ab4"")"),3750000.0000000005)</f>
        <v>3750000</v>
      </c>
      <c r="BG116" s="59">
        <f>IFERROR(__xludf.DUMMYFUNCTION("importrange(""https://docs.google.com/spreadsheets/d/1WBmn03mnxrtox5uWO2YKJB7PYVfHYAUNt150alXp7eg/edit?gid=1996990278#gid=1996990278"",""2026-27!ab3"")"),87.0)</f>
        <v>87</v>
      </c>
      <c r="BH116" s="59">
        <f>IFERROR(__xludf.DUMMYFUNCTION("importrange(""https://docs.google.com/spreadsheets/d/1WBmn03mnxrtox5uWO2YKJB7PYVfHYAUNt150alXp7eg/edit?gid=1996990278#gid=1996990278"",""2026-27!ac4"")"),0.0)</f>
        <v>0</v>
      </c>
      <c r="BI116" s="59">
        <f>IFERROR(__xludf.DUMMYFUNCTION("importrange(""https://docs.google.com/spreadsheets/d/1WBmn03mnxrtox5uWO2YKJB7PYVfHYAUNt150alXp7eg/edit?gid=1996990278#gid=1996990278"",""2026-27!ac3"")"),0.0)</f>
        <v>0</v>
      </c>
      <c r="BJ116" s="63">
        <f t="shared" si="106"/>
        <v>0</v>
      </c>
      <c r="BK116" s="59">
        <f>IFERROR(__xludf.DUMMYFUNCTION("importrange(""https://docs.google.com/spreadsheets/d/1WBmn03mnxrtox5uWO2YKJB7PYVfHYAUNt150alXp7eg/edit?gid=1996990278#gid=1996990278"",""2026-27!ad4"")"),0.0)</f>
        <v>0</v>
      </c>
      <c r="BL116" s="59">
        <f>IFERROR(__xludf.DUMMYFUNCTION("importrange(""https://docs.google.com/spreadsheets/d/1WBmn03mnxrtox5uWO2YKJB7PYVfHYAUNt150alXp7eg/edit?gid=1996990278#gid=1996990278"",""2026-27!ad3"")"),0.0)</f>
        <v>0</v>
      </c>
      <c r="BM116" s="59">
        <f>IFERROR(__xludf.DUMMYFUNCTION("importrange(""https://docs.google.com/spreadsheets/d/1WBmn03mnxrtox5uWO2YKJB7PYVfHYAUNt150alXp7eg/edit?gid=1996990278#gid=1996990278"",""2026-27!ae4"")"),3750000.0000000005)</f>
        <v>3750000</v>
      </c>
      <c r="BN116" s="59">
        <f>IFERROR(__xludf.DUMMYFUNCTION("importrange(""https://docs.google.com/spreadsheets/d/1WBmn03mnxrtox5uWO2YKJB7PYVfHYAUNt150alXp7eg/edit?gid=1996990278#gid=1996990278"",""2026-27!ae3"")"),87.0)</f>
        <v>87</v>
      </c>
      <c r="BO116" s="59">
        <f>IFERROR(__xludf.DUMMYFUNCTION("importrange(""https://docs.google.com/spreadsheets/d/1WBmn03mnxrtox5uWO2YKJB7PYVfHYAUNt150alXp7eg/edit?gid=1996990278#gid=1996990278"",""2026-27!af4"")"),0.0)</f>
        <v>0</v>
      </c>
      <c r="BP116" s="59">
        <f>IFERROR(__xludf.DUMMYFUNCTION("importrange(""https://docs.google.com/spreadsheets/d/1WBmn03mnxrtox5uWO2YKJB7PYVfHYAUNt150alXp7eg/edit?gid=1996990278#gid=1996990278"",""2026-27!af3"")"),0.0)</f>
        <v>0</v>
      </c>
      <c r="BQ116" s="63">
        <f t="shared" si="107"/>
        <v>0</v>
      </c>
      <c r="BR116" s="59">
        <f>IFERROR(__xludf.DUMMYFUNCTION("importrange(""https://docs.google.com/spreadsheets/d/1WBmn03mnxrtox5uWO2YKJB7PYVfHYAUNt150alXp7eg/edit?gid=1996990278#gid=1996990278"",""2026-27!ag4"")"),0.0)</f>
        <v>0</v>
      </c>
      <c r="BS116" s="59">
        <f>IFERROR(__xludf.DUMMYFUNCTION("importrange(""https://docs.google.com/spreadsheets/d/1WBmn03mnxrtox5uWO2YKJB7PYVfHYAUNt150alXp7eg/edit?gid=1996990278#gid=1996990278"",""2026-27!ag3"")"),0.0)</f>
        <v>0</v>
      </c>
      <c r="BT116" s="59">
        <f>IFERROR(__xludf.DUMMYFUNCTION("importrange(""https://docs.google.com/spreadsheets/d/1WBmn03mnxrtox5uWO2YKJB7PYVfHYAUNt150alXp7eg/edit?gid=1996990278#gid=1996990278"",""2026-27!ah4"")"),3750000.0000000005)</f>
        <v>3750000</v>
      </c>
      <c r="BU116" s="59">
        <f>IFERROR(__xludf.DUMMYFUNCTION("importrange(""https://docs.google.com/spreadsheets/d/1WBmn03mnxrtox5uWO2YKJB7PYVfHYAUNt150alXp7eg/edit?gid=1996990278#gid=1996990278"",""2026-27!ah3"")"),87.0)</f>
        <v>87</v>
      </c>
      <c r="BV116" s="59">
        <f>IFERROR(__xludf.DUMMYFUNCTION("importrange(""https://docs.google.com/spreadsheets/d/1WBmn03mnxrtox5uWO2YKJB7PYVfHYAUNt150alXp7eg/edit?gid=1996990278#gid=1996990278"",""2026-27!ai4"")"),0.0)</f>
        <v>0</v>
      </c>
      <c r="BW116" s="59">
        <f>IFERROR(__xludf.DUMMYFUNCTION("importrange(""https://docs.google.com/spreadsheets/d/1WBmn03mnxrtox5uWO2YKJB7PYVfHYAUNt150alXp7eg/edit?gid=1996990278#gid=1996990278"",""2026-27!ai3"")"),0.0)</f>
        <v>0</v>
      </c>
      <c r="BX116" s="63">
        <f t="shared" si="108"/>
        <v>0</v>
      </c>
      <c r="BY116" s="59">
        <f>IFERROR(__xludf.DUMMYFUNCTION("importrange(""https://docs.google.com/spreadsheets/d/1WBmn03mnxrtox5uWO2YKJB7PYVfHYAUNt150alXp7eg/edit?gid=1996990278#gid=1996990278"",""2026-27!aj4"")"),0.0)</f>
        <v>0</v>
      </c>
      <c r="BZ116" s="59">
        <f>IFERROR(__xludf.DUMMYFUNCTION("importrange(""https://docs.google.com/spreadsheets/d/1WBmn03mnxrtox5uWO2YKJB7PYVfHYAUNt150alXp7eg/edit?gid=1996990278#gid=1996990278"",""2026-27!aj3"")"),0.0)</f>
        <v>0</v>
      </c>
      <c r="CA116" s="59">
        <f>IFERROR(__xludf.DUMMYFUNCTION("importrange(""https://docs.google.com/spreadsheets/d/1WBmn03mnxrtox5uWO2YKJB7PYVfHYAUNt150alXp7eg/edit?gid=1996990278#gid=1996990278"",""2026-27!ak4"")"),3750000.0000000005)</f>
        <v>3750000</v>
      </c>
      <c r="CB116" s="59">
        <f>IFERROR(__xludf.DUMMYFUNCTION("importrange(""https://docs.google.com/spreadsheets/d/1WBmn03mnxrtox5uWO2YKJB7PYVfHYAUNt150alXp7eg/edit?gid=1996990278#gid=1996990278"",""2026-27!ak3"")"),87.0)</f>
        <v>87</v>
      </c>
      <c r="CC116" s="59">
        <f>IFERROR(__xludf.DUMMYFUNCTION("importrange(""https://docs.google.com/spreadsheets/d/1WBmn03mnxrtox5uWO2YKJB7PYVfHYAUNt150alXp7eg/edit?gid=1996990278#gid=1996990278"",""2026-27!al4"")"),0.0)</f>
        <v>0</v>
      </c>
      <c r="CD116" s="59">
        <f>IFERROR(__xludf.DUMMYFUNCTION("importrange(""https://docs.google.com/spreadsheets/d/1WBmn03mnxrtox5uWO2YKJB7PYVfHYAUNt150alXp7eg/edit?gid=1996990278#gid=1996990278"",""2026-27!ai3"")"),0.0)</f>
        <v>0</v>
      </c>
      <c r="CE116" s="63">
        <f t="shared" si="109"/>
        <v>0</v>
      </c>
      <c r="CF116" s="59">
        <f>IFERROR(__xludf.DUMMYFUNCTION("importrange(""https://docs.google.com/spreadsheets/d/1WBmn03mnxrtox5uWO2YKJB7PYVfHYAUNt150alXp7eg/edit?gid=1996990278#gid=1996990278"",""2026-27!am4"")"),0.0)</f>
        <v>0</v>
      </c>
      <c r="CG116" s="59">
        <f>IFERROR(__xludf.DUMMYFUNCTION("importrange(""https://docs.google.com/spreadsheets/d/1WBmn03mnxrtox5uWO2YKJB7PYVfHYAUNt150alXp7eg/edit?gid=1996990278#gid=1996990278"",""2026-27!am3"")"),0.0)</f>
        <v>0</v>
      </c>
      <c r="CH116" s="59">
        <f>IFERROR(__xludf.DUMMYFUNCTION("importrange(""https://docs.google.com/spreadsheets/d/1WBmn03mnxrtox5uWO2YKJB7PYVfHYAUNt150alXp7eg/edit?gid=1996990278#gid=1996990278"",""2026-27!an4"")"),3750000.0000000005)</f>
        <v>3750000</v>
      </c>
      <c r="CI116" s="59">
        <f>IFERROR(__xludf.DUMMYFUNCTION("importrange(""https://docs.google.com/spreadsheets/d/1WBmn03mnxrtox5uWO2YKJB7PYVfHYAUNt150alXp7eg/edit?gid=1996990278#gid=1996990278"",""2026-27!an3"")"),87.0)</f>
        <v>87</v>
      </c>
      <c r="CJ116" s="59">
        <f>IFERROR(__xludf.DUMMYFUNCTION("importrange(""https://docs.google.com/spreadsheets/d/1WBmn03mnxrtox5uWO2YKJB7PYVfHYAUNt150alXp7eg/edit?gid=1996990278#gid=1996990278"",""2026-27!ao4"")"),0.0)</f>
        <v>0</v>
      </c>
      <c r="CK116" s="59">
        <f>IFERROR(__xludf.DUMMYFUNCTION("importrange(""https://docs.google.com/spreadsheets/d/1WBmn03mnxrtox5uWO2YKJB7PYVfHYAUNt150alXp7eg/edit?gid=1996990278#gid=1996990278"",""2026-27!ao3"")"),0.0)</f>
        <v>0</v>
      </c>
      <c r="CL116" s="63">
        <f t="shared" si="110"/>
        <v>0</v>
      </c>
      <c r="CM116" s="59">
        <f>IFERROR(__xludf.DUMMYFUNCTION("importrange(""https://docs.google.com/spreadsheets/d/1WBmn03mnxrtox5uWO2YKJB7PYVfHYAUNt150alXp7eg/edit?gid=1996990278#gid=1996990278"",""2026-27!ap4"")"),0.0)</f>
        <v>0</v>
      </c>
      <c r="CN116" s="59">
        <f>IFERROR(__xludf.DUMMYFUNCTION("importrange(""https://docs.google.com/spreadsheets/d/1WBmn03mnxrtox5uWO2YKJB7PYVfHYAUNt150alXp7eg/edit?gid=1996990278#gid=1996990278"",""2026-27!ap3"")"),0.0)</f>
        <v>0</v>
      </c>
      <c r="CO116" s="59">
        <f>IFERROR(__xludf.DUMMYFUNCTION("importrange(""https://docs.google.com/spreadsheets/d/1WBmn03mnxrtox5uWO2YKJB7PYVfHYAUNt150alXp7eg/edit?gid=1996990278#gid=1996990278"",""2026-27!aq4"")"),3750000.0000000005)</f>
        <v>3750000</v>
      </c>
      <c r="CP116" s="59">
        <f>IFERROR(__xludf.DUMMYFUNCTION("importrange(""https://docs.google.com/spreadsheets/d/1WBmn03mnxrtox5uWO2YKJB7PYVfHYAUNt150alXp7eg/edit?gid=1996990278#gid=1996990278"",""2026-27!aq3"")"),87.0)</f>
        <v>87</v>
      </c>
      <c r="CQ116" s="59">
        <f>IFERROR(__xludf.DUMMYFUNCTION("importrange(""https://docs.google.com/spreadsheets/d/1WBmn03mnxrtox5uWO2YKJB7PYVfHYAUNt150alXp7eg/edit?gid=1996990278#gid=1996990278"",""2026-27!ar4"")"),0.0)</f>
        <v>0</v>
      </c>
      <c r="CR116" s="59">
        <f>IFERROR(__xludf.DUMMYFUNCTION("importrange(""https://docs.google.com/spreadsheets/d/1WBmn03mnxrtox5uWO2YKJB7PYVfHYAUNt150alXp7eg/edit?gid=1996990278#gid=1996990278"",""2026-27!ar3"")"),0.0)</f>
        <v>0</v>
      </c>
      <c r="CS116" s="63">
        <f t="shared" si="111"/>
        <v>0</v>
      </c>
      <c r="CT116" s="59">
        <f>IFERROR(__xludf.DUMMYFUNCTION("importrange(""https://docs.google.com/spreadsheets/d/1WBmn03mnxrtox5uWO2YKJB7PYVfHYAUNt150alXp7eg/edit?gid=1996990278#gid=1996990278"",""2026-27!as4"")"),0.0)</f>
        <v>0</v>
      </c>
      <c r="CU116" s="59">
        <f>IFERROR(__xludf.DUMMYFUNCTION("importrange(""https://docs.google.com/spreadsheets/d/1WBmn03mnxrtox5uWO2YKJB7PYVfHYAUNt150alXp7eg/edit?gid=1996990278#gid=1996990278"",""2026-27!as3"")"),0.0)</f>
        <v>0</v>
      </c>
      <c r="CV116" s="64"/>
    </row>
    <row r="117">
      <c r="A117" s="1" t="s">
        <v>160</v>
      </c>
      <c r="B117" s="41"/>
      <c r="C117" s="68" t="s">
        <v>230</v>
      </c>
      <c r="D117" s="72" t="s">
        <v>231</v>
      </c>
      <c r="E117" s="54">
        <v>8.117014315E9</v>
      </c>
      <c r="F117" s="80">
        <v>45434.0</v>
      </c>
      <c r="G117" s="66"/>
      <c r="H117" s="66"/>
      <c r="I117" s="57">
        <v>63535.0</v>
      </c>
      <c r="J117" s="58">
        <v>2333333.0</v>
      </c>
      <c r="K117" s="61">
        <f>IFERROR(__xludf.DUMMYFUNCTION("IMPORTRANGE(""https://docs.google.com/spreadsheets/d/1H5ov6exB2KA-MsYBzkS8Gakd86NhbRUa-tEOe1wSAcY/edit?gid=1996990278#gid=1996990278"",""2026-27!A3"")"),61.0)</f>
        <v>61</v>
      </c>
      <c r="L117" s="61">
        <f>IFERROR(__xludf.DUMMYFUNCTION("IMPORTRANGE(""https://docs.google.com/spreadsheets/d/1H5ov6exB2KA-MsYBzkS8Gakd86NhbRUa-tEOe1wSAcY/edit?gid=1996990278#gid=1996990278"",""2026-27!G4"")"),0.0)</f>
        <v>0</v>
      </c>
      <c r="M117" s="61">
        <f t="shared" si="97"/>
        <v>0</v>
      </c>
      <c r="N117" s="60" t="str">
        <f t="shared" si="98"/>
        <v/>
      </c>
      <c r="O117" s="61">
        <f t="shared" si="99"/>
        <v>0</v>
      </c>
      <c r="P117" s="59">
        <f>IFERROR(__xludf.DUMMYFUNCTION("IMPORTRANGE(""https://docs.google.com/spreadsheets/d/1H5ov6exB2KA-MsYBzkS8Gakd86NhbRUa-tEOe1wSAcY/edit?gid=1996990278#gid=1996990278"",""2026-27!J4"")"),0.0)</f>
        <v>0</v>
      </c>
      <c r="Q117" s="59">
        <f>IFERROR(__xludf.DUMMYFUNCTION("IMPORTRANGE(""https://docs.google.com/spreadsheets/d/1H5ov6exB2KA-MsYBzkS8Gakd86NhbRUa-tEOe1wSAcY/edit?gid=1996990278#gid=1996990278"",""2026-27!J3"")"),0.0)</f>
        <v>0</v>
      </c>
      <c r="R117" s="59">
        <f>IFERROR(__xludf.DUMMYFUNCTION("IMPORTRANGE(""https://docs.google.com/spreadsheets/d/1H5ov6exB2KA-MsYBzkS8Gakd86NhbRUa-tEOe1wSAcY/edit?gid=1996990278#gid=1996990278"",""2026-27!K4"")"),0.0)</f>
        <v>0</v>
      </c>
      <c r="S117" s="59">
        <f>IFERROR(__xludf.DUMMYFUNCTION("IMPORTRANGE(""https://docs.google.com/spreadsheets/d/1H5ov6exB2KA-MsYBzkS8Gakd86NhbRUa-tEOe1wSAcY/edit?gid=1996990278#gid=1996990278"",""2026-27!K3"")"),0.0)</f>
        <v>0</v>
      </c>
      <c r="T117" s="62" t="str">
        <f t="shared" si="100"/>
        <v/>
      </c>
      <c r="U117" s="59">
        <f>IFERROR(__xludf.DUMMYFUNCTION("IMPORTRANGE(""https://docs.google.com/spreadsheets/d/1H5ov6exB2KA-MsYBzkS8Gakd86NhbRUa-tEOe1wSAcY/edit?gid=1996990278#gid=1996990278"",""2026-27!L4"")"),0.0)</f>
        <v>0</v>
      </c>
      <c r="V117" s="85">
        <f>IFERROR(__xludf.DUMMYFUNCTION("IMPORTRANGE(""https://docs.google.com/spreadsheets/d/1H5ov6exB2KA-MsYBzkS8Gakd86NhbRUa-tEOe1wSAcY/edit?gid=1996990278#gid=1996990278"",""2026-27!L3"")"),0.0)</f>
        <v>0</v>
      </c>
      <c r="W117" s="59">
        <f>IFERROR(__xludf.DUMMYFUNCTION("IMPORTRANGE(""https://docs.google.com/spreadsheets/d/1H5ov6exB2KA-MsYBzkS8Gakd86NhbRUa-tEOe1wSAcY/edit?gid=1996990278#gid=1996990278"",""2026-27!M4"")"),0.0)</f>
        <v>0</v>
      </c>
      <c r="X117" s="85">
        <f>IFERROR(__xludf.DUMMYFUNCTION("IMPORTRANGE(""https://docs.google.com/spreadsheets/d/1H5ov6exB2KA-MsYBzkS8Gakd86NhbRUa-tEOe1wSAcY/edit?gid=1996990278#gid=1996990278"",""2026-27!M3"")"),0.0)</f>
        <v>0</v>
      </c>
      <c r="Y117" s="59">
        <f>IFERROR(__xludf.DUMMYFUNCTION("importrange(""https://docs.google.com/spreadsheets/d/1H5ov6exB2KA-MsYBzkS8Gakd86NhbRUa-tEOe1wSAcY/edit?gid=1996990278#gid=1996990278"",""2026-27!n4"")"),0.0)</f>
        <v>0</v>
      </c>
      <c r="Z117" s="59">
        <f>IFERROR(__xludf.DUMMYFUNCTION("importrange(""https://docs.google.com/spreadsheets/d/1H5ov6exB2KA-MsYBzkS8Gakd86NhbRUa-tEOe1wSAcY/edit?gid=1996990278#gid=1996990278"",""2026-27!n3"")"),0.0)</f>
        <v>0</v>
      </c>
      <c r="AA117" s="62" t="str">
        <f t="shared" si="101"/>
        <v/>
      </c>
      <c r="AB117" s="59">
        <f>IFERROR(__xludf.DUMMYFUNCTION("importrange(""https://docs.google.com/spreadsheets/d/1H5ov6exB2KA-MsYBzkS8Gakd86NhbRUa-tEOe1wSAcY/edit?gid=1996990278#gid=1996990278"",""2026-27!o4"")"),0.0)</f>
        <v>0</v>
      </c>
      <c r="AC117" s="59">
        <f>IFERROR(__xludf.DUMMYFUNCTION("importrange(""https://docs.google.com/spreadsheets/d/1H5ov6exB2KA-MsYBzkS8Gakd86NhbRUa-tEOe1wSAcY/edit?gid=1996990278#gid=1996990278"",""2026-27!o3"")"),0.0)</f>
        <v>0</v>
      </c>
      <c r="AD117" s="59">
        <f>IFERROR(__xludf.DUMMYFUNCTION("importrange(""https://docs.google.com/spreadsheets/d/1H5ov6exB2KA-MsYBzkS8Gakd86NhbRUa-tEOe1wSAcY/edit?gid=1996990278#gid=1996990278"",""2026-27!p4"")"),0.0)</f>
        <v>0</v>
      </c>
      <c r="AE117" s="59">
        <f>IFERROR(__xludf.DUMMYFUNCTION("importrange(""https://docs.google.com/spreadsheets/d/1H5ov6exB2KA-MsYBzkS8Gakd86NhbRUa-tEOe1wSAcY/edit?gid=1996990278#gid=1996990278"",""2026-27!p3"")"),0.0)</f>
        <v>0</v>
      </c>
      <c r="AF117" s="59">
        <f>IFERROR(__xludf.DUMMYFUNCTION("importrange(""https://docs.google.com/spreadsheets/d/1H5ov6exB2KA-MsYBzkS8Gakd86NhbRUa-tEOe1wSAcY/edit?gid=1996990278#gid=1996990278"",""2026-27!q4"")"),0.0)</f>
        <v>0</v>
      </c>
      <c r="AG117" s="59">
        <f>IFERROR(__xludf.DUMMYFUNCTION("importrange(""https://docs.google.com/spreadsheets/d/1H5ov6exB2KA-MsYBzkS8Gakd86NhbRUa-tEOe1wSAcY/edit?gid=1996990278#gid=1996990278"",""2026-27!q3"")"),0.0)</f>
        <v>0</v>
      </c>
      <c r="AH117" s="62" t="str">
        <f t="shared" si="102"/>
        <v/>
      </c>
      <c r="AI117" s="59">
        <f>IFERROR(__xludf.DUMMYFUNCTION("importrange(""https://docs.google.com/spreadsheets/d/1H5ov6exB2KA-MsYBzkS8Gakd86NhbRUa-tEOe1wSAcY/edit?gid=1996990278#gid=1996990278"",""2026-27!r4"")"),0.0)</f>
        <v>0</v>
      </c>
      <c r="AJ117" s="59">
        <f>IFERROR(__xludf.DUMMYFUNCTION("importrange(""https://docs.google.com/spreadsheets/d/1H5ov6exB2KA-MsYBzkS8Gakd86NhbRUa-tEOe1wSAcY/edit?gid=1996990278#gid=1996990278"",""2026-27!r3"")"),0.0)</f>
        <v>0</v>
      </c>
      <c r="AK117" s="59">
        <f>IFERROR(__xludf.DUMMYFUNCTION("importrange(""https://docs.google.com/spreadsheets/d/1H5ov6exB2KA-MsYBzkS8Gakd86NhbRUa-tEOe1wSAcY/edit?gid=1996990278#gid=1996990278"",""2026-27!s4"")"),0.0)</f>
        <v>0</v>
      </c>
      <c r="AL117" s="59">
        <f>IFERROR(__xludf.DUMMYFUNCTION("importrange(""https://docs.google.com/spreadsheets/d/1H5ov6exB2KA-MsYBzkS8Gakd86NhbRUa-tEOe1wSAcY/edit?gid=1996990278#gid=1996990278"",""2026-27!s3"")"),0.0)</f>
        <v>0</v>
      </c>
      <c r="AM117" s="61">
        <f>IFERROR(__xludf.DUMMYFUNCTION("importrange(""https://docs.google.com/spreadsheets/d/1H5ov6exB2KA-MsYBzkS8Gakd86NhbRUa-tEOe1wSAcY/edit?gid=1996990278#gid=1996990278"",""2026-27!t4"")"),0.0)</f>
        <v>0</v>
      </c>
      <c r="AN117" s="59">
        <f>IFERROR(__xludf.DUMMYFUNCTION("importrange(""https://docs.google.com/spreadsheets/d/1H5ov6exB2KA-MsYBzkS8Gakd86NhbRUa-tEOe1wSAcY/edit?gid=1996990278#gid=1996990278"",""2026-27!t3"")"),0.0)</f>
        <v>0</v>
      </c>
      <c r="AO117" s="62" t="str">
        <f t="shared" si="103"/>
        <v/>
      </c>
      <c r="AP117" s="59">
        <f>IFERROR(__xludf.DUMMYFUNCTION("importrange(""https://docs.google.com/spreadsheets/d/1H5ov6exB2KA-MsYBzkS8Gakd86NhbRUa-tEOe1wSAcY/edit?gid=1996990278#gid=1996990278"",""2026-27!u4"")"),0.0)</f>
        <v>0</v>
      </c>
      <c r="AQ117" s="59">
        <f>IFERROR(__xludf.DUMMYFUNCTION("importrange(""https://docs.google.com/spreadsheets/d/1H5ov6exB2KA-MsYBzkS8Gakd86NhbRUa-tEOe1wSAcY/edit?gid=1996990278#gid=1996990278"",""2026-27!u3"")"),0.0)</f>
        <v>0</v>
      </c>
      <c r="AR117" s="59">
        <f>IFERROR(__xludf.DUMMYFUNCTION("importrange(""https://docs.google.com/spreadsheets/d/1H5ov6exB2KA-MsYBzkS8Gakd86NhbRUa-tEOe1wSAcY/edit?gid=1996990278#gid=1996990278"",""2026-27!v4"")"),0.0)</f>
        <v>0</v>
      </c>
      <c r="AS117" s="59">
        <f>IFERROR(__xludf.DUMMYFUNCTION("importrange(""https://docs.google.com/spreadsheets/d/1H5ov6exB2KA-MsYBzkS8Gakd86NhbRUa-tEOe1wSAcY/edit?gid=1996990278#gid=1996990278"",""2026-27!v3"")"),0.0)</f>
        <v>0</v>
      </c>
      <c r="AT117" s="61">
        <f>IFERROR(__xludf.DUMMYFUNCTION("importrange(""https://docs.google.com/spreadsheets/d/1H5ov6exB2KA-MsYBzkS8Gakd86NhbRUa-tEOe1wSAcY/edit?gid=1996990278#gid=1996990278"",""2026-27!w4"")"),0.0)</f>
        <v>0</v>
      </c>
      <c r="AU117" s="59">
        <f>IFERROR(__xludf.DUMMYFUNCTION("importrange(""https://docs.google.com/spreadsheets/d/1H5ov6exB2KA-MsYBzkS8Gakd86NhbRUa-tEOe1wSAcY/edit?gid=1996990278#gid=1996990278"",""2026-27!w3"")"),0.0)</f>
        <v>0</v>
      </c>
      <c r="AV117" s="62" t="str">
        <f t="shared" si="104"/>
        <v/>
      </c>
      <c r="AW117" s="59">
        <f>IFERROR(__xludf.DUMMYFUNCTION("importrange(""https://docs.google.com/spreadsheets/d/1H5ov6exB2KA-MsYBzkS8Gakd86NhbRUa-tEOe1wSAcY/edit?gid=1996990278#gid=1996990278"",""2026-27!x4"")"),0.0)</f>
        <v>0</v>
      </c>
      <c r="AX117" s="59">
        <f>IFERROR(__xludf.DUMMYFUNCTION("importrange(""https://docs.google.com/spreadsheets/d/1H5ov6exB2KA-MsYBzkS8Gakd86NhbRUa-tEOe1wSAcY/edit?gid=1996990278#gid=1996990278"",""2026-27!x3"")"),0.0)</f>
        <v>0</v>
      </c>
      <c r="AY117" s="59">
        <f>IFERROR(__xludf.DUMMYFUNCTION("importrange(""https://docs.google.com/spreadsheets/d/1H5ov6exB2KA-MsYBzkS8Gakd86NhbRUa-tEOe1wSAcY/edit?gid=1996990278#gid=1996990278"",""2026-27!y4"")"),0.0)</f>
        <v>0</v>
      </c>
      <c r="AZ117" s="59">
        <f>IFERROR(__xludf.DUMMYFUNCTION("importrange(""https://docs.google.com/spreadsheets/d/1H5ov6exB2KA-MsYBzkS8Gakd86NhbRUa-tEOe1wSAcY/edit?gid=1996990278#gid=1996990278"",""2026-27!y3"")"),0.0)</f>
        <v>0</v>
      </c>
      <c r="BA117" s="61">
        <f>IFERROR(__xludf.DUMMYFUNCTION("importrange(""https://docs.google.com/spreadsheets/d/1H5ov6exB2KA-MsYBzkS8Gakd86NhbRUa-tEOe1wSAcY/edit?gid=1996990278#gid=1996990278"",""2026-27!z4"")"),0.0)</f>
        <v>0</v>
      </c>
      <c r="BB117" s="59">
        <f>IFERROR(__xludf.DUMMYFUNCTION("importrange(""https://docs.google.com/spreadsheets/d/1H5ov6exB2KA-MsYBzkS8Gakd86NhbRUa-tEOe1wSAcY/edit?gid=1996990278#gid=1996990278"",""2026-27!z3"")"),0.0)</f>
        <v>0</v>
      </c>
      <c r="BC117" s="63" t="str">
        <f t="shared" si="105"/>
        <v/>
      </c>
      <c r="BD117" s="59">
        <f>IFERROR(__xludf.DUMMYFUNCTION("importrange(""https://docs.google.com/spreadsheets/d/1H5ov6exB2KA-MsYBzkS8Gakd86NhbRUa-tEOe1wSAcY/edit?gid=1996990278#gid=1996990278"",""2026-27!aa4"")"),0.0)</f>
        <v>0</v>
      </c>
      <c r="BE117" s="59">
        <f>IFERROR(__xludf.DUMMYFUNCTION("importrange(""https://docs.google.com/spreadsheets/d/1H5ov6exB2KA-MsYBzkS8Gakd86NhbRUa-tEOe1wSAcY/edit?gid=1996990278#gid=1996990278"",""2026-27!aa3"")"),0.0)</f>
        <v>0</v>
      </c>
      <c r="BF117" s="59">
        <f>IFERROR(__xludf.DUMMYFUNCTION("importrange(""https://docs.google.com/spreadsheets/d/1H5ov6exB2KA-MsYBzkS8Gakd86NhbRUa-tEOe1wSAcY/edit?gid=1996990278#gid=1996990278"",""2026-27!ab4"")"),0.0)</f>
        <v>0</v>
      </c>
      <c r="BG117" s="59">
        <f>IFERROR(__xludf.DUMMYFUNCTION("importrange(""https://docs.google.com/spreadsheets/d/1H5ov6exB2KA-MsYBzkS8Gakd86NhbRUa-tEOe1wSAcY/edit?gid=1996990278#gid=1996990278"",""2026-27!ab3"")"),0.0)</f>
        <v>0</v>
      </c>
      <c r="BH117" s="59">
        <f>IFERROR(__xludf.DUMMYFUNCTION("importrange(""https://docs.google.com/spreadsheets/d/1H5ov6exB2KA-MsYBzkS8Gakd86NhbRUa-tEOe1wSAcY/edit?gid=1996990278#gid=1996990278"",""2026-27!ac4"")"),0.0)</f>
        <v>0</v>
      </c>
      <c r="BI117" s="59">
        <f>IFERROR(__xludf.DUMMYFUNCTION("importrange(""https://docs.google.com/spreadsheets/d/1H5ov6exB2KA-MsYBzkS8Gakd86NhbRUa-tEOe1wSAcY/edit?gid=1996990278#gid=1996990278"",""2026-27!ac3"")"),0.0)</f>
        <v>0</v>
      </c>
      <c r="BJ117" s="63" t="str">
        <f t="shared" si="106"/>
        <v/>
      </c>
      <c r="BK117" s="59">
        <f>IFERROR(__xludf.DUMMYFUNCTION("importrange(""https://docs.google.com/spreadsheets/d/1H5ov6exB2KA-MsYBzkS8Gakd86NhbRUa-tEOe1wSAcY/edit?gid=1996990278#gid=1996990278"",""2026-27!ad4"")"),0.0)</f>
        <v>0</v>
      </c>
      <c r="BL117" s="59">
        <f>IFERROR(__xludf.DUMMYFUNCTION("importrange(""https://docs.google.com/spreadsheets/d/1H5ov6exB2KA-MsYBzkS8Gakd86NhbRUa-tEOe1wSAcY/edit?gid=1996990278#gid=1996990278"",""2026-27!ad3"")"),0.0)</f>
        <v>0</v>
      </c>
      <c r="BM117" s="59">
        <f>IFERROR(__xludf.DUMMYFUNCTION("importrange(""https://docs.google.com/spreadsheets/d/1H5ov6exB2KA-MsYBzkS8Gakd86NhbRUa-tEOe1wSAcY/edit?gid=1996990278#gid=1996990278"",""2026-27!ae4"")"),0.0)</f>
        <v>0</v>
      </c>
      <c r="BN117" s="59">
        <f>IFERROR(__xludf.DUMMYFUNCTION("importrange(""https://docs.google.com/spreadsheets/d/1H5ov6exB2KA-MsYBzkS8Gakd86NhbRUa-tEOe1wSAcY/edit?gid=1996990278#gid=1996990278"",""2026-27!ae3"")"),0.0)</f>
        <v>0</v>
      </c>
      <c r="BO117" s="59">
        <f>IFERROR(__xludf.DUMMYFUNCTION("importrange(""https://docs.google.com/spreadsheets/d/1H5ov6exB2KA-MsYBzkS8Gakd86NhbRUa-tEOe1wSAcY/edit?gid=1996990278#gid=1996990278"",""2026-27!af4"")"),0.0)</f>
        <v>0</v>
      </c>
      <c r="BP117" s="59">
        <f>IFERROR(__xludf.DUMMYFUNCTION("importrange(""https://docs.google.com/spreadsheets/d/1H5ov6exB2KA-MsYBzkS8Gakd86NhbRUa-tEOe1wSAcY/edit?gid=1996990278#gid=1996990278"",""2026-27!af3"")"),0.0)</f>
        <v>0</v>
      </c>
      <c r="BQ117" s="63" t="str">
        <f t="shared" si="107"/>
        <v/>
      </c>
      <c r="BR117" s="59">
        <f>IFERROR(__xludf.DUMMYFUNCTION("importrange(""https://docs.google.com/spreadsheets/d/1H5ov6exB2KA-MsYBzkS8Gakd86NhbRUa-tEOe1wSAcY/edit?gid=1996990278#gid=1996990278"",""2026-27!ag4"")"),0.0)</f>
        <v>0</v>
      </c>
      <c r="BS117" s="59">
        <f>IFERROR(__xludf.DUMMYFUNCTION("importrange(""https://docs.google.com/spreadsheets/d/1H5ov6exB2KA-MsYBzkS8Gakd86NhbRUa-tEOe1wSAcY/edit?gid=1996990278#gid=1996990278"",""2026-27!ag3"")"),0.0)</f>
        <v>0</v>
      </c>
      <c r="BT117" s="59">
        <f>IFERROR(__xludf.DUMMYFUNCTION("importrange(""https://docs.google.com/spreadsheets/d/1H5ov6exB2KA-MsYBzkS8Gakd86NhbRUa-tEOe1wSAcY/edit?gid=1996990278#gid=1996990278"",""2026-27!ah4"")"),0.0)</f>
        <v>0</v>
      </c>
      <c r="BU117" s="59">
        <f>IFERROR(__xludf.DUMMYFUNCTION("importrange(""https://docs.google.com/spreadsheets/d/1H5ov6exB2KA-MsYBzkS8Gakd86NhbRUa-tEOe1wSAcY/edit?gid=1996990278#gid=1996990278"",""2026-27!ah3"")"),0.0)</f>
        <v>0</v>
      </c>
      <c r="BV117" s="59">
        <f>IFERROR(__xludf.DUMMYFUNCTION("importrange(""https://docs.google.com/spreadsheets/d/1H5ov6exB2KA-MsYBzkS8Gakd86NhbRUa-tEOe1wSAcY/edit?gid=1996990278#gid=1996990278"",""2026-27!ai4"")"),0.0)</f>
        <v>0</v>
      </c>
      <c r="BW117" s="59">
        <f>IFERROR(__xludf.DUMMYFUNCTION("importrange(""https://docs.google.com/spreadsheets/d/1H5ov6exB2KA-MsYBzkS8Gakd86NhbRUa-tEOe1wSAcY/edit?gid=1996990278#gid=1996990278"",""2026-27!ai3"")"),0.0)</f>
        <v>0</v>
      </c>
      <c r="BX117" s="63" t="str">
        <f t="shared" si="108"/>
        <v/>
      </c>
      <c r="BY117" s="59">
        <f>IFERROR(__xludf.DUMMYFUNCTION("importrange(""https://docs.google.com/spreadsheets/d/1H5ov6exB2KA-MsYBzkS8Gakd86NhbRUa-tEOe1wSAcY/edit?gid=1996990278#gid=1996990278"",""2026-27!aj4"")"),0.0)</f>
        <v>0</v>
      </c>
      <c r="BZ117" s="59">
        <f>IFERROR(__xludf.DUMMYFUNCTION("importrange(""https://docs.google.com/spreadsheets/d/1H5ov6exB2KA-MsYBzkS8Gakd86NhbRUa-tEOe1wSAcY/edit?gid=1996990278#gid=1996990278"",""2026-27!aj3"")"),0.0)</f>
        <v>0</v>
      </c>
      <c r="CA117" s="59">
        <f>IFERROR(__xludf.DUMMYFUNCTION("importrange(""https://docs.google.com/spreadsheets/d/1H5ov6exB2KA-MsYBzkS8Gakd86NhbRUa-tEOe1wSAcY/edit?gid=1996990278#gid=1996990278"",""2026-27!ak4"")"),0.0)</f>
        <v>0</v>
      </c>
      <c r="CB117" s="59">
        <f>IFERROR(__xludf.DUMMYFUNCTION("importrange(""https://docs.google.com/spreadsheets/d/1H5ov6exB2KA-MsYBzkS8Gakd86NhbRUa-tEOe1wSAcY/edit?gid=1996990278#gid=1996990278"",""2026-27!ak3"")"),0.0)</f>
        <v>0</v>
      </c>
      <c r="CC117" s="59">
        <f>IFERROR(__xludf.DUMMYFUNCTION("importrange(""https://docs.google.com/spreadsheets/d/1H5ov6exB2KA-MsYBzkS8Gakd86NhbRUa-tEOe1wSAcY/edit?gid=1996990278#gid=1996990278"",""2026-27!al4"")"),0.0)</f>
        <v>0</v>
      </c>
      <c r="CD117" s="59">
        <f>IFERROR(__xludf.DUMMYFUNCTION("importrange(""https://docs.google.com/spreadsheets/d/1H5ov6exB2KA-MsYBzkS8Gakd86NhbRUa-tEOe1wSAcY/edit?gid=1996990278#gid=1996990278"",""2026-27!ai3"")"),0.0)</f>
        <v>0</v>
      </c>
      <c r="CE117" s="63" t="str">
        <f t="shared" si="109"/>
        <v/>
      </c>
      <c r="CF117" s="59">
        <f>IFERROR(__xludf.DUMMYFUNCTION("importrange(""https://docs.google.com/spreadsheets/d/1H5ov6exB2KA-MsYBzkS8Gakd86NhbRUa-tEOe1wSAcY/edit?gid=1996990278#gid=1996990278"",""2026-27!am4"")"),0.0)</f>
        <v>0</v>
      </c>
      <c r="CG117" s="59">
        <f>IFERROR(__xludf.DUMMYFUNCTION("importrange(""https://docs.google.com/spreadsheets/d/1H5ov6exB2KA-MsYBzkS8Gakd86NhbRUa-tEOe1wSAcY/edit?gid=1996990278#gid=1996990278"",""2026-27!am3"")"),0.0)</f>
        <v>0</v>
      </c>
      <c r="CH117" s="59">
        <f>IFERROR(__xludf.DUMMYFUNCTION("importrange(""https://docs.google.com/spreadsheets/d/1H5ov6exB2KA-MsYBzkS8Gakd86NhbRUa-tEOe1wSAcY/edit?gid=1996990278#gid=1996990278"",""2026-27!an4"")"),0.0)</f>
        <v>0</v>
      </c>
      <c r="CI117" s="59">
        <f>IFERROR(__xludf.DUMMYFUNCTION("importrange(""https://docs.google.com/spreadsheets/d/1H5ov6exB2KA-MsYBzkS8Gakd86NhbRUa-tEOe1wSAcY/edit?gid=1996990278#gid=1996990278"",""2026-27!an3"")"),0.0)</f>
        <v>0</v>
      </c>
      <c r="CJ117" s="59">
        <f>IFERROR(__xludf.DUMMYFUNCTION("importrange(""https://docs.google.com/spreadsheets/d/1H5ov6exB2KA-MsYBzkS8Gakd86NhbRUa-tEOe1wSAcY/edit?gid=1996990278#gid=1996990278"",""2026-27!ao4"")"),0.0)</f>
        <v>0</v>
      </c>
      <c r="CK117" s="59">
        <f>IFERROR(__xludf.DUMMYFUNCTION("importrange(""https://docs.google.com/spreadsheets/d/1H5ov6exB2KA-MsYBzkS8Gakd86NhbRUa-tEOe1wSAcY/edit?gid=1996990278#gid=1996990278"",""2026-27!ao3"")"),0.0)</f>
        <v>0</v>
      </c>
      <c r="CL117" s="63" t="str">
        <f t="shared" si="110"/>
        <v/>
      </c>
      <c r="CM117" s="59">
        <f>IFERROR(__xludf.DUMMYFUNCTION("importrange(""https://docs.google.com/spreadsheets/d/1H5ov6exB2KA-MsYBzkS8Gakd86NhbRUa-tEOe1wSAcY/edit?gid=1996990278#gid=1996990278"",""2026-27!ap4"")"),0.0)</f>
        <v>0</v>
      </c>
      <c r="CN117" s="59">
        <f>IFERROR(__xludf.DUMMYFUNCTION("importrange(""https://docs.google.com/spreadsheets/d/1H5ov6exB2KA-MsYBzkS8Gakd86NhbRUa-tEOe1wSAcY/edit?gid=1996990278#gid=1996990278"",""2026-27!ap3"")"),0.0)</f>
        <v>0</v>
      </c>
      <c r="CO117" s="59">
        <f>IFERROR(__xludf.DUMMYFUNCTION("importrange(""https://docs.google.com/spreadsheets/d/1H5ov6exB2KA-MsYBzkS8Gakd86NhbRUa-tEOe1wSAcY/edit?gid=1996990278#gid=1996990278"",""2026-27!aq4"")"),0.0)</f>
        <v>0</v>
      </c>
      <c r="CP117" s="59">
        <f>IFERROR(__xludf.DUMMYFUNCTION("importrange(""https://docs.google.com/spreadsheets/d/1H5ov6exB2KA-MsYBzkS8Gakd86NhbRUa-tEOe1wSAcY/edit?gid=1996990278#gid=1996990278"",""2026-27!aq3"")"),0.0)</f>
        <v>0</v>
      </c>
      <c r="CQ117" s="59">
        <f>IFERROR(__xludf.DUMMYFUNCTION("importrange(""https://docs.google.com/spreadsheets/d/1H5ov6exB2KA-MsYBzkS8Gakd86NhbRUa-tEOe1wSAcY/edit?gid=1996990278#gid=1996990278"",""2026-27!ar4"")"),0.0)</f>
        <v>0</v>
      </c>
      <c r="CR117" s="59">
        <f>IFERROR(__xludf.DUMMYFUNCTION("importrange(""https://docs.google.com/spreadsheets/d/1H5ov6exB2KA-MsYBzkS8Gakd86NhbRUa-tEOe1wSAcY/edit?gid=1996990278#gid=1996990278"",""2026-27!ar3"")"),0.0)</f>
        <v>0</v>
      </c>
      <c r="CS117" s="63" t="str">
        <f t="shared" si="111"/>
        <v/>
      </c>
      <c r="CT117" s="59">
        <f>IFERROR(__xludf.DUMMYFUNCTION("importrange(""https://docs.google.com/spreadsheets/d/1H5ov6exB2KA-MsYBzkS8Gakd86NhbRUa-tEOe1wSAcY/edit?gid=1996990278#gid=1996990278"",""2026-27!as4"")"),0.0)</f>
        <v>0</v>
      </c>
      <c r="CU117" s="59">
        <f>IFERROR(__xludf.DUMMYFUNCTION("importrange(""https://docs.google.com/spreadsheets/d/1H5ov6exB2KA-MsYBzkS8Gakd86NhbRUa-tEOe1wSAcY/edit?gid=1996990278#gid=1996990278"",""2026-27!as3"")"),0.0)</f>
        <v>0</v>
      </c>
      <c r="CV117" s="64"/>
    </row>
    <row r="118">
      <c r="A118" s="1" t="s">
        <v>160</v>
      </c>
      <c r="B118" s="41"/>
      <c r="C118" s="71" t="s">
        <v>232</v>
      </c>
      <c r="D118" s="53" t="s">
        <v>233</v>
      </c>
      <c r="E118" s="54">
        <v>8.436294699E9</v>
      </c>
      <c r="F118" s="84">
        <v>45460.0</v>
      </c>
      <c r="G118" s="66"/>
      <c r="H118" s="66"/>
      <c r="I118" s="57">
        <v>29900.0</v>
      </c>
      <c r="J118" s="58">
        <v>4166667.0</v>
      </c>
      <c r="K118" s="61">
        <f>IFERROR(__xludf.DUMMYFUNCTION("IMPORTRANGE(""https://docs.google.com/spreadsheets/d/1VqJ41KU2NHf3hBrQkQD7pFGKum8ws6X0cK6C5YetsgY/edit?gid=1996990278#gid=1996990278"",""2026-27!A3"")"),86.0)</f>
        <v>86</v>
      </c>
      <c r="L118" s="61">
        <f>IFERROR(__xludf.DUMMYFUNCTION("IMPORTRANGE(""https://docs.google.com/spreadsheets/d/1VqJ41KU2NHf3hBrQkQD7pFGKum8ws6X0cK6C5YetsgY/edit?gid=1996990278#gid=1996990278"",""2026-27!G4"")"),3.35E7)</f>
        <v>33500000</v>
      </c>
      <c r="M118" s="61">
        <f t="shared" si="97"/>
        <v>6682208.17</v>
      </c>
      <c r="N118" s="60">
        <f t="shared" si="98"/>
        <v>0.1764854328</v>
      </c>
      <c r="O118" s="61">
        <f t="shared" si="99"/>
        <v>5912262</v>
      </c>
      <c r="P118" s="59">
        <f>IFERROR(__xludf.DUMMYFUNCTION("IMPORTRANGE(""https://docs.google.com/spreadsheets/d/1VqJ41KU2NHf3hBrQkQD7pFGKum8ws6X0cK6C5YetsgY/edit?gid=1996990278#gid=1996990278"",""2026-27!J4"")"),1050000.0)</f>
        <v>1050000</v>
      </c>
      <c r="Q118" s="59">
        <f>IFERROR(__xludf.DUMMYFUNCTION("IMPORTRANGE(""https://docs.google.com/spreadsheets/d/1VqJ41KU2NHf3hBrQkQD7pFGKum8ws6X0cK6C5YetsgY/edit?gid=1996990278#gid=1996990278"",""2026-27!J3"")"),3.0)</f>
        <v>3</v>
      </c>
      <c r="R118" s="59">
        <f>IFERROR(__xludf.DUMMYFUNCTION("IMPORTRANGE(""https://docs.google.com/spreadsheets/d/1VqJ41KU2NHf3hBrQkQD7pFGKum8ws6X0cK6C5YetsgY/edit?gid=1996990278#gid=1996990278"",""2026-27!K4"")"),1288750.9)</f>
        <v>1288750.9</v>
      </c>
      <c r="S118" s="59">
        <f>IFERROR(__xludf.DUMMYFUNCTION("IMPORTRANGE(""https://docs.google.com/spreadsheets/d/1VqJ41KU2NHf3hBrQkQD7pFGKum8ws6X0cK6C5YetsgY/edit?gid=1996990278#gid=1996990278"",""2026-27!K3"")"),12.0)</f>
        <v>12</v>
      </c>
      <c r="T118" s="62">
        <f t="shared" si="100"/>
        <v>1.238621905</v>
      </c>
      <c r="U118" s="59">
        <f>IFERROR(__xludf.DUMMYFUNCTION("IMPORTRANGE(""https://docs.google.com/spreadsheets/d/1VqJ41KU2NHf3hBrQkQD7pFGKum8ws6X0cK6C5YetsgY/edit?gid=1996990278#gid=1996990278"",""2026-27!L4"")"),1300553.0)</f>
        <v>1300553</v>
      </c>
      <c r="V118" s="85">
        <f>IFERROR(__xludf.DUMMYFUNCTION("IMPORTRANGE(""https://docs.google.com/spreadsheets/d/1VqJ41KU2NHf3hBrQkQD7pFGKum8ws6X0cK6C5YetsgY/edit?gid=1996990278#gid=1996990278"",""2026-27!L3"")"),13.0)</f>
        <v>13</v>
      </c>
      <c r="W118" s="59">
        <f>IFERROR(__xludf.DUMMYFUNCTION("IMPORTRANGE(""https://docs.google.com/spreadsheets/d/1VqJ41KU2NHf3hBrQkQD7pFGKum8ws6X0cK6C5YetsgY/edit?gid=1996990278#gid=1996990278"",""2026-27!M4"")"),2619994.0)</f>
        <v>2619994</v>
      </c>
      <c r="X118" s="85">
        <f>IFERROR(__xludf.DUMMYFUNCTION("IMPORTRANGE(""https://docs.google.com/spreadsheets/d/1VqJ41KU2NHf3hBrQkQD7pFGKum8ws6X0cK6C5YetsgY/edit?gid=1996990278#gid=1996990278"",""2026-27!M3"")"),27.0)</f>
        <v>27</v>
      </c>
      <c r="Y118" s="59">
        <f>IFERROR(__xludf.DUMMYFUNCTION("importrange(""https://docs.google.com/spreadsheets/d/1VqJ41KU2NHf3hBrQkQD7pFGKum8ws6X0cK6C5YetsgY/edit?gid=1996990278#gid=1996990278"",""2026-27!n4"")"),1880791.96)</f>
        <v>1880791.96</v>
      </c>
      <c r="Z118" s="59">
        <f>IFERROR(__xludf.DUMMYFUNCTION("importrange(""https://docs.google.com/spreadsheets/d/1VqJ41KU2NHf3hBrQkQD7pFGKum8ws6X0cK6C5YetsgY/edit?gid=1996990278#gid=1996990278"",""2026-27!n3"")"),24.0)</f>
        <v>24</v>
      </c>
      <c r="AA118" s="62">
        <f t="shared" si="101"/>
        <v>0.6340193909</v>
      </c>
      <c r="AB118" s="59">
        <f>IFERROR(__xludf.DUMMYFUNCTION("importrange(""https://docs.google.com/spreadsheets/d/1VqJ41KU2NHf3hBrQkQD7pFGKum8ws6X0cK6C5YetsgY/edit?gid=1996990278#gid=1996990278"",""2026-27!o4"")"),1661127.0)</f>
        <v>1661127</v>
      </c>
      <c r="AC118" s="59">
        <f>IFERROR(__xludf.DUMMYFUNCTION("importrange(""https://docs.google.com/spreadsheets/d/1VqJ41KU2NHf3hBrQkQD7pFGKum8ws6X0cK6C5YetsgY/edit?gid=1996990278#gid=1996990278"",""2026-27!o3"")"),25.0)</f>
        <v>25</v>
      </c>
      <c r="AD118" s="59">
        <f>IFERROR(__xludf.DUMMYFUNCTION("importrange(""https://docs.google.com/spreadsheets/d/1VqJ41KU2NHf3hBrQkQD7pFGKum8ws6X0cK6C5YetsgY/edit?gid=1996990278#gid=1996990278"",""2026-27!p4"")"),3152994.0)</f>
        <v>3152994</v>
      </c>
      <c r="AE118" s="59">
        <f>IFERROR(__xludf.DUMMYFUNCTION("importrange(""https://docs.google.com/spreadsheets/d/1VqJ41KU2NHf3hBrQkQD7pFGKum8ws6X0cK6C5YetsgY/edit?gid=1996990278#gid=1996990278"",""2026-27!p3"")"),24.0)</f>
        <v>24</v>
      </c>
      <c r="AF118" s="59">
        <f>IFERROR(__xludf.DUMMYFUNCTION("importrange(""https://docs.google.com/spreadsheets/d/1VqJ41KU2NHf3hBrQkQD7pFGKum8ws6X0cK6C5YetsgY/edit?gid=1996990278#gid=1996990278"",""2026-27!q4"")"),3512665.309999999)</f>
        <v>3512665.31</v>
      </c>
      <c r="AG118" s="59">
        <f>IFERROR(__xludf.DUMMYFUNCTION("importrange(""https://docs.google.com/spreadsheets/d/1VqJ41KU2NHf3hBrQkQD7pFGKum8ws6X0cK6C5YetsgY/edit?gid=1996990278#gid=1996990278"",""2026-27!q3"")"),30.0)</f>
        <v>30</v>
      </c>
      <c r="AH118" s="62">
        <f t="shared" si="102"/>
        <v>0.9358032397</v>
      </c>
      <c r="AI118" s="59">
        <f>IFERROR(__xludf.DUMMYFUNCTION("importrange(""https://docs.google.com/spreadsheets/d/1VqJ41KU2NHf3hBrQkQD7pFGKum8ws6X0cK6C5YetsgY/edit?gid=1996990278#gid=1996990278"",""2026-27!r4"")"),2950582.0)</f>
        <v>2950582</v>
      </c>
      <c r="AJ118" s="59">
        <f>IFERROR(__xludf.DUMMYFUNCTION("importrange(""https://docs.google.com/spreadsheets/d/1VqJ41KU2NHf3hBrQkQD7pFGKum8ws6X0cK6C5YetsgY/edit?gid=1996990278#gid=1996990278"",""2026-27!r3"")"),29.0)</f>
        <v>29</v>
      </c>
      <c r="AK118" s="59">
        <f>IFERROR(__xludf.DUMMYFUNCTION("importrange(""https://docs.google.com/spreadsheets/d/1VqJ41KU2NHf3hBrQkQD7pFGKum8ws6X0cK6C5YetsgY/edit?gid=1996990278#gid=1996990278"",""2026-27!s4"")"),3702994.0)</f>
        <v>3702994</v>
      </c>
      <c r="AL118" s="59">
        <f>IFERROR(__xludf.DUMMYFUNCTION("importrange(""https://docs.google.com/spreadsheets/d/1VqJ41KU2NHf3hBrQkQD7pFGKum8ws6X0cK6C5YetsgY/edit?gid=1996990278#gid=1996990278"",""2026-27!s3"")"),40.0)</f>
        <v>40</v>
      </c>
      <c r="AM118" s="61">
        <f>IFERROR(__xludf.DUMMYFUNCTION("importrange(""https://docs.google.com/spreadsheets/d/1VqJ41KU2NHf3hBrQkQD7pFGKum8ws6X0cK6C5YetsgY/edit?gid=1996990278#gid=1996990278"",""2026-27!t4"")"),0.0)</f>
        <v>0</v>
      </c>
      <c r="AN118" s="59">
        <f>IFERROR(__xludf.DUMMYFUNCTION("importrange(""https://docs.google.com/spreadsheets/d/1VqJ41KU2NHf3hBrQkQD7pFGKum8ws6X0cK6C5YetsgY/edit?gid=1996990278#gid=1996990278"",""2026-27!t3"")"),0.0)</f>
        <v>0</v>
      </c>
      <c r="AO118" s="62">
        <f t="shared" si="103"/>
        <v>0</v>
      </c>
      <c r="AP118" s="59">
        <f>IFERROR(__xludf.DUMMYFUNCTION("importrange(""https://docs.google.com/spreadsheets/d/1VqJ41KU2NHf3hBrQkQD7pFGKum8ws6X0cK6C5YetsgY/edit?gid=1996990278#gid=1996990278"",""2026-27!u4"")"),0.0)</f>
        <v>0</v>
      </c>
      <c r="AQ118" s="59">
        <f>IFERROR(__xludf.DUMMYFUNCTION("importrange(""https://docs.google.com/spreadsheets/d/1VqJ41KU2NHf3hBrQkQD7pFGKum8ws6X0cK6C5YetsgY/edit?gid=1996990278#gid=1996990278"",""2026-27!u3"")"),0.0)</f>
        <v>0</v>
      </c>
      <c r="AR118" s="59">
        <f>IFERROR(__xludf.DUMMYFUNCTION("importrange(""https://docs.google.com/spreadsheets/d/1VqJ41KU2NHf3hBrQkQD7pFGKum8ws6X0cK6C5YetsgY/edit?gid=1996990278#gid=1996990278"",""2026-27!v4"")"),3112994.0)</f>
        <v>3112994</v>
      </c>
      <c r="AS118" s="59">
        <f>IFERROR(__xludf.DUMMYFUNCTION("importrange(""https://docs.google.com/spreadsheets/d/1VqJ41KU2NHf3hBrQkQD7pFGKum8ws6X0cK6C5YetsgY/edit?gid=1996990278#gid=1996990278"",""2026-27!v3"")"),26.0)</f>
        <v>26</v>
      </c>
      <c r="AT118" s="61">
        <f>IFERROR(__xludf.DUMMYFUNCTION("importrange(""https://docs.google.com/spreadsheets/d/1VqJ41KU2NHf3hBrQkQD7pFGKum8ws6X0cK6C5YetsgY/edit?gid=1996990278#gid=1996990278"",""2026-27!w4"")"),0.0)</f>
        <v>0</v>
      </c>
      <c r="AU118" s="59">
        <f>IFERROR(__xludf.DUMMYFUNCTION("importrange(""https://docs.google.com/spreadsheets/d/1VqJ41KU2NHf3hBrQkQD7pFGKum8ws6X0cK6C5YetsgY/edit?gid=1996990278#gid=1996990278"",""2026-27!w3"")"),0.0)</f>
        <v>0</v>
      </c>
      <c r="AV118" s="62">
        <f t="shared" si="104"/>
        <v>0</v>
      </c>
      <c r="AW118" s="59">
        <f>IFERROR(__xludf.DUMMYFUNCTION("importrange(""https://docs.google.com/spreadsheets/d/1VqJ41KU2NHf3hBrQkQD7pFGKum8ws6X0cK6C5YetsgY/edit?gid=1996990278#gid=1996990278"",""2026-27!x4"")"),0.0)</f>
        <v>0</v>
      </c>
      <c r="AX118" s="59">
        <f>IFERROR(__xludf.DUMMYFUNCTION("importrange(""https://docs.google.com/spreadsheets/d/1VqJ41KU2NHf3hBrQkQD7pFGKum8ws6X0cK6C5YetsgY/edit?gid=1996990278#gid=1996990278"",""2026-27!x3"")"),0.0)</f>
        <v>0</v>
      </c>
      <c r="AY118" s="59">
        <f>IFERROR(__xludf.DUMMYFUNCTION("importrange(""https://docs.google.com/spreadsheets/d/1VqJ41KU2NHf3hBrQkQD7pFGKum8ws6X0cK6C5YetsgY/edit?gid=1996990278#gid=1996990278"",""2026-27!y4"")"),4112994.0)</f>
        <v>4112994</v>
      </c>
      <c r="AZ118" s="59">
        <f>IFERROR(__xludf.DUMMYFUNCTION("importrange(""https://docs.google.com/spreadsheets/d/1VqJ41KU2NHf3hBrQkQD7pFGKum8ws6X0cK6C5YetsgY/edit?gid=1996990278#gid=1996990278"",""2026-27!y3"")"),31.0)</f>
        <v>31</v>
      </c>
      <c r="BA118" s="61">
        <f>IFERROR(__xludf.DUMMYFUNCTION("importrange(""https://docs.google.com/spreadsheets/d/1VqJ41KU2NHf3hBrQkQD7pFGKum8ws6X0cK6C5YetsgY/edit?gid=1996990278#gid=1996990278"",""2026-27!z4"")"),0.0)</f>
        <v>0</v>
      </c>
      <c r="BB118" s="59">
        <f>IFERROR(__xludf.DUMMYFUNCTION("importrange(""https://docs.google.com/spreadsheets/d/1VqJ41KU2NHf3hBrQkQD7pFGKum8ws6X0cK6C5YetsgY/edit?gid=1996990278#gid=1996990278"",""2026-27!z3"")"),0.0)</f>
        <v>0</v>
      </c>
      <c r="BC118" s="63">
        <f t="shared" si="105"/>
        <v>0</v>
      </c>
      <c r="BD118" s="59">
        <f>IFERROR(__xludf.DUMMYFUNCTION("importrange(""https://docs.google.com/spreadsheets/d/1VqJ41KU2NHf3hBrQkQD7pFGKum8ws6X0cK6C5YetsgY/edit?gid=1996990278#gid=1996990278"",""2026-27!aa4"")"),0.0)</f>
        <v>0</v>
      </c>
      <c r="BE118" s="59">
        <f>IFERROR(__xludf.DUMMYFUNCTION("importrange(""https://docs.google.com/spreadsheets/d/1VqJ41KU2NHf3hBrQkQD7pFGKum8ws6X0cK6C5YetsgY/edit?gid=1996990278#gid=1996990278"",""2026-27!aa3"")"),0.0)</f>
        <v>0</v>
      </c>
      <c r="BF118" s="59">
        <f>IFERROR(__xludf.DUMMYFUNCTION("importrange(""https://docs.google.com/spreadsheets/d/1VqJ41KU2NHf3hBrQkQD7pFGKum8ws6X0cK6C5YetsgY/edit?gid=1996990278#gid=1996990278"",""2026-27!ab4"")"),3972994.0)</f>
        <v>3972994</v>
      </c>
      <c r="BG118" s="59">
        <f>IFERROR(__xludf.DUMMYFUNCTION("importrange(""https://docs.google.com/spreadsheets/d/1VqJ41KU2NHf3hBrQkQD7pFGKum8ws6X0cK6C5YetsgY/edit?gid=1996990278#gid=1996990278"",""2026-27!ab3"")"),39.0)</f>
        <v>39</v>
      </c>
      <c r="BH118" s="59">
        <f>IFERROR(__xludf.DUMMYFUNCTION("importrange(""https://docs.google.com/spreadsheets/d/1VqJ41KU2NHf3hBrQkQD7pFGKum8ws6X0cK6C5YetsgY/edit?gid=1996990278#gid=1996990278"",""2026-27!ac4"")"),0.0)</f>
        <v>0</v>
      </c>
      <c r="BI118" s="59">
        <f>IFERROR(__xludf.DUMMYFUNCTION("importrange(""https://docs.google.com/spreadsheets/d/1VqJ41KU2NHf3hBrQkQD7pFGKum8ws6X0cK6C5YetsgY/edit?gid=1996990278#gid=1996990278"",""2026-27!ac3"")"),0.0)</f>
        <v>0</v>
      </c>
      <c r="BJ118" s="63">
        <f t="shared" si="106"/>
        <v>0</v>
      </c>
      <c r="BK118" s="59">
        <f>IFERROR(__xludf.DUMMYFUNCTION("importrange(""https://docs.google.com/spreadsheets/d/1VqJ41KU2NHf3hBrQkQD7pFGKum8ws6X0cK6C5YetsgY/edit?gid=1996990278#gid=1996990278"",""2026-27!ad4"")"),0.0)</f>
        <v>0</v>
      </c>
      <c r="BL118" s="59">
        <f>IFERROR(__xludf.DUMMYFUNCTION("importrange(""https://docs.google.com/spreadsheets/d/1VqJ41KU2NHf3hBrQkQD7pFGKum8ws6X0cK6C5YetsgY/edit?gid=1996990278#gid=1996990278"",""2026-27!ad3"")"),0.0)</f>
        <v>0</v>
      </c>
      <c r="BM118" s="59">
        <f>IFERROR(__xludf.DUMMYFUNCTION("importrange(""https://docs.google.com/spreadsheets/d/1VqJ41KU2NHf3hBrQkQD7pFGKum8ws6X0cK6C5YetsgY/edit?gid=1996990278#gid=1996990278"",""2026-27!ae4"")"),3222994.0)</f>
        <v>3222994</v>
      </c>
      <c r="BN118" s="59">
        <f>IFERROR(__xludf.DUMMYFUNCTION("importrange(""https://docs.google.com/spreadsheets/d/1VqJ41KU2NHf3hBrQkQD7pFGKum8ws6X0cK6C5YetsgY/edit?gid=1996990278#gid=1996990278"",""2026-27!ae3"")"),25.0)</f>
        <v>25</v>
      </c>
      <c r="BO118" s="59">
        <f>IFERROR(__xludf.DUMMYFUNCTION("importrange(""https://docs.google.com/spreadsheets/d/1VqJ41KU2NHf3hBrQkQD7pFGKum8ws6X0cK6C5YetsgY/edit?gid=1996990278#gid=1996990278"",""2026-27!af4"")"),0.0)</f>
        <v>0</v>
      </c>
      <c r="BP118" s="59">
        <f>IFERROR(__xludf.DUMMYFUNCTION("importrange(""https://docs.google.com/spreadsheets/d/1VqJ41KU2NHf3hBrQkQD7pFGKum8ws6X0cK6C5YetsgY/edit?gid=1996990278#gid=1996990278"",""2026-27!af3"")"),0.0)</f>
        <v>0</v>
      </c>
      <c r="BQ118" s="63">
        <f t="shared" si="107"/>
        <v>0</v>
      </c>
      <c r="BR118" s="59">
        <f>IFERROR(__xludf.DUMMYFUNCTION("importrange(""https://docs.google.com/spreadsheets/d/1VqJ41KU2NHf3hBrQkQD7pFGKum8ws6X0cK6C5YetsgY/edit?gid=1996990278#gid=1996990278"",""2026-27!ag4"")"),0.0)</f>
        <v>0</v>
      </c>
      <c r="BS118" s="59">
        <f>IFERROR(__xludf.DUMMYFUNCTION("importrange(""https://docs.google.com/spreadsheets/d/1VqJ41KU2NHf3hBrQkQD7pFGKum8ws6X0cK6C5YetsgY/edit?gid=1996990278#gid=1996990278"",""2026-27!ag3"")"),0.0)</f>
        <v>0</v>
      </c>
      <c r="BT118" s="59">
        <f>IFERROR(__xludf.DUMMYFUNCTION("importrange(""https://docs.google.com/spreadsheets/d/1VqJ41KU2NHf3hBrQkQD7pFGKum8ws6X0cK6C5YetsgY/edit?gid=1996990278#gid=1996990278"",""2026-27!ah4"")"),3847994.0)</f>
        <v>3847994</v>
      </c>
      <c r="BU118" s="59">
        <f>IFERROR(__xludf.DUMMYFUNCTION("importrange(""https://docs.google.com/spreadsheets/d/1VqJ41KU2NHf3hBrQkQD7pFGKum8ws6X0cK6C5YetsgY/edit?gid=1996990278#gid=1996990278"",""2026-27!ah3"")"),40.0)</f>
        <v>40</v>
      </c>
      <c r="BV118" s="59">
        <f>IFERROR(__xludf.DUMMYFUNCTION("importrange(""https://docs.google.com/spreadsheets/d/1VqJ41KU2NHf3hBrQkQD7pFGKum8ws6X0cK6C5YetsgY/edit?gid=1996990278#gid=1996990278"",""2026-27!ai4"")"),0.0)</f>
        <v>0</v>
      </c>
      <c r="BW118" s="59">
        <f>IFERROR(__xludf.DUMMYFUNCTION("importrange(""https://docs.google.com/spreadsheets/d/1VqJ41KU2NHf3hBrQkQD7pFGKum8ws6X0cK6C5YetsgY/edit?gid=1996990278#gid=1996990278"",""2026-27!ai3"")"),0.0)</f>
        <v>0</v>
      </c>
      <c r="BX118" s="63">
        <f t="shared" si="108"/>
        <v>0</v>
      </c>
      <c r="BY118" s="59">
        <f>IFERROR(__xludf.DUMMYFUNCTION("importrange(""https://docs.google.com/spreadsheets/d/1VqJ41KU2NHf3hBrQkQD7pFGKum8ws6X0cK6C5YetsgY/edit?gid=1996990278#gid=1996990278"",""2026-27!aj4"")"),0.0)</f>
        <v>0</v>
      </c>
      <c r="BZ118" s="59">
        <f>IFERROR(__xludf.DUMMYFUNCTION("importrange(""https://docs.google.com/spreadsheets/d/1VqJ41KU2NHf3hBrQkQD7pFGKum8ws6X0cK6C5YetsgY/edit?gid=1996990278#gid=1996990278"",""2026-27!aj3"")"),0.0)</f>
        <v>0</v>
      </c>
      <c r="CA118" s="59">
        <f>IFERROR(__xludf.DUMMYFUNCTION("importrange(""https://docs.google.com/spreadsheets/d/1VqJ41KU2NHf3hBrQkQD7pFGKum8ws6X0cK6C5YetsgY/edit?gid=1996990278#gid=1996990278"",""2026-27!ak4"")"),3922994.0)</f>
        <v>3922994</v>
      </c>
      <c r="CB118" s="59">
        <f>IFERROR(__xludf.DUMMYFUNCTION("importrange(""https://docs.google.com/spreadsheets/d/1VqJ41KU2NHf3hBrQkQD7pFGKum8ws6X0cK6C5YetsgY/edit?gid=1996990278#gid=1996990278"",""2026-27!ak3"")"),30.0)</f>
        <v>30</v>
      </c>
      <c r="CC118" s="59">
        <f>IFERROR(__xludf.DUMMYFUNCTION("importrange(""https://docs.google.com/spreadsheets/d/1VqJ41KU2NHf3hBrQkQD7pFGKum8ws6X0cK6C5YetsgY/edit?gid=1996990278#gid=1996990278"",""2026-27!al4"")"),0.0)</f>
        <v>0</v>
      </c>
      <c r="CD118" s="59">
        <f>IFERROR(__xludf.DUMMYFUNCTION("importrange(""https://docs.google.com/spreadsheets/d/1VqJ41KU2NHf3hBrQkQD7pFGKum8ws6X0cK6C5YetsgY/edit?gid=1996990278#gid=1996990278"",""2026-27!ai3"")"),0.0)</f>
        <v>0</v>
      </c>
      <c r="CE118" s="63">
        <f t="shared" si="109"/>
        <v>0</v>
      </c>
      <c r="CF118" s="59">
        <f>IFERROR(__xludf.DUMMYFUNCTION("importrange(""https://docs.google.com/spreadsheets/d/1VqJ41KU2NHf3hBrQkQD7pFGKum8ws6X0cK6C5YetsgY/edit?gid=1996990278#gid=1996990278"",""2026-27!am4"")"),0.0)</f>
        <v>0</v>
      </c>
      <c r="CG118" s="59">
        <f>IFERROR(__xludf.DUMMYFUNCTION("importrange(""https://docs.google.com/spreadsheets/d/1VqJ41KU2NHf3hBrQkQD7pFGKum8ws6X0cK6C5YetsgY/edit?gid=1996990278#gid=1996990278"",""2026-27!am3"")"),0.0)</f>
        <v>0</v>
      </c>
      <c r="CH118" s="59">
        <f>IFERROR(__xludf.DUMMYFUNCTION("importrange(""https://docs.google.com/spreadsheets/d/1VqJ41KU2NHf3hBrQkQD7pFGKum8ws6X0cK6C5YetsgY/edit?gid=1996990278#gid=1996990278"",""2026-27!an4"")"),2672994.0)</f>
        <v>2672994</v>
      </c>
      <c r="CI118" s="59">
        <f>IFERROR(__xludf.DUMMYFUNCTION("importrange(""https://docs.google.com/spreadsheets/d/1VqJ41KU2NHf3hBrQkQD7pFGKum8ws6X0cK6C5YetsgY/edit?gid=1996990278#gid=1996990278"",""2026-27!an3"")"),23.0)</f>
        <v>23</v>
      </c>
      <c r="CJ118" s="59">
        <f>IFERROR(__xludf.DUMMYFUNCTION("importrange(""https://docs.google.com/spreadsheets/d/1VqJ41KU2NHf3hBrQkQD7pFGKum8ws6X0cK6C5YetsgY/edit?gid=1996990278#gid=1996990278"",""2026-27!ao4"")"),0.0)</f>
        <v>0</v>
      </c>
      <c r="CK118" s="59">
        <f>IFERROR(__xludf.DUMMYFUNCTION("importrange(""https://docs.google.com/spreadsheets/d/1VqJ41KU2NHf3hBrQkQD7pFGKum8ws6X0cK6C5YetsgY/edit?gid=1996990278#gid=1996990278"",""2026-27!ao3"")"),0.0)</f>
        <v>0</v>
      </c>
      <c r="CL118" s="63">
        <f t="shared" si="110"/>
        <v>0</v>
      </c>
      <c r="CM118" s="59">
        <f>IFERROR(__xludf.DUMMYFUNCTION("importrange(""https://docs.google.com/spreadsheets/d/1VqJ41KU2NHf3hBrQkQD7pFGKum8ws6X0cK6C5YetsgY/edit?gid=1996990278#gid=1996990278"",""2026-27!ap4"")"),0.0)</f>
        <v>0</v>
      </c>
      <c r="CN118" s="59">
        <f>IFERROR(__xludf.DUMMYFUNCTION("importrange(""https://docs.google.com/spreadsheets/d/1VqJ41KU2NHf3hBrQkQD7pFGKum8ws6X0cK6C5YetsgY/edit?gid=1996990278#gid=1996990278"",""2026-27!ap3"")"),0.0)</f>
        <v>0</v>
      </c>
      <c r="CO118" s="59">
        <f>IFERROR(__xludf.DUMMYFUNCTION("importrange(""https://docs.google.com/spreadsheets/d/1VqJ41KU2NHf3hBrQkQD7pFGKum8ws6X0cK6C5YetsgY/edit?gid=1996990278#gid=1996990278"",""2026-27!aq4"")"),2747994.0)</f>
        <v>2747994</v>
      </c>
      <c r="CP118" s="59">
        <f>IFERROR(__xludf.DUMMYFUNCTION("importrange(""https://docs.google.com/spreadsheets/d/1VqJ41KU2NHf3hBrQkQD7pFGKum8ws6X0cK6C5YetsgY/edit?gid=1996990278#gid=1996990278"",""2026-27!aq3"")"),33.0)</f>
        <v>33</v>
      </c>
      <c r="CQ118" s="59">
        <f>IFERROR(__xludf.DUMMYFUNCTION("importrange(""https://docs.google.com/spreadsheets/d/1VqJ41KU2NHf3hBrQkQD7pFGKum8ws6X0cK6C5YetsgY/edit?gid=1996990278#gid=1996990278"",""2026-27!ar4"")"),0.0)</f>
        <v>0</v>
      </c>
      <c r="CR118" s="59">
        <f>IFERROR(__xludf.DUMMYFUNCTION("importrange(""https://docs.google.com/spreadsheets/d/1VqJ41KU2NHf3hBrQkQD7pFGKum8ws6X0cK6C5YetsgY/edit?gid=1996990278#gid=1996990278"",""2026-27!ar3"")"),0.0)</f>
        <v>0</v>
      </c>
      <c r="CS118" s="63">
        <f t="shared" si="111"/>
        <v>0</v>
      </c>
      <c r="CT118" s="59">
        <f>IFERROR(__xludf.DUMMYFUNCTION("importrange(""https://docs.google.com/spreadsheets/d/1VqJ41KU2NHf3hBrQkQD7pFGKum8ws6X0cK6C5YetsgY/edit?gid=1996990278#gid=1996990278"",""2026-27!as4"")"),0.0)</f>
        <v>0</v>
      </c>
      <c r="CU118" s="59">
        <f>IFERROR(__xludf.DUMMYFUNCTION("importrange(""https://docs.google.com/spreadsheets/d/1VqJ41KU2NHf3hBrQkQD7pFGKum8ws6X0cK6C5YetsgY/edit?gid=1996990278#gid=1996990278"",""2026-27!as3"")"),0.0)</f>
        <v>0</v>
      </c>
      <c r="CV118" s="64"/>
    </row>
    <row r="119">
      <c r="A119" s="1" t="s">
        <v>160</v>
      </c>
      <c r="B119" s="41"/>
      <c r="C119" s="68" t="s">
        <v>234</v>
      </c>
      <c r="D119" s="72" t="s">
        <v>235</v>
      </c>
      <c r="E119" s="72">
        <v>8.877999968E9</v>
      </c>
      <c r="F119" s="84">
        <v>45628.0</v>
      </c>
      <c r="G119" s="66"/>
      <c r="H119" s="66"/>
      <c r="I119" s="74">
        <v>26755.0</v>
      </c>
      <c r="J119" s="58">
        <v>2083333.0</v>
      </c>
      <c r="K119" s="61">
        <f>IFERROR(__xludf.DUMMYFUNCTION("IMPORTRANGE(""https://docs.google.com/spreadsheets/d/1KK2Gk0v7qSg-tdyBI73crsdg5bq163NRRkpYHeQi_Y0/edit?gid=1996990278#gid=1996990278"",""2026-27!A3"")"),85.0)</f>
        <v>85</v>
      </c>
      <c r="L119" s="61">
        <f>IFERROR(__xludf.DUMMYFUNCTION("IMPORTRANGE(""https://docs.google.com/spreadsheets/d/1KK2Gk0v7qSg-tdyBI73crsdg5bq163NRRkpYHeQi_Y0/edit?gid=1996990278#gid=1996990278"",""2026-27!G4"")"),1.3185336E7)</f>
        <v>13185336</v>
      </c>
      <c r="M119" s="61">
        <f t="shared" si="97"/>
        <v>5992994.48</v>
      </c>
      <c r="N119" s="60">
        <f t="shared" si="98"/>
        <v>0.2591431117</v>
      </c>
      <c r="O119" s="61">
        <f t="shared" si="99"/>
        <v>3416889</v>
      </c>
      <c r="P119" s="59">
        <f>IFERROR(__xludf.DUMMYFUNCTION("IMPORTRANGE(""https://docs.google.com/spreadsheets/d/1KK2Gk0v7qSg-tdyBI73crsdg5bq163NRRkpYHeQi_Y0/edit?gid=1996990278#gid=1996990278"",""2026-27!J4"")"),1402285.0)</f>
        <v>1402285</v>
      </c>
      <c r="Q119" s="59">
        <f>IFERROR(__xludf.DUMMYFUNCTION("IMPORTRANGE(""https://docs.google.com/spreadsheets/d/1KK2Gk0v7qSg-tdyBI73crsdg5bq163NRRkpYHeQi_Y0/edit?gid=1996990278#gid=1996990278"",""2026-27!J3"")"),32.0)</f>
        <v>32</v>
      </c>
      <c r="R119" s="59">
        <f>IFERROR(__xludf.DUMMYFUNCTION("IMPORTRANGE(""https://docs.google.com/spreadsheets/d/1KK2Gk0v7qSg-tdyBI73crsdg5bq163NRRkpYHeQi_Y0/edit?gid=1996990278#gid=1996990278"",""2026-27!K4"")"),1734293.52)</f>
        <v>1734293.52</v>
      </c>
      <c r="S119" s="59">
        <f>IFERROR(__xludf.DUMMYFUNCTION("IMPORTRANGE(""https://docs.google.com/spreadsheets/d/1KK2Gk0v7qSg-tdyBI73crsdg5bq163NRRkpYHeQi_Y0/edit?gid=1996990278#gid=1996990278"",""2026-27!K3"")"),23.0)</f>
        <v>23</v>
      </c>
      <c r="T119" s="62">
        <f t="shared" si="100"/>
        <v>1.316221025</v>
      </c>
      <c r="U119" s="59">
        <f>IFERROR(__xludf.DUMMYFUNCTION("IMPORTRANGE(""https://docs.google.com/spreadsheets/d/1KK2Gk0v7qSg-tdyBI73crsdg5bq163NRRkpYHeQi_Y0/edit?gid=1996990278#gid=1996990278"",""2026-27!L4"")"),1845717.0)</f>
        <v>1845717</v>
      </c>
      <c r="V119" s="85">
        <f>IFERROR(__xludf.DUMMYFUNCTION("IMPORTRANGE(""https://docs.google.com/spreadsheets/d/1KK2Gk0v7qSg-tdyBI73crsdg5bq163NRRkpYHeQi_Y0/edit?gid=1996990278#gid=1996990278"",""2026-27!L3"")"),29.0)</f>
        <v>29</v>
      </c>
      <c r="W119" s="59">
        <f>IFERROR(__xludf.DUMMYFUNCTION("IMPORTRANGE(""https://docs.google.com/spreadsheets/d/1KK2Gk0v7qSg-tdyBI73crsdg5bq163NRRkpYHeQi_Y0/edit?gid=1996990278#gid=1996990278"",""2026-27!M4"")"),1379562.0)</f>
        <v>1379562</v>
      </c>
      <c r="X119" s="85">
        <f>IFERROR(__xludf.DUMMYFUNCTION("IMPORTRANGE(""https://docs.google.com/spreadsheets/d/1KK2Gk0v7qSg-tdyBI73crsdg5bq163NRRkpYHeQi_Y0/edit?gid=1996990278#gid=1996990278"",""2026-27!M3"")"),31.0)</f>
        <v>31</v>
      </c>
      <c r="Y119" s="59">
        <f>IFERROR(__xludf.DUMMYFUNCTION("importrange(""https://docs.google.com/spreadsheets/d/1KK2Gk0v7qSg-tdyBI73crsdg5bq163NRRkpYHeQi_Y0/edit?gid=1996990278#gid=1996990278"",""2026-27!n4"")"),1989798.2699999998)</f>
        <v>1989798.27</v>
      </c>
      <c r="Z119" s="59">
        <f>IFERROR(__xludf.DUMMYFUNCTION("importrange(""https://docs.google.com/spreadsheets/d/1KK2Gk0v7qSg-tdyBI73crsdg5bq163NRRkpYHeQi_Y0/edit?gid=1996990278#gid=1996990278"",""2026-27!n3"")"),23.0)</f>
        <v>23</v>
      </c>
      <c r="AA119" s="62">
        <f t="shared" si="101"/>
        <v>1.138891909</v>
      </c>
      <c r="AB119" s="59">
        <f>IFERROR(__xludf.DUMMYFUNCTION("importrange(""https://docs.google.com/spreadsheets/d/1KK2Gk0v7qSg-tdyBI73crsdg5bq163NRRkpYHeQi_Y0/edit?gid=1996990278#gid=1996990278"",""2026-27!o4"")"),1571172.0)</f>
        <v>1571172</v>
      </c>
      <c r="AC119" s="59">
        <f>IFERROR(__xludf.DUMMYFUNCTION("importrange(""https://docs.google.com/spreadsheets/d/1KK2Gk0v7qSg-tdyBI73crsdg5bq163NRRkpYHeQi_Y0/edit?gid=1996990278#gid=1996990278"",""2026-27!o3"")"),25.0)</f>
        <v>25</v>
      </c>
      <c r="AD119" s="59">
        <f>IFERROR(__xludf.DUMMYFUNCTION("importrange(""https://docs.google.com/spreadsheets/d/1KK2Gk0v7qSg-tdyBI73crsdg5bq163NRRkpYHeQi_Y0/edit?gid=1996990278#gid=1996990278"",""2026-27!p4"")"),1379562.0)</f>
        <v>1379562</v>
      </c>
      <c r="AE119" s="59">
        <f>IFERROR(__xludf.DUMMYFUNCTION("importrange(""https://docs.google.com/spreadsheets/d/1KK2Gk0v7qSg-tdyBI73crsdg5bq163NRRkpYHeQi_Y0/edit?gid=1996990278#gid=1996990278"",""2026-27!p3"")"),31.0)</f>
        <v>31</v>
      </c>
      <c r="AF119" s="59">
        <f>IFERROR(__xludf.DUMMYFUNCTION("importrange(""https://docs.google.com/spreadsheets/d/1KK2Gk0v7qSg-tdyBI73crsdg5bq163NRRkpYHeQi_Y0/edit?gid=1996990278#gid=1996990278"",""2026-27!q4"")"),2268902.6900000004)</f>
        <v>2268902.69</v>
      </c>
      <c r="AG119" s="59">
        <f>IFERROR(__xludf.DUMMYFUNCTION("importrange(""https://docs.google.com/spreadsheets/d/1KK2Gk0v7qSg-tdyBI73crsdg5bq163NRRkpYHeQi_Y0/edit?gid=1996990278#gid=1996990278"",""2026-27!q3"")"),27.0)</f>
        <v>27</v>
      </c>
      <c r="AH119" s="62">
        <f t="shared" si="102"/>
        <v>0</v>
      </c>
      <c r="AI119" s="59">
        <f>IFERROR(__xludf.DUMMYFUNCTION("importrange(""https://docs.google.com/spreadsheets/d/1KK2Gk0v7qSg-tdyBI73crsdg5bq163NRRkpYHeQi_Y0/edit?gid=1996990278#gid=1996990278"",""2026-27!r4"")"),0.0)</f>
        <v>0</v>
      </c>
      <c r="AJ119" s="59">
        <f>IFERROR(__xludf.DUMMYFUNCTION("importrange(""https://docs.google.com/spreadsheets/d/1KK2Gk0v7qSg-tdyBI73crsdg5bq163NRRkpYHeQi_Y0/edit?gid=1996990278#gid=1996990278"",""2026-27!r3"")"),0.0)</f>
        <v>0</v>
      </c>
      <c r="AK119" s="59">
        <f>IFERROR(__xludf.DUMMYFUNCTION("importrange(""https://docs.google.com/spreadsheets/d/1KK2Gk0v7qSg-tdyBI73crsdg5bq163NRRkpYHeQi_Y0/edit?gid=1996990278#gid=1996990278"",""2026-27!s4"")"),1379562.0)</f>
        <v>1379562</v>
      </c>
      <c r="AL119" s="59">
        <f>IFERROR(__xludf.DUMMYFUNCTION("importrange(""https://docs.google.com/spreadsheets/d/1KK2Gk0v7qSg-tdyBI73crsdg5bq163NRRkpYHeQi_Y0/edit?gid=1996990278#gid=1996990278"",""2026-27!s3"")"),31.0)</f>
        <v>31</v>
      </c>
      <c r="AM119" s="61">
        <f>IFERROR(__xludf.DUMMYFUNCTION("importrange(""https://docs.google.com/spreadsheets/d/1KK2Gk0v7qSg-tdyBI73crsdg5bq163NRRkpYHeQi_Y0/edit?gid=1996990278#gid=1996990278"",""2026-27!t4"")"),0.0)</f>
        <v>0</v>
      </c>
      <c r="AN119" s="59">
        <f>IFERROR(__xludf.DUMMYFUNCTION("importrange(""https://docs.google.com/spreadsheets/d/1KK2Gk0v7qSg-tdyBI73crsdg5bq163NRRkpYHeQi_Y0/edit?gid=1996990278#gid=1996990278"",""2026-27!t3"")"),0.0)</f>
        <v>0</v>
      </c>
      <c r="AO119" s="62">
        <f t="shared" si="103"/>
        <v>0</v>
      </c>
      <c r="AP119" s="59">
        <f>IFERROR(__xludf.DUMMYFUNCTION("importrange(""https://docs.google.com/spreadsheets/d/1KK2Gk0v7qSg-tdyBI73crsdg5bq163NRRkpYHeQi_Y0/edit?gid=1996990278#gid=1996990278"",""2026-27!u4"")"),0.0)</f>
        <v>0</v>
      </c>
      <c r="AQ119" s="59">
        <f>IFERROR(__xludf.DUMMYFUNCTION("importrange(""https://docs.google.com/spreadsheets/d/1KK2Gk0v7qSg-tdyBI73crsdg5bq163NRRkpYHeQi_Y0/edit?gid=1996990278#gid=1996990278"",""2026-27!u3"")"),0.0)</f>
        <v>0</v>
      </c>
      <c r="AR119" s="59">
        <f>IFERROR(__xludf.DUMMYFUNCTION("importrange(""https://docs.google.com/spreadsheets/d/1KK2Gk0v7qSg-tdyBI73crsdg5bq163NRRkpYHeQi_Y0/edit?gid=1996990278#gid=1996990278"",""2026-27!v4"")"),1379562.0)</f>
        <v>1379562</v>
      </c>
      <c r="AS119" s="59">
        <f>IFERROR(__xludf.DUMMYFUNCTION("importrange(""https://docs.google.com/spreadsheets/d/1KK2Gk0v7qSg-tdyBI73crsdg5bq163NRRkpYHeQi_Y0/edit?gid=1996990278#gid=1996990278"",""2026-27!v3"")"),31.0)</f>
        <v>31</v>
      </c>
      <c r="AT119" s="61">
        <f>IFERROR(__xludf.DUMMYFUNCTION("importrange(""https://docs.google.com/spreadsheets/d/1KK2Gk0v7qSg-tdyBI73crsdg5bq163NRRkpYHeQi_Y0/edit?gid=1996990278#gid=1996990278"",""2026-27!w4"")"),0.0)</f>
        <v>0</v>
      </c>
      <c r="AU119" s="59">
        <f>IFERROR(__xludf.DUMMYFUNCTION("importrange(""https://docs.google.com/spreadsheets/d/1KK2Gk0v7qSg-tdyBI73crsdg5bq163NRRkpYHeQi_Y0/edit?gid=1996990278#gid=1996990278"",""2026-27!w3"")"),0.0)</f>
        <v>0</v>
      </c>
      <c r="AV119" s="62">
        <f t="shared" si="104"/>
        <v>0</v>
      </c>
      <c r="AW119" s="59">
        <f>IFERROR(__xludf.DUMMYFUNCTION("importrange(""https://docs.google.com/spreadsheets/d/1KK2Gk0v7qSg-tdyBI73crsdg5bq163NRRkpYHeQi_Y0/edit?gid=1996990278#gid=1996990278"",""2026-27!x4"")"),0.0)</f>
        <v>0</v>
      </c>
      <c r="AX119" s="59">
        <f>IFERROR(__xludf.DUMMYFUNCTION("importrange(""https://docs.google.com/spreadsheets/d/1KK2Gk0v7qSg-tdyBI73crsdg5bq163NRRkpYHeQi_Y0/edit?gid=1996990278#gid=1996990278"",""2026-27!x3"")"),0.0)</f>
        <v>0</v>
      </c>
      <c r="AY119" s="59">
        <f>IFERROR(__xludf.DUMMYFUNCTION("importrange(""https://docs.google.com/spreadsheets/d/1KK2Gk0v7qSg-tdyBI73crsdg5bq163NRRkpYHeQi_Y0/edit?gid=1996990278#gid=1996990278"",""2026-27!y4"")"),1379562.0)</f>
        <v>1379562</v>
      </c>
      <c r="AZ119" s="59">
        <f>IFERROR(__xludf.DUMMYFUNCTION("importrange(""https://docs.google.com/spreadsheets/d/1KK2Gk0v7qSg-tdyBI73crsdg5bq163NRRkpYHeQi_Y0/edit?gid=1996990278#gid=1996990278"",""2026-27!y3"")"),31.0)</f>
        <v>31</v>
      </c>
      <c r="BA119" s="61">
        <f>IFERROR(__xludf.DUMMYFUNCTION("importrange(""https://docs.google.com/spreadsheets/d/1KK2Gk0v7qSg-tdyBI73crsdg5bq163NRRkpYHeQi_Y0/edit?gid=1996990278#gid=1996990278"",""2026-27!z4"")"),0.0)</f>
        <v>0</v>
      </c>
      <c r="BB119" s="59">
        <f>IFERROR(__xludf.DUMMYFUNCTION("importrange(""https://docs.google.com/spreadsheets/d/1KK2Gk0v7qSg-tdyBI73crsdg5bq163NRRkpYHeQi_Y0/edit?gid=1996990278#gid=1996990278"",""2026-27!z3"")"),0.0)</f>
        <v>0</v>
      </c>
      <c r="BC119" s="63">
        <f t="shared" si="105"/>
        <v>0</v>
      </c>
      <c r="BD119" s="59">
        <f>IFERROR(__xludf.DUMMYFUNCTION("importrange(""https://docs.google.com/spreadsheets/d/1KK2Gk0v7qSg-tdyBI73crsdg5bq163NRRkpYHeQi_Y0/edit?gid=1996990278#gid=1996990278"",""2026-27!aa4"")"),0.0)</f>
        <v>0</v>
      </c>
      <c r="BE119" s="59">
        <f>IFERROR(__xludf.DUMMYFUNCTION("importrange(""https://docs.google.com/spreadsheets/d/1KK2Gk0v7qSg-tdyBI73crsdg5bq163NRRkpYHeQi_Y0/edit?gid=1996990278#gid=1996990278"",""2026-27!aa3"")"),0.0)</f>
        <v>0</v>
      </c>
      <c r="BF119" s="59">
        <f>IFERROR(__xludf.DUMMYFUNCTION("importrange(""https://docs.google.com/spreadsheets/d/1KK2Gk0v7qSg-tdyBI73crsdg5bq163NRRkpYHeQi_Y0/edit?gid=1996990278#gid=1996990278"",""2026-27!ab4"")"),1379562.0)</f>
        <v>1379562</v>
      </c>
      <c r="BG119" s="59">
        <f>IFERROR(__xludf.DUMMYFUNCTION("importrange(""https://docs.google.com/spreadsheets/d/1KK2Gk0v7qSg-tdyBI73crsdg5bq163NRRkpYHeQi_Y0/edit?gid=1996990278#gid=1996990278"",""2026-27!ab3"")"),31.0)</f>
        <v>31</v>
      </c>
      <c r="BH119" s="59">
        <f>IFERROR(__xludf.DUMMYFUNCTION("importrange(""https://docs.google.com/spreadsheets/d/1KK2Gk0v7qSg-tdyBI73crsdg5bq163NRRkpYHeQi_Y0/edit?gid=1996990278#gid=1996990278"",""2026-27!ac4"")"),0.0)</f>
        <v>0</v>
      </c>
      <c r="BI119" s="59">
        <f>IFERROR(__xludf.DUMMYFUNCTION("importrange(""https://docs.google.com/spreadsheets/d/1KK2Gk0v7qSg-tdyBI73crsdg5bq163NRRkpYHeQi_Y0/edit?gid=1996990278#gid=1996990278"",""2026-27!ac3"")"),0.0)</f>
        <v>0</v>
      </c>
      <c r="BJ119" s="63">
        <f t="shared" si="106"/>
        <v>0</v>
      </c>
      <c r="BK119" s="59">
        <f>IFERROR(__xludf.DUMMYFUNCTION("importrange(""https://docs.google.com/spreadsheets/d/1KK2Gk0v7qSg-tdyBI73crsdg5bq163NRRkpYHeQi_Y0/edit?gid=1996990278#gid=1996990278"",""2026-27!ad4"")"),0.0)</f>
        <v>0</v>
      </c>
      <c r="BL119" s="59">
        <f>IFERROR(__xludf.DUMMYFUNCTION("importrange(""https://docs.google.com/spreadsheets/d/1KK2Gk0v7qSg-tdyBI73crsdg5bq163NRRkpYHeQi_Y0/edit?gid=1996990278#gid=1996990278"",""2026-27!ad3"")"),0.0)</f>
        <v>0</v>
      </c>
      <c r="BM119" s="59">
        <f>IFERROR(__xludf.DUMMYFUNCTION("importrange(""https://docs.google.com/spreadsheets/d/1KK2Gk0v7qSg-tdyBI73crsdg5bq163NRRkpYHeQi_Y0/edit?gid=1996990278#gid=1996990278"",""2026-27!ae4"")"),1379562.0)</f>
        <v>1379562</v>
      </c>
      <c r="BN119" s="59">
        <f>IFERROR(__xludf.DUMMYFUNCTION("importrange(""https://docs.google.com/spreadsheets/d/1KK2Gk0v7qSg-tdyBI73crsdg5bq163NRRkpYHeQi_Y0/edit?gid=1996990278#gid=1996990278"",""2026-27!ae3"")"),31.0)</f>
        <v>31</v>
      </c>
      <c r="BO119" s="59">
        <f>IFERROR(__xludf.DUMMYFUNCTION("importrange(""https://docs.google.com/spreadsheets/d/1KK2Gk0v7qSg-tdyBI73crsdg5bq163NRRkpYHeQi_Y0/edit?gid=1996990278#gid=1996990278"",""2026-27!af4"")"),0.0)</f>
        <v>0</v>
      </c>
      <c r="BP119" s="59">
        <f>IFERROR(__xludf.DUMMYFUNCTION("importrange(""https://docs.google.com/spreadsheets/d/1KK2Gk0v7qSg-tdyBI73crsdg5bq163NRRkpYHeQi_Y0/edit?gid=1996990278#gid=1996990278"",""2026-27!af3"")"),0.0)</f>
        <v>0</v>
      </c>
      <c r="BQ119" s="63">
        <f t="shared" si="107"/>
        <v>0</v>
      </c>
      <c r="BR119" s="59">
        <f>IFERROR(__xludf.DUMMYFUNCTION("importrange(""https://docs.google.com/spreadsheets/d/1KK2Gk0v7qSg-tdyBI73crsdg5bq163NRRkpYHeQi_Y0/edit?gid=1996990278#gid=1996990278"",""2026-27!ag4"")"),0.0)</f>
        <v>0</v>
      </c>
      <c r="BS119" s="59">
        <f>IFERROR(__xludf.DUMMYFUNCTION("importrange(""https://docs.google.com/spreadsheets/d/1KK2Gk0v7qSg-tdyBI73crsdg5bq163NRRkpYHeQi_Y0/edit?gid=1996990278#gid=1996990278"",""2026-27!ag3"")"),0.0)</f>
        <v>0</v>
      </c>
      <c r="BT119" s="59">
        <f>IFERROR(__xludf.DUMMYFUNCTION("importrange(""https://docs.google.com/spreadsheets/d/1KK2Gk0v7qSg-tdyBI73crsdg5bq163NRRkpYHeQi_Y0/edit?gid=1996990278#gid=1996990278"",""2026-27!ah4"")"),1379562.0)</f>
        <v>1379562</v>
      </c>
      <c r="BU119" s="59">
        <f>IFERROR(__xludf.DUMMYFUNCTION("importrange(""https://docs.google.com/spreadsheets/d/1KK2Gk0v7qSg-tdyBI73crsdg5bq163NRRkpYHeQi_Y0/edit?gid=1996990278#gid=1996990278"",""2026-27!ah3"")"),31.0)</f>
        <v>31</v>
      </c>
      <c r="BV119" s="59">
        <f>IFERROR(__xludf.DUMMYFUNCTION("importrange(""https://docs.google.com/spreadsheets/d/1KK2Gk0v7qSg-tdyBI73crsdg5bq163NRRkpYHeQi_Y0/edit?gid=1996990278#gid=1996990278"",""2026-27!ai4"")"),0.0)</f>
        <v>0</v>
      </c>
      <c r="BW119" s="59">
        <f>IFERROR(__xludf.DUMMYFUNCTION("importrange(""https://docs.google.com/spreadsheets/d/1KK2Gk0v7qSg-tdyBI73crsdg5bq163NRRkpYHeQi_Y0/edit?gid=1996990278#gid=1996990278"",""2026-27!ai3"")"),0.0)</f>
        <v>0</v>
      </c>
      <c r="BX119" s="63">
        <f t="shared" si="108"/>
        <v>0</v>
      </c>
      <c r="BY119" s="59">
        <f>IFERROR(__xludf.DUMMYFUNCTION("importrange(""https://docs.google.com/spreadsheets/d/1KK2Gk0v7qSg-tdyBI73crsdg5bq163NRRkpYHeQi_Y0/edit?gid=1996990278#gid=1996990278"",""2026-27!aj4"")"),0.0)</f>
        <v>0</v>
      </c>
      <c r="BZ119" s="59">
        <f>IFERROR(__xludf.DUMMYFUNCTION("importrange(""https://docs.google.com/spreadsheets/d/1KK2Gk0v7qSg-tdyBI73crsdg5bq163NRRkpYHeQi_Y0/edit?gid=1996990278#gid=1996990278"",""2026-27!aj3"")"),0.0)</f>
        <v>0</v>
      </c>
      <c r="CA119" s="59">
        <f>IFERROR(__xludf.DUMMYFUNCTION("importrange(""https://docs.google.com/spreadsheets/d/1KK2Gk0v7qSg-tdyBI73crsdg5bq163NRRkpYHeQi_Y0/edit?gid=1996990278#gid=1996990278"",""2026-27!ak4"")"),1379562.0)</f>
        <v>1379562</v>
      </c>
      <c r="CB119" s="59">
        <f>IFERROR(__xludf.DUMMYFUNCTION("importrange(""https://docs.google.com/spreadsheets/d/1KK2Gk0v7qSg-tdyBI73crsdg5bq163NRRkpYHeQi_Y0/edit?gid=1996990278#gid=1996990278"",""2026-27!ak3"")"),31.0)</f>
        <v>31</v>
      </c>
      <c r="CC119" s="59">
        <f>IFERROR(__xludf.DUMMYFUNCTION("importrange(""https://docs.google.com/spreadsheets/d/1KK2Gk0v7qSg-tdyBI73crsdg5bq163NRRkpYHeQi_Y0/edit?gid=1996990278#gid=1996990278"",""2026-27!al4"")"),0.0)</f>
        <v>0</v>
      </c>
      <c r="CD119" s="59">
        <f>IFERROR(__xludf.DUMMYFUNCTION("importrange(""https://docs.google.com/spreadsheets/d/1KK2Gk0v7qSg-tdyBI73crsdg5bq163NRRkpYHeQi_Y0/edit?gid=1996990278#gid=1996990278"",""2026-27!ai3"")"),0.0)</f>
        <v>0</v>
      </c>
      <c r="CE119" s="63">
        <f t="shared" si="109"/>
        <v>0</v>
      </c>
      <c r="CF119" s="59">
        <f>IFERROR(__xludf.DUMMYFUNCTION("importrange(""https://docs.google.com/spreadsheets/d/1KK2Gk0v7qSg-tdyBI73crsdg5bq163NRRkpYHeQi_Y0/edit?gid=1996990278#gid=1996990278"",""2026-27!am4"")"),0.0)</f>
        <v>0</v>
      </c>
      <c r="CG119" s="59">
        <f>IFERROR(__xludf.DUMMYFUNCTION("importrange(""https://docs.google.com/spreadsheets/d/1KK2Gk0v7qSg-tdyBI73crsdg5bq163NRRkpYHeQi_Y0/edit?gid=1996990278#gid=1996990278"",""2026-27!am3"")"),0.0)</f>
        <v>0</v>
      </c>
      <c r="CH119" s="59">
        <f>IFERROR(__xludf.DUMMYFUNCTION("importrange(""https://docs.google.com/spreadsheets/d/1KK2Gk0v7qSg-tdyBI73crsdg5bq163NRRkpYHeQi_Y0/edit?gid=1996990278#gid=1996990278"",""2026-27!an4"")"),1379562.0)</f>
        <v>1379562</v>
      </c>
      <c r="CI119" s="59">
        <f>IFERROR(__xludf.DUMMYFUNCTION("importrange(""https://docs.google.com/spreadsheets/d/1KK2Gk0v7qSg-tdyBI73crsdg5bq163NRRkpYHeQi_Y0/edit?gid=1996990278#gid=1996990278"",""2026-27!an3"")"),31.0)</f>
        <v>31</v>
      </c>
      <c r="CJ119" s="59">
        <f>IFERROR(__xludf.DUMMYFUNCTION("importrange(""https://docs.google.com/spreadsheets/d/1KK2Gk0v7qSg-tdyBI73crsdg5bq163NRRkpYHeQi_Y0/edit?gid=1996990278#gid=1996990278"",""2026-27!ao4"")"),0.0)</f>
        <v>0</v>
      </c>
      <c r="CK119" s="59">
        <f>IFERROR(__xludf.DUMMYFUNCTION("importrange(""https://docs.google.com/spreadsheets/d/1KK2Gk0v7qSg-tdyBI73crsdg5bq163NRRkpYHeQi_Y0/edit?gid=1996990278#gid=1996990278"",""2026-27!ao3"")"),0.0)</f>
        <v>0</v>
      </c>
      <c r="CL119" s="63">
        <f t="shared" si="110"/>
        <v>0</v>
      </c>
      <c r="CM119" s="59">
        <f>IFERROR(__xludf.DUMMYFUNCTION("importrange(""https://docs.google.com/spreadsheets/d/1KK2Gk0v7qSg-tdyBI73crsdg5bq163NRRkpYHeQi_Y0/edit?gid=1996990278#gid=1996990278"",""2026-27!ap4"")"),0.0)</f>
        <v>0</v>
      </c>
      <c r="CN119" s="59">
        <f>IFERROR(__xludf.DUMMYFUNCTION("importrange(""https://docs.google.com/spreadsheets/d/1KK2Gk0v7qSg-tdyBI73crsdg5bq163NRRkpYHeQi_Y0/edit?gid=1996990278#gid=1996990278"",""2026-27!ap3"")"),0.0)</f>
        <v>0</v>
      </c>
      <c r="CO119" s="59">
        <f>IFERROR(__xludf.DUMMYFUNCTION("importrange(""https://docs.google.com/spreadsheets/d/1KK2Gk0v7qSg-tdyBI73crsdg5bq163NRRkpYHeQi_Y0/edit?gid=1996990278#gid=1996990278"",""2026-27!aq4"")"),1379562.0)</f>
        <v>1379562</v>
      </c>
      <c r="CP119" s="59">
        <f>IFERROR(__xludf.DUMMYFUNCTION("importrange(""https://docs.google.com/spreadsheets/d/1KK2Gk0v7qSg-tdyBI73crsdg5bq163NRRkpYHeQi_Y0/edit?gid=1996990278#gid=1996990278"",""2026-27!aq3"")"),31.0)</f>
        <v>31</v>
      </c>
      <c r="CQ119" s="59">
        <f>IFERROR(__xludf.DUMMYFUNCTION("importrange(""https://docs.google.com/spreadsheets/d/1KK2Gk0v7qSg-tdyBI73crsdg5bq163NRRkpYHeQi_Y0/edit?gid=1996990278#gid=1996990278"",""2026-27!ar4"")"),0.0)</f>
        <v>0</v>
      </c>
      <c r="CR119" s="59">
        <f>IFERROR(__xludf.DUMMYFUNCTION("importrange(""https://docs.google.com/spreadsheets/d/1KK2Gk0v7qSg-tdyBI73crsdg5bq163NRRkpYHeQi_Y0/edit?gid=1996990278#gid=1996990278"",""2026-27!ar3"")"),0.0)</f>
        <v>0</v>
      </c>
      <c r="CS119" s="63">
        <f t="shared" si="111"/>
        <v>0</v>
      </c>
      <c r="CT119" s="59">
        <f>IFERROR(__xludf.DUMMYFUNCTION("importrange(""https://docs.google.com/spreadsheets/d/1KK2Gk0v7qSg-tdyBI73crsdg5bq163NRRkpYHeQi_Y0/edit?gid=1996990278#gid=1996990278"",""2026-27!as4"")"),0.0)</f>
        <v>0</v>
      </c>
      <c r="CU119" s="59">
        <f>IFERROR(__xludf.DUMMYFUNCTION("importrange(""https://docs.google.com/spreadsheets/d/1KK2Gk0v7qSg-tdyBI73crsdg5bq163NRRkpYHeQi_Y0/edit?gid=1996990278#gid=1996990278"",""2026-27!as3"")"),0.0)</f>
        <v>0</v>
      </c>
      <c r="CV119" s="64"/>
    </row>
    <row r="120">
      <c r="A120" s="1" t="s">
        <v>160</v>
      </c>
      <c r="B120" s="41"/>
      <c r="C120" s="71" t="s">
        <v>236</v>
      </c>
      <c r="D120" s="69" t="s">
        <v>237</v>
      </c>
      <c r="E120" s="72">
        <v>9.679623472E9</v>
      </c>
      <c r="F120" s="84">
        <v>45637.0</v>
      </c>
      <c r="G120" s="66"/>
      <c r="H120" s="66"/>
      <c r="I120" s="74">
        <v>34090.0</v>
      </c>
      <c r="J120" s="58">
        <v>5000000.0</v>
      </c>
      <c r="K120" s="61">
        <f>IFERROR(__xludf.DUMMYFUNCTION("IMPORTRANGE(""https://docs.google.com/spreadsheets/d/1fpEWqgaINLyqNjSB3fo6ETWVUzJpnCYOX4eKClQfQmE/edit?gid=1996990278#gid=1996990278"",""2026-27!A3"")"),66.0)</f>
        <v>66</v>
      </c>
      <c r="L120" s="61">
        <f>IFERROR(__xludf.DUMMYFUNCTION("IMPORTRANGE(""https://docs.google.com/spreadsheets/d/1fpEWqgaINLyqNjSB3fo6ETWVUzJpnCYOX4eKClQfQmE/edit?gid=1996990278#gid=1996990278"",""2026-27!G4"")"),6.105E7)</f>
        <v>61050000</v>
      </c>
      <c r="M120" s="61">
        <f t="shared" si="97"/>
        <v>15050245.44</v>
      </c>
      <c r="N120" s="60">
        <f t="shared" si="98"/>
        <v>0.1807933333</v>
      </c>
      <c r="O120" s="61">
        <f t="shared" si="99"/>
        <v>11037433</v>
      </c>
      <c r="P120" s="59">
        <f>IFERROR(__xludf.DUMMYFUNCTION("IMPORTRANGE(""https://docs.google.com/spreadsheets/d/1fpEWqgaINLyqNjSB3fo6ETWVUzJpnCYOX4eKClQfQmE/edit?gid=1996990278#gid=1996990278"",""2026-27!J4"")"),3645000.0)</f>
        <v>3645000</v>
      </c>
      <c r="Q120" s="59">
        <f>IFERROR(__xludf.DUMMYFUNCTION("IMPORTRANGE(""https://docs.google.com/spreadsheets/d/1fpEWqgaINLyqNjSB3fo6ETWVUzJpnCYOX4eKClQfQmE/edit?gid=1996990278#gid=1996990278"",""2026-27!J3"")"),26.0)</f>
        <v>26</v>
      </c>
      <c r="R120" s="59">
        <f>IFERROR(__xludf.DUMMYFUNCTION("IMPORTRANGE(""https://docs.google.com/spreadsheets/d/1fpEWqgaINLyqNjSB3fo6ETWVUzJpnCYOX4eKClQfQmE/edit?gid=1996990278#gid=1996990278"",""2026-27!K4"")"),2774601.53)</f>
        <v>2774601.53</v>
      </c>
      <c r="S120" s="59">
        <f>IFERROR(__xludf.DUMMYFUNCTION("IMPORTRANGE(""https://docs.google.com/spreadsheets/d/1fpEWqgaINLyqNjSB3fo6ETWVUzJpnCYOX4eKClQfQmE/edit?gid=1996990278#gid=1996990278"",""2026-27!K3"")"),24.0)</f>
        <v>24</v>
      </c>
      <c r="T120" s="62">
        <f t="shared" si="100"/>
        <v>0.7659972565</v>
      </c>
      <c r="U120" s="59">
        <f>IFERROR(__xludf.DUMMYFUNCTION("IMPORTRANGE(""https://docs.google.com/spreadsheets/d/1fpEWqgaINLyqNjSB3fo6ETWVUzJpnCYOX4eKClQfQmE/edit?gid=1996990278#gid=1996990278"",""2026-27!L4"")"),2792060.0)</f>
        <v>2792060</v>
      </c>
      <c r="V120" s="85">
        <f>IFERROR(__xludf.DUMMYFUNCTION("IMPORTRANGE(""https://docs.google.com/spreadsheets/d/1fpEWqgaINLyqNjSB3fo6ETWVUzJpnCYOX4eKClQfQmE/edit?gid=1996990278#gid=1996990278"",""2026-27!L3"")"),27.0)</f>
        <v>27</v>
      </c>
      <c r="W120" s="59">
        <f>IFERROR(__xludf.DUMMYFUNCTION("IMPORTRANGE(""https://docs.google.com/spreadsheets/d/1fpEWqgaINLyqNjSB3fo6ETWVUzJpnCYOX4eKClQfQmE/edit?gid=1996990278#gid=1996990278"",""2026-27!M4"")"),5015000.0)</f>
        <v>5015000</v>
      </c>
      <c r="X120" s="85">
        <f>IFERROR(__xludf.DUMMYFUNCTION("IMPORTRANGE(""https://docs.google.com/spreadsheets/d/1fpEWqgaINLyqNjSB3fo6ETWVUzJpnCYOX4eKClQfQmE/edit?gid=1996990278#gid=1996990278"",""2026-27!M3"")"),44.0)</f>
        <v>44</v>
      </c>
      <c r="Y120" s="59">
        <f>IFERROR(__xludf.DUMMYFUNCTION("importrange(""https://docs.google.com/spreadsheets/d/1fpEWqgaINLyqNjSB3fo6ETWVUzJpnCYOX4eKClQfQmE/edit?gid=1996990278#gid=1996990278"",""2026-27!n4"")"),8512952.76)</f>
        <v>8512952.76</v>
      </c>
      <c r="Z120" s="59">
        <f>IFERROR(__xludf.DUMMYFUNCTION("importrange(""https://docs.google.com/spreadsheets/d/1fpEWqgaINLyqNjSB3fo6ETWVUzJpnCYOX4eKClQfQmE/edit?gid=1996990278#gid=1996990278"",""2026-27!n3"")"),22.0)</f>
        <v>22</v>
      </c>
      <c r="AA120" s="62">
        <f t="shared" si="101"/>
        <v>1.644142173</v>
      </c>
      <c r="AB120" s="59">
        <f>IFERROR(__xludf.DUMMYFUNCTION("importrange(""https://docs.google.com/spreadsheets/d/1fpEWqgaINLyqNjSB3fo6ETWVUzJpnCYOX4eKClQfQmE/edit?gid=1996990278#gid=1996990278"",""2026-27!o4"")"),8245373.0)</f>
        <v>8245373</v>
      </c>
      <c r="AC120" s="59">
        <f>IFERROR(__xludf.DUMMYFUNCTION("importrange(""https://docs.google.com/spreadsheets/d/1fpEWqgaINLyqNjSB3fo6ETWVUzJpnCYOX4eKClQfQmE/edit?gid=1996990278#gid=1996990278"",""2026-27!o3"")"),28.0)</f>
        <v>28</v>
      </c>
      <c r="AD120" s="59">
        <f>IFERROR(__xludf.DUMMYFUNCTION("importrange(""https://docs.google.com/spreadsheets/d/1fpEWqgaINLyqNjSB3fo6ETWVUzJpnCYOX4eKClQfQmE/edit?gid=1996990278#gid=1996990278"",""2026-27!p4"")"),4975000.0)</f>
        <v>4975000</v>
      </c>
      <c r="AE120" s="59">
        <f>IFERROR(__xludf.DUMMYFUNCTION("importrange(""https://docs.google.com/spreadsheets/d/1fpEWqgaINLyqNjSB3fo6ETWVUzJpnCYOX4eKClQfQmE/edit?gid=1996990278#gid=1996990278"",""2026-27!p3"")"),45.0)</f>
        <v>45</v>
      </c>
      <c r="AF120" s="59">
        <f>IFERROR(__xludf.DUMMYFUNCTION("importrange(""https://docs.google.com/spreadsheets/d/1fpEWqgaINLyqNjSB3fo6ETWVUzJpnCYOX4eKClQfQmE/edit?gid=1996990278#gid=1996990278"",""2026-27!q4"")"),3762691.1499999994)</f>
        <v>3762691.15</v>
      </c>
      <c r="AG120" s="59">
        <f>IFERROR(__xludf.DUMMYFUNCTION("importrange(""https://docs.google.com/spreadsheets/d/1fpEWqgaINLyqNjSB3fo6ETWVUzJpnCYOX4eKClQfQmE/edit?gid=1996990278#gid=1996990278"",""2026-27!q3"")"),29.0)</f>
        <v>29</v>
      </c>
      <c r="AH120" s="62">
        <f t="shared" si="102"/>
        <v>0</v>
      </c>
      <c r="AI120" s="59">
        <f>IFERROR(__xludf.DUMMYFUNCTION("importrange(""https://docs.google.com/spreadsheets/d/1fpEWqgaINLyqNjSB3fo6ETWVUzJpnCYOX4eKClQfQmE/edit?gid=1996990278#gid=1996990278"",""2026-27!r4"")"),0.0)</f>
        <v>0</v>
      </c>
      <c r="AJ120" s="59">
        <f>IFERROR(__xludf.DUMMYFUNCTION("importrange(""https://docs.google.com/spreadsheets/d/1fpEWqgaINLyqNjSB3fo6ETWVUzJpnCYOX4eKClQfQmE/edit?gid=1996990278#gid=1996990278"",""2026-27!r3"")"),0.0)</f>
        <v>0</v>
      </c>
      <c r="AK120" s="59">
        <f>IFERROR(__xludf.DUMMYFUNCTION("importrange(""https://docs.google.com/spreadsheets/d/1fpEWqgaINLyqNjSB3fo6ETWVUzJpnCYOX4eKClQfQmE/edit?gid=1996990278#gid=1996990278"",""2026-27!s4"")"),4940000.0)</f>
        <v>4940000</v>
      </c>
      <c r="AL120" s="59">
        <f>IFERROR(__xludf.DUMMYFUNCTION("importrange(""https://docs.google.com/spreadsheets/d/1fpEWqgaINLyqNjSB3fo6ETWVUzJpnCYOX4eKClQfQmE/edit?gid=1996990278#gid=1996990278"",""2026-27!s3"")"),45.0)</f>
        <v>45</v>
      </c>
      <c r="AM120" s="61">
        <f>IFERROR(__xludf.DUMMYFUNCTION("importrange(""https://docs.google.com/spreadsheets/d/1fpEWqgaINLyqNjSB3fo6ETWVUzJpnCYOX4eKClQfQmE/edit?gid=1996990278#gid=1996990278"",""2026-27!t4"")"),0.0)</f>
        <v>0</v>
      </c>
      <c r="AN120" s="59">
        <f>IFERROR(__xludf.DUMMYFUNCTION("importrange(""https://docs.google.com/spreadsheets/d/1fpEWqgaINLyqNjSB3fo6ETWVUzJpnCYOX4eKClQfQmE/edit?gid=1996990278#gid=1996990278"",""2026-27!t3"")"),0.0)</f>
        <v>0</v>
      </c>
      <c r="AO120" s="62">
        <f t="shared" si="103"/>
        <v>0</v>
      </c>
      <c r="AP120" s="59">
        <f>IFERROR(__xludf.DUMMYFUNCTION("importrange(""https://docs.google.com/spreadsheets/d/1fpEWqgaINLyqNjSB3fo6ETWVUzJpnCYOX4eKClQfQmE/edit?gid=1996990278#gid=1996990278"",""2026-27!u4"")"),0.0)</f>
        <v>0</v>
      </c>
      <c r="AQ120" s="59">
        <f>IFERROR(__xludf.DUMMYFUNCTION("importrange(""https://docs.google.com/spreadsheets/d/1fpEWqgaINLyqNjSB3fo6ETWVUzJpnCYOX4eKClQfQmE/edit?gid=1996990278#gid=1996990278"",""2026-27!u3"")"),0.0)</f>
        <v>0</v>
      </c>
      <c r="AR120" s="59">
        <f>IFERROR(__xludf.DUMMYFUNCTION("importrange(""https://docs.google.com/spreadsheets/d/1fpEWqgaINLyqNjSB3fo6ETWVUzJpnCYOX4eKClQfQmE/edit?gid=1996990278#gid=1996990278"",""2026-27!v4"")"),5070000.0)</f>
        <v>5070000</v>
      </c>
      <c r="AS120" s="59">
        <f>IFERROR(__xludf.DUMMYFUNCTION("importrange(""https://docs.google.com/spreadsheets/d/1fpEWqgaINLyqNjSB3fo6ETWVUzJpnCYOX4eKClQfQmE/edit?gid=1996990278#gid=1996990278"",""2026-27!v3"")"),43.0)</f>
        <v>43</v>
      </c>
      <c r="AT120" s="61">
        <f>IFERROR(__xludf.DUMMYFUNCTION("importrange(""https://docs.google.com/spreadsheets/d/1fpEWqgaINLyqNjSB3fo6ETWVUzJpnCYOX4eKClQfQmE/edit?gid=1996990278#gid=1996990278"",""2026-27!w4"")"),0.0)</f>
        <v>0</v>
      </c>
      <c r="AU120" s="59">
        <f>IFERROR(__xludf.DUMMYFUNCTION("importrange(""https://docs.google.com/spreadsheets/d/1fpEWqgaINLyqNjSB3fo6ETWVUzJpnCYOX4eKClQfQmE/edit?gid=1996990278#gid=1996990278"",""2026-27!w3"")"),0.0)</f>
        <v>0</v>
      </c>
      <c r="AV120" s="62">
        <f t="shared" si="104"/>
        <v>0</v>
      </c>
      <c r="AW120" s="59">
        <f>IFERROR(__xludf.DUMMYFUNCTION("importrange(""https://docs.google.com/spreadsheets/d/1fpEWqgaINLyqNjSB3fo6ETWVUzJpnCYOX4eKClQfQmE/edit?gid=1996990278#gid=1996990278"",""2026-27!x4"")"),0.0)</f>
        <v>0</v>
      </c>
      <c r="AX120" s="59">
        <f>IFERROR(__xludf.DUMMYFUNCTION("importrange(""https://docs.google.com/spreadsheets/d/1fpEWqgaINLyqNjSB3fo6ETWVUzJpnCYOX4eKClQfQmE/edit?gid=1996990278#gid=1996990278"",""2026-27!x3"")"),0.0)</f>
        <v>0</v>
      </c>
      <c r="AY120" s="59">
        <f>IFERROR(__xludf.DUMMYFUNCTION("importrange(""https://docs.google.com/spreadsheets/d/1fpEWqgaINLyqNjSB3fo6ETWVUzJpnCYOX4eKClQfQmE/edit?gid=1996990278#gid=1996990278"",""2026-27!y4"")"),5045000.0)</f>
        <v>5045000</v>
      </c>
      <c r="AZ120" s="59">
        <f>IFERROR(__xludf.DUMMYFUNCTION("importrange(""https://docs.google.com/spreadsheets/d/1fpEWqgaINLyqNjSB3fo6ETWVUzJpnCYOX4eKClQfQmE/edit?gid=1996990278#gid=1996990278"",""2026-27!y3"")"),44.0)</f>
        <v>44</v>
      </c>
      <c r="BA120" s="61">
        <f>IFERROR(__xludf.DUMMYFUNCTION("importrange(""https://docs.google.com/spreadsheets/d/1fpEWqgaINLyqNjSB3fo6ETWVUzJpnCYOX4eKClQfQmE/edit?gid=1996990278#gid=1996990278"",""2026-27!z4"")"),0.0)</f>
        <v>0</v>
      </c>
      <c r="BB120" s="59">
        <f>IFERROR(__xludf.DUMMYFUNCTION("importrange(""https://docs.google.com/spreadsheets/d/1fpEWqgaINLyqNjSB3fo6ETWVUzJpnCYOX4eKClQfQmE/edit?gid=1996990278#gid=1996990278"",""2026-27!z3"")"),0.0)</f>
        <v>0</v>
      </c>
      <c r="BC120" s="63">
        <f t="shared" si="105"/>
        <v>0</v>
      </c>
      <c r="BD120" s="59">
        <f>IFERROR(__xludf.DUMMYFUNCTION("importrange(""https://docs.google.com/spreadsheets/d/1fpEWqgaINLyqNjSB3fo6ETWVUzJpnCYOX4eKClQfQmE/edit?gid=1996990278#gid=1996990278"",""2026-27!aa4"")"),0.0)</f>
        <v>0</v>
      </c>
      <c r="BE120" s="59">
        <f>IFERROR(__xludf.DUMMYFUNCTION("importrange(""https://docs.google.com/spreadsheets/d/1fpEWqgaINLyqNjSB3fo6ETWVUzJpnCYOX4eKClQfQmE/edit?gid=1996990278#gid=1996990278"",""2026-27!aa3"")"),0.0)</f>
        <v>0</v>
      </c>
      <c r="BF120" s="59">
        <f>IFERROR(__xludf.DUMMYFUNCTION("importrange(""https://docs.google.com/spreadsheets/d/1fpEWqgaINLyqNjSB3fo6ETWVUzJpnCYOX4eKClQfQmE/edit?gid=1996990278#gid=1996990278"",""2026-27!ab4"")"),5070000.0)</f>
        <v>5070000</v>
      </c>
      <c r="BG120" s="59">
        <f>IFERROR(__xludf.DUMMYFUNCTION("importrange(""https://docs.google.com/spreadsheets/d/1fpEWqgaINLyqNjSB3fo6ETWVUzJpnCYOX4eKClQfQmE/edit?gid=1996990278#gid=1996990278"",""2026-27!ab3"")"),42.0)</f>
        <v>42</v>
      </c>
      <c r="BH120" s="59">
        <f>IFERROR(__xludf.DUMMYFUNCTION("importrange(""https://docs.google.com/spreadsheets/d/1fpEWqgaINLyqNjSB3fo6ETWVUzJpnCYOX4eKClQfQmE/edit?gid=1996990278#gid=1996990278"",""2026-27!ac4"")"),0.0)</f>
        <v>0</v>
      </c>
      <c r="BI120" s="59">
        <f>IFERROR(__xludf.DUMMYFUNCTION("importrange(""https://docs.google.com/spreadsheets/d/1fpEWqgaINLyqNjSB3fo6ETWVUzJpnCYOX4eKClQfQmE/edit?gid=1996990278#gid=1996990278"",""2026-27!ac3"")"),0.0)</f>
        <v>0</v>
      </c>
      <c r="BJ120" s="63">
        <f t="shared" si="106"/>
        <v>0</v>
      </c>
      <c r="BK120" s="59">
        <f>IFERROR(__xludf.DUMMYFUNCTION("importrange(""https://docs.google.com/spreadsheets/d/1fpEWqgaINLyqNjSB3fo6ETWVUzJpnCYOX4eKClQfQmE/edit?gid=1996990278#gid=1996990278"",""2026-27!ad4"")"),0.0)</f>
        <v>0</v>
      </c>
      <c r="BL120" s="59">
        <f>IFERROR(__xludf.DUMMYFUNCTION("importrange(""https://docs.google.com/spreadsheets/d/1fpEWqgaINLyqNjSB3fo6ETWVUzJpnCYOX4eKClQfQmE/edit?gid=1996990278#gid=1996990278"",""2026-27!ad3"")"),0.0)</f>
        <v>0</v>
      </c>
      <c r="BM120" s="59">
        <f>IFERROR(__xludf.DUMMYFUNCTION("importrange(""https://docs.google.com/spreadsheets/d/1fpEWqgaINLyqNjSB3fo6ETWVUzJpnCYOX4eKClQfQmE/edit?gid=1996990278#gid=1996990278"",""2026-27!ae4"")"),4990000.0)</f>
        <v>4990000</v>
      </c>
      <c r="BN120" s="59">
        <f>IFERROR(__xludf.DUMMYFUNCTION("importrange(""https://docs.google.com/spreadsheets/d/1fpEWqgaINLyqNjSB3fo6ETWVUzJpnCYOX4eKClQfQmE/edit?gid=1996990278#gid=1996990278"",""2026-27!ae3"")"),49.0)</f>
        <v>49</v>
      </c>
      <c r="BO120" s="59">
        <f>IFERROR(__xludf.DUMMYFUNCTION("importrange(""https://docs.google.com/spreadsheets/d/1fpEWqgaINLyqNjSB3fo6ETWVUzJpnCYOX4eKClQfQmE/edit?gid=1996990278#gid=1996990278"",""2026-27!af4"")"),0.0)</f>
        <v>0</v>
      </c>
      <c r="BP120" s="59">
        <f>IFERROR(__xludf.DUMMYFUNCTION("importrange(""https://docs.google.com/spreadsheets/d/1fpEWqgaINLyqNjSB3fo6ETWVUzJpnCYOX4eKClQfQmE/edit?gid=1996990278#gid=1996990278"",""2026-27!af3"")"),0.0)</f>
        <v>0</v>
      </c>
      <c r="BQ120" s="63">
        <f t="shared" si="107"/>
        <v>0</v>
      </c>
      <c r="BR120" s="59">
        <f>IFERROR(__xludf.DUMMYFUNCTION("importrange(""https://docs.google.com/spreadsheets/d/1fpEWqgaINLyqNjSB3fo6ETWVUzJpnCYOX4eKClQfQmE/edit?gid=1996990278#gid=1996990278"",""2026-27!ag4"")"),0.0)</f>
        <v>0</v>
      </c>
      <c r="BS120" s="59">
        <f>IFERROR(__xludf.DUMMYFUNCTION("importrange(""https://docs.google.com/spreadsheets/d/1fpEWqgaINLyqNjSB3fo6ETWVUzJpnCYOX4eKClQfQmE/edit?gid=1996990278#gid=1996990278"",""2026-27!ag3"")"),0.0)</f>
        <v>0</v>
      </c>
      <c r="BT120" s="59">
        <f>IFERROR(__xludf.DUMMYFUNCTION("importrange(""https://docs.google.com/spreadsheets/d/1fpEWqgaINLyqNjSB3fo6ETWVUzJpnCYOX4eKClQfQmE/edit?gid=1996990278#gid=1996990278"",""2026-27!ah4"")"),5250000.0)</f>
        <v>5250000</v>
      </c>
      <c r="BU120" s="59">
        <f>IFERROR(__xludf.DUMMYFUNCTION("importrange(""https://docs.google.com/spreadsheets/d/1fpEWqgaINLyqNjSB3fo6ETWVUzJpnCYOX4eKClQfQmE/edit?gid=1996990278#gid=1996990278"",""2026-27!ah3"")"),48.0)</f>
        <v>48</v>
      </c>
      <c r="BV120" s="59">
        <f>IFERROR(__xludf.DUMMYFUNCTION("importrange(""https://docs.google.com/spreadsheets/d/1fpEWqgaINLyqNjSB3fo6ETWVUzJpnCYOX4eKClQfQmE/edit?gid=1996990278#gid=1996990278"",""2026-27!ai4"")"),0.0)</f>
        <v>0</v>
      </c>
      <c r="BW120" s="59">
        <f>IFERROR(__xludf.DUMMYFUNCTION("importrange(""https://docs.google.com/spreadsheets/d/1fpEWqgaINLyqNjSB3fo6ETWVUzJpnCYOX4eKClQfQmE/edit?gid=1996990278#gid=1996990278"",""2026-27!ai3"")"),0.0)</f>
        <v>0</v>
      </c>
      <c r="BX120" s="63">
        <f t="shared" si="108"/>
        <v>0</v>
      </c>
      <c r="BY120" s="59">
        <f>IFERROR(__xludf.DUMMYFUNCTION("importrange(""https://docs.google.com/spreadsheets/d/1fpEWqgaINLyqNjSB3fo6ETWVUzJpnCYOX4eKClQfQmE/edit?gid=1996990278#gid=1996990278"",""2026-27!aj4"")"),0.0)</f>
        <v>0</v>
      </c>
      <c r="BZ120" s="59">
        <f>IFERROR(__xludf.DUMMYFUNCTION("importrange(""https://docs.google.com/spreadsheets/d/1fpEWqgaINLyqNjSB3fo6ETWVUzJpnCYOX4eKClQfQmE/edit?gid=1996990278#gid=1996990278"",""2026-27!aj3"")"),0.0)</f>
        <v>0</v>
      </c>
      <c r="CA120" s="59">
        <f>IFERROR(__xludf.DUMMYFUNCTION("importrange(""https://docs.google.com/spreadsheets/d/1fpEWqgaINLyqNjSB3fo6ETWVUzJpnCYOX4eKClQfQmE/edit?gid=1996990278#gid=1996990278"",""2026-27!ak4"")"),4975000.0)</f>
        <v>4975000</v>
      </c>
      <c r="CB120" s="59">
        <f>IFERROR(__xludf.DUMMYFUNCTION("importrange(""https://docs.google.com/spreadsheets/d/1fpEWqgaINLyqNjSB3fo6ETWVUzJpnCYOX4eKClQfQmE/edit?gid=1996990278#gid=1996990278"",""2026-27!ak3"")"),47.0)</f>
        <v>47</v>
      </c>
      <c r="CC120" s="59">
        <f>IFERROR(__xludf.DUMMYFUNCTION("importrange(""https://docs.google.com/spreadsheets/d/1fpEWqgaINLyqNjSB3fo6ETWVUzJpnCYOX4eKClQfQmE/edit?gid=1996990278#gid=1996990278"",""2026-27!al4"")"),0.0)</f>
        <v>0</v>
      </c>
      <c r="CD120" s="59">
        <f>IFERROR(__xludf.DUMMYFUNCTION("importrange(""https://docs.google.com/spreadsheets/d/1fpEWqgaINLyqNjSB3fo6ETWVUzJpnCYOX4eKClQfQmE/edit?gid=1996990278#gid=1996990278"",""2026-27!ai3"")"),0.0)</f>
        <v>0</v>
      </c>
      <c r="CE120" s="63">
        <f t="shared" si="109"/>
        <v>0</v>
      </c>
      <c r="CF120" s="59">
        <f>IFERROR(__xludf.DUMMYFUNCTION("importrange(""https://docs.google.com/spreadsheets/d/1fpEWqgaINLyqNjSB3fo6ETWVUzJpnCYOX4eKClQfQmE/edit?gid=1996990278#gid=1996990278"",""2026-27!am4"")"),0.0)</f>
        <v>0</v>
      </c>
      <c r="CG120" s="59">
        <f>IFERROR(__xludf.DUMMYFUNCTION("importrange(""https://docs.google.com/spreadsheets/d/1fpEWqgaINLyqNjSB3fo6ETWVUzJpnCYOX4eKClQfQmE/edit?gid=1996990278#gid=1996990278"",""2026-27!am3"")"),0.0)</f>
        <v>0</v>
      </c>
      <c r="CH120" s="59">
        <f>IFERROR(__xludf.DUMMYFUNCTION("importrange(""https://docs.google.com/spreadsheets/d/1fpEWqgaINLyqNjSB3fo6ETWVUzJpnCYOX4eKClQfQmE/edit?gid=1996990278#gid=1996990278"",""2026-27!an4"")"),5050000.0)</f>
        <v>5050000</v>
      </c>
      <c r="CI120" s="59">
        <f>IFERROR(__xludf.DUMMYFUNCTION("importrange(""https://docs.google.com/spreadsheets/d/1fpEWqgaINLyqNjSB3fo6ETWVUzJpnCYOX4eKClQfQmE/edit?gid=1996990278#gid=1996990278"",""2026-27!an3"")"),50.0)</f>
        <v>50</v>
      </c>
      <c r="CJ120" s="59">
        <f>IFERROR(__xludf.DUMMYFUNCTION("importrange(""https://docs.google.com/spreadsheets/d/1fpEWqgaINLyqNjSB3fo6ETWVUzJpnCYOX4eKClQfQmE/edit?gid=1996990278#gid=1996990278"",""2026-27!ao4"")"),0.0)</f>
        <v>0</v>
      </c>
      <c r="CK120" s="59">
        <f>IFERROR(__xludf.DUMMYFUNCTION("importrange(""https://docs.google.com/spreadsheets/d/1fpEWqgaINLyqNjSB3fo6ETWVUzJpnCYOX4eKClQfQmE/edit?gid=1996990278#gid=1996990278"",""2026-27!ao3"")"),0.0)</f>
        <v>0</v>
      </c>
      <c r="CL120" s="63">
        <f t="shared" si="110"/>
        <v>0</v>
      </c>
      <c r="CM120" s="59">
        <f>IFERROR(__xludf.DUMMYFUNCTION("importrange(""https://docs.google.com/spreadsheets/d/1fpEWqgaINLyqNjSB3fo6ETWVUzJpnCYOX4eKClQfQmE/edit?gid=1996990278#gid=1996990278"",""2026-27!ap4"")"),0.0)</f>
        <v>0</v>
      </c>
      <c r="CN120" s="59">
        <f>IFERROR(__xludf.DUMMYFUNCTION("importrange(""https://docs.google.com/spreadsheets/d/1fpEWqgaINLyqNjSB3fo6ETWVUzJpnCYOX4eKClQfQmE/edit?gid=1996990278#gid=1996990278"",""2026-27!ap3"")"),0.0)</f>
        <v>0</v>
      </c>
      <c r="CO120" s="59">
        <f>IFERROR(__xludf.DUMMYFUNCTION("importrange(""https://docs.google.com/spreadsheets/d/1fpEWqgaINLyqNjSB3fo6ETWVUzJpnCYOX4eKClQfQmE/edit?gid=1996990278#gid=1996990278"",""2026-27!aq4"")"),6250000.0)</f>
        <v>6250000</v>
      </c>
      <c r="CP120" s="59">
        <f>IFERROR(__xludf.DUMMYFUNCTION("importrange(""https://docs.google.com/spreadsheets/d/1fpEWqgaINLyqNjSB3fo6ETWVUzJpnCYOX4eKClQfQmE/edit?gid=1996990278#gid=1996990278"",""2026-27!aq3"")"),52.0)</f>
        <v>52</v>
      </c>
      <c r="CQ120" s="59">
        <f>IFERROR(__xludf.DUMMYFUNCTION("importrange(""https://docs.google.com/spreadsheets/d/1fpEWqgaINLyqNjSB3fo6ETWVUzJpnCYOX4eKClQfQmE/edit?gid=1996990278#gid=1996990278"",""2026-27!ar4"")"),0.0)</f>
        <v>0</v>
      </c>
      <c r="CR120" s="59">
        <f>IFERROR(__xludf.DUMMYFUNCTION("importrange(""https://docs.google.com/spreadsheets/d/1fpEWqgaINLyqNjSB3fo6ETWVUzJpnCYOX4eKClQfQmE/edit?gid=1996990278#gid=1996990278"",""2026-27!ar3"")"),0.0)</f>
        <v>0</v>
      </c>
      <c r="CS120" s="63">
        <f t="shared" si="111"/>
        <v>0</v>
      </c>
      <c r="CT120" s="59">
        <f>IFERROR(__xludf.DUMMYFUNCTION("importrange(""https://docs.google.com/spreadsheets/d/1fpEWqgaINLyqNjSB3fo6ETWVUzJpnCYOX4eKClQfQmE/edit?gid=1996990278#gid=1996990278"",""2026-27!as4"")"),0.0)</f>
        <v>0</v>
      </c>
      <c r="CU120" s="59">
        <f>IFERROR(__xludf.DUMMYFUNCTION("importrange(""https://docs.google.com/spreadsheets/d/1fpEWqgaINLyqNjSB3fo6ETWVUzJpnCYOX4eKClQfQmE/edit?gid=1996990278#gid=1996990278"",""2026-27!as3"")"),0.0)</f>
        <v>0</v>
      </c>
      <c r="CV120" s="64"/>
    </row>
    <row r="121">
      <c r="A121" s="1" t="s">
        <v>160</v>
      </c>
      <c r="B121" s="41"/>
      <c r="C121" s="71" t="s">
        <v>238</v>
      </c>
      <c r="D121" s="69" t="s">
        <v>239</v>
      </c>
      <c r="E121" s="72">
        <v>9.122007206E9</v>
      </c>
      <c r="F121" s="84">
        <v>45639.0</v>
      </c>
      <c r="G121" s="66"/>
      <c r="H121" s="66"/>
      <c r="I121" s="74">
        <v>33570.0</v>
      </c>
      <c r="J121" s="58">
        <v>2666667.0</v>
      </c>
      <c r="K121" s="61">
        <f>IFERROR(__xludf.DUMMYFUNCTION("IMPORTRANGE(""https://docs.google.com/spreadsheets/d/1jb97tsNPP32qu8ow9340R_Kgg7aVZi6E-LN-1JUDVf8/edit?gid=1996990278#gid=1996990278"",""2026-27!A3"")"),88.0)</f>
        <v>88</v>
      </c>
      <c r="L121" s="61">
        <f>IFERROR(__xludf.DUMMYFUNCTION("IMPORTRANGE(""https://docs.google.com/spreadsheets/d/1jb97tsNPP32qu8ow9340R_Kgg7aVZi6E-LN-1JUDVf8/edit?gid=1996990278#gid=1996990278"",""2026-27!G4"")"),3.35E7)</f>
        <v>33500000</v>
      </c>
      <c r="M121" s="61">
        <f t="shared" si="97"/>
        <v>6503661.68</v>
      </c>
      <c r="N121" s="60">
        <f t="shared" si="98"/>
        <v>0.1838649791</v>
      </c>
      <c r="O121" s="61">
        <f t="shared" si="99"/>
        <v>6159476.8</v>
      </c>
      <c r="P121" s="59">
        <f>IFERROR(__xludf.DUMMYFUNCTION("IMPORTRANGE(""https://docs.google.com/spreadsheets/d/1jb97tsNPP32qu8ow9340R_Kgg7aVZi6E-LN-1JUDVf8/edit?gid=1996990278#gid=1996990278"",""2026-27!J4"")"),2804154.0)</f>
        <v>2804154</v>
      </c>
      <c r="Q121" s="59">
        <f>IFERROR(__xludf.DUMMYFUNCTION("IMPORTRANGE(""https://docs.google.com/spreadsheets/d/1jb97tsNPP32qu8ow9340R_Kgg7aVZi6E-LN-1JUDVf8/edit?gid=1996990278#gid=1996990278"",""2026-27!J3"")"),58.0)</f>
        <v>58</v>
      </c>
      <c r="R121" s="59">
        <f>IFERROR(__xludf.DUMMYFUNCTION("IMPORTRANGE(""https://docs.google.com/spreadsheets/d/1jb97tsNPP32qu8ow9340R_Kgg7aVZi6E-LN-1JUDVf8/edit?gid=1996990278#gid=1996990278"",""2026-27!K4"")"),1441576.72)</f>
        <v>1441576.72</v>
      </c>
      <c r="S121" s="59">
        <f>IFERROR(__xludf.DUMMYFUNCTION("IMPORTRANGE(""https://docs.google.com/spreadsheets/d/1jb97tsNPP32qu8ow9340R_Kgg7aVZi6E-LN-1JUDVf8/edit?gid=1996990278#gid=1996990278"",""2026-27!K3"")"),18.0)</f>
        <v>18</v>
      </c>
      <c r="T121" s="62">
        <f t="shared" si="100"/>
        <v>0.5216321928</v>
      </c>
      <c r="U121" s="59">
        <f>IFERROR(__xludf.DUMMYFUNCTION("IMPORTRANGE(""https://docs.google.com/spreadsheets/d/1jb97tsNPP32qu8ow9340R_Kgg7aVZi6E-LN-1JUDVf8/edit?gid=1996990278#gid=1996990278"",""2026-27!L4"")"),1462737.0)</f>
        <v>1462737</v>
      </c>
      <c r="V121" s="85">
        <f>IFERROR(__xludf.DUMMYFUNCTION("IMPORTRANGE(""https://docs.google.com/spreadsheets/d/1jb97tsNPP32qu8ow9340R_Kgg7aVZi6E-LN-1JUDVf8/edit?gid=1996990278#gid=1996990278"",""2026-27!L3"")"),25.0)</f>
        <v>25</v>
      </c>
      <c r="W121" s="59">
        <f>IFERROR(__xludf.DUMMYFUNCTION("IMPORTRANGE(""https://docs.google.com/spreadsheets/d/1jb97tsNPP32qu8ow9340R_Kgg7aVZi6E-LN-1JUDVf8/edit?gid=1996990278#gid=1996990278"",""2026-27!M4"")"),2804154.0)</f>
        <v>2804154</v>
      </c>
      <c r="X121" s="85">
        <f>IFERROR(__xludf.DUMMYFUNCTION("IMPORTRANGE(""https://docs.google.com/spreadsheets/d/1jb97tsNPP32qu8ow9340R_Kgg7aVZi6E-LN-1JUDVf8/edit?gid=1996990278#gid=1996990278"",""2026-27!M3"")"),58.0)</f>
        <v>58</v>
      </c>
      <c r="Y121" s="59">
        <f>IFERROR(__xludf.DUMMYFUNCTION("importrange(""https://docs.google.com/spreadsheets/d/1jb97tsNPP32qu8ow9340R_Kgg7aVZi6E-LN-1JUDVf8/edit?gid=1996990278#gid=1996990278"",""2026-27!n4"")"),2352614.4000000004)</f>
        <v>2352614.4</v>
      </c>
      <c r="Z121" s="59">
        <f>IFERROR(__xludf.DUMMYFUNCTION("importrange(""https://docs.google.com/spreadsheets/d/1jb97tsNPP32qu8ow9340R_Kgg7aVZi6E-LN-1JUDVf8/edit?gid=1996990278#gid=1996990278"",""2026-27!n3"")"),26.0)</f>
        <v>26</v>
      </c>
      <c r="AA121" s="62">
        <f t="shared" si="101"/>
        <v>0.7283483717</v>
      </c>
      <c r="AB121" s="59">
        <f>IFERROR(__xludf.DUMMYFUNCTION("importrange(""https://docs.google.com/spreadsheets/d/1jb97tsNPP32qu8ow9340R_Kgg7aVZi6E-LN-1JUDVf8/edit?gid=1996990278#gid=1996990278"",""2026-27!o4"")"),2042401.0)</f>
        <v>2042401</v>
      </c>
      <c r="AC121" s="59">
        <f>IFERROR(__xludf.DUMMYFUNCTION("importrange(""https://docs.google.com/spreadsheets/d/1jb97tsNPP32qu8ow9340R_Kgg7aVZi6E-LN-1JUDVf8/edit?gid=1996990278#gid=1996990278"",""2026-27!o3"")"),36.0)</f>
        <v>36</v>
      </c>
      <c r="AD121" s="59">
        <f>IFERROR(__xludf.DUMMYFUNCTION("importrange(""https://docs.google.com/spreadsheets/d/1jb97tsNPP32qu8ow9340R_Kgg7aVZi6E-LN-1JUDVf8/edit?gid=1996990278#gid=1996990278"",""2026-27!p4"")"),2804154.0)</f>
        <v>2804154</v>
      </c>
      <c r="AE121" s="59">
        <f>IFERROR(__xludf.DUMMYFUNCTION("importrange(""https://docs.google.com/spreadsheets/d/1jb97tsNPP32qu8ow9340R_Kgg7aVZi6E-LN-1JUDVf8/edit?gid=1996990278#gid=1996990278"",""2026-27!p3"")"),58.0)</f>
        <v>58</v>
      </c>
      <c r="AF121" s="59">
        <f>IFERROR(__xludf.DUMMYFUNCTION("importrange(""https://docs.google.com/spreadsheets/d/1jb97tsNPP32qu8ow9340R_Kgg7aVZi6E-LN-1JUDVf8/edit?gid=1996990278#gid=1996990278"",""2026-27!q4"")"),2709470.56)</f>
        <v>2709470.56</v>
      </c>
      <c r="AG121" s="59">
        <f>IFERROR(__xludf.DUMMYFUNCTION("importrange(""https://docs.google.com/spreadsheets/d/1jb97tsNPP32qu8ow9340R_Kgg7aVZi6E-LN-1JUDVf8/edit?gid=1996990278#gid=1996990278"",""2026-27!q3"")"),29.0)</f>
        <v>29</v>
      </c>
      <c r="AH121" s="62">
        <f t="shared" si="102"/>
        <v>0.946573833</v>
      </c>
      <c r="AI121" s="59">
        <f>IFERROR(__xludf.DUMMYFUNCTION("importrange(""https://docs.google.com/spreadsheets/d/1jb97tsNPP32qu8ow9340R_Kgg7aVZi6E-LN-1JUDVf8/edit?gid=1996990278#gid=1996990278"",""2026-27!r4"")"),2654338.8)</f>
        <v>2654338.8</v>
      </c>
      <c r="AJ121" s="59">
        <f>IFERROR(__xludf.DUMMYFUNCTION("importrange(""https://docs.google.com/spreadsheets/d/1jb97tsNPP32qu8ow9340R_Kgg7aVZi6E-LN-1JUDVf8/edit?gid=1996990278#gid=1996990278"",""2026-27!r3"")"),33.0)</f>
        <v>33</v>
      </c>
      <c r="AK121" s="59">
        <f>IFERROR(__xludf.DUMMYFUNCTION("importrange(""https://docs.google.com/spreadsheets/d/1jb97tsNPP32qu8ow9340R_Kgg7aVZi6E-LN-1JUDVf8/edit?gid=1996990278#gid=1996990278"",""2026-27!s4"")"),2804154.0)</f>
        <v>2804154</v>
      </c>
      <c r="AL121" s="59">
        <f>IFERROR(__xludf.DUMMYFUNCTION("importrange(""https://docs.google.com/spreadsheets/d/1jb97tsNPP32qu8ow9340R_Kgg7aVZi6E-LN-1JUDVf8/edit?gid=1996990278#gid=1996990278"",""2026-27!s3"")"),58.0)</f>
        <v>58</v>
      </c>
      <c r="AM121" s="61">
        <f>IFERROR(__xludf.DUMMYFUNCTION("importrange(""https://docs.google.com/spreadsheets/d/1jb97tsNPP32qu8ow9340R_Kgg7aVZi6E-LN-1JUDVf8/edit?gid=1996990278#gid=1996990278"",""2026-27!t4"")"),0.0)</f>
        <v>0</v>
      </c>
      <c r="AN121" s="59">
        <f>IFERROR(__xludf.DUMMYFUNCTION("importrange(""https://docs.google.com/spreadsheets/d/1jb97tsNPP32qu8ow9340R_Kgg7aVZi6E-LN-1JUDVf8/edit?gid=1996990278#gid=1996990278"",""2026-27!t3"")"),0.0)</f>
        <v>0</v>
      </c>
      <c r="AO121" s="62">
        <f t="shared" si="103"/>
        <v>0</v>
      </c>
      <c r="AP121" s="59">
        <f>IFERROR(__xludf.DUMMYFUNCTION("importrange(""https://docs.google.com/spreadsheets/d/1jb97tsNPP32qu8ow9340R_Kgg7aVZi6E-LN-1JUDVf8/edit?gid=1996990278#gid=1996990278"",""2026-27!u4"")"),0.0)</f>
        <v>0</v>
      </c>
      <c r="AQ121" s="59">
        <f>IFERROR(__xludf.DUMMYFUNCTION("importrange(""https://docs.google.com/spreadsheets/d/1jb97tsNPP32qu8ow9340R_Kgg7aVZi6E-LN-1JUDVf8/edit?gid=1996990278#gid=1996990278"",""2026-27!u3"")"),0.0)</f>
        <v>0</v>
      </c>
      <c r="AR121" s="59">
        <f>IFERROR(__xludf.DUMMYFUNCTION("importrange(""https://docs.google.com/spreadsheets/d/1jb97tsNPP32qu8ow9340R_Kgg7aVZi6E-LN-1JUDVf8/edit?gid=1996990278#gid=1996990278"",""2026-27!v4"")"),2804154.0)</f>
        <v>2804154</v>
      </c>
      <c r="AS121" s="59">
        <f>IFERROR(__xludf.DUMMYFUNCTION("importrange(""https://docs.google.com/spreadsheets/d/1jb97tsNPP32qu8ow9340R_Kgg7aVZi6E-LN-1JUDVf8/edit?gid=1996990278#gid=1996990278"",""2026-27!v3"")"),58.0)</f>
        <v>58</v>
      </c>
      <c r="AT121" s="61">
        <f>IFERROR(__xludf.DUMMYFUNCTION("importrange(""https://docs.google.com/spreadsheets/d/1jb97tsNPP32qu8ow9340R_Kgg7aVZi6E-LN-1JUDVf8/edit?gid=1996990278#gid=1996990278"",""2026-27!w4"")"),0.0)</f>
        <v>0</v>
      </c>
      <c r="AU121" s="59">
        <f>IFERROR(__xludf.DUMMYFUNCTION("importrange(""https://docs.google.com/spreadsheets/d/1jb97tsNPP32qu8ow9340R_Kgg7aVZi6E-LN-1JUDVf8/edit?gid=1996990278#gid=1996990278"",""2026-27!w3"")"),0.0)</f>
        <v>0</v>
      </c>
      <c r="AV121" s="62">
        <f t="shared" si="104"/>
        <v>0</v>
      </c>
      <c r="AW121" s="59">
        <f>IFERROR(__xludf.DUMMYFUNCTION("importrange(""https://docs.google.com/spreadsheets/d/1jb97tsNPP32qu8ow9340R_Kgg7aVZi6E-LN-1JUDVf8/edit?gid=1996990278#gid=1996990278"",""2026-27!x4"")"),0.0)</f>
        <v>0</v>
      </c>
      <c r="AX121" s="59">
        <f>IFERROR(__xludf.DUMMYFUNCTION("importrange(""https://docs.google.com/spreadsheets/d/1jb97tsNPP32qu8ow9340R_Kgg7aVZi6E-LN-1JUDVf8/edit?gid=1996990278#gid=1996990278"",""2026-27!x3"")"),0.0)</f>
        <v>0</v>
      </c>
      <c r="AY121" s="59">
        <f>IFERROR(__xludf.DUMMYFUNCTION("importrange(""https://docs.google.com/spreadsheets/d/1jb97tsNPP32qu8ow9340R_Kgg7aVZi6E-LN-1JUDVf8/edit?gid=1996990278#gid=1996990278"",""2026-27!y4"")"),2804154.0)</f>
        <v>2804154</v>
      </c>
      <c r="AZ121" s="59">
        <f>IFERROR(__xludf.DUMMYFUNCTION("importrange(""https://docs.google.com/spreadsheets/d/1jb97tsNPP32qu8ow9340R_Kgg7aVZi6E-LN-1JUDVf8/edit?gid=1996990278#gid=1996990278"",""2026-27!y3"")"),58.0)</f>
        <v>58</v>
      </c>
      <c r="BA121" s="61">
        <f>IFERROR(__xludf.DUMMYFUNCTION("importrange(""https://docs.google.com/spreadsheets/d/1jb97tsNPP32qu8ow9340R_Kgg7aVZi6E-LN-1JUDVf8/edit?gid=1996990278#gid=1996990278"",""2026-27!z4"")"),0.0)</f>
        <v>0</v>
      </c>
      <c r="BB121" s="59">
        <f>IFERROR(__xludf.DUMMYFUNCTION("importrange(""https://docs.google.com/spreadsheets/d/1jb97tsNPP32qu8ow9340R_Kgg7aVZi6E-LN-1JUDVf8/edit?gid=1996990278#gid=1996990278"",""2026-27!z3"")"),0.0)</f>
        <v>0</v>
      </c>
      <c r="BC121" s="63">
        <f t="shared" si="105"/>
        <v>0</v>
      </c>
      <c r="BD121" s="59">
        <f>IFERROR(__xludf.DUMMYFUNCTION("importrange(""https://docs.google.com/spreadsheets/d/1jb97tsNPP32qu8ow9340R_Kgg7aVZi6E-LN-1JUDVf8/edit?gid=1996990278#gid=1996990278"",""2026-27!aa4"")"),0.0)</f>
        <v>0</v>
      </c>
      <c r="BE121" s="59">
        <f>IFERROR(__xludf.DUMMYFUNCTION("importrange(""https://docs.google.com/spreadsheets/d/1jb97tsNPP32qu8ow9340R_Kgg7aVZi6E-LN-1JUDVf8/edit?gid=1996990278#gid=1996990278"",""2026-27!aa3"")"),0.0)</f>
        <v>0</v>
      </c>
      <c r="BF121" s="59">
        <f>IFERROR(__xludf.DUMMYFUNCTION("importrange(""https://docs.google.com/spreadsheets/d/1jb97tsNPP32qu8ow9340R_Kgg7aVZi6E-LN-1JUDVf8/edit?gid=1996990278#gid=1996990278"",""2026-27!ab4"")"),2804154.0)</f>
        <v>2804154</v>
      </c>
      <c r="BG121" s="59">
        <f>IFERROR(__xludf.DUMMYFUNCTION("importrange(""https://docs.google.com/spreadsheets/d/1jb97tsNPP32qu8ow9340R_Kgg7aVZi6E-LN-1JUDVf8/edit?gid=1996990278#gid=1996990278"",""2026-27!ab3"")"),58.0)</f>
        <v>58</v>
      </c>
      <c r="BH121" s="59">
        <f>IFERROR(__xludf.DUMMYFUNCTION("importrange(""https://docs.google.com/spreadsheets/d/1jb97tsNPP32qu8ow9340R_Kgg7aVZi6E-LN-1JUDVf8/edit?gid=1996990278#gid=1996990278"",""2026-27!ac4"")"),0.0)</f>
        <v>0</v>
      </c>
      <c r="BI121" s="59">
        <f>IFERROR(__xludf.DUMMYFUNCTION("importrange(""https://docs.google.com/spreadsheets/d/1jb97tsNPP32qu8ow9340R_Kgg7aVZi6E-LN-1JUDVf8/edit?gid=1996990278#gid=1996990278"",""2026-27!ac3"")"),0.0)</f>
        <v>0</v>
      </c>
      <c r="BJ121" s="63">
        <f t="shared" si="106"/>
        <v>0</v>
      </c>
      <c r="BK121" s="59">
        <f>IFERROR(__xludf.DUMMYFUNCTION("importrange(""https://docs.google.com/spreadsheets/d/1jb97tsNPP32qu8ow9340R_Kgg7aVZi6E-LN-1JUDVf8/edit?gid=1996990278#gid=1996990278"",""2026-27!ad4"")"),0.0)</f>
        <v>0</v>
      </c>
      <c r="BL121" s="59">
        <f>IFERROR(__xludf.DUMMYFUNCTION("importrange(""https://docs.google.com/spreadsheets/d/1jb97tsNPP32qu8ow9340R_Kgg7aVZi6E-LN-1JUDVf8/edit?gid=1996990278#gid=1996990278"",""2026-27!ad3"")"),0.0)</f>
        <v>0</v>
      </c>
      <c r="BM121" s="59">
        <f>IFERROR(__xludf.DUMMYFUNCTION("importrange(""https://docs.google.com/spreadsheets/d/1jb97tsNPP32qu8ow9340R_Kgg7aVZi6E-LN-1JUDVf8/edit?gid=1996990278#gid=1996990278"",""2026-27!ae4"")"),2804154.0)</f>
        <v>2804154</v>
      </c>
      <c r="BN121" s="59">
        <f>IFERROR(__xludf.DUMMYFUNCTION("importrange(""https://docs.google.com/spreadsheets/d/1jb97tsNPP32qu8ow9340R_Kgg7aVZi6E-LN-1JUDVf8/edit?gid=1996990278#gid=1996990278"",""2026-27!ae3"")"),58.0)</f>
        <v>58</v>
      </c>
      <c r="BO121" s="59">
        <f>IFERROR(__xludf.DUMMYFUNCTION("importrange(""https://docs.google.com/spreadsheets/d/1jb97tsNPP32qu8ow9340R_Kgg7aVZi6E-LN-1JUDVf8/edit?gid=1996990278#gid=1996990278"",""2026-27!af4"")"),0.0)</f>
        <v>0</v>
      </c>
      <c r="BP121" s="59">
        <f>IFERROR(__xludf.DUMMYFUNCTION("importrange(""https://docs.google.com/spreadsheets/d/1jb97tsNPP32qu8ow9340R_Kgg7aVZi6E-LN-1JUDVf8/edit?gid=1996990278#gid=1996990278"",""2026-27!af3"")"),0.0)</f>
        <v>0</v>
      </c>
      <c r="BQ121" s="63">
        <f t="shared" si="107"/>
        <v>0</v>
      </c>
      <c r="BR121" s="59">
        <f>IFERROR(__xludf.DUMMYFUNCTION("importrange(""https://docs.google.com/spreadsheets/d/1jb97tsNPP32qu8ow9340R_Kgg7aVZi6E-LN-1JUDVf8/edit?gid=1996990278#gid=1996990278"",""2026-27!ag4"")"),0.0)</f>
        <v>0</v>
      </c>
      <c r="BS121" s="59">
        <f>IFERROR(__xludf.DUMMYFUNCTION("importrange(""https://docs.google.com/spreadsheets/d/1jb97tsNPP32qu8ow9340R_Kgg7aVZi6E-LN-1JUDVf8/edit?gid=1996990278#gid=1996990278"",""2026-27!ag3"")"),0.0)</f>
        <v>0</v>
      </c>
      <c r="BT121" s="59">
        <f>IFERROR(__xludf.DUMMYFUNCTION("importrange(""https://docs.google.com/spreadsheets/d/1jb97tsNPP32qu8ow9340R_Kgg7aVZi6E-LN-1JUDVf8/edit?gid=1996990278#gid=1996990278"",""2026-27!ah4"")"),2804154.0)</f>
        <v>2804154</v>
      </c>
      <c r="BU121" s="59">
        <f>IFERROR(__xludf.DUMMYFUNCTION("importrange(""https://docs.google.com/spreadsheets/d/1jb97tsNPP32qu8ow9340R_Kgg7aVZi6E-LN-1JUDVf8/edit?gid=1996990278#gid=1996990278"",""2026-27!ah3"")"),58.0)</f>
        <v>58</v>
      </c>
      <c r="BV121" s="59">
        <f>IFERROR(__xludf.DUMMYFUNCTION("importrange(""https://docs.google.com/spreadsheets/d/1jb97tsNPP32qu8ow9340R_Kgg7aVZi6E-LN-1JUDVf8/edit?gid=1996990278#gid=1996990278"",""2026-27!ai4"")"),0.0)</f>
        <v>0</v>
      </c>
      <c r="BW121" s="59">
        <f>IFERROR(__xludf.DUMMYFUNCTION("importrange(""https://docs.google.com/spreadsheets/d/1jb97tsNPP32qu8ow9340R_Kgg7aVZi6E-LN-1JUDVf8/edit?gid=1996990278#gid=1996990278"",""2026-27!ai3"")"),0.0)</f>
        <v>0</v>
      </c>
      <c r="BX121" s="63">
        <f t="shared" si="108"/>
        <v>0</v>
      </c>
      <c r="BY121" s="59">
        <f>IFERROR(__xludf.DUMMYFUNCTION("importrange(""https://docs.google.com/spreadsheets/d/1jb97tsNPP32qu8ow9340R_Kgg7aVZi6E-LN-1JUDVf8/edit?gid=1996990278#gid=1996990278"",""2026-27!aj4"")"),0.0)</f>
        <v>0</v>
      </c>
      <c r="BZ121" s="59">
        <f>IFERROR(__xludf.DUMMYFUNCTION("importrange(""https://docs.google.com/spreadsheets/d/1jb97tsNPP32qu8ow9340R_Kgg7aVZi6E-LN-1JUDVf8/edit?gid=1996990278#gid=1996990278"",""2026-27!aj3"")"),0.0)</f>
        <v>0</v>
      </c>
      <c r="CA121" s="59">
        <f>IFERROR(__xludf.DUMMYFUNCTION("importrange(""https://docs.google.com/spreadsheets/d/1jb97tsNPP32qu8ow9340R_Kgg7aVZi6E-LN-1JUDVf8/edit?gid=1996990278#gid=1996990278"",""2026-27!ak4"")"),2804154.0)</f>
        <v>2804154</v>
      </c>
      <c r="CB121" s="59">
        <f>IFERROR(__xludf.DUMMYFUNCTION("importrange(""https://docs.google.com/spreadsheets/d/1jb97tsNPP32qu8ow9340R_Kgg7aVZi6E-LN-1JUDVf8/edit?gid=1996990278#gid=1996990278"",""2026-27!ak3"")"),58.0)</f>
        <v>58</v>
      </c>
      <c r="CC121" s="59">
        <f>IFERROR(__xludf.DUMMYFUNCTION("importrange(""https://docs.google.com/spreadsheets/d/1jb97tsNPP32qu8ow9340R_Kgg7aVZi6E-LN-1JUDVf8/edit?gid=1996990278#gid=1996990278"",""2026-27!al4"")"),0.0)</f>
        <v>0</v>
      </c>
      <c r="CD121" s="59">
        <f>IFERROR(__xludf.DUMMYFUNCTION("importrange(""https://docs.google.com/spreadsheets/d/1jb97tsNPP32qu8ow9340R_Kgg7aVZi6E-LN-1JUDVf8/edit?gid=1996990278#gid=1996990278"",""2026-27!ai3"")"),0.0)</f>
        <v>0</v>
      </c>
      <c r="CE121" s="63">
        <f t="shared" si="109"/>
        <v>0</v>
      </c>
      <c r="CF121" s="59">
        <f>IFERROR(__xludf.DUMMYFUNCTION("importrange(""https://docs.google.com/spreadsheets/d/1jb97tsNPP32qu8ow9340R_Kgg7aVZi6E-LN-1JUDVf8/edit?gid=1996990278#gid=1996990278"",""2026-27!am4"")"),0.0)</f>
        <v>0</v>
      </c>
      <c r="CG121" s="59">
        <f>IFERROR(__xludf.DUMMYFUNCTION("importrange(""https://docs.google.com/spreadsheets/d/1jb97tsNPP32qu8ow9340R_Kgg7aVZi6E-LN-1JUDVf8/edit?gid=1996990278#gid=1996990278"",""2026-27!am3"")"),0.0)</f>
        <v>0</v>
      </c>
      <c r="CH121" s="59">
        <f>IFERROR(__xludf.DUMMYFUNCTION("importrange(""https://docs.google.com/spreadsheets/d/1jb97tsNPP32qu8ow9340R_Kgg7aVZi6E-LN-1JUDVf8/edit?gid=1996990278#gid=1996990278"",""2026-27!an4"")"),2804154.0)</f>
        <v>2804154</v>
      </c>
      <c r="CI121" s="59">
        <f>IFERROR(__xludf.DUMMYFUNCTION("importrange(""https://docs.google.com/spreadsheets/d/1jb97tsNPP32qu8ow9340R_Kgg7aVZi6E-LN-1JUDVf8/edit?gid=1996990278#gid=1996990278"",""2026-27!an3"")"),58.0)</f>
        <v>58</v>
      </c>
      <c r="CJ121" s="59">
        <f>IFERROR(__xludf.DUMMYFUNCTION("importrange(""https://docs.google.com/spreadsheets/d/1jb97tsNPP32qu8ow9340R_Kgg7aVZi6E-LN-1JUDVf8/edit?gid=1996990278#gid=1996990278"",""2026-27!ao4"")"),0.0)</f>
        <v>0</v>
      </c>
      <c r="CK121" s="59">
        <f>IFERROR(__xludf.DUMMYFUNCTION("importrange(""https://docs.google.com/spreadsheets/d/1jb97tsNPP32qu8ow9340R_Kgg7aVZi6E-LN-1JUDVf8/edit?gid=1996990278#gid=1996990278"",""2026-27!ao3"")"),0.0)</f>
        <v>0</v>
      </c>
      <c r="CL121" s="63">
        <f t="shared" si="110"/>
        <v>0</v>
      </c>
      <c r="CM121" s="59">
        <f>IFERROR(__xludf.DUMMYFUNCTION("importrange(""https://docs.google.com/spreadsheets/d/1jb97tsNPP32qu8ow9340R_Kgg7aVZi6E-LN-1JUDVf8/edit?gid=1996990278#gid=1996990278"",""2026-27!ap4"")"),0.0)</f>
        <v>0</v>
      </c>
      <c r="CN121" s="59">
        <f>IFERROR(__xludf.DUMMYFUNCTION("importrange(""https://docs.google.com/spreadsheets/d/1jb97tsNPP32qu8ow9340R_Kgg7aVZi6E-LN-1JUDVf8/edit?gid=1996990278#gid=1996990278"",""2026-27!ap3"")"),0.0)</f>
        <v>0</v>
      </c>
      <c r="CO121" s="59">
        <f>IFERROR(__xludf.DUMMYFUNCTION("importrange(""https://docs.google.com/spreadsheets/d/1jb97tsNPP32qu8ow9340R_Kgg7aVZi6E-LN-1JUDVf8/edit?gid=1996990278#gid=1996990278"",""2026-27!aq4"")"),2804154.0)</f>
        <v>2804154</v>
      </c>
      <c r="CP121" s="59">
        <f>IFERROR(__xludf.DUMMYFUNCTION("importrange(""https://docs.google.com/spreadsheets/d/1jb97tsNPP32qu8ow9340R_Kgg7aVZi6E-LN-1JUDVf8/edit?gid=1996990278#gid=1996990278"",""2026-27!aq3"")"),58.0)</f>
        <v>58</v>
      </c>
      <c r="CQ121" s="59">
        <f>IFERROR(__xludf.DUMMYFUNCTION("importrange(""https://docs.google.com/spreadsheets/d/1jb97tsNPP32qu8ow9340R_Kgg7aVZi6E-LN-1JUDVf8/edit?gid=1996990278#gid=1996990278"",""2026-27!ar4"")"),0.0)</f>
        <v>0</v>
      </c>
      <c r="CR121" s="59">
        <f>IFERROR(__xludf.DUMMYFUNCTION("importrange(""https://docs.google.com/spreadsheets/d/1jb97tsNPP32qu8ow9340R_Kgg7aVZi6E-LN-1JUDVf8/edit?gid=1996990278#gid=1996990278"",""2026-27!ar3"")"),0.0)</f>
        <v>0</v>
      </c>
      <c r="CS121" s="63">
        <f t="shared" si="111"/>
        <v>0</v>
      </c>
      <c r="CT121" s="59">
        <f>IFERROR(__xludf.DUMMYFUNCTION("importrange(""https://docs.google.com/spreadsheets/d/1jb97tsNPP32qu8ow9340R_Kgg7aVZi6E-LN-1JUDVf8/edit?gid=1996990278#gid=1996990278"",""2026-27!as4"")"),0.0)</f>
        <v>0</v>
      </c>
      <c r="CU121" s="59">
        <f>IFERROR(__xludf.DUMMYFUNCTION("importrange(""https://docs.google.com/spreadsheets/d/1jb97tsNPP32qu8ow9340R_Kgg7aVZi6E-LN-1JUDVf8/edit?gid=1996990278#gid=1996990278"",""2026-27!as3"")"),0.0)</f>
        <v>0</v>
      </c>
      <c r="CV121" s="64"/>
    </row>
    <row r="122">
      <c r="A122" s="1" t="s">
        <v>160</v>
      </c>
      <c r="B122" s="41"/>
      <c r="C122" s="71" t="s">
        <v>240</v>
      </c>
      <c r="D122" s="69" t="s">
        <v>241</v>
      </c>
      <c r="E122" s="72">
        <v>9.570826164E9</v>
      </c>
      <c r="F122" s="84">
        <v>45640.0</v>
      </c>
      <c r="G122" s="66"/>
      <c r="H122" s="66"/>
      <c r="I122" s="74">
        <v>28850.0</v>
      </c>
      <c r="J122" s="58">
        <v>2166667.0</v>
      </c>
      <c r="K122" s="61">
        <f>IFERROR(__xludf.DUMMYFUNCTION("IMPORTRANGE(""https://docs.google.com/spreadsheets/d/1C-PaiedLj2XOlFsshkO221ipgOAZuZ9nzOrc7VRBlHo/edit?gid=1996990278#gid=1996990278"",""2026-27!A3"")"),22.0)</f>
        <v>22</v>
      </c>
      <c r="L122" s="61">
        <f>IFERROR(__xludf.DUMMYFUNCTION("IMPORTRANGE(""https://docs.google.com/spreadsheets/d/1C-PaiedLj2XOlFsshkO221ipgOAZuZ9nzOrc7VRBlHo/edit?gid=1996990278#gid=1996990278"",""2026-27!G4"")"),2.7E7)</f>
        <v>27000000</v>
      </c>
      <c r="M122" s="61">
        <f t="shared" si="97"/>
        <v>3336168.24</v>
      </c>
      <c r="N122" s="60">
        <f t="shared" si="98"/>
        <v>0.1235828889</v>
      </c>
      <c r="O122" s="61">
        <f t="shared" si="99"/>
        <v>3336738</v>
      </c>
      <c r="P122" s="59">
        <f>IFERROR(__xludf.DUMMYFUNCTION("IMPORTRANGE(""https://docs.google.com/spreadsheets/d/1C-PaiedLj2XOlFsshkO221ipgOAZuZ9nzOrc7VRBlHo/edit?gid=1996990278#gid=1996990278"",""2026-27!J4"")"),2249999.969)</f>
        <v>2249999.969</v>
      </c>
      <c r="Q122" s="59">
        <f>IFERROR(__xludf.DUMMYFUNCTION("IMPORTRANGE(""https://docs.google.com/spreadsheets/d/1C-PaiedLj2XOlFsshkO221ipgOAZuZ9nzOrc7VRBlHo/edit?gid=1996990278#gid=1996990278"",""2026-27!J3"")"),22.0)</f>
        <v>22</v>
      </c>
      <c r="R122" s="59">
        <f>IFERROR(__xludf.DUMMYFUNCTION("IMPORTRANGE(""https://docs.google.com/spreadsheets/d/1C-PaiedLj2XOlFsshkO221ipgOAZuZ9nzOrc7VRBlHo/edit?gid=1996990278#gid=1996990278"",""2026-27!K4"")"),660346.41)</f>
        <v>660346.41</v>
      </c>
      <c r="S122" s="59">
        <f>IFERROR(__xludf.DUMMYFUNCTION("IMPORTRANGE(""https://docs.google.com/spreadsheets/d/1C-PaiedLj2XOlFsshkO221ipgOAZuZ9nzOrc7VRBlHo/edit?gid=1996990278#gid=1996990278"",""2026-27!K3"")"),7.0)</f>
        <v>7</v>
      </c>
      <c r="T122" s="62">
        <f t="shared" si="100"/>
        <v>0.2934817818</v>
      </c>
      <c r="U122" s="59">
        <f>IFERROR(__xludf.DUMMYFUNCTION("IMPORTRANGE(""https://docs.google.com/spreadsheets/d/1C-PaiedLj2XOlFsshkO221ipgOAZuZ9nzOrc7VRBlHo/edit?gid=1996990278#gid=1996990278"",""2026-27!L4"")"),660334.0)</f>
        <v>660334</v>
      </c>
      <c r="V122" s="85">
        <f>IFERROR(__xludf.DUMMYFUNCTION("IMPORTRANGE(""https://docs.google.com/spreadsheets/d/1C-PaiedLj2XOlFsshkO221ipgOAZuZ9nzOrc7VRBlHo/edit?gid=1996990278#gid=1996990278"",""2026-27!L3"")"),7.0)</f>
        <v>7</v>
      </c>
      <c r="W122" s="59">
        <f>IFERROR(__xludf.DUMMYFUNCTION("IMPORTRANGE(""https://docs.google.com/spreadsheets/d/1C-PaiedLj2XOlFsshkO221ipgOAZuZ9nzOrc7VRBlHo/edit?gid=1996990278#gid=1996990278"",""2026-27!M4"")"),2249999.969)</f>
        <v>2249999.969</v>
      </c>
      <c r="X122" s="85">
        <f>IFERROR(__xludf.DUMMYFUNCTION("IMPORTRANGE(""https://docs.google.com/spreadsheets/d/1C-PaiedLj2XOlFsshkO221ipgOAZuZ9nzOrc7VRBlHo/edit?gid=1996990278#gid=1996990278"",""2026-27!M3"")"),22.0)</f>
        <v>22</v>
      </c>
      <c r="Y122" s="59">
        <f>IFERROR(__xludf.DUMMYFUNCTION("importrange(""https://docs.google.com/spreadsheets/d/1C-PaiedLj2XOlFsshkO221ipgOAZuZ9nzOrc7VRBlHo/edit?gid=1996990278#gid=1996990278"",""2026-27!n4"")"),1413233.06)</f>
        <v>1413233.06</v>
      </c>
      <c r="Z122" s="59">
        <f>IFERROR(__xludf.DUMMYFUNCTION("importrange(""https://docs.google.com/spreadsheets/d/1C-PaiedLj2XOlFsshkO221ipgOAZuZ9nzOrc7VRBlHo/edit?gid=1996990278#gid=1996990278"",""2026-27!n3"")"),11.0)</f>
        <v>11</v>
      </c>
      <c r="AA122" s="62">
        <f t="shared" si="101"/>
        <v>0.6280991198</v>
      </c>
      <c r="AB122" s="59">
        <f>IFERROR(__xludf.DUMMYFUNCTION("importrange(""https://docs.google.com/spreadsheets/d/1C-PaiedLj2XOlFsshkO221ipgOAZuZ9nzOrc7VRBlHo/edit?gid=1996990278#gid=1996990278"",""2026-27!o4"")"),1413223.0)</f>
        <v>1413223</v>
      </c>
      <c r="AC122" s="59">
        <f>IFERROR(__xludf.DUMMYFUNCTION("importrange(""https://docs.google.com/spreadsheets/d/1C-PaiedLj2XOlFsshkO221ipgOAZuZ9nzOrc7VRBlHo/edit?gid=1996990278#gid=1996990278"",""2026-27!o3"")"),11.0)</f>
        <v>11</v>
      </c>
      <c r="AD122" s="59">
        <f>IFERROR(__xludf.DUMMYFUNCTION("importrange(""https://docs.google.com/spreadsheets/d/1C-PaiedLj2XOlFsshkO221ipgOAZuZ9nzOrc7VRBlHo/edit?gid=1996990278#gid=1996990278"",""2026-27!p4"")"),2249999.969)</f>
        <v>2249999.969</v>
      </c>
      <c r="AE122" s="59">
        <f>IFERROR(__xludf.DUMMYFUNCTION("importrange(""https://docs.google.com/spreadsheets/d/1C-PaiedLj2XOlFsshkO221ipgOAZuZ9nzOrc7VRBlHo/edit?gid=1996990278#gid=1996990278"",""2026-27!p3"")"),22.0)</f>
        <v>22</v>
      </c>
      <c r="AF122" s="59">
        <f>IFERROR(__xludf.DUMMYFUNCTION("importrange(""https://docs.google.com/spreadsheets/d/1C-PaiedLj2XOlFsshkO221ipgOAZuZ9nzOrc7VRBlHo/edit?gid=1996990278#gid=1996990278"",""2026-27!q4"")"),1262588.77)</f>
        <v>1262588.77</v>
      </c>
      <c r="AG122" s="59">
        <f>IFERROR(__xludf.DUMMYFUNCTION("importrange(""https://docs.google.com/spreadsheets/d/1C-PaiedLj2XOlFsshkO221ipgOAZuZ9nzOrc7VRBlHo/edit?gid=1996990278#gid=1996990278"",""2026-27!q3"")"),11.0)</f>
        <v>11</v>
      </c>
      <c r="AH122" s="62">
        <f t="shared" si="102"/>
        <v>0.5614137855</v>
      </c>
      <c r="AI122" s="59">
        <f>IFERROR(__xludf.DUMMYFUNCTION("importrange(""https://docs.google.com/spreadsheets/d/1C-PaiedLj2XOlFsshkO221ipgOAZuZ9nzOrc7VRBlHo/edit?gid=1996990278#gid=1996990278"",""2026-27!r4"")"),1263181.0)</f>
        <v>1263181</v>
      </c>
      <c r="AJ122" s="59">
        <f>IFERROR(__xludf.DUMMYFUNCTION("importrange(""https://docs.google.com/spreadsheets/d/1C-PaiedLj2XOlFsshkO221ipgOAZuZ9nzOrc7VRBlHo/edit?gid=1996990278#gid=1996990278"",""2026-27!r3"")"),11.0)</f>
        <v>11</v>
      </c>
      <c r="AK122" s="59">
        <f>IFERROR(__xludf.DUMMYFUNCTION("importrange(""https://docs.google.com/spreadsheets/d/1C-PaiedLj2XOlFsshkO221ipgOAZuZ9nzOrc7VRBlHo/edit?gid=1996990278#gid=1996990278"",""2026-27!s4"")"),2249999.969)</f>
        <v>2249999.969</v>
      </c>
      <c r="AL122" s="59">
        <f>IFERROR(__xludf.DUMMYFUNCTION("importrange(""https://docs.google.com/spreadsheets/d/1C-PaiedLj2XOlFsshkO221ipgOAZuZ9nzOrc7VRBlHo/edit?gid=1996990278#gid=1996990278"",""2026-27!s3"")"),22.0)</f>
        <v>22</v>
      </c>
      <c r="AM122" s="61">
        <f>IFERROR(__xludf.DUMMYFUNCTION("importrange(""https://docs.google.com/spreadsheets/d/1C-PaiedLj2XOlFsshkO221ipgOAZuZ9nzOrc7VRBlHo/edit?gid=1996990278#gid=1996990278"",""2026-27!t4"")"),0.0)</f>
        <v>0</v>
      </c>
      <c r="AN122" s="59">
        <f>IFERROR(__xludf.DUMMYFUNCTION("importrange(""https://docs.google.com/spreadsheets/d/1C-PaiedLj2XOlFsshkO221ipgOAZuZ9nzOrc7VRBlHo/edit?gid=1996990278#gid=1996990278"",""2026-27!t3"")"),0.0)</f>
        <v>0</v>
      </c>
      <c r="AO122" s="62">
        <f t="shared" si="103"/>
        <v>0</v>
      </c>
      <c r="AP122" s="59">
        <f>IFERROR(__xludf.DUMMYFUNCTION("importrange(""https://docs.google.com/spreadsheets/d/1C-PaiedLj2XOlFsshkO221ipgOAZuZ9nzOrc7VRBlHo/edit?gid=1996990278#gid=1996990278"",""2026-27!u4"")"),0.0)</f>
        <v>0</v>
      </c>
      <c r="AQ122" s="59">
        <f>IFERROR(__xludf.DUMMYFUNCTION("importrange(""https://docs.google.com/spreadsheets/d/1C-PaiedLj2XOlFsshkO221ipgOAZuZ9nzOrc7VRBlHo/edit?gid=1996990278#gid=1996990278"",""2026-27!u3"")"),0.0)</f>
        <v>0</v>
      </c>
      <c r="AR122" s="59">
        <f>IFERROR(__xludf.DUMMYFUNCTION("importrange(""https://docs.google.com/spreadsheets/d/1C-PaiedLj2XOlFsshkO221ipgOAZuZ9nzOrc7VRBlHo/edit?gid=1996990278#gid=1996990278"",""2026-27!v4"")"),2249999.969)</f>
        <v>2249999.969</v>
      </c>
      <c r="AS122" s="59">
        <f>IFERROR(__xludf.DUMMYFUNCTION("importrange(""https://docs.google.com/spreadsheets/d/1C-PaiedLj2XOlFsshkO221ipgOAZuZ9nzOrc7VRBlHo/edit?gid=1996990278#gid=1996990278"",""2026-27!v3"")"),22.0)</f>
        <v>22</v>
      </c>
      <c r="AT122" s="61">
        <f>IFERROR(__xludf.DUMMYFUNCTION("importrange(""https://docs.google.com/spreadsheets/d/1C-PaiedLj2XOlFsshkO221ipgOAZuZ9nzOrc7VRBlHo/edit?gid=1996990278#gid=1996990278"",""2026-27!w4"")"),0.0)</f>
        <v>0</v>
      </c>
      <c r="AU122" s="59">
        <f>IFERROR(__xludf.DUMMYFUNCTION("importrange(""https://docs.google.com/spreadsheets/d/1C-PaiedLj2XOlFsshkO221ipgOAZuZ9nzOrc7VRBlHo/edit?gid=1996990278#gid=1996990278"",""2026-27!w3"")"),0.0)</f>
        <v>0</v>
      </c>
      <c r="AV122" s="62">
        <f t="shared" si="104"/>
        <v>0</v>
      </c>
      <c r="AW122" s="59">
        <f>IFERROR(__xludf.DUMMYFUNCTION("importrange(""https://docs.google.com/spreadsheets/d/1C-PaiedLj2XOlFsshkO221ipgOAZuZ9nzOrc7VRBlHo/edit?gid=1996990278#gid=1996990278"",""2026-27!x4"")"),0.0)</f>
        <v>0</v>
      </c>
      <c r="AX122" s="59">
        <f>IFERROR(__xludf.DUMMYFUNCTION("importrange(""https://docs.google.com/spreadsheets/d/1C-PaiedLj2XOlFsshkO221ipgOAZuZ9nzOrc7VRBlHo/edit?gid=1996990278#gid=1996990278"",""2026-27!x3"")"),0.0)</f>
        <v>0</v>
      </c>
      <c r="AY122" s="59">
        <f>IFERROR(__xludf.DUMMYFUNCTION("importrange(""https://docs.google.com/spreadsheets/d/1C-PaiedLj2XOlFsshkO221ipgOAZuZ9nzOrc7VRBlHo/edit?gid=1996990278#gid=1996990278"",""2026-27!y4"")"),2249999.969)</f>
        <v>2249999.969</v>
      </c>
      <c r="AZ122" s="59">
        <f>IFERROR(__xludf.DUMMYFUNCTION("importrange(""https://docs.google.com/spreadsheets/d/1C-PaiedLj2XOlFsshkO221ipgOAZuZ9nzOrc7VRBlHo/edit?gid=1996990278#gid=1996990278"",""2026-27!y3"")"),22.0)</f>
        <v>22</v>
      </c>
      <c r="BA122" s="61">
        <f>IFERROR(__xludf.DUMMYFUNCTION("importrange(""https://docs.google.com/spreadsheets/d/1C-PaiedLj2XOlFsshkO221ipgOAZuZ9nzOrc7VRBlHo/edit?gid=1996990278#gid=1996990278"",""2026-27!z4"")"),0.0)</f>
        <v>0</v>
      </c>
      <c r="BB122" s="59">
        <f>IFERROR(__xludf.DUMMYFUNCTION("importrange(""https://docs.google.com/spreadsheets/d/1C-PaiedLj2XOlFsshkO221ipgOAZuZ9nzOrc7VRBlHo/edit?gid=1996990278#gid=1996990278"",""2026-27!z3"")"),0.0)</f>
        <v>0</v>
      </c>
      <c r="BC122" s="63">
        <f t="shared" si="105"/>
        <v>0</v>
      </c>
      <c r="BD122" s="59">
        <f>IFERROR(__xludf.DUMMYFUNCTION("importrange(""https://docs.google.com/spreadsheets/d/1C-PaiedLj2XOlFsshkO221ipgOAZuZ9nzOrc7VRBlHo/edit?gid=1996990278#gid=1996990278"",""2026-27!aa4"")"),0.0)</f>
        <v>0</v>
      </c>
      <c r="BE122" s="59">
        <f>IFERROR(__xludf.DUMMYFUNCTION("importrange(""https://docs.google.com/spreadsheets/d/1C-PaiedLj2XOlFsshkO221ipgOAZuZ9nzOrc7VRBlHo/edit?gid=1996990278#gid=1996990278"",""2026-27!aa3"")"),0.0)</f>
        <v>0</v>
      </c>
      <c r="BF122" s="59">
        <f>IFERROR(__xludf.DUMMYFUNCTION("importrange(""https://docs.google.com/spreadsheets/d/1C-PaiedLj2XOlFsshkO221ipgOAZuZ9nzOrc7VRBlHo/edit?gid=1996990278#gid=1996990278"",""2026-27!ab4"")"),2249999.969)</f>
        <v>2249999.969</v>
      </c>
      <c r="BG122" s="59">
        <f>IFERROR(__xludf.DUMMYFUNCTION("importrange(""https://docs.google.com/spreadsheets/d/1C-PaiedLj2XOlFsshkO221ipgOAZuZ9nzOrc7VRBlHo/edit?gid=1996990278#gid=1996990278"",""2026-27!ab3"")"),22.0)</f>
        <v>22</v>
      </c>
      <c r="BH122" s="59">
        <f>IFERROR(__xludf.DUMMYFUNCTION("importrange(""https://docs.google.com/spreadsheets/d/1C-PaiedLj2XOlFsshkO221ipgOAZuZ9nzOrc7VRBlHo/edit?gid=1996990278#gid=1996990278"",""2026-27!ac4"")"),0.0)</f>
        <v>0</v>
      </c>
      <c r="BI122" s="59">
        <f>IFERROR(__xludf.DUMMYFUNCTION("importrange(""https://docs.google.com/spreadsheets/d/1C-PaiedLj2XOlFsshkO221ipgOAZuZ9nzOrc7VRBlHo/edit?gid=1996990278#gid=1996990278"",""2026-27!ac3"")"),0.0)</f>
        <v>0</v>
      </c>
      <c r="BJ122" s="63">
        <f t="shared" si="106"/>
        <v>0</v>
      </c>
      <c r="BK122" s="59">
        <f>IFERROR(__xludf.DUMMYFUNCTION("importrange(""https://docs.google.com/spreadsheets/d/1C-PaiedLj2XOlFsshkO221ipgOAZuZ9nzOrc7VRBlHo/edit?gid=1996990278#gid=1996990278"",""2026-27!ad4"")"),0.0)</f>
        <v>0</v>
      </c>
      <c r="BL122" s="59">
        <f>IFERROR(__xludf.DUMMYFUNCTION("importrange(""https://docs.google.com/spreadsheets/d/1C-PaiedLj2XOlFsshkO221ipgOAZuZ9nzOrc7VRBlHo/edit?gid=1996990278#gid=1996990278"",""2026-27!ad3"")"),0.0)</f>
        <v>0</v>
      </c>
      <c r="BM122" s="59">
        <f>IFERROR(__xludf.DUMMYFUNCTION("importrange(""https://docs.google.com/spreadsheets/d/1C-PaiedLj2XOlFsshkO221ipgOAZuZ9nzOrc7VRBlHo/edit?gid=1996990278#gid=1996990278"",""2026-27!ae4"")"),2249999.969)</f>
        <v>2249999.969</v>
      </c>
      <c r="BN122" s="59">
        <f>IFERROR(__xludf.DUMMYFUNCTION("importrange(""https://docs.google.com/spreadsheets/d/1C-PaiedLj2XOlFsshkO221ipgOAZuZ9nzOrc7VRBlHo/edit?gid=1996990278#gid=1996990278"",""2026-27!ae3"")"),22.0)</f>
        <v>22</v>
      </c>
      <c r="BO122" s="59">
        <f>IFERROR(__xludf.DUMMYFUNCTION("importrange(""https://docs.google.com/spreadsheets/d/1C-PaiedLj2XOlFsshkO221ipgOAZuZ9nzOrc7VRBlHo/edit?gid=1996990278#gid=1996990278"",""2026-27!af4"")"),0.0)</f>
        <v>0</v>
      </c>
      <c r="BP122" s="59">
        <f>IFERROR(__xludf.DUMMYFUNCTION("importrange(""https://docs.google.com/spreadsheets/d/1C-PaiedLj2XOlFsshkO221ipgOAZuZ9nzOrc7VRBlHo/edit?gid=1996990278#gid=1996990278"",""2026-27!af3"")"),0.0)</f>
        <v>0</v>
      </c>
      <c r="BQ122" s="63">
        <f t="shared" si="107"/>
        <v>0</v>
      </c>
      <c r="BR122" s="59">
        <f>IFERROR(__xludf.DUMMYFUNCTION("importrange(""https://docs.google.com/spreadsheets/d/1C-PaiedLj2XOlFsshkO221ipgOAZuZ9nzOrc7VRBlHo/edit?gid=1996990278#gid=1996990278"",""2026-27!ag4"")"),0.0)</f>
        <v>0</v>
      </c>
      <c r="BS122" s="59">
        <f>IFERROR(__xludf.DUMMYFUNCTION("importrange(""https://docs.google.com/spreadsheets/d/1C-PaiedLj2XOlFsshkO221ipgOAZuZ9nzOrc7VRBlHo/edit?gid=1996990278#gid=1996990278"",""2026-27!ag3"")"),0.0)</f>
        <v>0</v>
      </c>
      <c r="BT122" s="59">
        <f>IFERROR(__xludf.DUMMYFUNCTION("importrange(""https://docs.google.com/spreadsheets/d/1C-PaiedLj2XOlFsshkO221ipgOAZuZ9nzOrc7VRBlHo/edit?gid=1996990278#gid=1996990278"",""2026-27!ah4"")"),2249999.969)</f>
        <v>2249999.969</v>
      </c>
      <c r="BU122" s="59">
        <f>IFERROR(__xludf.DUMMYFUNCTION("importrange(""https://docs.google.com/spreadsheets/d/1C-PaiedLj2XOlFsshkO221ipgOAZuZ9nzOrc7VRBlHo/edit?gid=1996990278#gid=1996990278"",""2026-27!ah3"")"),22.0)</f>
        <v>22</v>
      </c>
      <c r="BV122" s="59">
        <f>IFERROR(__xludf.DUMMYFUNCTION("importrange(""https://docs.google.com/spreadsheets/d/1C-PaiedLj2XOlFsshkO221ipgOAZuZ9nzOrc7VRBlHo/edit?gid=1996990278#gid=1996990278"",""2026-27!ai4"")"),0.0)</f>
        <v>0</v>
      </c>
      <c r="BW122" s="59">
        <f>IFERROR(__xludf.DUMMYFUNCTION("importrange(""https://docs.google.com/spreadsheets/d/1C-PaiedLj2XOlFsshkO221ipgOAZuZ9nzOrc7VRBlHo/edit?gid=1996990278#gid=1996990278"",""2026-27!ai3"")"),0.0)</f>
        <v>0</v>
      </c>
      <c r="BX122" s="63">
        <f t="shared" si="108"/>
        <v>0</v>
      </c>
      <c r="BY122" s="59">
        <f>IFERROR(__xludf.DUMMYFUNCTION("importrange(""https://docs.google.com/spreadsheets/d/1C-PaiedLj2XOlFsshkO221ipgOAZuZ9nzOrc7VRBlHo/edit?gid=1996990278#gid=1996990278"",""2026-27!aj4"")"),0.0)</f>
        <v>0</v>
      </c>
      <c r="BZ122" s="59">
        <f>IFERROR(__xludf.DUMMYFUNCTION("importrange(""https://docs.google.com/spreadsheets/d/1C-PaiedLj2XOlFsshkO221ipgOAZuZ9nzOrc7VRBlHo/edit?gid=1996990278#gid=1996990278"",""2026-27!aj3"")"),0.0)</f>
        <v>0</v>
      </c>
      <c r="CA122" s="59">
        <f>IFERROR(__xludf.DUMMYFUNCTION("importrange(""https://docs.google.com/spreadsheets/d/1C-PaiedLj2XOlFsshkO221ipgOAZuZ9nzOrc7VRBlHo/edit?gid=1996990278#gid=1996990278"",""2026-27!ak4"")"),2249999.969)</f>
        <v>2249999.969</v>
      </c>
      <c r="CB122" s="59">
        <f>IFERROR(__xludf.DUMMYFUNCTION("importrange(""https://docs.google.com/spreadsheets/d/1C-PaiedLj2XOlFsshkO221ipgOAZuZ9nzOrc7VRBlHo/edit?gid=1996990278#gid=1996990278"",""2026-27!ak3"")"),22.0)</f>
        <v>22</v>
      </c>
      <c r="CC122" s="59">
        <f>IFERROR(__xludf.DUMMYFUNCTION("importrange(""https://docs.google.com/spreadsheets/d/1C-PaiedLj2XOlFsshkO221ipgOAZuZ9nzOrc7VRBlHo/edit?gid=1996990278#gid=1996990278"",""2026-27!al4"")"),0.0)</f>
        <v>0</v>
      </c>
      <c r="CD122" s="59">
        <f>IFERROR(__xludf.DUMMYFUNCTION("importrange(""https://docs.google.com/spreadsheets/d/1C-PaiedLj2XOlFsshkO221ipgOAZuZ9nzOrc7VRBlHo/edit?gid=1996990278#gid=1996990278"",""2026-27!ai3"")"),0.0)</f>
        <v>0</v>
      </c>
      <c r="CE122" s="63">
        <f t="shared" si="109"/>
        <v>0</v>
      </c>
      <c r="CF122" s="59">
        <f>IFERROR(__xludf.DUMMYFUNCTION("importrange(""https://docs.google.com/spreadsheets/d/1C-PaiedLj2XOlFsshkO221ipgOAZuZ9nzOrc7VRBlHo/edit?gid=1996990278#gid=1996990278"",""2026-27!am4"")"),0.0)</f>
        <v>0</v>
      </c>
      <c r="CG122" s="59">
        <f>IFERROR(__xludf.DUMMYFUNCTION("importrange(""https://docs.google.com/spreadsheets/d/1C-PaiedLj2XOlFsshkO221ipgOAZuZ9nzOrc7VRBlHo/edit?gid=1996990278#gid=1996990278"",""2026-27!am3"")"),0.0)</f>
        <v>0</v>
      </c>
      <c r="CH122" s="59">
        <f>IFERROR(__xludf.DUMMYFUNCTION("importrange(""https://docs.google.com/spreadsheets/d/1C-PaiedLj2XOlFsshkO221ipgOAZuZ9nzOrc7VRBlHo/edit?gid=1996990278#gid=1996990278"",""2026-27!an4"")"),2249999.969)</f>
        <v>2249999.969</v>
      </c>
      <c r="CI122" s="59">
        <f>IFERROR(__xludf.DUMMYFUNCTION("importrange(""https://docs.google.com/spreadsheets/d/1C-PaiedLj2XOlFsshkO221ipgOAZuZ9nzOrc7VRBlHo/edit?gid=1996990278#gid=1996990278"",""2026-27!an3"")"),22.0)</f>
        <v>22</v>
      </c>
      <c r="CJ122" s="59">
        <f>IFERROR(__xludf.DUMMYFUNCTION("importrange(""https://docs.google.com/spreadsheets/d/1C-PaiedLj2XOlFsshkO221ipgOAZuZ9nzOrc7VRBlHo/edit?gid=1996990278#gid=1996990278"",""2026-27!ao4"")"),0.0)</f>
        <v>0</v>
      </c>
      <c r="CK122" s="59">
        <f>IFERROR(__xludf.DUMMYFUNCTION("importrange(""https://docs.google.com/spreadsheets/d/1C-PaiedLj2XOlFsshkO221ipgOAZuZ9nzOrc7VRBlHo/edit?gid=1996990278#gid=1996990278"",""2026-27!ao3"")"),0.0)</f>
        <v>0</v>
      </c>
      <c r="CL122" s="63">
        <f t="shared" si="110"/>
        <v>0</v>
      </c>
      <c r="CM122" s="59">
        <f>IFERROR(__xludf.DUMMYFUNCTION("importrange(""https://docs.google.com/spreadsheets/d/1C-PaiedLj2XOlFsshkO221ipgOAZuZ9nzOrc7VRBlHo/edit?gid=1996990278#gid=1996990278"",""2026-27!ap4"")"),0.0)</f>
        <v>0</v>
      </c>
      <c r="CN122" s="59">
        <f>IFERROR(__xludf.DUMMYFUNCTION("importrange(""https://docs.google.com/spreadsheets/d/1C-PaiedLj2XOlFsshkO221ipgOAZuZ9nzOrc7VRBlHo/edit?gid=1996990278#gid=1996990278"",""2026-27!ap3"")"),0.0)</f>
        <v>0</v>
      </c>
      <c r="CO122" s="59">
        <f>IFERROR(__xludf.DUMMYFUNCTION("importrange(""https://docs.google.com/spreadsheets/d/1C-PaiedLj2XOlFsshkO221ipgOAZuZ9nzOrc7VRBlHo/edit?gid=1996990278#gid=1996990278"",""2026-27!aq4"")"),2249999.969)</f>
        <v>2249999.969</v>
      </c>
      <c r="CP122" s="59">
        <f>IFERROR(__xludf.DUMMYFUNCTION("importrange(""https://docs.google.com/spreadsheets/d/1C-PaiedLj2XOlFsshkO221ipgOAZuZ9nzOrc7VRBlHo/edit?gid=1996990278#gid=1996990278"",""2026-27!aq3"")"),22.0)</f>
        <v>22</v>
      </c>
      <c r="CQ122" s="59">
        <f>IFERROR(__xludf.DUMMYFUNCTION("importrange(""https://docs.google.com/spreadsheets/d/1C-PaiedLj2XOlFsshkO221ipgOAZuZ9nzOrc7VRBlHo/edit?gid=1996990278#gid=1996990278"",""2026-27!ar4"")"),0.0)</f>
        <v>0</v>
      </c>
      <c r="CR122" s="59">
        <f>IFERROR(__xludf.DUMMYFUNCTION("importrange(""https://docs.google.com/spreadsheets/d/1C-PaiedLj2XOlFsshkO221ipgOAZuZ9nzOrc7VRBlHo/edit?gid=1996990278#gid=1996990278"",""2026-27!ar3"")"),0.0)</f>
        <v>0</v>
      </c>
      <c r="CS122" s="63">
        <f t="shared" si="111"/>
        <v>0</v>
      </c>
      <c r="CT122" s="59">
        <f>IFERROR(__xludf.DUMMYFUNCTION("importrange(""https://docs.google.com/spreadsheets/d/1C-PaiedLj2XOlFsshkO221ipgOAZuZ9nzOrc7VRBlHo/edit?gid=1996990278#gid=1996990278"",""2026-27!as4"")"),0.0)</f>
        <v>0</v>
      </c>
      <c r="CU122" s="59">
        <f>IFERROR(__xludf.DUMMYFUNCTION("importrange(""https://docs.google.com/spreadsheets/d/1C-PaiedLj2XOlFsshkO221ipgOAZuZ9nzOrc7VRBlHo/edit?gid=1996990278#gid=1996990278"",""2026-27!as3"")"),0.0)</f>
        <v>0</v>
      </c>
      <c r="CV122" s="64"/>
    </row>
    <row r="123">
      <c r="A123" s="1" t="s">
        <v>160</v>
      </c>
      <c r="B123" s="41"/>
      <c r="C123" s="111" t="s">
        <v>242</v>
      </c>
      <c r="D123" s="69" t="s">
        <v>243</v>
      </c>
      <c r="E123" s="72">
        <v>9.851275956E9</v>
      </c>
      <c r="F123" s="84">
        <v>45670.0</v>
      </c>
      <c r="G123" s="66"/>
      <c r="H123" s="66"/>
      <c r="I123" s="74">
        <v>29375.0</v>
      </c>
      <c r="J123" s="58">
        <v>2500000.0</v>
      </c>
      <c r="K123" s="61">
        <f>IFERROR(__xludf.DUMMYFUNCTION("IMPORTRANGE(""https://docs.google.com/spreadsheets/d/1fC3fyg60xd2eSSYcWdzoxTfCeKLcRbmaUzBDRvPxPB0/edit?gid=1996990278#gid=1996990278"",""2026-27!A3"")"),39.0)</f>
        <v>39</v>
      </c>
      <c r="L123" s="61">
        <f>IFERROR(__xludf.DUMMYFUNCTION("IMPORTRANGE(""https://docs.google.com/spreadsheets/d/1fC3fyg60xd2eSSYcWdzoxTfCeKLcRbmaUzBDRvPxPB0/edit?gid=1996990278#gid=1996990278"",""2026-27!G4"")"),2.105E7)</f>
        <v>21050000</v>
      </c>
      <c r="M123" s="61">
        <f t="shared" si="97"/>
        <v>2296145.77</v>
      </c>
      <c r="N123" s="60">
        <f t="shared" si="98"/>
        <v>0.05765980475</v>
      </c>
      <c r="O123" s="61">
        <f t="shared" si="99"/>
        <v>1213738.89</v>
      </c>
      <c r="P123" s="59">
        <f>IFERROR(__xludf.DUMMYFUNCTION("IMPORTRANGE(""https://docs.google.com/spreadsheets/d/1fC3fyg60xd2eSSYcWdzoxTfCeKLcRbmaUzBDRvPxPB0/edit?gid=1996990278#gid=1996990278"",""2026-27!J4"")"),1720842.0)</f>
        <v>1720842</v>
      </c>
      <c r="Q123" s="59">
        <f>IFERROR(__xludf.DUMMYFUNCTION("IMPORTRANGE(""https://docs.google.com/spreadsheets/d/1fC3fyg60xd2eSSYcWdzoxTfCeKLcRbmaUzBDRvPxPB0/edit?gid=1996990278#gid=1996990278"",""2026-27!J3"")"),37.0)</f>
        <v>37</v>
      </c>
      <c r="R123" s="59">
        <f>IFERROR(__xludf.DUMMYFUNCTION("IMPORTRANGE(""https://docs.google.com/spreadsheets/d/1fC3fyg60xd2eSSYcWdzoxTfCeKLcRbmaUzBDRvPxPB0/edit?gid=1996990278#gid=1996990278"",""2026-27!K4"")"),447066.56)</f>
        <v>447066.56</v>
      </c>
      <c r="S123" s="59">
        <f>IFERROR(__xludf.DUMMYFUNCTION("IMPORTRANGE(""https://docs.google.com/spreadsheets/d/1fC3fyg60xd2eSSYcWdzoxTfCeKLcRbmaUzBDRvPxPB0/edit?gid=1996990278#gid=1996990278"",""2026-27!K3"")"),8.0)</f>
        <v>8</v>
      </c>
      <c r="T123" s="62">
        <f t="shared" si="100"/>
        <v>0.2597956117</v>
      </c>
      <c r="U123" s="59">
        <f>IFERROR(__xludf.DUMMYFUNCTION("IMPORTRANGE(""https://docs.google.com/spreadsheets/d/1fC3fyg60xd2eSSYcWdzoxTfCeKLcRbmaUzBDRvPxPB0/edit?gid=1996990278#gid=1996990278"",""2026-27!L4"")"),447067.2)</f>
        <v>447067.2</v>
      </c>
      <c r="V123" s="85">
        <f>IFERROR(__xludf.DUMMYFUNCTION("IMPORTRANGE(""https://docs.google.com/spreadsheets/d/1fC3fyg60xd2eSSYcWdzoxTfCeKLcRbmaUzBDRvPxPB0/edit?gid=1996990278#gid=1996990278"",""2026-27!L3"")"),8.0)</f>
        <v>8</v>
      </c>
      <c r="W123" s="59">
        <f>IFERROR(__xludf.DUMMYFUNCTION("IMPORTRANGE(""https://docs.google.com/spreadsheets/d/1fC3fyg60xd2eSSYcWdzoxTfCeKLcRbmaUzBDRvPxPB0/edit?gid=1996990278#gid=1996990278"",""2026-27!M4"")"),1720842.0)</f>
        <v>1720842</v>
      </c>
      <c r="X123" s="85">
        <f>IFERROR(__xludf.DUMMYFUNCTION("IMPORTRANGE(""https://docs.google.com/spreadsheets/d/1fC3fyg60xd2eSSYcWdzoxTfCeKLcRbmaUzBDRvPxPB0/edit?gid=1996990278#gid=1996990278"",""2026-27!M3"")"),37.0)</f>
        <v>37</v>
      </c>
      <c r="Y123" s="59">
        <f>IFERROR(__xludf.DUMMYFUNCTION("importrange(""https://docs.google.com/spreadsheets/d/1fC3fyg60xd2eSSYcWdzoxTfCeKLcRbmaUzBDRvPxPB0/edit?gid=1996990278#gid=1996990278"",""2026-27!n4"")"),766671.75)</f>
        <v>766671.75</v>
      </c>
      <c r="Z123" s="59">
        <f>IFERROR(__xludf.DUMMYFUNCTION("importrange(""https://docs.google.com/spreadsheets/d/1fC3fyg60xd2eSSYcWdzoxTfCeKLcRbmaUzBDRvPxPB0/edit?gid=1996990278#gid=1996990278"",""2026-27!n3"")"),10.0)</f>
        <v>10</v>
      </c>
      <c r="AA123" s="62">
        <f t="shared" si="101"/>
        <v>0.4455212565</v>
      </c>
      <c r="AB123" s="59">
        <f>IFERROR(__xludf.DUMMYFUNCTION("importrange(""https://docs.google.com/spreadsheets/d/1fC3fyg60xd2eSSYcWdzoxTfCeKLcRbmaUzBDRvPxPB0/edit?gid=1996990278#gid=1996990278"",""2026-27!o4"")"),766671.6900000001)</f>
        <v>766671.69</v>
      </c>
      <c r="AC123" s="59">
        <f>IFERROR(__xludf.DUMMYFUNCTION("importrange(""https://docs.google.com/spreadsheets/d/1fC3fyg60xd2eSSYcWdzoxTfCeKLcRbmaUzBDRvPxPB0/edit?gid=1996990278#gid=1996990278"",""2026-27!o3"")"),10.0)</f>
        <v>10</v>
      </c>
      <c r="AD123" s="59">
        <f>IFERROR(__xludf.DUMMYFUNCTION("importrange(""https://docs.google.com/spreadsheets/d/1fC3fyg60xd2eSSYcWdzoxTfCeKLcRbmaUzBDRvPxPB0/edit?gid=1996990278#gid=1996990278"",""2026-27!p4"")"),1720842.0)</f>
        <v>1720842</v>
      </c>
      <c r="AE123" s="59">
        <f>IFERROR(__xludf.DUMMYFUNCTION("importrange(""https://docs.google.com/spreadsheets/d/1fC3fyg60xd2eSSYcWdzoxTfCeKLcRbmaUzBDRvPxPB0/edit?gid=1996990278#gid=1996990278"",""2026-27!p3"")"),37.0)</f>
        <v>37</v>
      </c>
      <c r="AF123" s="59">
        <f>IFERROR(__xludf.DUMMYFUNCTION("importrange(""https://docs.google.com/spreadsheets/d/1fC3fyg60xd2eSSYcWdzoxTfCeKLcRbmaUzBDRvPxPB0/edit?gid=1996990278#gid=1996990278"",""2026-27!q4"")"),1082407.46)</f>
        <v>1082407.46</v>
      </c>
      <c r="AG123" s="59">
        <f>IFERROR(__xludf.DUMMYFUNCTION("importrange(""https://docs.google.com/spreadsheets/d/1fC3fyg60xd2eSSYcWdzoxTfCeKLcRbmaUzBDRvPxPB0/edit?gid=1996990278#gid=1996990278"",""2026-27!q3"")"),18.0)</f>
        <v>18</v>
      </c>
      <c r="AH123" s="62">
        <f t="shared" si="102"/>
        <v>0</v>
      </c>
      <c r="AI123" s="59">
        <f>IFERROR(__xludf.DUMMYFUNCTION("importrange(""https://docs.google.com/spreadsheets/d/1fC3fyg60xd2eSSYcWdzoxTfCeKLcRbmaUzBDRvPxPB0/edit?gid=1996990278#gid=1996990278"",""2026-27!r4"")"),0.0)</f>
        <v>0</v>
      </c>
      <c r="AJ123" s="59">
        <f>IFERROR(__xludf.DUMMYFUNCTION("importrange(""https://docs.google.com/spreadsheets/d/1fC3fyg60xd2eSSYcWdzoxTfCeKLcRbmaUzBDRvPxPB0/edit?gid=1996990278#gid=1996990278"",""2026-27!r3"")"),0.0)</f>
        <v>0</v>
      </c>
      <c r="AK123" s="59">
        <f>IFERROR(__xludf.DUMMYFUNCTION("importrange(""https://docs.google.com/spreadsheets/d/1fC3fyg60xd2eSSYcWdzoxTfCeKLcRbmaUzBDRvPxPB0/edit?gid=1996990278#gid=1996990278"",""2026-27!s4"")"),1904175.0)</f>
        <v>1904175</v>
      </c>
      <c r="AL123" s="59">
        <f>IFERROR(__xludf.DUMMYFUNCTION("importrange(""https://docs.google.com/spreadsheets/d/1fC3fyg60xd2eSSYcWdzoxTfCeKLcRbmaUzBDRvPxPB0/edit?gid=1996990278#gid=1996990278"",""2026-27!s3"")"),39.0)</f>
        <v>39</v>
      </c>
      <c r="AM123" s="61">
        <f>IFERROR(__xludf.DUMMYFUNCTION("importrange(""https://docs.google.com/spreadsheets/d/1fC3fyg60xd2eSSYcWdzoxTfCeKLcRbmaUzBDRvPxPB0/edit?gid=1996990278#gid=1996990278"",""2026-27!t4"")"),0.0)</f>
        <v>0</v>
      </c>
      <c r="AN123" s="59">
        <f>IFERROR(__xludf.DUMMYFUNCTION("importrange(""https://docs.google.com/spreadsheets/d/1fC3fyg60xd2eSSYcWdzoxTfCeKLcRbmaUzBDRvPxPB0/edit?gid=1996990278#gid=1996990278"",""2026-27!t3"")"),0.0)</f>
        <v>0</v>
      </c>
      <c r="AO123" s="62">
        <f t="shared" si="103"/>
        <v>0</v>
      </c>
      <c r="AP123" s="59">
        <f>IFERROR(__xludf.DUMMYFUNCTION("importrange(""https://docs.google.com/spreadsheets/d/1fC3fyg60xd2eSSYcWdzoxTfCeKLcRbmaUzBDRvPxPB0/edit?gid=1996990278#gid=1996990278"",""2026-27!u4"")"),0.0)</f>
        <v>0</v>
      </c>
      <c r="AQ123" s="59">
        <f>IFERROR(__xludf.DUMMYFUNCTION("importrange(""https://docs.google.com/spreadsheets/d/1fC3fyg60xd2eSSYcWdzoxTfCeKLcRbmaUzBDRvPxPB0/edit?gid=1996990278#gid=1996990278"",""2026-27!u3"")"),0.0)</f>
        <v>0</v>
      </c>
      <c r="AR123" s="59">
        <f>IFERROR(__xludf.DUMMYFUNCTION("importrange(""https://docs.google.com/spreadsheets/d/1fC3fyg60xd2eSSYcWdzoxTfCeKLcRbmaUzBDRvPxPB0/edit?gid=1996990278#gid=1996990278"",""2026-27!v4"")"),1904175.0)</f>
        <v>1904175</v>
      </c>
      <c r="AS123" s="59">
        <f>IFERROR(__xludf.DUMMYFUNCTION("importrange(""https://docs.google.com/spreadsheets/d/1fC3fyg60xd2eSSYcWdzoxTfCeKLcRbmaUzBDRvPxPB0/edit?gid=1996990278#gid=1996990278"",""2026-27!v3"")"),39.0)</f>
        <v>39</v>
      </c>
      <c r="AT123" s="61">
        <f>IFERROR(__xludf.DUMMYFUNCTION("importrange(""https://docs.google.com/spreadsheets/d/1fC3fyg60xd2eSSYcWdzoxTfCeKLcRbmaUzBDRvPxPB0/edit?gid=1996990278#gid=1996990278"",""2026-27!w4"")"),0.0)</f>
        <v>0</v>
      </c>
      <c r="AU123" s="59">
        <f>IFERROR(__xludf.DUMMYFUNCTION("importrange(""https://docs.google.com/spreadsheets/d/1fC3fyg60xd2eSSYcWdzoxTfCeKLcRbmaUzBDRvPxPB0/edit?gid=1996990278#gid=1996990278"",""2026-27!w3"")"),0.0)</f>
        <v>0</v>
      </c>
      <c r="AV123" s="62">
        <f t="shared" si="104"/>
        <v>0</v>
      </c>
      <c r="AW123" s="59">
        <f>IFERROR(__xludf.DUMMYFUNCTION("importrange(""https://docs.google.com/spreadsheets/d/1fC3fyg60xd2eSSYcWdzoxTfCeKLcRbmaUzBDRvPxPB0/edit?gid=1996990278#gid=1996990278"",""2026-27!x4"")"),0.0)</f>
        <v>0</v>
      </c>
      <c r="AX123" s="59">
        <f>IFERROR(__xludf.DUMMYFUNCTION("importrange(""https://docs.google.com/spreadsheets/d/1fC3fyg60xd2eSSYcWdzoxTfCeKLcRbmaUzBDRvPxPB0/edit?gid=1996990278#gid=1996990278"",""2026-27!x3"")"),0.0)</f>
        <v>0</v>
      </c>
      <c r="AY123" s="59">
        <f>IFERROR(__xludf.DUMMYFUNCTION("importrange(""https://docs.google.com/spreadsheets/d/1fC3fyg60xd2eSSYcWdzoxTfCeKLcRbmaUzBDRvPxPB0/edit?gid=1996990278#gid=1996990278"",""2026-27!y4"")"),1904175.0)</f>
        <v>1904175</v>
      </c>
      <c r="AZ123" s="59">
        <f>IFERROR(__xludf.DUMMYFUNCTION("importrange(""https://docs.google.com/spreadsheets/d/1fC3fyg60xd2eSSYcWdzoxTfCeKLcRbmaUzBDRvPxPB0/edit?gid=1996990278#gid=1996990278"",""2026-27!y3"")"),39.0)</f>
        <v>39</v>
      </c>
      <c r="BA123" s="61">
        <f>IFERROR(__xludf.DUMMYFUNCTION("importrange(""https://docs.google.com/spreadsheets/d/1fC3fyg60xd2eSSYcWdzoxTfCeKLcRbmaUzBDRvPxPB0/edit?gid=1996990278#gid=1996990278"",""2026-27!z4"")"),0.0)</f>
        <v>0</v>
      </c>
      <c r="BB123" s="59">
        <f>IFERROR(__xludf.DUMMYFUNCTION("importrange(""https://docs.google.com/spreadsheets/d/1fC3fyg60xd2eSSYcWdzoxTfCeKLcRbmaUzBDRvPxPB0/edit?gid=1996990278#gid=1996990278"",""2026-27!z3"")"),0.0)</f>
        <v>0</v>
      </c>
      <c r="BC123" s="63">
        <f t="shared" si="105"/>
        <v>0</v>
      </c>
      <c r="BD123" s="59">
        <f>IFERROR(__xludf.DUMMYFUNCTION("importrange(""https://docs.google.com/spreadsheets/d/1fC3fyg60xd2eSSYcWdzoxTfCeKLcRbmaUzBDRvPxPB0/edit?gid=1996990278#gid=1996990278"",""2026-27!aa4"")"),0.0)</f>
        <v>0</v>
      </c>
      <c r="BE123" s="59">
        <f>IFERROR(__xludf.DUMMYFUNCTION("importrange(""https://docs.google.com/spreadsheets/d/1fC3fyg60xd2eSSYcWdzoxTfCeKLcRbmaUzBDRvPxPB0/edit?gid=1996990278#gid=1996990278"",""2026-27!aa3"")"),0.0)</f>
        <v>0</v>
      </c>
      <c r="BF123" s="59">
        <f>IFERROR(__xludf.DUMMYFUNCTION("importrange(""https://docs.google.com/spreadsheets/d/1fC3fyg60xd2eSSYcWdzoxTfCeKLcRbmaUzBDRvPxPB0/edit?gid=1996990278#gid=1996990278"",""2026-27!ab4"")"),1904175.0)</f>
        <v>1904175</v>
      </c>
      <c r="BG123" s="59">
        <f>IFERROR(__xludf.DUMMYFUNCTION("importrange(""https://docs.google.com/spreadsheets/d/1fC3fyg60xd2eSSYcWdzoxTfCeKLcRbmaUzBDRvPxPB0/edit?gid=1996990278#gid=1996990278"",""2026-27!ab3"")"),39.0)</f>
        <v>39</v>
      </c>
      <c r="BH123" s="59">
        <f>IFERROR(__xludf.DUMMYFUNCTION("importrange(""https://docs.google.com/spreadsheets/d/1fC3fyg60xd2eSSYcWdzoxTfCeKLcRbmaUzBDRvPxPB0/edit?gid=1996990278#gid=1996990278"",""2026-27!ac4"")"),0.0)</f>
        <v>0</v>
      </c>
      <c r="BI123" s="59">
        <f>IFERROR(__xludf.DUMMYFUNCTION("importrange(""https://docs.google.com/spreadsheets/d/1fC3fyg60xd2eSSYcWdzoxTfCeKLcRbmaUzBDRvPxPB0/edit?gid=1996990278#gid=1996990278"",""2026-27!ac3"")"),0.0)</f>
        <v>0</v>
      </c>
      <c r="BJ123" s="63">
        <f t="shared" si="106"/>
        <v>0</v>
      </c>
      <c r="BK123" s="59">
        <f>IFERROR(__xludf.DUMMYFUNCTION("importrange(""https://docs.google.com/spreadsheets/d/1fC3fyg60xd2eSSYcWdzoxTfCeKLcRbmaUzBDRvPxPB0/edit?gid=1996990278#gid=1996990278"",""2026-27!ad4"")"),0.0)</f>
        <v>0</v>
      </c>
      <c r="BL123" s="59">
        <f>IFERROR(__xludf.DUMMYFUNCTION("importrange(""https://docs.google.com/spreadsheets/d/1fC3fyg60xd2eSSYcWdzoxTfCeKLcRbmaUzBDRvPxPB0/edit?gid=1996990278#gid=1996990278"",""2026-27!ad3"")"),0.0)</f>
        <v>0</v>
      </c>
      <c r="BM123" s="59">
        <f>IFERROR(__xludf.DUMMYFUNCTION("importrange(""https://docs.google.com/spreadsheets/d/1fC3fyg60xd2eSSYcWdzoxTfCeKLcRbmaUzBDRvPxPB0/edit?gid=1996990278#gid=1996990278"",""2026-27!ae4"")"),1904175.0)</f>
        <v>1904175</v>
      </c>
      <c r="BN123" s="59">
        <f>IFERROR(__xludf.DUMMYFUNCTION("importrange(""https://docs.google.com/spreadsheets/d/1fC3fyg60xd2eSSYcWdzoxTfCeKLcRbmaUzBDRvPxPB0/edit?gid=1996990278#gid=1996990278"",""2026-27!ae3"")"),39.0)</f>
        <v>39</v>
      </c>
      <c r="BO123" s="59">
        <f>IFERROR(__xludf.DUMMYFUNCTION("importrange(""https://docs.google.com/spreadsheets/d/1fC3fyg60xd2eSSYcWdzoxTfCeKLcRbmaUzBDRvPxPB0/edit?gid=1996990278#gid=1996990278"",""2026-27!af4"")"),0.0)</f>
        <v>0</v>
      </c>
      <c r="BP123" s="59">
        <f>IFERROR(__xludf.DUMMYFUNCTION("importrange(""https://docs.google.com/spreadsheets/d/1fC3fyg60xd2eSSYcWdzoxTfCeKLcRbmaUzBDRvPxPB0/edit?gid=1996990278#gid=1996990278"",""2026-27!af3"")"),0.0)</f>
        <v>0</v>
      </c>
      <c r="BQ123" s="63">
        <f t="shared" si="107"/>
        <v>0</v>
      </c>
      <c r="BR123" s="59">
        <f>IFERROR(__xludf.DUMMYFUNCTION("importrange(""https://docs.google.com/spreadsheets/d/1fC3fyg60xd2eSSYcWdzoxTfCeKLcRbmaUzBDRvPxPB0/edit?gid=1996990278#gid=1996990278"",""2026-27!ag4"")"),0.0)</f>
        <v>0</v>
      </c>
      <c r="BS123" s="59">
        <f>IFERROR(__xludf.DUMMYFUNCTION("importrange(""https://docs.google.com/spreadsheets/d/1fC3fyg60xd2eSSYcWdzoxTfCeKLcRbmaUzBDRvPxPB0/edit?gid=1996990278#gid=1996990278"",""2026-27!ag3"")"),0.0)</f>
        <v>0</v>
      </c>
      <c r="BT123" s="59">
        <f>IFERROR(__xludf.DUMMYFUNCTION("importrange(""https://docs.google.com/spreadsheets/d/1fC3fyg60xd2eSSYcWdzoxTfCeKLcRbmaUzBDRvPxPB0/edit?gid=1996990278#gid=1996990278"",""2026-27!ah4"")"),1904175.0)</f>
        <v>1904175</v>
      </c>
      <c r="BU123" s="59">
        <f>IFERROR(__xludf.DUMMYFUNCTION("importrange(""https://docs.google.com/spreadsheets/d/1fC3fyg60xd2eSSYcWdzoxTfCeKLcRbmaUzBDRvPxPB0/edit?gid=1996990278#gid=1996990278"",""2026-27!ah3"")"),39.0)</f>
        <v>39</v>
      </c>
      <c r="BV123" s="59">
        <f>IFERROR(__xludf.DUMMYFUNCTION("importrange(""https://docs.google.com/spreadsheets/d/1fC3fyg60xd2eSSYcWdzoxTfCeKLcRbmaUzBDRvPxPB0/edit?gid=1996990278#gid=1996990278"",""2026-27!ai4"")"),0.0)</f>
        <v>0</v>
      </c>
      <c r="BW123" s="59">
        <f>IFERROR(__xludf.DUMMYFUNCTION("importrange(""https://docs.google.com/spreadsheets/d/1fC3fyg60xd2eSSYcWdzoxTfCeKLcRbmaUzBDRvPxPB0/edit?gid=1996990278#gid=1996990278"",""2026-27!ai3"")"),0.0)</f>
        <v>0</v>
      </c>
      <c r="BX123" s="63">
        <f t="shared" si="108"/>
        <v>0</v>
      </c>
      <c r="BY123" s="59">
        <f>IFERROR(__xludf.DUMMYFUNCTION("importrange(""https://docs.google.com/spreadsheets/d/1fC3fyg60xd2eSSYcWdzoxTfCeKLcRbmaUzBDRvPxPB0/edit?gid=1996990278#gid=1996990278"",""2026-27!aj4"")"),0.0)</f>
        <v>0</v>
      </c>
      <c r="BZ123" s="59">
        <f>IFERROR(__xludf.DUMMYFUNCTION("importrange(""https://docs.google.com/spreadsheets/d/1fC3fyg60xd2eSSYcWdzoxTfCeKLcRbmaUzBDRvPxPB0/edit?gid=1996990278#gid=1996990278"",""2026-27!aj3"")"),0.0)</f>
        <v>0</v>
      </c>
      <c r="CA123" s="59">
        <f>IFERROR(__xludf.DUMMYFUNCTION("importrange(""https://docs.google.com/spreadsheets/d/1fC3fyg60xd2eSSYcWdzoxTfCeKLcRbmaUzBDRvPxPB0/edit?gid=1996990278#gid=1996990278"",""2026-27!ak4"")"),1904175.0)</f>
        <v>1904175</v>
      </c>
      <c r="CB123" s="59">
        <f>IFERROR(__xludf.DUMMYFUNCTION("importrange(""https://docs.google.com/spreadsheets/d/1fC3fyg60xd2eSSYcWdzoxTfCeKLcRbmaUzBDRvPxPB0/edit?gid=1996990278#gid=1996990278"",""2026-27!ak3"")"),39.0)</f>
        <v>39</v>
      </c>
      <c r="CC123" s="59">
        <f>IFERROR(__xludf.DUMMYFUNCTION("importrange(""https://docs.google.com/spreadsheets/d/1fC3fyg60xd2eSSYcWdzoxTfCeKLcRbmaUzBDRvPxPB0/edit?gid=1996990278#gid=1996990278"",""2026-27!al4"")"),0.0)</f>
        <v>0</v>
      </c>
      <c r="CD123" s="59">
        <f>IFERROR(__xludf.DUMMYFUNCTION("importrange(""https://docs.google.com/spreadsheets/d/1fC3fyg60xd2eSSYcWdzoxTfCeKLcRbmaUzBDRvPxPB0/edit?gid=1996990278#gid=1996990278"",""2026-27!ai3"")"),0.0)</f>
        <v>0</v>
      </c>
      <c r="CE123" s="63">
        <f t="shared" si="109"/>
        <v>0</v>
      </c>
      <c r="CF123" s="59">
        <f>IFERROR(__xludf.DUMMYFUNCTION("importrange(""https://docs.google.com/spreadsheets/d/1fC3fyg60xd2eSSYcWdzoxTfCeKLcRbmaUzBDRvPxPB0/edit?gid=1996990278#gid=1996990278"",""2026-27!am4"")"),0.0)</f>
        <v>0</v>
      </c>
      <c r="CG123" s="59">
        <f>IFERROR(__xludf.DUMMYFUNCTION("importrange(""https://docs.google.com/spreadsheets/d/1fC3fyg60xd2eSSYcWdzoxTfCeKLcRbmaUzBDRvPxPB0/edit?gid=1996990278#gid=1996990278"",""2026-27!am3"")"),0.0)</f>
        <v>0</v>
      </c>
      <c r="CH123" s="59">
        <f>IFERROR(__xludf.DUMMYFUNCTION("importrange(""https://docs.google.com/spreadsheets/d/1fC3fyg60xd2eSSYcWdzoxTfCeKLcRbmaUzBDRvPxPB0/edit?gid=1996990278#gid=1996990278"",""2026-27!an4"")"),1904175.0)</f>
        <v>1904175</v>
      </c>
      <c r="CI123" s="59">
        <f>IFERROR(__xludf.DUMMYFUNCTION("importrange(""https://docs.google.com/spreadsheets/d/1fC3fyg60xd2eSSYcWdzoxTfCeKLcRbmaUzBDRvPxPB0/edit?gid=1996990278#gid=1996990278"",""2026-27!an3"")"),39.0)</f>
        <v>39</v>
      </c>
      <c r="CJ123" s="59">
        <f>IFERROR(__xludf.DUMMYFUNCTION("importrange(""https://docs.google.com/spreadsheets/d/1fC3fyg60xd2eSSYcWdzoxTfCeKLcRbmaUzBDRvPxPB0/edit?gid=1996990278#gid=1996990278"",""2026-27!ao4"")"),0.0)</f>
        <v>0</v>
      </c>
      <c r="CK123" s="59">
        <f>IFERROR(__xludf.DUMMYFUNCTION("importrange(""https://docs.google.com/spreadsheets/d/1fC3fyg60xd2eSSYcWdzoxTfCeKLcRbmaUzBDRvPxPB0/edit?gid=1996990278#gid=1996990278"",""2026-27!ao3"")"),0.0)</f>
        <v>0</v>
      </c>
      <c r="CL123" s="63">
        <f t="shared" si="110"/>
        <v>0</v>
      </c>
      <c r="CM123" s="59">
        <f>IFERROR(__xludf.DUMMYFUNCTION("importrange(""https://docs.google.com/spreadsheets/d/1fC3fyg60xd2eSSYcWdzoxTfCeKLcRbmaUzBDRvPxPB0/edit?gid=1996990278#gid=1996990278"",""2026-27!ap4"")"),0.0)</f>
        <v>0</v>
      </c>
      <c r="CN123" s="59">
        <f>IFERROR(__xludf.DUMMYFUNCTION("importrange(""https://docs.google.com/spreadsheets/d/1fC3fyg60xd2eSSYcWdzoxTfCeKLcRbmaUzBDRvPxPB0/edit?gid=1996990278#gid=1996990278"",""2026-27!ap3"")"),0.0)</f>
        <v>0</v>
      </c>
      <c r="CO123" s="59">
        <f>IFERROR(__xludf.DUMMYFUNCTION("importrange(""https://docs.google.com/spreadsheets/d/1fC3fyg60xd2eSSYcWdzoxTfCeKLcRbmaUzBDRvPxPB0/edit?gid=1996990278#gid=1996990278"",""2026-27!aq4"")"),1904175.0)</f>
        <v>1904175</v>
      </c>
      <c r="CP123" s="59">
        <f>IFERROR(__xludf.DUMMYFUNCTION("importrange(""https://docs.google.com/spreadsheets/d/1fC3fyg60xd2eSSYcWdzoxTfCeKLcRbmaUzBDRvPxPB0/edit?gid=1996990278#gid=1996990278"",""2026-27!aq3"")"),39.0)</f>
        <v>39</v>
      </c>
      <c r="CQ123" s="59">
        <f>IFERROR(__xludf.DUMMYFUNCTION("importrange(""https://docs.google.com/spreadsheets/d/1fC3fyg60xd2eSSYcWdzoxTfCeKLcRbmaUzBDRvPxPB0/edit?gid=1996990278#gid=1996990278"",""2026-27!ar4"")"),0.0)</f>
        <v>0</v>
      </c>
      <c r="CR123" s="59">
        <f>IFERROR(__xludf.DUMMYFUNCTION("importrange(""https://docs.google.com/spreadsheets/d/1fC3fyg60xd2eSSYcWdzoxTfCeKLcRbmaUzBDRvPxPB0/edit?gid=1996990278#gid=1996990278"",""2026-27!ar3"")"),0.0)</f>
        <v>0</v>
      </c>
      <c r="CS123" s="63">
        <f t="shared" si="111"/>
        <v>0</v>
      </c>
      <c r="CT123" s="59">
        <f>IFERROR(__xludf.DUMMYFUNCTION("importrange(""https://docs.google.com/spreadsheets/d/1fC3fyg60xd2eSSYcWdzoxTfCeKLcRbmaUzBDRvPxPB0/edit?gid=1996990278#gid=1996990278"",""2026-27!as4"")"),0.0)</f>
        <v>0</v>
      </c>
      <c r="CU123" s="59">
        <f>IFERROR(__xludf.DUMMYFUNCTION("importrange(""https://docs.google.com/spreadsheets/d/1fC3fyg60xd2eSSYcWdzoxTfCeKLcRbmaUzBDRvPxPB0/edit?gid=1996990278#gid=1996990278"",""2026-27!as3"")"),0.0)</f>
        <v>0</v>
      </c>
      <c r="CV123" s="64"/>
    </row>
    <row r="124">
      <c r="A124" s="1" t="s">
        <v>160</v>
      </c>
      <c r="B124" s="41"/>
      <c r="C124" s="112" t="s">
        <v>244</v>
      </c>
      <c r="D124" s="113" t="s">
        <v>245</v>
      </c>
      <c r="E124" s="72">
        <v>9.083084027E9</v>
      </c>
      <c r="F124" s="84">
        <v>45784.0</v>
      </c>
      <c r="G124" s="66"/>
      <c r="H124" s="66"/>
      <c r="I124" s="57">
        <v>25985.0</v>
      </c>
      <c r="J124" s="58">
        <v>3333333.0</v>
      </c>
      <c r="K124" s="61">
        <f>IFERROR(__xludf.DUMMYFUNCTION("IMPORTRANGE(""https://docs.google.com/spreadsheets/d/18m5o7TTSu_7OYCCZkDgwq90DUL-KY0ZOGTL75E5bkIs/edit?gid=0#gid=0"",""2026-27!A3"")"),41.0)</f>
        <v>41</v>
      </c>
      <c r="L124" s="61">
        <f>IFERROR(__xludf.DUMMYFUNCTION("IMPORTRANGE(""https://docs.google.com/spreadsheets/d/18m5o7TTSu_7OYCCZkDgwq90DUL-KY0ZOGTL75E5bkIs/edit?gid=0#gid=0"",""2026-27!G4"")"),3.88E7)</f>
        <v>38800000</v>
      </c>
      <c r="M124" s="61">
        <f t="shared" si="97"/>
        <v>5113525.18</v>
      </c>
      <c r="N124" s="60">
        <f t="shared" si="98"/>
        <v>0.1724931482</v>
      </c>
      <c r="O124" s="61">
        <f t="shared" si="99"/>
        <v>6692734.15</v>
      </c>
      <c r="P124" s="59">
        <f>IFERROR(__xludf.DUMMYFUNCTION("IMPORTRANGE(""https://docs.google.com/spreadsheets/d/18m5o7TTSu_7OYCCZkDgwq90DUL-KY0ZOGTL75E5bkIs/edit?gid=0#gid=0"",""2026-27!J4"")"),3233327.0)</f>
        <v>3233327</v>
      </c>
      <c r="Q124" s="59">
        <f>IFERROR(__xludf.DUMMYFUNCTION("IMPORTRANGE(""https://docs.google.com/spreadsheets/d/18m5o7TTSu_7OYCCZkDgwq90DUL-KY0ZOGTL75E5bkIs/edit?gid=0#gid=0"",""2026-27!J3"")"),40.0)</f>
        <v>40</v>
      </c>
      <c r="R124" s="59">
        <f>IFERROR(__xludf.DUMMYFUNCTION("IMPORTRANGE(""https://docs.google.com/spreadsheets/d/18m5o7TTSu_7OYCCZkDgwq90DUL-KY0ZOGTL75E5bkIs/edit?gid=0#gid=0"",""2026-27!K4"")"),459017.78)</f>
        <v>459017.78</v>
      </c>
      <c r="S124" s="59">
        <f>IFERROR(__xludf.DUMMYFUNCTION("IMPORTRANGE(""https://docs.google.com/spreadsheets/d/18m5o7TTSu_7OYCCZkDgwq90DUL-KY0ZOGTL75E5bkIs/edit?gid=0#gid=0"",""2026-27!K3"")"),7.0)</f>
        <v>7</v>
      </c>
      <c r="T124" s="62">
        <f t="shared" si="100"/>
        <v>0.3554695458</v>
      </c>
      <c r="U124" s="59">
        <f>IFERROR(__xludf.DUMMYFUNCTION("IMPORTRANGE(""https://docs.google.com/spreadsheets/d/18m5o7TTSu_7OYCCZkDgwq90DUL-KY0ZOGTL75E5bkIs/edit?gid=0#gid=0"",""2026-27!L4"")"),1149349.28)</f>
        <v>1149349.28</v>
      </c>
      <c r="V124" s="85">
        <f>IFERROR(__xludf.DUMMYFUNCTION("IMPORTRANGE(""https://docs.google.com/spreadsheets/d/18m5o7TTSu_7OYCCZkDgwq90DUL-KY0ZOGTL75E5bkIs/edit?gid=0#gid=0"",""2026-27!L3"")"),14.0)</f>
        <v>14</v>
      </c>
      <c r="W124" s="59">
        <f>IFERROR(__xludf.DUMMYFUNCTION("IMPORTRANGE(""https://docs.google.com/spreadsheets/d/18m5o7TTSu_7OYCCZkDgwq90DUL-KY0ZOGTL75E5bkIs/edit?gid=0#gid=0"",""2026-27!M4"")"),3233327.0)</f>
        <v>3233327</v>
      </c>
      <c r="X124" s="85">
        <f>IFERROR(__xludf.DUMMYFUNCTION("IMPORTRANGE(""https://docs.google.com/spreadsheets/d/18m5o7TTSu_7OYCCZkDgwq90DUL-KY0ZOGTL75E5bkIs/edit?gid=0#gid=0"",""2026-27!M3"")"),40.0)</f>
        <v>40</v>
      </c>
      <c r="Y124" s="59">
        <f>IFERROR(__xludf.DUMMYFUNCTION("importrange(""https://docs.google.com/spreadsheets/d/18m5o7TTSu_7OYCCZkDgwq90DUL-KY0ZOGTL75E5bkIs/edit?gid=0#gid=0"",""2026-27!n4"")"),1288220.3000000003)</f>
        <v>1288220.3</v>
      </c>
      <c r="Z124" s="59">
        <f>IFERROR(__xludf.DUMMYFUNCTION("importrange(""https://docs.google.com/spreadsheets/d/18m5o7TTSu_7OYCCZkDgwq90DUL-KY0ZOGTL75E5bkIs/edit?gid=0#gid=0"",""2026-27!n3"")"),15.0)</f>
        <v>15</v>
      </c>
      <c r="AA124" s="62">
        <f t="shared" si="101"/>
        <v>0.4920736597</v>
      </c>
      <c r="AB124" s="59">
        <f>IFERROR(__xludf.DUMMYFUNCTION("importrange(""https://docs.google.com/spreadsheets/d/18m5o7TTSu_7OYCCZkDgwq90DUL-KY0ZOGTL75E5bkIs/edit?gid=0#gid=0"",""2026-27!o4"")"),1591035.0499999993)</f>
        <v>1591035.05</v>
      </c>
      <c r="AC124" s="59">
        <f>IFERROR(__xludf.DUMMYFUNCTION("importrange(""https://docs.google.com/spreadsheets/d/18m5o7TTSu_7OYCCZkDgwq90DUL-KY0ZOGTL75E5bkIs/edit?gid=0#gid=0"",""2026-27!o3"")"),19.0)</f>
        <v>19</v>
      </c>
      <c r="AD124" s="59">
        <f>IFERROR(__xludf.DUMMYFUNCTION("importrange(""https://docs.google.com/spreadsheets/d/18m5o7TTSu_7OYCCZkDgwq90DUL-KY0ZOGTL75E5bkIs/edit?gid=0#gid=0"",""2026-27!p4"")"),3233327.0)</f>
        <v>3233327</v>
      </c>
      <c r="AE124" s="59">
        <f>IFERROR(__xludf.DUMMYFUNCTION("importrange(""https://docs.google.com/spreadsheets/d/18m5o7TTSu_7OYCCZkDgwq90DUL-KY0ZOGTL75E5bkIs/edit?gid=0#gid=0"",""2026-27!p3"")"),40.0)</f>
        <v>40</v>
      </c>
      <c r="AF124" s="59">
        <f>IFERROR(__xludf.DUMMYFUNCTION("importrange(""https://docs.google.com/spreadsheets/d/18m5o7TTSu_7OYCCZkDgwq90DUL-KY0ZOGTL75E5bkIs/edit?gid=0#gid=0"",""2026-27!q4"")"),3366287.1000000006)</f>
        <v>3366287.1</v>
      </c>
      <c r="AG124" s="59">
        <f>IFERROR(__xludf.DUMMYFUNCTION("importrange(""https://docs.google.com/spreadsheets/d/18m5o7TTSu_7OYCCZkDgwq90DUL-KY0ZOGTL75E5bkIs/edit?gid=0#gid=0"",""2026-27!q3"")"),20.0)</f>
        <v>20</v>
      </c>
      <c r="AH124" s="62">
        <f t="shared" si="102"/>
        <v>1.222378627</v>
      </c>
      <c r="AI124" s="59">
        <f>IFERROR(__xludf.DUMMYFUNCTION("importrange(""https://docs.google.com/spreadsheets/d/18m5o7TTSu_7OYCCZkDgwq90DUL-KY0ZOGTL75E5bkIs/edit?gid=0#gid=0"",""2026-27!r4"")"),3952349.8199999994)</f>
        <v>3952349.82</v>
      </c>
      <c r="AJ124" s="59">
        <f>IFERROR(__xludf.DUMMYFUNCTION("importrange(""https://docs.google.com/spreadsheets/d/18m5o7TTSu_7OYCCZkDgwq90DUL-KY0ZOGTL75E5bkIs/edit?gid=0#gid=0"",""2026-27!r3"")"),25.0)</f>
        <v>25</v>
      </c>
      <c r="AK124" s="59">
        <f>IFERROR(__xludf.DUMMYFUNCTION("importrange(""https://docs.google.com/spreadsheets/d/18m5o7TTSu_7OYCCZkDgwq90DUL-KY0ZOGTL75E5bkIs/edit?gid=0#gid=0"",""2026-27!s4"")"),3233327.0)</f>
        <v>3233327</v>
      </c>
      <c r="AL124" s="59">
        <f>IFERROR(__xludf.DUMMYFUNCTION("importrange(""https://docs.google.com/spreadsheets/d/18m5o7TTSu_7OYCCZkDgwq90DUL-KY0ZOGTL75E5bkIs/edit?gid=0#gid=0"",""2026-27!s3"")"),40.0)</f>
        <v>40</v>
      </c>
      <c r="AM124" s="61">
        <f>IFERROR(__xludf.DUMMYFUNCTION("importrange(""https://docs.google.com/spreadsheets/d/18m5o7TTSu_7OYCCZkDgwq90DUL-KY0ZOGTL75E5bkIs/edit?gid=0#gid=0"",""2026-27!t4"")"),0.0)</f>
        <v>0</v>
      </c>
      <c r="AN124" s="59">
        <f>IFERROR(__xludf.DUMMYFUNCTION("importrange(""https://docs.google.com/spreadsheets/d/18m5o7TTSu_7OYCCZkDgwq90DUL-KY0ZOGTL75E5bkIs/edit?gid=0#gid=0"",""2026-27!t3"")"),0.0)</f>
        <v>0</v>
      </c>
      <c r="AO124" s="62">
        <f t="shared" si="103"/>
        <v>0</v>
      </c>
      <c r="AP124" s="59">
        <f>IFERROR(__xludf.DUMMYFUNCTION("importrange(""https://docs.google.com/spreadsheets/d/18m5o7TTSu_7OYCCZkDgwq90DUL-KY0ZOGTL75E5bkIs/edit?gid=0#gid=0"",""2026-27!u4"")"),0.0)</f>
        <v>0</v>
      </c>
      <c r="AQ124" s="59">
        <f>IFERROR(__xludf.DUMMYFUNCTION("importrange(""https://docs.google.com/spreadsheets/d/18m5o7TTSu_7OYCCZkDgwq90DUL-KY0ZOGTL75E5bkIs/edit?gid=0#gid=0"",""2026-27!u3"")"),0.0)</f>
        <v>0</v>
      </c>
      <c r="AR124" s="59">
        <f>IFERROR(__xludf.DUMMYFUNCTION("importrange(""https://docs.google.com/spreadsheets/d/18m5o7TTSu_7OYCCZkDgwq90DUL-KY0ZOGTL75E5bkIs/edit?gid=0#gid=0"",""2026-27!v4"")"),3233327.33)</f>
        <v>3233327.33</v>
      </c>
      <c r="AS124" s="59">
        <f>IFERROR(__xludf.DUMMYFUNCTION("importrange(""https://docs.google.com/spreadsheets/d/18m5o7TTSu_7OYCCZkDgwq90DUL-KY0ZOGTL75E5bkIs/edit?gid=0#gid=0"",""2026-27!v3"")"),40.0)</f>
        <v>40</v>
      </c>
      <c r="AT124" s="61">
        <f>IFERROR(__xludf.DUMMYFUNCTION("importrange(""https://docs.google.com/spreadsheets/d/18m5o7TTSu_7OYCCZkDgwq90DUL-KY0ZOGTL75E5bkIs/edit?gid=0#gid=0"",""2026-27!w4"")"),0.0)</f>
        <v>0</v>
      </c>
      <c r="AU124" s="59">
        <f>IFERROR(__xludf.DUMMYFUNCTION("importrange(""https://docs.google.com/spreadsheets/d/18m5o7TTSu_7OYCCZkDgwq90DUL-KY0ZOGTL75E5bkIs/edit?gid=0#gid=0"",""2026-27!w3"")"),0.0)</f>
        <v>0</v>
      </c>
      <c r="AV124" s="62">
        <f t="shared" si="104"/>
        <v>0</v>
      </c>
      <c r="AW124" s="59">
        <f>IFERROR(__xludf.DUMMYFUNCTION("importrange(""https://docs.google.com/spreadsheets/d/18m5o7TTSu_7OYCCZkDgwq90DUL-KY0ZOGTL75E5bkIs/edit?gid=0#gid=0"",""2026-27!x4"")"),0.0)</f>
        <v>0</v>
      </c>
      <c r="AX124" s="59">
        <f>IFERROR(__xludf.DUMMYFUNCTION("importrange(""https://docs.google.com/spreadsheets/d/18m5o7TTSu_7OYCCZkDgwq90DUL-KY0ZOGTL75E5bkIs/edit?gid=0#gid=0"",""2026-27!x3"")"),0.0)</f>
        <v>0</v>
      </c>
      <c r="AY124" s="59">
        <f>IFERROR(__xludf.DUMMYFUNCTION("importrange(""https://docs.google.com/spreadsheets/d/18m5o7TTSu_7OYCCZkDgwq90DUL-KY0ZOGTL75E5bkIs/edit?gid=0#gid=0"",""2026-27!y4"")"),3233327.33)</f>
        <v>3233327.33</v>
      </c>
      <c r="AZ124" s="59">
        <f>IFERROR(__xludf.DUMMYFUNCTION("importrange(""https://docs.google.com/spreadsheets/d/18m5o7TTSu_7OYCCZkDgwq90DUL-KY0ZOGTL75E5bkIs/edit?gid=0#gid=0"",""2026-27!y3"")"),40.0)</f>
        <v>40</v>
      </c>
      <c r="BA124" s="61">
        <f>IFERROR(__xludf.DUMMYFUNCTION("importrange(""https://docs.google.com/spreadsheets/d/18m5o7TTSu_7OYCCZkDgwq90DUL-KY0ZOGTL75E5bkIs/edit?gid=0#gid=0"",""2026-27!z4"")"),0.0)</f>
        <v>0</v>
      </c>
      <c r="BB124" s="59">
        <f>IFERROR(__xludf.DUMMYFUNCTION("importrange(""https://docs.google.com/spreadsheets/d/18m5o7TTSu_7OYCCZkDgwq90DUL-KY0ZOGTL75E5bkIs/edit?gid=0#gid=0"",""2026-27!z3"")"),0.0)</f>
        <v>0</v>
      </c>
      <c r="BC124" s="63">
        <f t="shared" si="105"/>
        <v>0</v>
      </c>
      <c r="BD124" s="59">
        <f>IFERROR(__xludf.DUMMYFUNCTION("importrange(""https://docs.google.com/spreadsheets/d/18m5o7TTSu_7OYCCZkDgwq90DUL-KY0ZOGTL75E5bkIs/edit?gid=0#gid=0"",""2026-27!aa4"")"),0.0)</f>
        <v>0</v>
      </c>
      <c r="BE124" s="59">
        <f>IFERROR(__xludf.DUMMYFUNCTION("importrange(""https://docs.google.com/spreadsheets/d/18m5o7TTSu_7OYCCZkDgwq90DUL-KY0ZOGTL75E5bkIs/edit?gid=0#gid=0"",""2026-27!aa3"")"),0.0)</f>
        <v>0</v>
      </c>
      <c r="BF124" s="59">
        <f>IFERROR(__xludf.DUMMYFUNCTION("importrange(""https://docs.google.com/spreadsheets/d/18m5o7TTSu_7OYCCZkDgwq90DUL-KY0ZOGTL75E5bkIs/edit?gid=0#gid=0"",""2026-27!ab4"")"),3233327.33)</f>
        <v>3233327.33</v>
      </c>
      <c r="BG124" s="59">
        <f>IFERROR(__xludf.DUMMYFUNCTION("importrange(""https://docs.google.com/spreadsheets/d/18m5o7TTSu_7OYCCZkDgwq90DUL-KY0ZOGTL75E5bkIs/edit?gid=0#gid=0"",""2026-27!ab3"")"),40.0)</f>
        <v>40</v>
      </c>
      <c r="BH124" s="59">
        <f>IFERROR(__xludf.DUMMYFUNCTION("importrange(""https://docs.google.com/spreadsheets/d/18m5o7TTSu_7OYCCZkDgwq90DUL-KY0ZOGTL75E5bkIs/edit?gid=0#gid=0"",""2026-27!ac4"")"),0.0)</f>
        <v>0</v>
      </c>
      <c r="BI124" s="59">
        <f>IFERROR(__xludf.DUMMYFUNCTION("importrange(""https://docs.google.com/spreadsheets/d/18m5o7TTSu_7OYCCZkDgwq90DUL-KY0ZOGTL75E5bkIs/edit?gid=0#gid=0"",""2026-27!ac3"")"),0.0)</f>
        <v>0</v>
      </c>
      <c r="BJ124" s="63">
        <f t="shared" si="106"/>
        <v>0</v>
      </c>
      <c r="BK124" s="59">
        <f>IFERROR(__xludf.DUMMYFUNCTION("importrange(""https://docs.google.com/spreadsheets/d/18m5o7TTSu_7OYCCZkDgwq90DUL-KY0ZOGTL75E5bkIs/edit?gid=0#gid=0"",""2026-27!ad4"")"),0.0)</f>
        <v>0</v>
      </c>
      <c r="BL124" s="59">
        <f>IFERROR(__xludf.DUMMYFUNCTION("importrange(""https://docs.google.com/spreadsheets/d/18m5o7TTSu_7OYCCZkDgwq90DUL-KY0ZOGTL75E5bkIs/edit?gid=0#gid=0"",""2026-27!ad3"")"),0.0)</f>
        <v>0</v>
      </c>
      <c r="BM124" s="59">
        <f>IFERROR(__xludf.DUMMYFUNCTION("importrange(""https://docs.google.com/spreadsheets/d/18m5o7TTSu_7OYCCZkDgwq90DUL-KY0ZOGTL75E5bkIs/edit?gid=0#gid=0"",""2026-27!ae4"")"),3233327.33)</f>
        <v>3233327.33</v>
      </c>
      <c r="BN124" s="59">
        <f>IFERROR(__xludf.DUMMYFUNCTION("importrange(""https://docs.google.com/spreadsheets/d/18m5o7TTSu_7OYCCZkDgwq90DUL-KY0ZOGTL75E5bkIs/edit?gid=0#gid=0"",""2026-27!ae3"")"),40.0)</f>
        <v>40</v>
      </c>
      <c r="BO124" s="59">
        <f>IFERROR(__xludf.DUMMYFUNCTION("importrange(""https://docs.google.com/spreadsheets/d/18m5o7TTSu_7OYCCZkDgwq90DUL-KY0ZOGTL75E5bkIs/edit?gid=0#gid=0"",""2026-27!af4"")"),0.0)</f>
        <v>0</v>
      </c>
      <c r="BP124" s="59">
        <f>IFERROR(__xludf.DUMMYFUNCTION("importrange(""https://docs.google.com/spreadsheets/d/18m5o7TTSu_7OYCCZkDgwq90DUL-KY0ZOGTL75E5bkIs/edit?gid=0#gid=0"",""2026-27!af3"")"),0.0)</f>
        <v>0</v>
      </c>
      <c r="BQ124" s="63">
        <f t="shared" si="107"/>
        <v>0</v>
      </c>
      <c r="BR124" s="59">
        <f>IFERROR(__xludf.DUMMYFUNCTION("importrange(""https://docs.google.com/spreadsheets/d/18m5o7TTSu_7OYCCZkDgwq90DUL-KY0ZOGTL75E5bkIs/edit?gid=0#gid=0"",""2026-27!ag4"")"),0.0)</f>
        <v>0</v>
      </c>
      <c r="BS124" s="59">
        <f>IFERROR(__xludf.DUMMYFUNCTION("importrange(""https://docs.google.com/spreadsheets/d/18m5o7TTSu_7OYCCZkDgwq90DUL-KY0ZOGTL75E5bkIs/edit?gid=0#gid=0"",""2026-27!ag3"")"),0.0)</f>
        <v>0</v>
      </c>
      <c r="BT124" s="59">
        <f>IFERROR(__xludf.DUMMYFUNCTION("importrange(""https://docs.google.com/spreadsheets/d/18m5o7TTSu_7OYCCZkDgwq90DUL-KY0ZOGTL75E5bkIs/edit?gid=0#gid=0"",""2026-27!ah4"")"),3233327.33)</f>
        <v>3233327.33</v>
      </c>
      <c r="BU124" s="59">
        <f>IFERROR(__xludf.DUMMYFUNCTION("importrange(""https://docs.google.com/spreadsheets/d/18m5o7TTSu_7OYCCZkDgwq90DUL-KY0ZOGTL75E5bkIs/edit?gid=0#gid=0"",""2026-27!ah3"")"),40.0)</f>
        <v>40</v>
      </c>
      <c r="BV124" s="59">
        <f>IFERROR(__xludf.DUMMYFUNCTION("importrange(""https://docs.google.com/spreadsheets/d/18m5o7TTSu_7OYCCZkDgwq90DUL-KY0ZOGTL75E5bkIs/edit?gid=0#gid=0"",""2026-27!ai4"")"),0.0)</f>
        <v>0</v>
      </c>
      <c r="BW124" s="59">
        <f>IFERROR(__xludf.DUMMYFUNCTION("importrange(""https://docs.google.com/spreadsheets/d/18m5o7TTSu_7OYCCZkDgwq90DUL-KY0ZOGTL75E5bkIs/edit?gid=0#gid=0"",""2026-27!ai3"")"),0.0)</f>
        <v>0</v>
      </c>
      <c r="BX124" s="63">
        <f t="shared" si="108"/>
        <v>0</v>
      </c>
      <c r="BY124" s="59">
        <f>IFERROR(__xludf.DUMMYFUNCTION("importrange(""https://docs.google.com/spreadsheets/d/18m5o7TTSu_7OYCCZkDgwq90DUL-KY0ZOGTL75E5bkIs/edit?gid=0#gid=0"",""2026-27!aj4"")"),0.0)</f>
        <v>0</v>
      </c>
      <c r="BZ124" s="59">
        <f>IFERROR(__xludf.DUMMYFUNCTION("importrange(""https://docs.google.com/spreadsheets/d/18m5o7TTSu_7OYCCZkDgwq90DUL-KY0ZOGTL75E5bkIs/edit?gid=0#gid=0"",""2026-27!aj3"")"),0.0)</f>
        <v>0</v>
      </c>
      <c r="CA124" s="59">
        <f>IFERROR(__xludf.DUMMYFUNCTION("importrange(""https://docs.google.com/spreadsheets/d/18m5o7TTSu_7OYCCZkDgwq90DUL-KY0ZOGTL75E5bkIs/edit?gid=0#gid=0"",""2026-27!ak4"")"),3233327.33)</f>
        <v>3233327.33</v>
      </c>
      <c r="CB124" s="59">
        <f>IFERROR(__xludf.DUMMYFUNCTION("importrange(""https://docs.google.com/spreadsheets/d/18m5o7TTSu_7OYCCZkDgwq90DUL-KY0ZOGTL75E5bkIs/edit?gid=0#gid=0"",""2026-27!ak3"")"),40.0)</f>
        <v>40</v>
      </c>
      <c r="CC124" s="59">
        <f>IFERROR(__xludf.DUMMYFUNCTION("importrange(""https://docs.google.com/spreadsheets/d/18m5o7TTSu_7OYCCZkDgwq90DUL-KY0ZOGTL75E5bkIs/edit?gid=0#gid=0"",""2026-27!al4"")"),0.0)</f>
        <v>0</v>
      </c>
      <c r="CD124" s="59">
        <f>IFERROR(__xludf.DUMMYFUNCTION("importrange(""https://docs.google.com/spreadsheets/d/18m5o7TTSu_7OYCCZkDgwq90DUL-KY0ZOGTL75E5bkIs/edit?gid=0#gid=0"",""2026-27!ai3"")"),0.0)</f>
        <v>0</v>
      </c>
      <c r="CE124" s="63">
        <f t="shared" si="109"/>
        <v>0</v>
      </c>
      <c r="CF124" s="59">
        <f>IFERROR(__xludf.DUMMYFUNCTION("importrange(""https://docs.google.com/spreadsheets/d/18m5o7TTSu_7OYCCZkDgwq90DUL-KY0ZOGTL75E5bkIs/edit?gid=0#gid=0"",""2026-27!am4"")"),0.0)</f>
        <v>0</v>
      </c>
      <c r="CG124" s="59">
        <f>IFERROR(__xludf.DUMMYFUNCTION("importrange(""https://docs.google.com/spreadsheets/d/18m5o7TTSu_7OYCCZkDgwq90DUL-KY0ZOGTL75E5bkIs/edit?gid=0#gid=0"",""2026-27!am3"")"),0.0)</f>
        <v>0</v>
      </c>
      <c r="CH124" s="59">
        <f>IFERROR(__xludf.DUMMYFUNCTION("importrange(""https://docs.google.com/spreadsheets/d/18m5o7TTSu_7OYCCZkDgwq90DUL-KY0ZOGTL75E5bkIs/edit?gid=0#gid=0"",""2026-27!an4"")"),3233327.33)</f>
        <v>3233327.33</v>
      </c>
      <c r="CI124" s="59">
        <f>IFERROR(__xludf.DUMMYFUNCTION("importrange(""https://docs.google.com/spreadsheets/d/18m5o7TTSu_7OYCCZkDgwq90DUL-KY0ZOGTL75E5bkIs/edit?gid=0#gid=0"",""2026-27!an3"")"),40.0)</f>
        <v>40</v>
      </c>
      <c r="CJ124" s="59">
        <f>IFERROR(__xludf.DUMMYFUNCTION("importrange(""https://docs.google.com/spreadsheets/d/18m5o7TTSu_7OYCCZkDgwq90DUL-KY0ZOGTL75E5bkIs/edit?gid=0#gid=0"",""2026-27!ao4"")"),0.0)</f>
        <v>0</v>
      </c>
      <c r="CK124" s="59">
        <f>IFERROR(__xludf.DUMMYFUNCTION("importrange(""https://docs.google.com/spreadsheets/d/18m5o7TTSu_7OYCCZkDgwq90DUL-KY0ZOGTL75E5bkIs/edit?gid=0#gid=0"",""2026-27!ao3"")"),0.0)</f>
        <v>0</v>
      </c>
      <c r="CL124" s="63">
        <f t="shared" si="110"/>
        <v>0</v>
      </c>
      <c r="CM124" s="59">
        <f>IFERROR(__xludf.DUMMYFUNCTION("importrange(""https://docs.google.com/spreadsheets/d/18m5o7TTSu_7OYCCZkDgwq90DUL-KY0ZOGTL75E5bkIs/edit?gid=0#gid=0"",""2026-27!ap4"")"),0.0)</f>
        <v>0</v>
      </c>
      <c r="CN124" s="59">
        <f>IFERROR(__xludf.DUMMYFUNCTION("importrange(""https://docs.google.com/spreadsheets/d/18m5o7TTSu_7OYCCZkDgwq90DUL-KY0ZOGTL75E5bkIs/edit?gid=0#gid=0"",""2026-27!ap3"")"),0.0)</f>
        <v>0</v>
      </c>
      <c r="CO124" s="59">
        <f>IFERROR(__xludf.DUMMYFUNCTION("importrange(""https://docs.google.com/spreadsheets/d/18m5o7TTSu_7OYCCZkDgwq90DUL-KY0ZOGTL75E5bkIs/edit?gid=0#gid=0"",""2026-27!aq4"")"),3233327.33)</f>
        <v>3233327.33</v>
      </c>
      <c r="CP124" s="59">
        <f>IFERROR(__xludf.DUMMYFUNCTION("importrange(""https://docs.google.com/spreadsheets/d/18m5o7TTSu_7OYCCZkDgwq90DUL-KY0ZOGTL75E5bkIs/edit?gid=0#gid=0"",""2026-27!aq3"")"),40.0)</f>
        <v>40</v>
      </c>
      <c r="CQ124" s="59">
        <f>IFERROR(__xludf.DUMMYFUNCTION("importrange(""https://docs.google.com/spreadsheets/d/18m5o7TTSu_7OYCCZkDgwq90DUL-KY0ZOGTL75E5bkIs/edit?gid=0#gid=0"",""2026-27!ar4"")"),0.0)</f>
        <v>0</v>
      </c>
      <c r="CR124" s="59">
        <f>IFERROR(__xludf.DUMMYFUNCTION("importrange(""https://docs.google.com/spreadsheets/d/18m5o7TTSu_7OYCCZkDgwq90DUL-KY0ZOGTL75E5bkIs/edit?gid=0#gid=0"",""2026-27!ar3"")"),0.0)</f>
        <v>0</v>
      </c>
      <c r="CS124" s="63">
        <f t="shared" si="111"/>
        <v>0</v>
      </c>
      <c r="CT124" s="59">
        <f>IFERROR(__xludf.DUMMYFUNCTION("importrange(""https://docs.google.com/spreadsheets/d/18m5o7TTSu_7OYCCZkDgwq90DUL-KY0ZOGTL75E5bkIs/edit?gid=0#gid=0"",""2026-27!as4"")"),0.0)</f>
        <v>0</v>
      </c>
      <c r="CU124" s="59">
        <f>IFERROR(__xludf.DUMMYFUNCTION("importrange(""https://docs.google.com/spreadsheets/d/18m5o7TTSu_7OYCCZkDgwq90DUL-KY0ZOGTL75E5bkIs/edit?gid=0#gid=0"",""2026-27!as3"")"),0.0)</f>
        <v>0</v>
      </c>
      <c r="CV124" s="64"/>
    </row>
    <row r="125">
      <c r="A125" s="1" t="s">
        <v>160</v>
      </c>
      <c r="B125" s="41"/>
      <c r="C125" s="114" t="s">
        <v>246</v>
      </c>
      <c r="D125" s="115" t="s">
        <v>162</v>
      </c>
      <c r="E125" s="72">
        <v>9.33925785E9</v>
      </c>
      <c r="F125" s="116">
        <v>45817.0</v>
      </c>
      <c r="I125" s="57">
        <v>32500.0</v>
      </c>
      <c r="J125" s="117">
        <v>2083333.0</v>
      </c>
      <c r="K125" s="61">
        <f>IFERROR(__xludf.DUMMYFUNCTION("IMPORTRANGE(""https://docs.google.com/spreadsheets/d/1RdylvZXl-yDfgXcLVoejtlCF0vSUFCYL9P78takYbNI/edit?gid=845831138#gid=845831138"",""2026-27!A3"")"),83.0)</f>
        <v>83</v>
      </c>
      <c r="L125" s="61">
        <f>IFERROR(__xludf.DUMMYFUNCTION("IMPORTRANGE(""https://docs.google.com/spreadsheets/d/1RdylvZXl-yDfgXcLVoejtlCF0vSUFCYL9P78takYbNI/edit?gid=845831138#gid=845831138"",""2026-27!G4"")"),1.3675E7)</f>
        <v>13675000</v>
      </c>
      <c r="M125" s="61">
        <f t="shared" si="97"/>
        <v>2862123.36</v>
      </c>
      <c r="N125" s="60">
        <f t="shared" si="98"/>
        <v>0.1164681536</v>
      </c>
      <c r="O125" s="61">
        <f t="shared" si="99"/>
        <v>1592702</v>
      </c>
      <c r="P125" s="59">
        <f>IFERROR(__xludf.DUMMYFUNCTION("IMPORTRANGE(""https://docs.google.com/spreadsheets/d/1RdylvZXl-yDfgXcLVoejtlCF0vSUFCYL9P78takYbNI/edit?gid=845831138#gid=845831138"",""2026-27!J4"")"),1098445.666)</f>
        <v>1098445.666</v>
      </c>
      <c r="Q125" s="59">
        <f>IFERROR(__xludf.DUMMYFUNCTION("IMPORTRANGE(""https://docs.google.com/spreadsheets/d/1RdylvZXl-yDfgXcLVoejtlCF0vSUFCYL9P78takYbNI/edit?gid=845831138#gid=845831138"",""2026-27!J3"")"),32.0)</f>
        <v>32</v>
      </c>
      <c r="R125" s="59">
        <f>IFERROR(__xludf.DUMMYFUNCTION("IMPORTRANGE(""https://docs.google.com/spreadsheets/d/1RdylvZXl-yDfgXcLVoejtlCF0vSUFCYL9P78takYbNI/edit?gid=845831138#gid=845831138"",""2026-27!K4"")"),609076.3200000001)</f>
        <v>609076.32</v>
      </c>
      <c r="S125" s="59">
        <f>IFERROR(__xludf.DUMMYFUNCTION("IMPORTRANGE(""https://docs.google.com/spreadsheets/d/1RdylvZXl-yDfgXcLVoejtlCF0vSUFCYL9P78takYbNI/edit?gid=845831138#gid=845831138"",""2026-27!K3"")"),5.0)</f>
        <v>5</v>
      </c>
      <c r="T125" s="62">
        <f t="shared" si="100"/>
        <v>0.5247032401</v>
      </c>
      <c r="U125" s="59">
        <f>IFERROR(__xludf.DUMMYFUNCTION("IMPORTRANGE(""https://docs.google.com/spreadsheets/d/1RdylvZXl-yDfgXcLVoejtlCF0vSUFCYL9P78takYbNI/edit?gid=845831138#gid=845831138"",""2026-27!L4"")"),576358.0)</f>
        <v>576358</v>
      </c>
      <c r="V125" s="85">
        <f>IFERROR(__xludf.DUMMYFUNCTION("IMPORTRANGE(""https://docs.google.com/spreadsheets/d/1RdylvZXl-yDfgXcLVoejtlCF0vSUFCYL9P78takYbNI/edit?gid=845831138#gid=845831138"",""2026-27!L3"")"),9.0)</f>
        <v>9</v>
      </c>
      <c r="W125" s="59">
        <f>IFERROR(__xludf.DUMMYFUNCTION("IMPORTRANGE(""https://docs.google.com/spreadsheets/d/1RdylvZXl-yDfgXcLVoejtlCF0vSUFCYL9P78takYbNI/edit?gid=845831138#gid=845831138"",""2026-27!M4"")"),1098445.666)</f>
        <v>1098445.666</v>
      </c>
      <c r="X125" s="85">
        <f>IFERROR(__xludf.DUMMYFUNCTION("IMPORTRANGE(""https://docs.google.com/spreadsheets/d/1RdylvZXl-yDfgXcLVoejtlCF0vSUFCYL9P78takYbNI/edit?gid=845831138#gid=845831138"",""2026-27!M3"")"),32.0)</f>
        <v>32</v>
      </c>
      <c r="Y125" s="59">
        <f>IFERROR(__xludf.DUMMYFUNCTION("importrange(""https://docs.google.com/spreadsheets/d/1RdylvZXl-yDfgXcLVoejtlCF0vSUFCYL9P78takYbNI/edit?gid=845831138#gid=845831138"",""2026-27!n4"")"),1024530.51)</f>
        <v>1024530.51</v>
      </c>
      <c r="Z125" s="59">
        <f>IFERROR(__xludf.DUMMYFUNCTION("importrange(""https://docs.google.com/spreadsheets/d/1RdylvZXl-yDfgXcLVoejtlCF0vSUFCYL9P78takYbNI/edit?gid=845831138#gid=845831138"",""2026-27!n3"")"),12.0)</f>
        <v>12</v>
      </c>
      <c r="AA125" s="62">
        <f t="shared" si="101"/>
        <v>0.925256507</v>
      </c>
      <c r="AB125" s="59">
        <f>IFERROR(__xludf.DUMMYFUNCTION("importrange(""https://docs.google.com/spreadsheets/d/1RdylvZXl-yDfgXcLVoejtlCF0vSUFCYL9P78takYbNI/edit?gid=845831138#gid=845831138"",""2026-27!o4"")"),1016344.0)</f>
        <v>1016344</v>
      </c>
      <c r="AC125" s="59">
        <f>IFERROR(__xludf.DUMMYFUNCTION("importrange(""https://docs.google.com/spreadsheets/d/1RdylvZXl-yDfgXcLVoejtlCF0vSUFCYL9P78takYbNI/edit?gid=845831138#gid=845831138"",""2026-27!o3"")"),13.0)</f>
        <v>13</v>
      </c>
      <c r="AD125" s="59">
        <f>IFERROR(__xludf.DUMMYFUNCTION("importrange(""https://docs.google.com/spreadsheets/d/1RdylvZXl-yDfgXcLVoejtlCF0vSUFCYL9P78takYbNI/edit?gid=845831138#gid=845831138"",""2026-27!p4"")"),1098445.666)</f>
        <v>1098445.666</v>
      </c>
      <c r="AE125" s="59">
        <f>IFERROR(__xludf.DUMMYFUNCTION("importrange(""https://docs.google.com/spreadsheets/d/1RdylvZXl-yDfgXcLVoejtlCF0vSUFCYL9P78takYbNI/edit?gid=845831138#gid=845831138"",""2026-27!p3"")"),32.0)</f>
        <v>32</v>
      </c>
      <c r="AF125" s="59">
        <f>IFERROR(__xludf.DUMMYFUNCTION("importrange(""https://docs.google.com/spreadsheets/d/1RdylvZXl-yDfgXcLVoejtlCF0vSUFCYL9P78takYbNI/edit?gid=845831138#gid=845831138"",""2026-27!q4"")"),1228516.53)</f>
        <v>1228516.53</v>
      </c>
      <c r="AG125" s="59">
        <f>IFERROR(__xludf.DUMMYFUNCTION("importrange(""https://docs.google.com/spreadsheets/d/1RdylvZXl-yDfgXcLVoejtlCF0vSUFCYL9P78takYbNI/edit?gid=845831138#gid=845831138"",""2026-27!q3"")"),18.0)</f>
        <v>18</v>
      </c>
      <c r="AH125" s="62">
        <f t="shared" si="102"/>
        <v>0</v>
      </c>
      <c r="AI125" s="59">
        <f>IFERROR(__xludf.DUMMYFUNCTION("importrange(""https://docs.google.com/spreadsheets/d/1RdylvZXl-yDfgXcLVoejtlCF0vSUFCYL9P78takYbNI/edit?gid=845831138#gid=845831138"",""2026-27!r4"")"),0.0)</f>
        <v>0</v>
      </c>
      <c r="AJ125" s="59">
        <f>IFERROR(__xludf.DUMMYFUNCTION("importrange(""https://docs.google.com/spreadsheets/d/1RdylvZXl-yDfgXcLVoejtlCF0vSUFCYL9P78takYbNI/edit?gid=845831138#gid=845831138"",""2026-27!r3"")"),0.0)</f>
        <v>0</v>
      </c>
      <c r="AK125" s="59">
        <f>IFERROR(__xludf.DUMMYFUNCTION("importrange(""https://docs.google.com/spreadsheets/d/1RdylvZXl-yDfgXcLVoejtlCF0vSUFCYL9P78takYbNI/edit?gid=845831138#gid=845831138"",""2026-27!s4"")"),1098445.666)</f>
        <v>1098445.666</v>
      </c>
      <c r="AL125" s="59">
        <f>IFERROR(__xludf.DUMMYFUNCTION("importrange(""https://docs.google.com/spreadsheets/d/1RdylvZXl-yDfgXcLVoejtlCF0vSUFCYL9P78takYbNI/edit?gid=845831138#gid=845831138"",""2026-27!s3"")"),32.0)</f>
        <v>32</v>
      </c>
      <c r="AM125" s="61">
        <f>IFERROR(__xludf.DUMMYFUNCTION("importrange(""https://docs.google.com/spreadsheets/d/1RdylvZXl-yDfgXcLVoejtlCF0vSUFCYL9P78takYbNI/edit?gid=845831138#gid=845831138"",""2026-27!t4"")"),0.0)</f>
        <v>0</v>
      </c>
      <c r="AN125" s="59">
        <f>IFERROR(__xludf.DUMMYFUNCTION("importrange(""https://docs.google.com/spreadsheets/d/1RdylvZXl-yDfgXcLVoejtlCF0vSUFCYL9P78takYbNI/edit?gid=845831138#gid=845831138"",""2026-27!t3"")"),0.0)</f>
        <v>0</v>
      </c>
      <c r="AO125" s="62">
        <f t="shared" si="103"/>
        <v>0</v>
      </c>
      <c r="AP125" s="59">
        <f>IFERROR(__xludf.DUMMYFUNCTION("importrange(""https://docs.google.com/spreadsheets/d/1RdylvZXl-yDfgXcLVoejtlCF0vSUFCYL9P78takYbNI/edit?gid=845831138#gid=845831138"",""2026-27!u4"")"),0.0)</f>
        <v>0</v>
      </c>
      <c r="AQ125" s="59">
        <f>IFERROR(__xludf.DUMMYFUNCTION("importrange(""https://docs.google.com/spreadsheets/d/1RdylvZXl-yDfgXcLVoejtlCF0vSUFCYL9P78takYbNI/edit?gid=845831138#gid=845831138"",""2026-27!u3"")"),0.0)</f>
        <v>0</v>
      </c>
      <c r="AR125" s="59">
        <f>IFERROR(__xludf.DUMMYFUNCTION("importrange(""https://docs.google.com/spreadsheets/d/1RdylvZXl-yDfgXcLVoejtlCF0vSUFCYL9P78takYbNI/edit?gid=845831138#gid=845831138"",""2026-27!v4"")"),1098445.666)</f>
        <v>1098445.666</v>
      </c>
      <c r="AS125" s="59">
        <f>IFERROR(__xludf.DUMMYFUNCTION("importrange(""https://docs.google.com/spreadsheets/d/1RdylvZXl-yDfgXcLVoejtlCF0vSUFCYL9P78takYbNI/edit?gid=845831138#gid=845831138"",""2026-27!v3"")"),32.0)</f>
        <v>32</v>
      </c>
      <c r="AT125" s="61">
        <f>IFERROR(__xludf.DUMMYFUNCTION("importrange(""https://docs.google.com/spreadsheets/d/1RdylvZXl-yDfgXcLVoejtlCF0vSUFCYL9P78takYbNI/edit?gid=845831138#gid=845831138"",""2026-27!w4"")"),0.0)</f>
        <v>0</v>
      </c>
      <c r="AU125" s="59">
        <f>IFERROR(__xludf.DUMMYFUNCTION("importrange(""https://docs.google.com/spreadsheets/d/1RdylvZXl-yDfgXcLVoejtlCF0vSUFCYL9P78takYbNI/edit?gid=845831138#gid=845831138"",""2026-27!w3"")"),0.0)</f>
        <v>0</v>
      </c>
      <c r="AV125" s="62">
        <f t="shared" si="104"/>
        <v>0</v>
      </c>
      <c r="AW125" s="59">
        <f>IFERROR(__xludf.DUMMYFUNCTION("importrange(""https://docs.google.com/spreadsheets/d/1RdylvZXl-yDfgXcLVoejtlCF0vSUFCYL9P78takYbNI/edit?gid=845831138#gid=845831138"",""2026-27!x4"")"),0.0)</f>
        <v>0</v>
      </c>
      <c r="AX125" s="59">
        <f>IFERROR(__xludf.DUMMYFUNCTION("importrange(""https://docs.google.com/spreadsheets/d/1RdylvZXl-yDfgXcLVoejtlCF0vSUFCYL9P78takYbNI/edit?gid=845831138#gid=845831138"",""2026-27!x3"")"),0.0)</f>
        <v>0</v>
      </c>
      <c r="AY125" s="59">
        <f>IFERROR(__xludf.DUMMYFUNCTION("importrange(""https://docs.google.com/spreadsheets/d/1RdylvZXl-yDfgXcLVoejtlCF0vSUFCYL9P78takYbNI/edit?gid=845831138#gid=845831138"",""2026-27!y4"")"),1098445.666)</f>
        <v>1098445.666</v>
      </c>
      <c r="AZ125" s="59">
        <f>IFERROR(__xludf.DUMMYFUNCTION("importrange(""https://docs.google.com/spreadsheets/d/1RdylvZXl-yDfgXcLVoejtlCF0vSUFCYL9P78takYbNI/edit?gid=845831138#gid=845831138"",""2026-27!y3"")"),32.0)</f>
        <v>32</v>
      </c>
      <c r="BA125" s="61">
        <f>IFERROR(__xludf.DUMMYFUNCTION("importrange(""https://docs.google.com/spreadsheets/d/1RdylvZXl-yDfgXcLVoejtlCF0vSUFCYL9P78takYbNI/edit?gid=845831138#gid=845831138"",""2026-27!z4"")"),0.0)</f>
        <v>0</v>
      </c>
      <c r="BB125" s="59">
        <f>IFERROR(__xludf.DUMMYFUNCTION("importrange(""https://docs.google.com/spreadsheets/d/1RdylvZXl-yDfgXcLVoejtlCF0vSUFCYL9P78takYbNI/edit?gid=845831138#gid=845831138"",""2026-27!z3"")"),0.0)</f>
        <v>0</v>
      </c>
      <c r="BC125" s="63">
        <f t="shared" si="105"/>
        <v>0</v>
      </c>
      <c r="BD125" s="59">
        <f>IFERROR(__xludf.DUMMYFUNCTION("importrange(""https://docs.google.com/spreadsheets/d/1RdylvZXl-yDfgXcLVoejtlCF0vSUFCYL9P78takYbNI/edit?gid=845831138#gid=845831138"",""2026-27!aa4"")"),0.0)</f>
        <v>0</v>
      </c>
      <c r="BE125" s="59">
        <f>IFERROR(__xludf.DUMMYFUNCTION("importrange(""https://docs.google.com/spreadsheets/d/1RdylvZXl-yDfgXcLVoejtlCF0vSUFCYL9P78takYbNI/edit?gid=845831138#gid=845831138"",""2026-27!aa3"")"),0.0)</f>
        <v>0</v>
      </c>
      <c r="BF125" s="59">
        <f>IFERROR(__xludf.DUMMYFUNCTION("importrange(""https://docs.google.com/spreadsheets/d/1RdylvZXl-yDfgXcLVoejtlCF0vSUFCYL9P78takYbNI/edit?gid=845831138#gid=845831138"",""2026-27!ab4"")"),1098445.666)</f>
        <v>1098445.666</v>
      </c>
      <c r="BG125" s="59">
        <f>IFERROR(__xludf.DUMMYFUNCTION("importrange(""https://docs.google.com/spreadsheets/d/1RdylvZXl-yDfgXcLVoejtlCF0vSUFCYL9P78takYbNI/edit?gid=845831138#gid=845831138"",""2026-27!ab3"")"),32.0)</f>
        <v>32</v>
      </c>
      <c r="BH125" s="59">
        <f>IFERROR(__xludf.DUMMYFUNCTION("importrange(""https://docs.google.com/spreadsheets/d/1RdylvZXl-yDfgXcLVoejtlCF0vSUFCYL9P78takYbNI/edit?gid=845831138#gid=845831138"",""2026-27!ac4"")"),0.0)</f>
        <v>0</v>
      </c>
      <c r="BI125" s="59">
        <f>IFERROR(__xludf.DUMMYFUNCTION("importrange(""https://docs.google.com/spreadsheets/d/1RdylvZXl-yDfgXcLVoejtlCF0vSUFCYL9P78takYbNI/edit?gid=845831138#gid=845831138"",""2026-27!ac3"")"),0.0)</f>
        <v>0</v>
      </c>
      <c r="BJ125" s="63">
        <f t="shared" si="106"/>
        <v>0</v>
      </c>
      <c r="BK125" s="59">
        <f>IFERROR(__xludf.DUMMYFUNCTION("importrange(""https://docs.google.com/spreadsheets/d/1RdylvZXl-yDfgXcLVoejtlCF0vSUFCYL9P78takYbNI/edit?gid=845831138#gid=845831138"",""2026-27!ad4"")"),0.0)</f>
        <v>0</v>
      </c>
      <c r="BL125" s="59">
        <f>IFERROR(__xludf.DUMMYFUNCTION("importrange(""https://docs.google.com/spreadsheets/d/1RdylvZXl-yDfgXcLVoejtlCF0vSUFCYL9P78takYbNI/edit?gid=845831138#gid=845831138"",""2026-27!ad3"")"),0.0)</f>
        <v>0</v>
      </c>
      <c r="BM125" s="59">
        <f>IFERROR(__xludf.DUMMYFUNCTION("importrange(""https://docs.google.com/spreadsheets/d/1RdylvZXl-yDfgXcLVoejtlCF0vSUFCYL9P78takYbNI/edit?gid=845831138#gid=845831138"",""2026-27!ae4"")"),1098445.666)</f>
        <v>1098445.666</v>
      </c>
      <c r="BN125" s="59">
        <f>IFERROR(__xludf.DUMMYFUNCTION("importrange(""https://docs.google.com/spreadsheets/d/1RdylvZXl-yDfgXcLVoejtlCF0vSUFCYL9P78takYbNI/edit?gid=845831138#gid=845831138"",""2026-27!ae3"")"),32.0)</f>
        <v>32</v>
      </c>
      <c r="BO125" s="59">
        <f>IFERROR(__xludf.DUMMYFUNCTION("importrange(""https://docs.google.com/spreadsheets/d/1RdylvZXl-yDfgXcLVoejtlCF0vSUFCYL9P78takYbNI/edit?gid=845831138#gid=845831138"",""2026-27!af4"")"),0.0)</f>
        <v>0</v>
      </c>
      <c r="BP125" s="59">
        <f>IFERROR(__xludf.DUMMYFUNCTION("importrange(""https://docs.google.com/spreadsheets/d/1RdylvZXl-yDfgXcLVoejtlCF0vSUFCYL9P78takYbNI/edit?gid=845831138#gid=845831138"",""2026-27!af3"")"),0.0)</f>
        <v>0</v>
      </c>
      <c r="BQ125" s="63">
        <f t="shared" si="107"/>
        <v>0</v>
      </c>
      <c r="BR125" s="59">
        <f>IFERROR(__xludf.DUMMYFUNCTION("importrange(""https://docs.google.com/spreadsheets/d/1RdylvZXl-yDfgXcLVoejtlCF0vSUFCYL9P78takYbNI/edit?gid=845831138#gid=845831138"",""2026-27!ag4"")"),0.0)</f>
        <v>0</v>
      </c>
      <c r="BS125" s="59">
        <f>IFERROR(__xludf.DUMMYFUNCTION("importrange(""https://docs.google.com/spreadsheets/d/1RdylvZXl-yDfgXcLVoejtlCF0vSUFCYL9P78takYbNI/edit?gid=845831138#gid=845831138"",""2026-27!ag3"")"),0.0)</f>
        <v>0</v>
      </c>
      <c r="BT125" s="59">
        <f>IFERROR(__xludf.DUMMYFUNCTION("importrange(""https://docs.google.com/spreadsheets/d/1RdylvZXl-yDfgXcLVoejtlCF0vSUFCYL9P78takYbNI/edit?gid=845831138#gid=845831138"",""2026-27!ah4"")"),1098445.666)</f>
        <v>1098445.666</v>
      </c>
      <c r="BU125" s="59">
        <f>IFERROR(__xludf.DUMMYFUNCTION("importrange(""https://docs.google.com/spreadsheets/d/1RdylvZXl-yDfgXcLVoejtlCF0vSUFCYL9P78takYbNI/edit?gid=845831138#gid=845831138"",""2026-27!ah3"")"),32.0)</f>
        <v>32</v>
      </c>
      <c r="BV125" s="59">
        <f>IFERROR(__xludf.DUMMYFUNCTION("importrange(""https://docs.google.com/spreadsheets/d/1RdylvZXl-yDfgXcLVoejtlCF0vSUFCYL9P78takYbNI/edit?gid=845831138#gid=845831138"",""2026-27!ai4"")"),0.0)</f>
        <v>0</v>
      </c>
      <c r="BW125" s="59">
        <f>IFERROR(__xludf.DUMMYFUNCTION("importrange(""https://docs.google.com/spreadsheets/d/1RdylvZXl-yDfgXcLVoejtlCF0vSUFCYL9P78takYbNI/edit?gid=845831138#gid=845831138"",""2026-27!ai3"")"),0.0)</f>
        <v>0</v>
      </c>
      <c r="BX125" s="63">
        <f t="shared" si="108"/>
        <v>0</v>
      </c>
      <c r="BY125" s="59">
        <f>IFERROR(__xludf.DUMMYFUNCTION("importrange(""https://docs.google.com/spreadsheets/d/1RdylvZXl-yDfgXcLVoejtlCF0vSUFCYL9P78takYbNI/edit?gid=845831138#gid=845831138"",""2026-27!aj4"")"),0.0)</f>
        <v>0</v>
      </c>
      <c r="BZ125" s="59">
        <f>IFERROR(__xludf.DUMMYFUNCTION("importrange(""https://docs.google.com/spreadsheets/d/1RdylvZXl-yDfgXcLVoejtlCF0vSUFCYL9P78takYbNI/edit?gid=845831138#gid=845831138"",""2026-27!aj3"")"),0.0)</f>
        <v>0</v>
      </c>
      <c r="CA125" s="59">
        <f>IFERROR(__xludf.DUMMYFUNCTION("importrange(""https://docs.google.com/spreadsheets/d/1RdylvZXl-yDfgXcLVoejtlCF0vSUFCYL9P78takYbNI/edit?gid=845831138#gid=845831138"",""2026-27!ak4"")"),1098445.666)</f>
        <v>1098445.666</v>
      </c>
      <c r="CB125" s="59">
        <f>IFERROR(__xludf.DUMMYFUNCTION("importrange(""https://docs.google.com/spreadsheets/d/1RdylvZXl-yDfgXcLVoejtlCF0vSUFCYL9P78takYbNI/edit?gid=845831138#gid=845831138"",""2026-27!ak3"")"),32.0)</f>
        <v>32</v>
      </c>
      <c r="CC125" s="59">
        <f>IFERROR(__xludf.DUMMYFUNCTION("importrange(""https://docs.google.com/spreadsheets/d/1RdylvZXl-yDfgXcLVoejtlCF0vSUFCYL9P78takYbNI/edit?gid=845831138#gid=845831138"",""2026-27!al4"")"),0.0)</f>
        <v>0</v>
      </c>
      <c r="CD125" s="59">
        <f>IFERROR(__xludf.DUMMYFUNCTION("importrange(""https://docs.google.com/spreadsheets/d/1RdylvZXl-yDfgXcLVoejtlCF0vSUFCYL9P78takYbNI/edit?gid=845831138#gid=845831138"",""2026-27!ai3"")"),0.0)</f>
        <v>0</v>
      </c>
      <c r="CE125" s="63">
        <f t="shared" si="109"/>
        <v>0</v>
      </c>
      <c r="CF125" s="59">
        <f>IFERROR(__xludf.DUMMYFUNCTION("importrange(""https://docs.google.com/spreadsheets/d/1RdylvZXl-yDfgXcLVoejtlCF0vSUFCYL9P78takYbNI/edit?gid=845831138#gid=845831138"",""2026-27!am4"")"),0.0)</f>
        <v>0</v>
      </c>
      <c r="CG125" s="59">
        <f>IFERROR(__xludf.DUMMYFUNCTION("importrange(""https://docs.google.com/spreadsheets/d/1RdylvZXl-yDfgXcLVoejtlCF0vSUFCYL9P78takYbNI/edit?gid=845831138#gid=845831138"",""2026-27!am3"")"),0.0)</f>
        <v>0</v>
      </c>
      <c r="CH125" s="59">
        <f>IFERROR(__xludf.DUMMYFUNCTION("importrange(""https://docs.google.com/spreadsheets/d/1RdylvZXl-yDfgXcLVoejtlCF0vSUFCYL9P78takYbNI/edit?gid=845831138#gid=845831138"",""2026-27!an4"")"),1098445.666)</f>
        <v>1098445.666</v>
      </c>
      <c r="CI125" s="59">
        <f>IFERROR(__xludf.DUMMYFUNCTION("importrange(""https://docs.google.com/spreadsheets/d/1RdylvZXl-yDfgXcLVoejtlCF0vSUFCYL9P78takYbNI/edit?gid=845831138#gid=845831138"",""2026-27!an3"")"),32.0)</f>
        <v>32</v>
      </c>
      <c r="CJ125" s="59">
        <f>IFERROR(__xludf.DUMMYFUNCTION("importrange(""https://docs.google.com/spreadsheets/d/1RdylvZXl-yDfgXcLVoejtlCF0vSUFCYL9P78takYbNI/edit?gid=845831138#gid=845831138"",""2026-27!ao4"")"),0.0)</f>
        <v>0</v>
      </c>
      <c r="CK125" s="59">
        <f>IFERROR(__xludf.DUMMYFUNCTION("importrange(""https://docs.google.com/spreadsheets/d/1RdylvZXl-yDfgXcLVoejtlCF0vSUFCYL9P78takYbNI/edit?gid=845831138#gid=845831138"",""2026-27!ao3"")"),0.0)</f>
        <v>0</v>
      </c>
      <c r="CL125" s="63">
        <f t="shared" si="110"/>
        <v>0</v>
      </c>
      <c r="CM125" s="59">
        <f>IFERROR(__xludf.DUMMYFUNCTION("importrange(""https://docs.google.com/spreadsheets/d/1RdylvZXl-yDfgXcLVoejtlCF0vSUFCYL9P78takYbNI/edit?gid=845831138#gid=845831138"",""2026-27!ap4"")"),0.0)</f>
        <v>0</v>
      </c>
      <c r="CN125" s="59">
        <f>IFERROR(__xludf.DUMMYFUNCTION("importrange(""https://docs.google.com/spreadsheets/d/1RdylvZXl-yDfgXcLVoejtlCF0vSUFCYL9P78takYbNI/edit?gid=845831138#gid=845831138"",""2026-27!ap3"")"),0.0)</f>
        <v>0</v>
      </c>
      <c r="CO125" s="59">
        <f>IFERROR(__xludf.DUMMYFUNCTION("importrange(""https://docs.google.com/spreadsheets/d/1RdylvZXl-yDfgXcLVoejtlCF0vSUFCYL9P78takYbNI/edit?gid=845831138#gid=845831138"",""2026-27!aq4"")"),1058095.666)</f>
        <v>1058095.666</v>
      </c>
      <c r="CP125" s="59">
        <f>IFERROR(__xludf.DUMMYFUNCTION("importrange(""https://docs.google.com/spreadsheets/d/1RdylvZXl-yDfgXcLVoejtlCF0vSUFCYL9P78takYbNI/edit?gid=845831138#gid=845831138"",""2026-27!aq3"")"),32.0)</f>
        <v>32</v>
      </c>
      <c r="CQ125" s="59">
        <f>IFERROR(__xludf.DUMMYFUNCTION("importrange(""https://docs.google.com/spreadsheets/d/1RdylvZXl-yDfgXcLVoejtlCF0vSUFCYL9P78takYbNI/edit?gid=845831138#gid=845831138"",""2026-27!ar4"")"),0.0)</f>
        <v>0</v>
      </c>
      <c r="CR125" s="59">
        <f>IFERROR(__xludf.DUMMYFUNCTION("importrange(""https://docs.google.com/spreadsheets/d/1RdylvZXl-yDfgXcLVoejtlCF0vSUFCYL9P78takYbNI/edit?gid=845831138#gid=845831138"",""2026-27!ar3"")"),0.0)</f>
        <v>0</v>
      </c>
      <c r="CS125" s="63">
        <f t="shared" si="111"/>
        <v>0</v>
      </c>
      <c r="CT125" s="59">
        <f>IFERROR(__xludf.DUMMYFUNCTION("importrange(""https://docs.google.com/spreadsheets/d/1RdylvZXl-yDfgXcLVoejtlCF0vSUFCYL9P78takYbNI/edit?gid=845831138#gid=845831138"",""2026-27!as4"")"),0.0)</f>
        <v>0</v>
      </c>
      <c r="CU125" s="59">
        <f>IFERROR(__xludf.DUMMYFUNCTION("importrange(""https://docs.google.com/spreadsheets/d/1RdylvZXl-yDfgXcLVoejtlCF0vSUFCYL9P78takYbNI/edit?gid=845831138#gid=845831138"",""2026-27!as3"")"),0.0)</f>
        <v>0</v>
      </c>
      <c r="CV125" s="64"/>
    </row>
    <row r="126">
      <c r="A126" s="1" t="s">
        <v>160</v>
      </c>
      <c r="B126" s="41"/>
      <c r="C126" s="118" t="s">
        <v>247</v>
      </c>
      <c r="D126" s="53" t="s">
        <v>248</v>
      </c>
      <c r="E126" s="54">
        <v>7.362950731E9</v>
      </c>
      <c r="F126" s="88">
        <v>45845.0</v>
      </c>
      <c r="I126" s="89">
        <v>24120.0</v>
      </c>
      <c r="J126" s="58">
        <v>3000000.0</v>
      </c>
      <c r="K126" s="61">
        <f>IFERROR(__xludf.DUMMYFUNCTION("IMPORTRANGE(""https://docs.google.com/spreadsheets/d/1s5jMeCFSNsddGLPhXVD2iHrblkJkWFU40qIKlTc8-ng/edit?gid=1679663775#gid=1679663775"",""2026-27!A3"")"),48.0)</f>
        <v>48</v>
      </c>
      <c r="L126" s="61">
        <f>IFERROR(__xludf.DUMMYFUNCTION("IMPORTRANGE(""https://docs.google.com/spreadsheets/d/1s5jMeCFSNsddGLPhXVD2iHrblkJkWFU40qIKlTc8-ng/edit?gid=1679663775#gid=1679663775"",""2026-27!G4"")"),3.6E7)</f>
        <v>36000000</v>
      </c>
      <c r="M126" s="61">
        <f t="shared" si="97"/>
        <v>8516885.34</v>
      </c>
      <c r="N126" s="60">
        <f t="shared" si="98"/>
        <v>0.1142663056</v>
      </c>
      <c r="O126" s="61">
        <f t="shared" si="99"/>
        <v>4113587</v>
      </c>
      <c r="P126" s="59">
        <f>IFERROR(__xludf.DUMMYFUNCTION("IMPORTRANGE(""https://docs.google.com/spreadsheets/d/1s5jMeCFSNsddGLPhXVD2iHrblkJkWFU40qIKlTc8-ng/edit?gid=1679663775#gid=1679663775"",""2026-27!J4"")"),3000003.0)</f>
        <v>3000003</v>
      </c>
      <c r="Q126" s="59">
        <f>IFERROR(__xludf.DUMMYFUNCTION("IMPORTRANGE(""https://docs.google.com/spreadsheets/d/1s5jMeCFSNsddGLPhXVD2iHrblkJkWFU40qIKlTc8-ng/edit?gid=1679663775#gid=1679663775"",""2026-27!J3"")"),45.0)</f>
        <v>45</v>
      </c>
      <c r="R126" s="59">
        <f>IFERROR(__xludf.DUMMYFUNCTION("IMPORTRANGE(""https://docs.google.com/spreadsheets/d/1s5jMeCFSNsddGLPhXVD2iHrblkJkWFU40qIKlTc8-ng/edit?gid=1679663775#gid=1679663775"",""2026-27!K4"")"),1679736.8599999999)</f>
        <v>1679736.86</v>
      </c>
      <c r="S126" s="59">
        <f>IFERROR(__xludf.DUMMYFUNCTION("IMPORTRANGE(""https://docs.google.com/spreadsheets/d/1s5jMeCFSNsddGLPhXVD2iHrblkJkWFU40qIKlTc8-ng/edit?gid=1679663775#gid=1679663775"",""2026-27!K3"")"),16.0)</f>
        <v>16</v>
      </c>
      <c r="T126" s="62">
        <f t="shared" si="100"/>
        <v>0.4694161973</v>
      </c>
      <c r="U126" s="59">
        <f>IFERROR(__xludf.DUMMYFUNCTION("IMPORTRANGE(""https://docs.google.com/spreadsheets/d/1s5jMeCFSNsddGLPhXVD2iHrblkJkWFU40qIKlTc8-ng/edit?gid=1679663775#gid=1679663775"",""2026-27!L4"")"),1408250.0)</f>
        <v>1408250</v>
      </c>
      <c r="V126" s="85">
        <f>IFERROR(__xludf.DUMMYFUNCTION("IMPORTRANGE(""https://docs.google.com/spreadsheets/d/1s5jMeCFSNsddGLPhXVD2iHrblkJkWFU40qIKlTc8-ng/edit?gid=1679663775#gid=1679663775"",""2026-27!L3"")"),21.0)</f>
        <v>21</v>
      </c>
      <c r="W126" s="59">
        <f>IFERROR(__xludf.DUMMYFUNCTION("IMPORTRANGE(""https://docs.google.com/spreadsheets/d/1s5jMeCFSNsddGLPhXVD2iHrblkJkWFU40qIKlTc8-ng/edit?gid=1679663775#gid=1679663775"",""2026-27!M4"")"),3000003.0)</f>
        <v>3000003</v>
      </c>
      <c r="X126" s="85">
        <f>IFERROR(__xludf.DUMMYFUNCTION("IMPORTRANGE(""https://docs.google.com/spreadsheets/d/1s5jMeCFSNsddGLPhXVD2iHrblkJkWFU40qIKlTc8-ng/edit?gid=1679663775#gid=1679663775"",""2026-27!M3"")"),45.0)</f>
        <v>45</v>
      </c>
      <c r="Y126" s="59">
        <f>IFERROR(__xludf.DUMMYFUNCTION("importrange(""https://docs.google.com/spreadsheets/d/1s5jMeCFSNsddGLPhXVD2iHrblkJkWFU40qIKlTc8-ng/edit?gid=1679663775#gid=1679663775"",""2026-27!n4"")"),2183477.62)</f>
        <v>2183477.62</v>
      </c>
      <c r="Z126" s="59">
        <f>IFERROR(__xludf.DUMMYFUNCTION("importrange(""https://docs.google.com/spreadsheets/d/1s5jMeCFSNsddGLPhXVD2iHrblkJkWFU40qIKlTc8-ng/edit?gid=1679663775#gid=1679663775"",""2026-27!n3"")"),14.0)</f>
        <v>14</v>
      </c>
      <c r="AA126" s="62">
        <f t="shared" si="101"/>
        <v>0.9017780982</v>
      </c>
      <c r="AB126" s="59">
        <f>IFERROR(__xludf.DUMMYFUNCTION("importrange(""https://docs.google.com/spreadsheets/d/1s5jMeCFSNsddGLPhXVD2iHrblkJkWFU40qIKlTc8-ng/edit?gid=1679663775#gid=1679663775"",""2026-27!o4"")"),2705337.0)</f>
        <v>2705337</v>
      </c>
      <c r="AC126" s="59">
        <f>IFERROR(__xludf.DUMMYFUNCTION("importrange(""https://docs.google.com/spreadsheets/d/1s5jMeCFSNsddGLPhXVD2iHrblkJkWFU40qIKlTc8-ng/edit?gid=1679663775#gid=1679663775"",""2026-27!o3"")"),22.0)</f>
        <v>22</v>
      </c>
      <c r="AD126" s="59">
        <f>IFERROR(__xludf.DUMMYFUNCTION("importrange(""https://docs.google.com/spreadsheets/d/1s5jMeCFSNsddGLPhXVD2iHrblkJkWFU40qIKlTc8-ng/edit?gid=1679663775#gid=1679663775"",""2026-27!p4"")"),3000003.0)</f>
        <v>3000003</v>
      </c>
      <c r="AE126" s="59">
        <f>IFERROR(__xludf.DUMMYFUNCTION("importrange(""https://docs.google.com/spreadsheets/d/1s5jMeCFSNsddGLPhXVD2iHrblkJkWFU40qIKlTc8-ng/edit?gid=1679663775#gid=1679663775"",""2026-27!p3"")"),45.0)</f>
        <v>45</v>
      </c>
      <c r="AF126" s="59">
        <f>IFERROR(__xludf.DUMMYFUNCTION("importrange(""https://docs.google.com/spreadsheets/d/1s5jMeCFSNsddGLPhXVD2iHrblkJkWFU40qIKlTc8-ng/edit?gid=1679663775#gid=1679663775"",""2026-27!q4"")"),4653670.859999999)</f>
        <v>4653670.86</v>
      </c>
      <c r="AG126" s="59">
        <f>IFERROR(__xludf.DUMMYFUNCTION("importrange(""https://docs.google.com/spreadsheets/d/1s5jMeCFSNsddGLPhXVD2iHrblkJkWFU40qIKlTc8-ng/edit?gid=1679663775#gid=1679663775"",""2026-27!q3"")"),22.0)</f>
        <v>22</v>
      </c>
      <c r="AH126" s="62">
        <f t="shared" si="102"/>
        <v>0</v>
      </c>
      <c r="AI126" s="59">
        <f>IFERROR(__xludf.DUMMYFUNCTION("importrange(""https://docs.google.com/spreadsheets/d/1s5jMeCFSNsddGLPhXVD2iHrblkJkWFU40qIKlTc8-ng/edit?gid=1679663775#gid=1679663775"",""2026-27!r4"")"),0.0)</f>
        <v>0</v>
      </c>
      <c r="AJ126" s="59">
        <f>IFERROR(__xludf.DUMMYFUNCTION("importrange(""https://docs.google.com/spreadsheets/d/1s5jMeCFSNsddGLPhXVD2iHrblkJkWFU40qIKlTc8-ng/edit?gid=1679663775#gid=1679663775"",""2026-27!r3"")"),0.0)</f>
        <v>0</v>
      </c>
      <c r="AK126" s="59">
        <f>IFERROR(__xludf.DUMMYFUNCTION("importrange(""https://docs.google.com/spreadsheets/d/1s5jMeCFSNsddGLPhXVD2iHrblkJkWFU40qIKlTc8-ng/edit?gid=1679663775#gid=1679663775"",""2026-27!s4"")"),3000003.0)</f>
        <v>3000003</v>
      </c>
      <c r="AL126" s="59">
        <f>IFERROR(__xludf.DUMMYFUNCTION("importrange(""https://docs.google.com/spreadsheets/d/1s5jMeCFSNsddGLPhXVD2iHrblkJkWFU40qIKlTc8-ng/edit?gid=1679663775#gid=1679663775"",""2026-27!s3"")"),45.0)</f>
        <v>45</v>
      </c>
      <c r="AM126" s="61">
        <f>IFERROR(__xludf.DUMMYFUNCTION("importrange(""https://docs.google.com/spreadsheets/d/1s5jMeCFSNsddGLPhXVD2iHrblkJkWFU40qIKlTc8-ng/edit?gid=1679663775#gid=1679663775"",""2026-27!t4"")"),0.0)</f>
        <v>0</v>
      </c>
      <c r="AN126" s="59">
        <f>IFERROR(__xludf.DUMMYFUNCTION("importrange(""https://docs.google.com/spreadsheets/d/1s5jMeCFSNsddGLPhXVD2iHrblkJkWFU40qIKlTc8-ng/edit?gid=1679663775#gid=1679663775"",""2026-27!t3"")"),0.0)</f>
        <v>0</v>
      </c>
      <c r="AO126" s="62">
        <f t="shared" si="103"/>
        <v>0</v>
      </c>
      <c r="AP126" s="59">
        <f>IFERROR(__xludf.DUMMYFUNCTION("importrange(""https://docs.google.com/spreadsheets/d/1s5jMeCFSNsddGLPhXVD2iHrblkJkWFU40qIKlTc8-ng/edit?gid=1679663775#gid=1679663775"",""2026-27!u4"")"),0.0)</f>
        <v>0</v>
      </c>
      <c r="AQ126" s="59">
        <f>IFERROR(__xludf.DUMMYFUNCTION("importrange(""https://docs.google.com/spreadsheets/d/1s5jMeCFSNsddGLPhXVD2iHrblkJkWFU40qIKlTc8-ng/edit?gid=1679663775#gid=1679663775"",""2026-27!u3"")"),0.0)</f>
        <v>0</v>
      </c>
      <c r="AR126" s="59">
        <f>IFERROR(__xludf.DUMMYFUNCTION("importrange(""https://docs.google.com/spreadsheets/d/1s5jMeCFSNsddGLPhXVD2iHrblkJkWFU40qIKlTc8-ng/edit?gid=1679663775#gid=1679663775"",""2026-27!v4"")"),3000003.0)</f>
        <v>3000003</v>
      </c>
      <c r="AS126" s="59">
        <f>IFERROR(__xludf.DUMMYFUNCTION("importrange(""https://docs.google.com/spreadsheets/d/1s5jMeCFSNsddGLPhXVD2iHrblkJkWFU40qIKlTc8-ng/edit?gid=1679663775#gid=1679663775"",""2026-27!v3"")"),45.0)</f>
        <v>45</v>
      </c>
      <c r="AT126" s="61">
        <f>IFERROR(__xludf.DUMMYFUNCTION("importrange(""https://docs.google.com/spreadsheets/d/1s5jMeCFSNsddGLPhXVD2iHrblkJkWFU40qIKlTc8-ng/edit?gid=1679663775#gid=1679663775"",""2026-27!w4"")"),0.0)</f>
        <v>0</v>
      </c>
      <c r="AU126" s="59">
        <f>IFERROR(__xludf.DUMMYFUNCTION("importrange(""https://docs.google.com/spreadsheets/d/1s5jMeCFSNsddGLPhXVD2iHrblkJkWFU40qIKlTc8-ng/edit?gid=1679663775#gid=1679663775"",""2026-27!w3"")"),0.0)</f>
        <v>0</v>
      </c>
      <c r="AV126" s="62">
        <f t="shared" si="104"/>
        <v>0</v>
      </c>
      <c r="AW126" s="59">
        <f>IFERROR(__xludf.DUMMYFUNCTION("importrange(""https://docs.google.com/spreadsheets/d/1s5jMeCFSNsddGLPhXVD2iHrblkJkWFU40qIKlTc8-ng/edit?gid=1679663775#gid=1679663775"",""2026-27!x4"")"),0.0)</f>
        <v>0</v>
      </c>
      <c r="AX126" s="59">
        <f>IFERROR(__xludf.DUMMYFUNCTION("importrange(""https://docs.google.com/spreadsheets/d/1s5jMeCFSNsddGLPhXVD2iHrblkJkWFU40qIKlTc8-ng/edit?gid=1679663775#gid=1679663775"",""2026-27!x3"")"),0.0)</f>
        <v>0</v>
      </c>
      <c r="AY126" s="59">
        <f>IFERROR(__xludf.DUMMYFUNCTION("importrange(""https://docs.google.com/spreadsheets/d/1s5jMeCFSNsddGLPhXVD2iHrblkJkWFU40qIKlTc8-ng/edit?gid=1679663775#gid=1679663775"",""2026-27!y4"")"),3000003.0)</f>
        <v>3000003</v>
      </c>
      <c r="AZ126" s="59">
        <f>IFERROR(__xludf.DUMMYFUNCTION("importrange(""https://docs.google.com/spreadsheets/d/1s5jMeCFSNsddGLPhXVD2iHrblkJkWFU40qIKlTc8-ng/edit?gid=1679663775#gid=1679663775"",""2026-27!y3"")"),45.0)</f>
        <v>45</v>
      </c>
      <c r="BA126" s="61">
        <f>IFERROR(__xludf.DUMMYFUNCTION("importrange(""https://docs.google.com/spreadsheets/d/1s5jMeCFSNsddGLPhXVD2iHrblkJkWFU40qIKlTc8-ng/edit?gid=1679663775#gid=1679663775"",""2026-27!z4"")"),0.0)</f>
        <v>0</v>
      </c>
      <c r="BB126" s="59">
        <f>IFERROR(__xludf.DUMMYFUNCTION("importrange(""https://docs.google.com/spreadsheets/d/1s5jMeCFSNsddGLPhXVD2iHrblkJkWFU40qIKlTc8-ng/edit?gid=1679663775#gid=1679663775"",""2026-27!z3"")"),0.0)</f>
        <v>0</v>
      </c>
      <c r="BC126" s="63">
        <f t="shared" si="105"/>
        <v>0</v>
      </c>
      <c r="BD126" s="59">
        <f>IFERROR(__xludf.DUMMYFUNCTION("importrange(""https://docs.google.com/spreadsheets/d/1s5jMeCFSNsddGLPhXVD2iHrblkJkWFU40qIKlTc8-ng/edit?gid=1679663775#gid=1679663775"",""2026-27!aa4"")"),0.0)</f>
        <v>0</v>
      </c>
      <c r="BE126" s="59">
        <f>IFERROR(__xludf.DUMMYFUNCTION("importrange(""https://docs.google.com/spreadsheets/d/1s5jMeCFSNsddGLPhXVD2iHrblkJkWFU40qIKlTc8-ng/edit?gid=1679663775#gid=1679663775"",""2026-27!aa3"")"),0.0)</f>
        <v>0</v>
      </c>
      <c r="BF126" s="59">
        <f>IFERROR(__xludf.DUMMYFUNCTION("importrange(""https://docs.google.com/spreadsheets/d/1s5jMeCFSNsddGLPhXVD2iHrblkJkWFU40qIKlTc8-ng/edit?gid=1679663775#gid=1679663775"",""2026-27!ab4"")"),3000003.0)</f>
        <v>3000003</v>
      </c>
      <c r="BG126" s="59">
        <f>IFERROR(__xludf.DUMMYFUNCTION("importrange(""https://docs.google.com/spreadsheets/d/1s5jMeCFSNsddGLPhXVD2iHrblkJkWFU40qIKlTc8-ng/edit?gid=1679663775#gid=1679663775"",""2026-27!ab3"")"),45.0)</f>
        <v>45</v>
      </c>
      <c r="BH126" s="59">
        <f>IFERROR(__xludf.DUMMYFUNCTION("importrange(""https://docs.google.com/spreadsheets/d/1s5jMeCFSNsddGLPhXVD2iHrblkJkWFU40qIKlTc8-ng/edit?gid=1679663775#gid=1679663775"",""2026-27!ac4"")"),0.0)</f>
        <v>0</v>
      </c>
      <c r="BI126" s="59">
        <f>IFERROR(__xludf.DUMMYFUNCTION("importrange(""https://docs.google.com/spreadsheets/d/1s5jMeCFSNsddGLPhXVD2iHrblkJkWFU40qIKlTc8-ng/edit?gid=1679663775#gid=1679663775"",""2026-27!ac3"")"),0.0)</f>
        <v>0</v>
      </c>
      <c r="BJ126" s="63">
        <f t="shared" si="106"/>
        <v>0</v>
      </c>
      <c r="BK126" s="59">
        <f>IFERROR(__xludf.DUMMYFUNCTION("importrange(""https://docs.google.com/spreadsheets/d/1s5jMeCFSNsddGLPhXVD2iHrblkJkWFU40qIKlTc8-ng/edit?gid=1679663775#gid=1679663775"",""2026-27!ad4"")"),0.0)</f>
        <v>0</v>
      </c>
      <c r="BL126" s="59">
        <f>IFERROR(__xludf.DUMMYFUNCTION("importrange(""https://docs.google.com/spreadsheets/d/1s5jMeCFSNsddGLPhXVD2iHrblkJkWFU40qIKlTc8-ng/edit?gid=1679663775#gid=1679663775"",""2026-27!ad3"")"),0.0)</f>
        <v>0</v>
      </c>
      <c r="BM126" s="59">
        <f>IFERROR(__xludf.DUMMYFUNCTION("importrange(""https://docs.google.com/spreadsheets/d/1s5jMeCFSNsddGLPhXVD2iHrblkJkWFU40qIKlTc8-ng/edit?gid=1679663775#gid=1679663775"",""2026-27!ae4"")"),3000003.0)</f>
        <v>3000003</v>
      </c>
      <c r="BN126" s="59">
        <f>IFERROR(__xludf.DUMMYFUNCTION("importrange(""https://docs.google.com/spreadsheets/d/1s5jMeCFSNsddGLPhXVD2iHrblkJkWFU40qIKlTc8-ng/edit?gid=1679663775#gid=1679663775"",""2026-27!ae3"")"),45.0)</f>
        <v>45</v>
      </c>
      <c r="BO126" s="59">
        <f>IFERROR(__xludf.DUMMYFUNCTION("importrange(""https://docs.google.com/spreadsheets/d/1s5jMeCFSNsddGLPhXVD2iHrblkJkWFU40qIKlTc8-ng/edit?gid=1679663775#gid=1679663775"",""2026-27!af4"")"),0.0)</f>
        <v>0</v>
      </c>
      <c r="BP126" s="59">
        <f>IFERROR(__xludf.DUMMYFUNCTION("importrange(""https://docs.google.com/spreadsheets/d/1s5jMeCFSNsddGLPhXVD2iHrblkJkWFU40qIKlTc8-ng/edit?gid=1679663775#gid=1679663775"",""2026-27!af3"")"),0.0)</f>
        <v>0</v>
      </c>
      <c r="BQ126" s="63">
        <f t="shared" si="107"/>
        <v>0</v>
      </c>
      <c r="BR126" s="59">
        <f>IFERROR(__xludf.DUMMYFUNCTION("importrange(""https://docs.google.com/spreadsheets/d/1s5jMeCFSNsddGLPhXVD2iHrblkJkWFU40qIKlTc8-ng/edit?gid=1679663775#gid=1679663775"",""2026-27!ag4"")"),0.0)</f>
        <v>0</v>
      </c>
      <c r="BS126" s="59">
        <f>IFERROR(__xludf.DUMMYFUNCTION("importrange(""https://docs.google.com/spreadsheets/d/1s5jMeCFSNsddGLPhXVD2iHrblkJkWFU40qIKlTc8-ng/edit?gid=1679663775#gid=1679663775"",""2026-27!ag3"")"),0.0)</f>
        <v>0</v>
      </c>
      <c r="BT126" s="59">
        <f>IFERROR(__xludf.DUMMYFUNCTION("importrange(""https://docs.google.com/spreadsheets/d/1s5jMeCFSNsddGLPhXVD2iHrblkJkWFU40qIKlTc8-ng/edit?gid=1679663775#gid=1679663775"",""2026-27!ah4"")"),3000003.0)</f>
        <v>3000003</v>
      </c>
      <c r="BU126" s="59">
        <f>IFERROR(__xludf.DUMMYFUNCTION("importrange(""https://docs.google.com/spreadsheets/d/1s5jMeCFSNsddGLPhXVD2iHrblkJkWFU40qIKlTc8-ng/edit?gid=1679663775#gid=1679663775"",""2026-27!ah3"")"),45.0)</f>
        <v>45</v>
      </c>
      <c r="BV126" s="59">
        <f>IFERROR(__xludf.DUMMYFUNCTION("importrange(""https://docs.google.com/spreadsheets/d/1s5jMeCFSNsddGLPhXVD2iHrblkJkWFU40qIKlTc8-ng/edit?gid=1679663775#gid=1679663775"",""2026-27!ai4"")"),0.0)</f>
        <v>0</v>
      </c>
      <c r="BW126" s="59">
        <f>IFERROR(__xludf.DUMMYFUNCTION("importrange(""https://docs.google.com/spreadsheets/d/1s5jMeCFSNsddGLPhXVD2iHrblkJkWFU40qIKlTc8-ng/edit?gid=1679663775#gid=1679663775"",""2026-27!ai3"")"),0.0)</f>
        <v>0</v>
      </c>
      <c r="BX126" s="63">
        <f t="shared" si="108"/>
        <v>0</v>
      </c>
      <c r="BY126" s="59">
        <f>IFERROR(__xludf.DUMMYFUNCTION("importrange(""https://docs.google.com/spreadsheets/d/1s5jMeCFSNsddGLPhXVD2iHrblkJkWFU40qIKlTc8-ng/edit?gid=1679663775#gid=1679663775"",""2026-27!aj4"")"),0.0)</f>
        <v>0</v>
      </c>
      <c r="BZ126" s="59">
        <f>IFERROR(__xludf.DUMMYFUNCTION("importrange(""https://docs.google.com/spreadsheets/d/1s5jMeCFSNsddGLPhXVD2iHrblkJkWFU40qIKlTc8-ng/edit?gid=1679663775#gid=1679663775"",""2026-27!aj3"")"),0.0)</f>
        <v>0</v>
      </c>
      <c r="CA126" s="59">
        <f>IFERROR(__xludf.DUMMYFUNCTION("importrange(""https://docs.google.com/spreadsheets/d/1s5jMeCFSNsddGLPhXVD2iHrblkJkWFU40qIKlTc8-ng/edit?gid=1679663775#gid=1679663775"",""2026-27!ak4"")"),3000003.0)</f>
        <v>3000003</v>
      </c>
      <c r="CB126" s="59">
        <f>IFERROR(__xludf.DUMMYFUNCTION("importrange(""https://docs.google.com/spreadsheets/d/1s5jMeCFSNsddGLPhXVD2iHrblkJkWFU40qIKlTc8-ng/edit?gid=1679663775#gid=1679663775"",""2026-27!ak3"")"),45.0)</f>
        <v>45</v>
      </c>
      <c r="CC126" s="59">
        <f>IFERROR(__xludf.DUMMYFUNCTION("importrange(""https://docs.google.com/spreadsheets/d/1s5jMeCFSNsddGLPhXVD2iHrblkJkWFU40qIKlTc8-ng/edit?gid=1679663775#gid=1679663775"",""2026-27!al4"")"),0.0)</f>
        <v>0</v>
      </c>
      <c r="CD126" s="59">
        <f>IFERROR(__xludf.DUMMYFUNCTION("importrange(""https://docs.google.com/spreadsheets/d/1s5jMeCFSNsddGLPhXVD2iHrblkJkWFU40qIKlTc8-ng/edit?gid=1679663775#gid=1679663775"",""2026-27!ai3"")"),0.0)</f>
        <v>0</v>
      </c>
      <c r="CE126" s="63">
        <f t="shared" si="109"/>
        <v>0</v>
      </c>
      <c r="CF126" s="59">
        <f>IFERROR(__xludf.DUMMYFUNCTION("importrange(""https://docs.google.com/spreadsheets/d/1s5jMeCFSNsddGLPhXVD2iHrblkJkWFU40qIKlTc8-ng/edit?gid=1679663775#gid=1679663775"",""2026-27!am4"")"),0.0)</f>
        <v>0</v>
      </c>
      <c r="CG126" s="59">
        <f>IFERROR(__xludf.DUMMYFUNCTION("importrange(""https://docs.google.com/spreadsheets/d/1s5jMeCFSNsddGLPhXVD2iHrblkJkWFU40qIKlTc8-ng/edit?gid=1679663775#gid=1679663775"",""2026-27!am3"")"),0.0)</f>
        <v>0</v>
      </c>
      <c r="CH126" s="59">
        <f>IFERROR(__xludf.DUMMYFUNCTION("importrange(""https://docs.google.com/spreadsheets/d/1s5jMeCFSNsddGLPhXVD2iHrblkJkWFU40qIKlTc8-ng/edit?gid=1679663775#gid=1679663775"",""2026-27!an4"")"),3000003.0)</f>
        <v>3000003</v>
      </c>
      <c r="CI126" s="59">
        <f>IFERROR(__xludf.DUMMYFUNCTION("importrange(""https://docs.google.com/spreadsheets/d/1s5jMeCFSNsddGLPhXVD2iHrblkJkWFU40qIKlTc8-ng/edit?gid=1679663775#gid=1679663775"",""2026-27!an3"")"),45.0)</f>
        <v>45</v>
      </c>
      <c r="CJ126" s="59">
        <f>IFERROR(__xludf.DUMMYFUNCTION("importrange(""https://docs.google.com/spreadsheets/d/1s5jMeCFSNsddGLPhXVD2iHrblkJkWFU40qIKlTc8-ng/edit?gid=1679663775#gid=1679663775"",""2026-27!ao4"")"),0.0)</f>
        <v>0</v>
      </c>
      <c r="CK126" s="59">
        <f>IFERROR(__xludf.DUMMYFUNCTION("importrange(""https://docs.google.com/spreadsheets/d/1s5jMeCFSNsddGLPhXVD2iHrblkJkWFU40qIKlTc8-ng/edit?gid=1679663775#gid=1679663775"",""2026-27!ao3"")"),0.0)</f>
        <v>0</v>
      </c>
      <c r="CL126" s="63">
        <f t="shared" si="110"/>
        <v>0</v>
      </c>
      <c r="CM126" s="59">
        <f>IFERROR(__xludf.DUMMYFUNCTION("importrange(""https://docs.google.com/spreadsheets/d/1s5jMeCFSNsddGLPhXVD2iHrblkJkWFU40qIKlTc8-ng/edit?gid=1679663775#gid=1679663775"",""2026-27!ap4"")"),0.0)</f>
        <v>0</v>
      </c>
      <c r="CN126" s="59">
        <f>IFERROR(__xludf.DUMMYFUNCTION("importrange(""https://docs.google.com/spreadsheets/d/1s5jMeCFSNsddGLPhXVD2iHrblkJkWFU40qIKlTc8-ng/edit?gid=1679663775#gid=1679663775"",""2026-27!ap3"")"),0.0)</f>
        <v>0</v>
      </c>
      <c r="CO126" s="59">
        <f>IFERROR(__xludf.DUMMYFUNCTION("importrange(""https://docs.google.com/spreadsheets/d/1s5jMeCFSNsddGLPhXVD2iHrblkJkWFU40qIKlTc8-ng/edit?gid=1679663775#gid=1679663775"",""2026-27!aq4"")"),3000003.0)</f>
        <v>3000003</v>
      </c>
      <c r="CP126" s="59">
        <f>IFERROR(__xludf.DUMMYFUNCTION("importrange(""https://docs.google.com/spreadsheets/d/1s5jMeCFSNsddGLPhXVD2iHrblkJkWFU40qIKlTc8-ng/edit?gid=1679663775#gid=1679663775"",""2026-27!aq3"")"),45.0)</f>
        <v>45</v>
      </c>
      <c r="CQ126" s="59">
        <f>IFERROR(__xludf.DUMMYFUNCTION("importrange(""https://docs.google.com/spreadsheets/d/1s5jMeCFSNsddGLPhXVD2iHrblkJkWFU40qIKlTc8-ng/edit?gid=1679663775#gid=1679663775"",""2026-27!ar4"")"),0.0)</f>
        <v>0</v>
      </c>
      <c r="CR126" s="59">
        <f>IFERROR(__xludf.DUMMYFUNCTION("importrange(""https://docs.google.com/spreadsheets/d/1s5jMeCFSNsddGLPhXVD2iHrblkJkWFU40qIKlTc8-ng/edit?gid=1679663775#gid=1679663775"",""2026-27!ar3"")"),0.0)</f>
        <v>0</v>
      </c>
      <c r="CS126" s="63">
        <f t="shared" si="111"/>
        <v>0</v>
      </c>
      <c r="CT126" s="59">
        <f>IFERROR(__xludf.DUMMYFUNCTION("importrange(""https://docs.google.com/spreadsheets/d/1s5jMeCFSNsddGLPhXVD2iHrblkJkWFU40qIKlTc8-ng/edit?gid=1679663775#gid=1679663775"",""2026-27!as4"")"),0.0)</f>
        <v>0</v>
      </c>
      <c r="CU126" s="59">
        <f>IFERROR(__xludf.DUMMYFUNCTION("importrange(""https://docs.google.com/spreadsheets/d/1s5jMeCFSNsddGLPhXVD2iHrblkJkWFU40qIKlTc8-ng/edit?gid=1679663775#gid=1679663775"",""2026-27!as3"")"),0.0)</f>
        <v>0</v>
      </c>
      <c r="CV126" s="64"/>
    </row>
    <row r="127">
      <c r="A127" s="1" t="s">
        <v>160</v>
      </c>
      <c r="B127" s="41"/>
      <c r="C127" s="118" t="s">
        <v>249</v>
      </c>
      <c r="D127" s="53" t="s">
        <v>250</v>
      </c>
      <c r="E127" s="54">
        <v>9.382713379E9</v>
      </c>
      <c r="F127" s="88">
        <v>45894.0</v>
      </c>
      <c r="I127" s="89">
        <v>27260.0</v>
      </c>
      <c r="J127" s="117">
        <v>3000000.0</v>
      </c>
      <c r="K127" s="61">
        <f>IFERROR(__xludf.DUMMYFUNCTION("IMPORTRANGE(""https://docs.google.com/spreadsheets/d/1h1TRZt74g3toSCg6X1zf04TRrPzTIJTRRHm-VtgXmkM/edit?gid=1586402276#gid=1586402276"",""2026-27!A3"")"),77.0)</f>
        <v>77</v>
      </c>
      <c r="L127" s="61">
        <f>IFERROR(__xludf.DUMMYFUNCTION("IMPORTRANGE(""https://docs.google.com/spreadsheets/d/1h1TRZt74g3toSCg6X1zf04TRrPzTIJTRRHm-VtgXmkM/edit?gid=1586402276#gid=1586402276"",""2026-27!G4"")"),3.7E7)</f>
        <v>37000000</v>
      </c>
      <c r="M127" s="61">
        <f t="shared" si="97"/>
        <v>1868049.7</v>
      </c>
      <c r="N127" s="60">
        <f t="shared" si="98"/>
        <v>0.0724172973</v>
      </c>
      <c r="O127" s="61">
        <f t="shared" si="99"/>
        <v>2679440</v>
      </c>
      <c r="P127" s="59">
        <f>IFERROR(__xludf.DUMMYFUNCTION("IMPORTRANGE(""https://docs.google.com/spreadsheets/d/1h1TRZt74g3toSCg6X1zf04TRrPzTIJTRRHm-VtgXmkM/edit?gid=1586402276#gid=1586402276"",""2026-27!J4"")"),0.0)</f>
        <v>0</v>
      </c>
      <c r="Q127" s="59">
        <f>IFERROR(__xludf.DUMMYFUNCTION("IMPORTRANGE(""https://docs.google.com/spreadsheets/d/1h1TRZt74g3toSCg6X1zf04TRrPzTIJTRRHm-VtgXmkM/edit?gid=1586402276#gid=1586402276"",""2026-27!J3"")"),0.0)</f>
        <v>0</v>
      </c>
      <c r="R127" s="59">
        <f>IFERROR(__xludf.DUMMYFUNCTION("IMPORTRANGE(""https://docs.google.com/spreadsheets/d/1h1TRZt74g3toSCg6X1zf04TRrPzTIJTRRHm-VtgXmkM/edit?gid=1586402276#gid=1586402276"",""2026-27!K4"")"),632618.34)</f>
        <v>632618.34</v>
      </c>
      <c r="S127" s="59">
        <f>IFERROR(__xludf.DUMMYFUNCTION("IMPORTRANGE(""https://docs.google.com/spreadsheets/d/1h1TRZt74g3toSCg6X1zf04TRrPzTIJTRRHm-VtgXmkM/edit?gid=1586402276#gid=1586402276"",""2026-27!K3"")"),4.0)</f>
        <v>4</v>
      </c>
      <c r="T127" s="62" t="str">
        <f t="shared" si="100"/>
        <v/>
      </c>
      <c r="U127" s="59">
        <f>IFERROR(__xludf.DUMMYFUNCTION("IMPORTRANGE(""https://docs.google.com/spreadsheets/d/1h1TRZt74g3toSCg6X1zf04TRrPzTIJTRRHm-VtgXmkM/edit?gid=1586402276#gid=1586402276"",""2026-27!L4"")"),833399.0)</f>
        <v>833399</v>
      </c>
      <c r="V127" s="85">
        <f>IFERROR(__xludf.DUMMYFUNCTION("IMPORTRANGE(""https://docs.google.com/spreadsheets/d/1h1TRZt74g3toSCg6X1zf04TRrPzTIJTRRHm-VtgXmkM/edit?gid=1586402276#gid=1586402276"",""2026-27!L3"")"),24.0)</f>
        <v>24</v>
      </c>
      <c r="W127" s="59">
        <f>IFERROR(__xludf.DUMMYFUNCTION("IMPORTRANGE(""https://docs.google.com/spreadsheets/d/1h1TRZt74g3toSCg6X1zf04TRrPzTIJTRRHm-VtgXmkM/edit?gid=1586402276#gid=1586402276"",""2026-27!M4"")"),0.0)</f>
        <v>0</v>
      </c>
      <c r="X127" s="85">
        <f>IFERROR(__xludf.DUMMYFUNCTION("IMPORTRANGE(""https://docs.google.com/spreadsheets/d/1h1TRZt74g3toSCg6X1zf04TRrPzTIJTRRHm-VtgXmkM/edit?gid=1586402276#gid=1586402276"",""2026-27!M3"")"),0.0)</f>
        <v>0</v>
      </c>
      <c r="Y127" s="59">
        <f>IFERROR(__xludf.DUMMYFUNCTION("importrange(""https://docs.google.com/spreadsheets/d/1h1TRZt74g3toSCg6X1zf04TRrPzTIJTRRHm-VtgXmkM/edit?gid=1586402276#gid=1586402276"",""2026-27!n4"")"),823040.47)</f>
        <v>823040.47</v>
      </c>
      <c r="Z127" s="59">
        <f>IFERROR(__xludf.DUMMYFUNCTION("importrange(""https://docs.google.com/spreadsheets/d/1h1TRZt74g3toSCg6X1zf04TRrPzTIJTRRHm-VtgXmkM/edit?gid=1586402276#gid=1586402276"",""2026-27!n3"")"),8.0)</f>
        <v>8</v>
      </c>
      <c r="AA127" s="62" t="str">
        <f t="shared" si="101"/>
        <v/>
      </c>
      <c r="AB127" s="59">
        <f>IFERROR(__xludf.DUMMYFUNCTION("importrange(""https://docs.google.com/spreadsheets/d/1h1TRZt74g3toSCg6X1zf04TRrPzTIJTRRHm-VtgXmkM/edit?gid=1586402276#gid=1586402276"",""2026-27!o4"")"),1846041.0)</f>
        <v>1846041</v>
      </c>
      <c r="AC127" s="59">
        <f>IFERROR(__xludf.DUMMYFUNCTION("importrange(""https://docs.google.com/spreadsheets/d/1h1TRZt74g3toSCg6X1zf04TRrPzTIJTRRHm-VtgXmkM/edit?gid=1586402276#gid=1586402276"",""2026-27!o3"")"),52.0)</f>
        <v>52</v>
      </c>
      <c r="AD127" s="59">
        <f>IFERROR(__xludf.DUMMYFUNCTION("importrange(""https://docs.google.com/spreadsheets/d/1h1TRZt74g3toSCg6X1zf04TRrPzTIJTRRHm-VtgXmkM/edit?gid=1586402276#gid=1586402276"",""2026-27!p4"")"),0.0)</f>
        <v>0</v>
      </c>
      <c r="AE127" s="59">
        <f>IFERROR(__xludf.DUMMYFUNCTION("importrange(""https://docs.google.com/spreadsheets/d/1h1TRZt74g3toSCg6X1zf04TRrPzTIJTRRHm-VtgXmkM/edit?gid=1586402276#gid=1586402276"",""2026-27!p3"")"),0.0)</f>
        <v>0</v>
      </c>
      <c r="AF127" s="59">
        <f>IFERROR(__xludf.DUMMYFUNCTION("importrange(""https://docs.google.com/spreadsheets/d/1h1TRZt74g3toSCg6X1zf04TRrPzTIJTRRHm-VtgXmkM/edit?gid=1586402276#gid=1586402276"",""2026-27!q4"")"),412390.89)</f>
        <v>412390.89</v>
      </c>
      <c r="AG127" s="59">
        <f>IFERROR(__xludf.DUMMYFUNCTION("importrange(""https://docs.google.com/spreadsheets/d/1h1TRZt74g3toSCg6X1zf04TRrPzTIJTRRHm-VtgXmkM/edit?gid=1586402276#gid=1586402276"",""2026-27!q3"")"),3.0)</f>
        <v>3</v>
      </c>
      <c r="AH127" s="62" t="str">
        <f t="shared" si="102"/>
        <v/>
      </c>
      <c r="AI127" s="59">
        <f>IFERROR(__xludf.DUMMYFUNCTION("importrange(""https://docs.google.com/spreadsheets/d/1h1TRZt74g3toSCg6X1zf04TRrPzTIJTRRHm-VtgXmkM/edit?gid=1586402276#gid=1586402276"",""2026-27!r4"")"),0.0)</f>
        <v>0</v>
      </c>
      <c r="AJ127" s="59">
        <f>IFERROR(__xludf.DUMMYFUNCTION("importrange(""https://docs.google.com/spreadsheets/d/1h1TRZt74g3toSCg6X1zf04TRrPzTIJTRRHm-VtgXmkM/edit?gid=1586402276#gid=1586402276"",""2026-27!r3"")"),0.0)</f>
        <v>0</v>
      </c>
      <c r="AK127" s="59">
        <f>IFERROR(__xludf.DUMMYFUNCTION("importrange(""https://docs.google.com/spreadsheets/d/1h1TRZt74g3toSCg6X1zf04TRrPzTIJTRRHm-VtgXmkM/edit?gid=1586402276#gid=1586402276"",""2026-27!s4"")"),0.0)</f>
        <v>0</v>
      </c>
      <c r="AL127" s="59">
        <f>IFERROR(__xludf.DUMMYFUNCTION("importrange(""https://docs.google.com/spreadsheets/d/1h1TRZt74g3toSCg6X1zf04TRrPzTIJTRRHm-VtgXmkM/edit?gid=1586402276#gid=1586402276"",""2026-27!s3"")"),0.0)</f>
        <v>0</v>
      </c>
      <c r="AM127" s="61">
        <f>IFERROR(__xludf.DUMMYFUNCTION("importrange(""https://docs.google.com/spreadsheets/d/1h1TRZt74g3toSCg6X1zf04TRrPzTIJTRRHm-VtgXmkM/edit?gid=1586402276#gid=1586402276"",""2026-27!t4"")"),0.0)</f>
        <v>0</v>
      </c>
      <c r="AN127" s="59">
        <f>IFERROR(__xludf.DUMMYFUNCTION("importrange(""https://docs.google.com/spreadsheets/d/1h1TRZt74g3toSCg6X1zf04TRrPzTIJTRRHm-VtgXmkM/edit?gid=1586402276#gid=1586402276"",""2026-27!t3"")"),0.0)</f>
        <v>0</v>
      </c>
      <c r="AO127" s="62" t="str">
        <f t="shared" si="103"/>
        <v/>
      </c>
      <c r="AP127" s="59">
        <f>IFERROR(__xludf.DUMMYFUNCTION("importrange(""https://docs.google.com/spreadsheets/d/1h1TRZt74g3toSCg6X1zf04TRrPzTIJTRRHm-VtgXmkM/edit?gid=1586402276#gid=1586402276"",""2026-27!u4"")"),0.0)</f>
        <v>0</v>
      </c>
      <c r="AQ127" s="59">
        <f>IFERROR(__xludf.DUMMYFUNCTION("importrange(""https://docs.google.com/spreadsheets/d/1h1TRZt74g3toSCg6X1zf04TRrPzTIJTRRHm-VtgXmkM/edit?gid=1586402276#gid=1586402276"",""2026-27!u3"")"),0.0)</f>
        <v>0</v>
      </c>
      <c r="AR127" s="59">
        <f>IFERROR(__xludf.DUMMYFUNCTION("importrange(""https://docs.google.com/spreadsheets/d/1h1TRZt74g3toSCg6X1zf04TRrPzTIJTRRHm-VtgXmkM/edit?gid=1586402276#gid=1586402276"",""2026-27!v4"")"),0.0)</f>
        <v>0</v>
      </c>
      <c r="AS127" s="59">
        <f>IFERROR(__xludf.DUMMYFUNCTION("importrange(""https://docs.google.com/spreadsheets/d/1h1TRZt74g3toSCg6X1zf04TRrPzTIJTRRHm-VtgXmkM/edit?gid=1586402276#gid=1586402276"",""2026-27!v3"")"),0.0)</f>
        <v>0</v>
      </c>
      <c r="AT127" s="61">
        <f>IFERROR(__xludf.DUMMYFUNCTION("importrange(""https://docs.google.com/spreadsheets/d/1h1TRZt74g3toSCg6X1zf04TRrPzTIJTRRHm-VtgXmkM/edit?gid=1586402276#gid=1586402276"",""2026-27!w4"")"),0.0)</f>
        <v>0</v>
      </c>
      <c r="AU127" s="59">
        <f>IFERROR(__xludf.DUMMYFUNCTION("importrange(""https://docs.google.com/spreadsheets/d/1h1TRZt74g3toSCg6X1zf04TRrPzTIJTRRHm-VtgXmkM/edit?gid=1586402276#gid=1586402276"",""2026-27!w3"")"),0.0)</f>
        <v>0</v>
      </c>
      <c r="AV127" s="62" t="str">
        <f t="shared" si="104"/>
        <v/>
      </c>
      <c r="AW127" s="59">
        <f>IFERROR(__xludf.DUMMYFUNCTION("importrange(""https://docs.google.com/spreadsheets/d/1h1TRZt74g3toSCg6X1zf04TRrPzTIJTRRHm-VtgXmkM/edit?gid=1586402276#gid=1586402276"",""2026-27!x4"")"),0.0)</f>
        <v>0</v>
      </c>
      <c r="AX127" s="59">
        <f>IFERROR(__xludf.DUMMYFUNCTION("importrange(""https://docs.google.com/spreadsheets/d/1h1TRZt74g3toSCg6X1zf04TRrPzTIJTRRHm-VtgXmkM/edit?gid=1586402276#gid=1586402276"",""2026-27!x3"")"),0.0)</f>
        <v>0</v>
      </c>
      <c r="AY127" s="59">
        <f>IFERROR(__xludf.DUMMYFUNCTION("importrange(""https://docs.google.com/spreadsheets/d/1h1TRZt74g3toSCg6X1zf04TRrPzTIJTRRHm-VtgXmkM/edit?gid=1586402276#gid=1586402276"",""2026-27!y4"")"),0.0)</f>
        <v>0</v>
      </c>
      <c r="AZ127" s="59">
        <f>IFERROR(__xludf.DUMMYFUNCTION("importrange(""https://docs.google.com/spreadsheets/d/1h1TRZt74g3toSCg6X1zf04TRrPzTIJTRRHm-VtgXmkM/edit?gid=1586402276#gid=1586402276"",""2026-27!y3"")"),0.0)</f>
        <v>0</v>
      </c>
      <c r="BA127" s="61">
        <f>IFERROR(__xludf.DUMMYFUNCTION("importrange(""https://docs.google.com/spreadsheets/d/1h1TRZt74g3toSCg6X1zf04TRrPzTIJTRRHm-VtgXmkM/edit?gid=1586402276#gid=1586402276"",""2026-27!z4"")"),0.0)</f>
        <v>0</v>
      </c>
      <c r="BB127" s="59">
        <f>IFERROR(__xludf.DUMMYFUNCTION("importrange(""https://docs.google.com/spreadsheets/d/1h1TRZt74g3toSCg6X1zf04TRrPzTIJTRRHm-VtgXmkM/edit?gid=1586402276#gid=1586402276"",""2026-27!z3"")"),0.0)</f>
        <v>0</v>
      </c>
      <c r="BC127" s="63" t="str">
        <f t="shared" si="105"/>
        <v/>
      </c>
      <c r="BD127" s="59">
        <f>IFERROR(__xludf.DUMMYFUNCTION("importrange(""https://docs.google.com/spreadsheets/d/1h1TRZt74g3toSCg6X1zf04TRrPzTIJTRRHm-VtgXmkM/edit?gid=1586402276#gid=1586402276"",""2026-27!aa4"")"),0.0)</f>
        <v>0</v>
      </c>
      <c r="BE127" s="59">
        <f>IFERROR(__xludf.DUMMYFUNCTION("importrange(""https://docs.google.com/spreadsheets/d/1h1TRZt74g3toSCg6X1zf04TRrPzTIJTRRHm-VtgXmkM/edit?gid=1586402276#gid=1586402276"",""2026-27!aa3"")"),0.0)</f>
        <v>0</v>
      </c>
      <c r="BF127" s="59">
        <f>IFERROR(__xludf.DUMMYFUNCTION("importrange(""https://docs.google.com/spreadsheets/d/1h1TRZt74g3toSCg6X1zf04TRrPzTIJTRRHm-VtgXmkM/edit?gid=1586402276#gid=1586402276"",""2026-27!ab4"")"),0.0)</f>
        <v>0</v>
      </c>
      <c r="BG127" s="59">
        <f>IFERROR(__xludf.DUMMYFUNCTION("importrange(""https://docs.google.com/spreadsheets/d/1h1TRZt74g3toSCg6X1zf04TRrPzTIJTRRHm-VtgXmkM/edit?gid=1586402276#gid=1586402276"",""2026-27!ab3"")"),0.0)</f>
        <v>0</v>
      </c>
      <c r="BH127" s="59">
        <f>IFERROR(__xludf.DUMMYFUNCTION("importrange(""https://docs.google.com/spreadsheets/d/1h1TRZt74g3toSCg6X1zf04TRrPzTIJTRRHm-VtgXmkM/edit?gid=1586402276#gid=1586402276"",""2026-27!ac4"")"),0.0)</f>
        <v>0</v>
      </c>
      <c r="BI127" s="59">
        <f>IFERROR(__xludf.DUMMYFUNCTION("importrange(""https://docs.google.com/spreadsheets/d/1h1TRZt74g3toSCg6X1zf04TRrPzTIJTRRHm-VtgXmkM/edit?gid=1586402276#gid=1586402276"",""2026-27!ac3"")"),0.0)</f>
        <v>0</v>
      </c>
      <c r="BJ127" s="63" t="str">
        <f t="shared" si="106"/>
        <v/>
      </c>
      <c r="BK127" s="59">
        <f>IFERROR(__xludf.DUMMYFUNCTION("importrange(""https://docs.google.com/spreadsheets/d/1h1TRZt74g3toSCg6X1zf04TRrPzTIJTRRHm-VtgXmkM/edit?gid=1586402276#gid=1586402276"",""2026-27!ad4"")"),0.0)</f>
        <v>0</v>
      </c>
      <c r="BL127" s="59">
        <f>IFERROR(__xludf.DUMMYFUNCTION("importrange(""https://docs.google.com/spreadsheets/d/1h1TRZt74g3toSCg6X1zf04TRrPzTIJTRRHm-VtgXmkM/edit?gid=1586402276#gid=1586402276"",""2026-27!ad3"")"),0.0)</f>
        <v>0</v>
      </c>
      <c r="BM127" s="59">
        <f>IFERROR(__xludf.DUMMYFUNCTION("importrange(""https://docs.google.com/spreadsheets/d/1h1TRZt74g3toSCg6X1zf04TRrPzTIJTRRHm-VtgXmkM/edit?gid=1586402276#gid=1586402276"",""2026-27!ae4"")"),0.0)</f>
        <v>0</v>
      </c>
      <c r="BN127" s="59">
        <f>IFERROR(__xludf.DUMMYFUNCTION("importrange(""https://docs.google.com/spreadsheets/d/1h1TRZt74g3toSCg6X1zf04TRrPzTIJTRRHm-VtgXmkM/edit?gid=1586402276#gid=1586402276"",""2026-27!ae3"")"),0.0)</f>
        <v>0</v>
      </c>
      <c r="BO127" s="59">
        <f>IFERROR(__xludf.DUMMYFUNCTION("importrange(""https://docs.google.com/spreadsheets/d/1h1TRZt74g3toSCg6X1zf04TRrPzTIJTRRHm-VtgXmkM/edit?gid=1586402276#gid=1586402276"",""2026-27!af4"")"),0.0)</f>
        <v>0</v>
      </c>
      <c r="BP127" s="59">
        <f>IFERROR(__xludf.DUMMYFUNCTION("importrange(""https://docs.google.com/spreadsheets/d/1h1TRZt74g3toSCg6X1zf04TRrPzTIJTRRHm-VtgXmkM/edit?gid=1586402276#gid=1586402276"",""2026-27!af3"")"),0.0)</f>
        <v>0</v>
      </c>
      <c r="BQ127" s="63" t="str">
        <f t="shared" si="107"/>
        <v/>
      </c>
      <c r="BR127" s="59">
        <f>IFERROR(__xludf.DUMMYFUNCTION("importrange(""https://docs.google.com/spreadsheets/d/1h1TRZt74g3toSCg6X1zf04TRrPzTIJTRRHm-VtgXmkM/edit?gid=1586402276#gid=1586402276"",""2026-27!ag4"")"),0.0)</f>
        <v>0</v>
      </c>
      <c r="BS127" s="59">
        <f>IFERROR(__xludf.DUMMYFUNCTION("importrange(""https://docs.google.com/spreadsheets/d/1h1TRZt74g3toSCg6X1zf04TRrPzTIJTRRHm-VtgXmkM/edit?gid=1586402276#gid=1586402276"",""2026-27!ag3"")"),0.0)</f>
        <v>0</v>
      </c>
      <c r="BT127" s="59">
        <f>IFERROR(__xludf.DUMMYFUNCTION("importrange(""https://docs.google.com/spreadsheets/d/1h1TRZt74g3toSCg6X1zf04TRrPzTIJTRRHm-VtgXmkM/edit?gid=1586402276#gid=1586402276"",""2026-27!ah4"")"),0.0)</f>
        <v>0</v>
      </c>
      <c r="BU127" s="59">
        <f>IFERROR(__xludf.DUMMYFUNCTION("importrange(""https://docs.google.com/spreadsheets/d/1h1TRZt74g3toSCg6X1zf04TRrPzTIJTRRHm-VtgXmkM/edit?gid=1586402276#gid=1586402276"",""2026-27!ah3"")"),0.0)</f>
        <v>0</v>
      </c>
      <c r="BV127" s="59">
        <f>IFERROR(__xludf.DUMMYFUNCTION("importrange(""https://docs.google.com/spreadsheets/d/1h1TRZt74g3toSCg6X1zf04TRrPzTIJTRRHm-VtgXmkM/edit?gid=1586402276#gid=1586402276"",""2026-27!ai4"")"),0.0)</f>
        <v>0</v>
      </c>
      <c r="BW127" s="59">
        <f>IFERROR(__xludf.DUMMYFUNCTION("importrange(""https://docs.google.com/spreadsheets/d/1h1TRZt74g3toSCg6X1zf04TRrPzTIJTRRHm-VtgXmkM/edit?gid=1586402276#gid=1586402276"",""2026-27!ai3"")"),0.0)</f>
        <v>0</v>
      </c>
      <c r="BX127" s="63" t="str">
        <f t="shared" si="108"/>
        <v/>
      </c>
      <c r="BY127" s="59">
        <f>IFERROR(__xludf.DUMMYFUNCTION("importrange(""https://docs.google.com/spreadsheets/d/1h1TRZt74g3toSCg6X1zf04TRrPzTIJTRRHm-VtgXmkM/edit?gid=1586402276#gid=1586402276"",""2026-27!aj4"")"),0.0)</f>
        <v>0</v>
      </c>
      <c r="BZ127" s="59">
        <f>IFERROR(__xludf.DUMMYFUNCTION("importrange(""https://docs.google.com/spreadsheets/d/1h1TRZt74g3toSCg6X1zf04TRrPzTIJTRRHm-VtgXmkM/edit?gid=1586402276#gid=1586402276"",""2026-27!aj3"")"),0.0)</f>
        <v>0</v>
      </c>
      <c r="CA127" s="59">
        <f>IFERROR(__xludf.DUMMYFUNCTION("importrange(""https://docs.google.com/spreadsheets/d/1h1TRZt74g3toSCg6X1zf04TRrPzTIJTRRHm-VtgXmkM/edit?gid=1586402276#gid=1586402276"",""2026-27!ak4"")"),0.0)</f>
        <v>0</v>
      </c>
      <c r="CB127" s="59">
        <f>IFERROR(__xludf.DUMMYFUNCTION("importrange(""https://docs.google.com/spreadsheets/d/1h1TRZt74g3toSCg6X1zf04TRrPzTIJTRRHm-VtgXmkM/edit?gid=1586402276#gid=1586402276"",""2026-27!ak3"")"),0.0)</f>
        <v>0</v>
      </c>
      <c r="CC127" s="59">
        <f>IFERROR(__xludf.DUMMYFUNCTION("importrange(""https://docs.google.com/spreadsheets/d/1h1TRZt74g3toSCg6X1zf04TRrPzTIJTRRHm-VtgXmkM/edit?gid=1586402276#gid=1586402276"",""2026-27!al4"")"),0.0)</f>
        <v>0</v>
      </c>
      <c r="CD127" s="59">
        <f>IFERROR(__xludf.DUMMYFUNCTION("importrange(""https://docs.google.com/spreadsheets/d/1h1TRZt74g3toSCg6X1zf04TRrPzTIJTRRHm-VtgXmkM/edit?gid=1586402276#gid=1586402276"",""2026-27!ai3"")"),0.0)</f>
        <v>0</v>
      </c>
      <c r="CE127" s="63" t="str">
        <f t="shared" si="109"/>
        <v/>
      </c>
      <c r="CF127" s="59">
        <f>IFERROR(__xludf.DUMMYFUNCTION("importrange(""https://docs.google.com/spreadsheets/d/1h1TRZt74g3toSCg6X1zf04TRrPzTIJTRRHm-VtgXmkM/edit?gid=1586402276#gid=1586402276"",""2026-27!am4"")"),0.0)</f>
        <v>0</v>
      </c>
      <c r="CG127" s="59">
        <f>IFERROR(__xludf.DUMMYFUNCTION("importrange(""https://docs.google.com/spreadsheets/d/1h1TRZt74g3toSCg6X1zf04TRrPzTIJTRRHm-VtgXmkM/edit?gid=1586402276#gid=1586402276"",""2026-27!am3"")"),0.0)</f>
        <v>0</v>
      </c>
      <c r="CH127" s="59">
        <f>IFERROR(__xludf.DUMMYFUNCTION("importrange(""https://docs.google.com/spreadsheets/d/1h1TRZt74g3toSCg6X1zf04TRrPzTIJTRRHm-VtgXmkM/edit?gid=1586402276#gid=1586402276"",""2026-27!an4"")"),0.0)</f>
        <v>0</v>
      </c>
      <c r="CI127" s="59">
        <f>IFERROR(__xludf.DUMMYFUNCTION("importrange(""https://docs.google.com/spreadsheets/d/1h1TRZt74g3toSCg6X1zf04TRrPzTIJTRRHm-VtgXmkM/edit?gid=1586402276#gid=1586402276"",""2026-27!an3"")"),0.0)</f>
        <v>0</v>
      </c>
      <c r="CJ127" s="59">
        <f>IFERROR(__xludf.DUMMYFUNCTION("importrange(""https://docs.google.com/spreadsheets/d/1h1TRZt74g3toSCg6X1zf04TRrPzTIJTRRHm-VtgXmkM/edit?gid=1586402276#gid=1586402276"",""2026-27!ao4"")"),0.0)</f>
        <v>0</v>
      </c>
      <c r="CK127" s="59">
        <f>IFERROR(__xludf.DUMMYFUNCTION("importrange(""https://docs.google.com/spreadsheets/d/1h1TRZt74g3toSCg6X1zf04TRrPzTIJTRRHm-VtgXmkM/edit?gid=1586402276#gid=1586402276"",""2026-27!ao3"")"),0.0)</f>
        <v>0</v>
      </c>
      <c r="CL127" s="63" t="str">
        <f t="shared" si="110"/>
        <v/>
      </c>
      <c r="CM127" s="59">
        <f>IFERROR(__xludf.DUMMYFUNCTION("importrange(""https://docs.google.com/spreadsheets/d/1h1TRZt74g3toSCg6X1zf04TRrPzTIJTRRHm-VtgXmkM/edit?gid=1586402276#gid=1586402276"",""2026-27!ap4"")"),0.0)</f>
        <v>0</v>
      </c>
      <c r="CN127" s="59">
        <f>IFERROR(__xludf.DUMMYFUNCTION("importrange(""https://docs.google.com/spreadsheets/d/1h1TRZt74g3toSCg6X1zf04TRrPzTIJTRRHm-VtgXmkM/edit?gid=1586402276#gid=1586402276"",""2026-27!ap3"")"),0.0)</f>
        <v>0</v>
      </c>
      <c r="CO127" s="59">
        <f>IFERROR(__xludf.DUMMYFUNCTION("importrange(""https://docs.google.com/spreadsheets/d/1h1TRZt74g3toSCg6X1zf04TRrPzTIJTRRHm-VtgXmkM/edit?gid=1586402276#gid=1586402276"",""2026-27!aq4"")"),0.0)</f>
        <v>0</v>
      </c>
      <c r="CP127" s="59">
        <f>IFERROR(__xludf.DUMMYFUNCTION("importrange(""https://docs.google.com/spreadsheets/d/1h1TRZt74g3toSCg6X1zf04TRrPzTIJTRRHm-VtgXmkM/edit?gid=1586402276#gid=1586402276"",""2026-27!aq3"")"),0.0)</f>
        <v>0</v>
      </c>
      <c r="CQ127" s="59">
        <f>IFERROR(__xludf.DUMMYFUNCTION("importrange(""https://docs.google.com/spreadsheets/d/1h1TRZt74g3toSCg6X1zf04TRrPzTIJTRRHm-VtgXmkM/edit?gid=1586402276#gid=1586402276"",""2026-27!ar4"")"),0.0)</f>
        <v>0</v>
      </c>
      <c r="CR127" s="59">
        <f>IFERROR(__xludf.DUMMYFUNCTION("importrange(""https://docs.google.com/spreadsheets/d/1h1TRZt74g3toSCg6X1zf04TRrPzTIJTRRHm-VtgXmkM/edit?gid=1586402276#gid=1586402276"",""2026-27!ar3"")"),0.0)</f>
        <v>0</v>
      </c>
      <c r="CS127" s="63" t="str">
        <f t="shared" si="111"/>
        <v/>
      </c>
      <c r="CT127" s="59">
        <f>IFERROR(__xludf.DUMMYFUNCTION("importrange(""https://docs.google.com/spreadsheets/d/1h1TRZt74g3toSCg6X1zf04TRrPzTIJTRRHm-VtgXmkM/edit?gid=1586402276#gid=1586402276"",""2026-27!as4"")"),0.0)</f>
        <v>0</v>
      </c>
      <c r="CU127" s="59">
        <f>IFERROR(__xludf.DUMMYFUNCTION("importrange(""https://docs.google.com/spreadsheets/d/1h1TRZt74g3toSCg6X1zf04TRrPzTIJTRRHm-VtgXmkM/edit?gid=1586402276#gid=1586402276"",""2026-27!as3"")"),0.0)</f>
        <v>0</v>
      </c>
      <c r="CV127" s="64"/>
    </row>
    <row r="128">
      <c r="A128" s="1" t="s">
        <v>160</v>
      </c>
      <c r="B128" s="41"/>
      <c r="C128" s="118" t="s">
        <v>251</v>
      </c>
      <c r="D128" s="72" t="s">
        <v>252</v>
      </c>
      <c r="E128" s="72">
        <v>7.003301552E9</v>
      </c>
      <c r="F128" s="84">
        <v>46041.0</v>
      </c>
      <c r="G128" s="5"/>
      <c r="H128" s="5"/>
      <c r="I128" s="74">
        <v>35650.0</v>
      </c>
      <c r="J128" s="117">
        <v>3708333.0</v>
      </c>
      <c r="K128" s="61">
        <f>IFERROR(__xludf.DUMMYFUNCTION("IMPORTRANGE(""https://docs.google.com/spreadsheets/d/16St08vBtqG6cQ29Lh2yNSR8b82ABOrtscauHawL3SnA/edit?gid=1748251694#gid=1748251694"",""2026-27!A3"")"),81.0)</f>
        <v>81</v>
      </c>
      <c r="L128" s="61">
        <f>IFERROR(__xludf.DUMMYFUNCTION("IMPORTRANGE(""https://docs.google.com/spreadsheets/d/16St08vBtqG6cQ29Lh2yNSR8b82ABOrtscauHawL3SnA/edit?gid=1748251694#gid=1748251694"",""2026-27!G4"")"),1.839E7)</f>
        <v>18390000</v>
      </c>
      <c r="M128" s="61">
        <f t="shared" si="97"/>
        <v>4141909.48</v>
      </c>
      <c r="N128" s="60">
        <f t="shared" si="98"/>
        <v>0.1134791191</v>
      </c>
      <c r="O128" s="61">
        <f t="shared" si="99"/>
        <v>2086881</v>
      </c>
      <c r="P128" s="59">
        <f>IFERROR(__xludf.DUMMYFUNCTION("IMPORTRANGE(""https://docs.google.com/spreadsheets/d/16St08vBtqG6cQ29Lh2yNSR8b82ABOrtscauHawL3SnA/edit?gid=1748251694#gid=1748251694"",""2026-27!J4"")"),0.0)</f>
        <v>0</v>
      </c>
      <c r="Q128" s="59">
        <f>IFERROR(__xludf.DUMMYFUNCTION("IMPORTRANGE(""https://docs.google.com/spreadsheets/d/16St08vBtqG6cQ29Lh2yNSR8b82ABOrtscauHawL3SnA/edit?gid=1748251694#gid=1748251694"",""2026-27!J3"")"),0.0)</f>
        <v>0</v>
      </c>
      <c r="R128" s="59">
        <f>IFERROR(__xludf.DUMMYFUNCTION("IMPORTRANGE(""https://docs.google.com/spreadsheets/d/16St08vBtqG6cQ29Lh2yNSR8b82ABOrtscauHawL3SnA/edit?gid=1748251694#gid=1748251694"",""2026-27!K4"")"),710835.3600000001)</f>
        <v>710835.36</v>
      </c>
      <c r="S128" s="59">
        <f>IFERROR(__xludf.DUMMYFUNCTION("IMPORTRANGE(""https://docs.google.com/spreadsheets/d/16St08vBtqG6cQ29Lh2yNSR8b82ABOrtscauHawL3SnA/edit?gid=1748251694#gid=1748251694"",""2026-27!K3"")"),9.0)</f>
        <v>9</v>
      </c>
      <c r="T128" s="62" t="str">
        <f t="shared" si="100"/>
        <v/>
      </c>
      <c r="U128" s="59">
        <f>IFERROR(__xludf.DUMMYFUNCTION("IMPORTRANGE(""https://docs.google.com/spreadsheets/d/16St08vBtqG6cQ29Lh2yNSR8b82ABOrtscauHawL3SnA/edit?gid=1748251694#gid=1748251694"",""2026-27!L4"")"),792397.0)</f>
        <v>792397</v>
      </c>
      <c r="V128" s="85">
        <f>IFERROR(__xludf.DUMMYFUNCTION("IMPORTRANGE(""https://docs.google.com/spreadsheets/d/16St08vBtqG6cQ29Lh2yNSR8b82ABOrtscauHawL3SnA/edit?gid=1748251694#gid=1748251694"",""2026-27!L3"")"),10.0)</f>
        <v>10</v>
      </c>
      <c r="W128" s="59">
        <f>IFERROR(__xludf.DUMMYFUNCTION("IMPORTRANGE(""https://docs.google.com/spreadsheets/d/16St08vBtqG6cQ29Lh2yNSR8b82ABOrtscauHawL3SnA/edit?gid=1748251694#gid=1748251694"",""2026-27!M4"")"),0.0)</f>
        <v>0</v>
      </c>
      <c r="X128" s="85">
        <f>IFERROR(__xludf.DUMMYFUNCTION("IMPORTRANGE(""https://docs.google.com/spreadsheets/d/16St08vBtqG6cQ29Lh2yNSR8b82ABOrtscauHawL3SnA/edit?gid=1748251694#gid=1748251694"",""2026-27!M3"")"),0.0)</f>
        <v>0</v>
      </c>
      <c r="Y128" s="59">
        <f>IFERROR(__xludf.DUMMYFUNCTION("importrange(""https://docs.google.com/spreadsheets/d/16St08vBtqG6cQ29Lh2yNSR8b82ABOrtscauHawL3SnA/edit?gid=1748251694#gid=1748251694"",""2026-27!n4"")"),1397542.02)</f>
        <v>1397542.02</v>
      </c>
      <c r="Z128" s="59">
        <f>IFERROR(__xludf.DUMMYFUNCTION("importrange(""https://docs.google.com/spreadsheets/d/16St08vBtqG6cQ29Lh2yNSR8b82ABOrtscauHawL3SnA/edit?gid=1748251694#gid=1748251694"",""2026-27!n3"")"),16.0)</f>
        <v>16</v>
      </c>
      <c r="AA128" s="62" t="str">
        <f t="shared" si="101"/>
        <v/>
      </c>
      <c r="AB128" s="59">
        <f>IFERROR(__xludf.DUMMYFUNCTION("importrange(""https://docs.google.com/spreadsheets/d/16St08vBtqG6cQ29Lh2yNSR8b82ABOrtscauHawL3SnA/edit?gid=1748251694#gid=1748251694"",""2026-27!o4"")"),1294484.0)</f>
        <v>1294484</v>
      </c>
      <c r="AC128" s="59">
        <f>IFERROR(__xludf.DUMMYFUNCTION("importrange(""https://docs.google.com/spreadsheets/d/16St08vBtqG6cQ29Lh2yNSR8b82ABOrtscauHawL3SnA/edit?gid=1748251694#gid=1748251694"",""2026-27!o3"")"),18.0)</f>
        <v>18</v>
      </c>
      <c r="AD128" s="59">
        <f>IFERROR(__xludf.DUMMYFUNCTION("importrange(""https://docs.google.com/spreadsheets/d/16St08vBtqG6cQ29Lh2yNSR8b82ABOrtscauHawL3SnA/edit?gid=1748251694#gid=1748251694"",""2026-27!p4"")"),0.0)</f>
        <v>0</v>
      </c>
      <c r="AE128" s="59">
        <f>IFERROR(__xludf.DUMMYFUNCTION("importrange(""https://docs.google.com/spreadsheets/d/16St08vBtqG6cQ29Lh2yNSR8b82ABOrtscauHawL3SnA/edit?gid=1748251694#gid=1748251694"",""2026-27!p3"")"),0.0)</f>
        <v>0</v>
      </c>
      <c r="AF128" s="59">
        <f>IFERROR(__xludf.DUMMYFUNCTION("importrange(""https://docs.google.com/spreadsheets/d/16St08vBtqG6cQ29Lh2yNSR8b82ABOrtscauHawL3SnA/edit?gid=1748251694#gid=1748251694"",""2026-27!q4"")"),2033532.1)</f>
        <v>2033532.1</v>
      </c>
      <c r="AG128" s="59">
        <f>IFERROR(__xludf.DUMMYFUNCTION("importrange(""https://docs.google.com/spreadsheets/d/16St08vBtqG6cQ29Lh2yNSR8b82ABOrtscauHawL3SnA/edit?gid=1748251694#gid=1748251694"",""2026-27!q3"")"),25.0)</f>
        <v>25</v>
      </c>
      <c r="AH128" s="62" t="str">
        <f t="shared" si="102"/>
        <v/>
      </c>
      <c r="AI128" s="59">
        <f>IFERROR(__xludf.DUMMYFUNCTION("importrange(""https://docs.google.com/spreadsheets/d/16St08vBtqG6cQ29Lh2yNSR8b82ABOrtscauHawL3SnA/edit?gid=1748251694#gid=1748251694"",""2026-27!r4"")"),0.0)</f>
        <v>0</v>
      </c>
      <c r="AJ128" s="59">
        <f>IFERROR(__xludf.DUMMYFUNCTION("importrange(""https://docs.google.com/spreadsheets/d/16St08vBtqG6cQ29Lh2yNSR8b82ABOrtscauHawL3SnA/edit?gid=1748251694#gid=1748251694"",""2026-27!r3"")"),0.0)</f>
        <v>0</v>
      </c>
      <c r="AK128" s="59">
        <f>IFERROR(__xludf.DUMMYFUNCTION("importrange(""https://docs.google.com/spreadsheets/d/16St08vBtqG6cQ29Lh2yNSR8b82ABOrtscauHawL3SnA/edit?gid=1748251694#gid=1748251694"",""2026-27!s4"")"),0.0)</f>
        <v>0</v>
      </c>
      <c r="AL128" s="59">
        <f>IFERROR(__xludf.DUMMYFUNCTION("importrange(""https://docs.google.com/spreadsheets/d/16St08vBtqG6cQ29Lh2yNSR8b82ABOrtscauHawL3SnA/edit?gid=1748251694#gid=1748251694"",""2026-27!s3"")"),0.0)</f>
        <v>0</v>
      </c>
      <c r="AM128" s="61">
        <f>IFERROR(__xludf.DUMMYFUNCTION("importrange(""https://docs.google.com/spreadsheets/d/16St08vBtqG6cQ29Lh2yNSR8b82ABOrtscauHawL3SnA/edit?gid=1748251694#gid=1748251694"",""2026-27!t4"")"),0.0)</f>
        <v>0</v>
      </c>
      <c r="AN128" s="59">
        <f>IFERROR(__xludf.DUMMYFUNCTION("importrange(""https://docs.google.com/spreadsheets/d/16St08vBtqG6cQ29Lh2yNSR8b82ABOrtscauHawL3SnA/edit?gid=1748251694#gid=1748251694"",""2026-27!t3"")"),0.0)</f>
        <v>0</v>
      </c>
      <c r="AO128" s="62" t="str">
        <f t="shared" si="103"/>
        <v/>
      </c>
      <c r="AP128" s="59">
        <f>IFERROR(__xludf.DUMMYFUNCTION("importrange(""https://docs.google.com/spreadsheets/d/16St08vBtqG6cQ29Lh2yNSR8b82ABOrtscauHawL3SnA/edit?gid=1748251694#gid=1748251694"",""2026-27!u4"")"),0.0)</f>
        <v>0</v>
      </c>
      <c r="AQ128" s="59">
        <f>IFERROR(__xludf.DUMMYFUNCTION("importrange(""https://docs.google.com/spreadsheets/d/16St08vBtqG6cQ29Lh2yNSR8b82ABOrtscauHawL3SnA/edit?gid=1748251694#gid=1748251694"",""2026-27!u3"")"),0.0)</f>
        <v>0</v>
      </c>
      <c r="AR128" s="59">
        <f>IFERROR(__xludf.DUMMYFUNCTION("importrange(""https://docs.google.com/spreadsheets/d/16St08vBtqG6cQ29Lh2yNSR8b82ABOrtscauHawL3SnA/edit?gid=1748251694#gid=1748251694"",""2026-27!v4"")"),0.0)</f>
        <v>0</v>
      </c>
      <c r="AS128" s="59">
        <f>IFERROR(__xludf.DUMMYFUNCTION("importrange(""https://docs.google.com/spreadsheets/d/16St08vBtqG6cQ29Lh2yNSR8b82ABOrtscauHawL3SnA/edit?gid=1748251694#gid=1748251694"",""2026-27!v3"")"),0.0)</f>
        <v>0</v>
      </c>
      <c r="AT128" s="61">
        <f>IFERROR(__xludf.DUMMYFUNCTION("importrange(""https://docs.google.com/spreadsheets/d/16St08vBtqG6cQ29Lh2yNSR8b82ABOrtscauHawL3SnA/edit?gid=1748251694#gid=1748251694"",""2026-27!w4"")"),0.0)</f>
        <v>0</v>
      </c>
      <c r="AU128" s="59">
        <f>IFERROR(__xludf.DUMMYFUNCTION("importrange(""https://docs.google.com/spreadsheets/d/16St08vBtqG6cQ29Lh2yNSR8b82ABOrtscauHawL3SnA/edit?gid=1748251694#gid=1748251694"",""2026-27!w3"")"),0.0)</f>
        <v>0</v>
      </c>
      <c r="AV128" s="62" t="str">
        <f t="shared" si="104"/>
        <v/>
      </c>
      <c r="AW128" s="59">
        <f>IFERROR(__xludf.DUMMYFUNCTION("importrange(""https://docs.google.com/spreadsheets/d/16St08vBtqG6cQ29Lh2yNSR8b82ABOrtscauHawL3SnA/edit?gid=1748251694#gid=1748251694"",""2026-27!x4"")"),0.0)</f>
        <v>0</v>
      </c>
      <c r="AX128" s="59">
        <f>IFERROR(__xludf.DUMMYFUNCTION("importrange(""https://docs.google.com/spreadsheets/d/16St08vBtqG6cQ29Lh2yNSR8b82ABOrtscauHawL3SnA/edit?gid=1748251694#gid=1748251694"",""2026-27!x3"")"),0.0)</f>
        <v>0</v>
      </c>
      <c r="AY128" s="59">
        <f>IFERROR(__xludf.DUMMYFUNCTION("importrange(""https://docs.google.com/spreadsheets/d/16St08vBtqG6cQ29Lh2yNSR8b82ABOrtscauHawL3SnA/edit?gid=1748251694#gid=1748251694"",""2026-27!y4"")"),0.0)</f>
        <v>0</v>
      </c>
      <c r="AZ128" s="59">
        <f>IFERROR(__xludf.DUMMYFUNCTION("importrange(""https://docs.google.com/spreadsheets/d/16St08vBtqG6cQ29Lh2yNSR8b82ABOrtscauHawL3SnA/edit?gid=1748251694#gid=1748251694"",""2026-27!y3"")"),0.0)</f>
        <v>0</v>
      </c>
      <c r="BA128" s="61">
        <f>IFERROR(__xludf.DUMMYFUNCTION("importrange(""https://docs.google.com/spreadsheets/d/16St08vBtqG6cQ29Lh2yNSR8b82ABOrtscauHawL3SnA/edit?gid=1748251694#gid=1748251694"",""2026-27!z4"")"),0.0)</f>
        <v>0</v>
      </c>
      <c r="BB128" s="59">
        <f>IFERROR(__xludf.DUMMYFUNCTION("importrange(""https://docs.google.com/spreadsheets/d/16St08vBtqG6cQ29Lh2yNSR8b82ABOrtscauHawL3SnA/edit?gid=1748251694#gid=1748251694"",""2026-27!z3"")"),0.0)</f>
        <v>0</v>
      </c>
      <c r="BC128" s="63" t="str">
        <f t="shared" si="105"/>
        <v/>
      </c>
      <c r="BD128" s="59">
        <f>IFERROR(__xludf.DUMMYFUNCTION("importrange(""https://docs.google.com/spreadsheets/d/16St08vBtqG6cQ29Lh2yNSR8b82ABOrtscauHawL3SnA/edit?gid=1748251694#gid=1748251694"",""2026-27!aa4"")"),0.0)</f>
        <v>0</v>
      </c>
      <c r="BE128" s="59">
        <f>IFERROR(__xludf.DUMMYFUNCTION("importrange(""https://docs.google.com/spreadsheets/d/16St08vBtqG6cQ29Lh2yNSR8b82ABOrtscauHawL3SnA/edit?gid=1748251694#gid=1748251694"",""2026-27!aa3"")"),0.0)</f>
        <v>0</v>
      </c>
      <c r="BF128" s="59">
        <f>IFERROR(__xludf.DUMMYFUNCTION("importrange(""https://docs.google.com/spreadsheets/d/16St08vBtqG6cQ29Lh2yNSR8b82ABOrtscauHawL3SnA/edit?gid=1748251694#gid=1748251694"",""2026-27!ab4"")"),0.0)</f>
        <v>0</v>
      </c>
      <c r="BG128" s="59">
        <f>IFERROR(__xludf.DUMMYFUNCTION("importrange(""https://docs.google.com/spreadsheets/d/16St08vBtqG6cQ29Lh2yNSR8b82ABOrtscauHawL3SnA/edit?gid=1748251694#gid=1748251694"",""2026-27!ab3"")"),0.0)</f>
        <v>0</v>
      </c>
      <c r="BH128" s="59">
        <f>IFERROR(__xludf.DUMMYFUNCTION("importrange(""https://docs.google.com/spreadsheets/d/16St08vBtqG6cQ29Lh2yNSR8b82ABOrtscauHawL3SnA/edit?gid=1748251694#gid=1748251694"",""2026-27!ac4"")"),0.0)</f>
        <v>0</v>
      </c>
      <c r="BI128" s="59">
        <f>IFERROR(__xludf.DUMMYFUNCTION("importrange(""https://docs.google.com/spreadsheets/d/16St08vBtqG6cQ29Lh2yNSR8b82ABOrtscauHawL3SnA/edit?gid=1748251694#gid=1748251694"",""2026-27!ac3"")"),0.0)</f>
        <v>0</v>
      </c>
      <c r="BJ128" s="63" t="str">
        <f t="shared" si="106"/>
        <v/>
      </c>
      <c r="BK128" s="59">
        <f>IFERROR(__xludf.DUMMYFUNCTION("importrange(""https://docs.google.com/spreadsheets/d/16St08vBtqG6cQ29Lh2yNSR8b82ABOrtscauHawL3SnA/edit?gid=1748251694#gid=1748251694"",""2026-27!ad4"")"),0.0)</f>
        <v>0</v>
      </c>
      <c r="BL128" s="59">
        <f>IFERROR(__xludf.DUMMYFUNCTION("importrange(""https://docs.google.com/spreadsheets/d/16St08vBtqG6cQ29Lh2yNSR8b82ABOrtscauHawL3SnA/edit?gid=1748251694#gid=1748251694"",""2026-27!ad3"")"),0.0)</f>
        <v>0</v>
      </c>
      <c r="BM128" s="59">
        <f>IFERROR(__xludf.DUMMYFUNCTION("importrange(""https://docs.google.com/spreadsheets/d/16St08vBtqG6cQ29Lh2yNSR8b82ABOrtscauHawL3SnA/edit?gid=1748251694#gid=1748251694"",""2026-27!ae4"")"),0.0)</f>
        <v>0</v>
      </c>
      <c r="BN128" s="59">
        <f>IFERROR(__xludf.DUMMYFUNCTION("importrange(""https://docs.google.com/spreadsheets/d/16St08vBtqG6cQ29Lh2yNSR8b82ABOrtscauHawL3SnA/edit?gid=1748251694#gid=1748251694"",""2026-27!ae3"")"),0.0)</f>
        <v>0</v>
      </c>
      <c r="BO128" s="59">
        <f>IFERROR(__xludf.DUMMYFUNCTION("importrange(""https://docs.google.com/spreadsheets/d/16St08vBtqG6cQ29Lh2yNSR8b82ABOrtscauHawL3SnA/edit?gid=1748251694#gid=1748251694"",""2026-27!af4"")"),0.0)</f>
        <v>0</v>
      </c>
      <c r="BP128" s="59">
        <f>IFERROR(__xludf.DUMMYFUNCTION("importrange(""https://docs.google.com/spreadsheets/d/16St08vBtqG6cQ29Lh2yNSR8b82ABOrtscauHawL3SnA/edit?gid=1748251694#gid=1748251694"",""2026-27!af3"")"),0.0)</f>
        <v>0</v>
      </c>
      <c r="BQ128" s="63" t="str">
        <f t="shared" si="107"/>
        <v/>
      </c>
      <c r="BR128" s="59">
        <f>IFERROR(__xludf.DUMMYFUNCTION("importrange(""https://docs.google.com/spreadsheets/d/16St08vBtqG6cQ29Lh2yNSR8b82ABOrtscauHawL3SnA/edit?gid=1748251694#gid=1748251694"",""2026-27!ag4"")"),0.0)</f>
        <v>0</v>
      </c>
      <c r="BS128" s="59">
        <f>IFERROR(__xludf.DUMMYFUNCTION("importrange(""https://docs.google.com/spreadsheets/d/16St08vBtqG6cQ29Lh2yNSR8b82ABOrtscauHawL3SnA/edit?gid=1748251694#gid=1748251694"",""2026-27!ag3"")"),0.0)</f>
        <v>0</v>
      </c>
      <c r="BT128" s="59">
        <f>IFERROR(__xludf.DUMMYFUNCTION("importrange(""https://docs.google.com/spreadsheets/d/16St08vBtqG6cQ29Lh2yNSR8b82ABOrtscauHawL3SnA/edit?gid=1748251694#gid=1748251694"",""2026-27!ah4"")"),0.0)</f>
        <v>0</v>
      </c>
      <c r="BU128" s="59">
        <f>IFERROR(__xludf.DUMMYFUNCTION("importrange(""https://docs.google.com/spreadsheets/d/16St08vBtqG6cQ29Lh2yNSR8b82ABOrtscauHawL3SnA/edit?gid=1748251694#gid=1748251694"",""2026-27!ah3"")"),0.0)</f>
        <v>0</v>
      </c>
      <c r="BV128" s="59">
        <f>IFERROR(__xludf.DUMMYFUNCTION("importrange(""https://docs.google.com/spreadsheets/d/16St08vBtqG6cQ29Lh2yNSR8b82ABOrtscauHawL3SnA/edit?gid=1748251694#gid=1748251694"",""2026-27!ai4"")"),0.0)</f>
        <v>0</v>
      </c>
      <c r="BW128" s="59">
        <f>IFERROR(__xludf.DUMMYFUNCTION("importrange(""https://docs.google.com/spreadsheets/d/16St08vBtqG6cQ29Lh2yNSR8b82ABOrtscauHawL3SnA/edit?gid=1748251694#gid=1748251694"",""2026-27!ai3"")"),0.0)</f>
        <v>0</v>
      </c>
      <c r="BX128" s="63" t="str">
        <f t="shared" si="108"/>
        <v/>
      </c>
      <c r="BY128" s="59">
        <f>IFERROR(__xludf.DUMMYFUNCTION("importrange(""https://docs.google.com/spreadsheets/d/16St08vBtqG6cQ29Lh2yNSR8b82ABOrtscauHawL3SnA/edit?gid=1748251694#gid=1748251694"",""2026-27!aj4"")"),0.0)</f>
        <v>0</v>
      </c>
      <c r="BZ128" s="59">
        <f>IFERROR(__xludf.DUMMYFUNCTION("importrange(""https://docs.google.com/spreadsheets/d/16St08vBtqG6cQ29Lh2yNSR8b82ABOrtscauHawL3SnA/edit?gid=1748251694#gid=1748251694"",""2026-27!aj3"")"),0.0)</f>
        <v>0</v>
      </c>
      <c r="CA128" s="59">
        <f>IFERROR(__xludf.DUMMYFUNCTION("importrange(""https://docs.google.com/spreadsheets/d/16St08vBtqG6cQ29Lh2yNSR8b82ABOrtscauHawL3SnA/edit?gid=1748251694#gid=1748251694"",""2026-27!ak4"")"),0.0)</f>
        <v>0</v>
      </c>
      <c r="CB128" s="59">
        <f>IFERROR(__xludf.DUMMYFUNCTION("importrange(""https://docs.google.com/spreadsheets/d/16St08vBtqG6cQ29Lh2yNSR8b82ABOrtscauHawL3SnA/edit?gid=1748251694#gid=1748251694"",""2026-27!ak3"")"),0.0)</f>
        <v>0</v>
      </c>
      <c r="CC128" s="59">
        <f>IFERROR(__xludf.DUMMYFUNCTION("importrange(""https://docs.google.com/spreadsheets/d/16St08vBtqG6cQ29Lh2yNSR8b82ABOrtscauHawL3SnA/edit?gid=1748251694#gid=1748251694"",""2026-27!al4"")"),0.0)</f>
        <v>0</v>
      </c>
      <c r="CD128" s="59">
        <f>IFERROR(__xludf.DUMMYFUNCTION("importrange(""https://docs.google.com/spreadsheets/d/16St08vBtqG6cQ29Lh2yNSR8b82ABOrtscauHawL3SnA/edit?gid=1748251694#gid=1748251694"",""2026-27!ai3"")"),0.0)</f>
        <v>0</v>
      </c>
      <c r="CE128" s="63" t="str">
        <f t="shared" si="109"/>
        <v/>
      </c>
      <c r="CF128" s="59">
        <f>IFERROR(__xludf.DUMMYFUNCTION("importrange(""https://docs.google.com/spreadsheets/d/16St08vBtqG6cQ29Lh2yNSR8b82ABOrtscauHawL3SnA/edit?gid=1748251694#gid=1748251694"",""2026-27!am4"")"),0.0)</f>
        <v>0</v>
      </c>
      <c r="CG128" s="59">
        <f>IFERROR(__xludf.DUMMYFUNCTION("importrange(""https://docs.google.com/spreadsheets/d/16St08vBtqG6cQ29Lh2yNSR8b82ABOrtscauHawL3SnA/edit?gid=1748251694#gid=1748251694"",""2026-27!am3"")"),0.0)</f>
        <v>0</v>
      </c>
      <c r="CH128" s="59">
        <f>IFERROR(__xludf.DUMMYFUNCTION("importrange(""https://docs.google.com/spreadsheets/d/16St08vBtqG6cQ29Lh2yNSR8b82ABOrtscauHawL3SnA/edit?gid=1748251694#gid=1748251694"",""2026-27!an4"")"),0.0)</f>
        <v>0</v>
      </c>
      <c r="CI128" s="59">
        <f>IFERROR(__xludf.DUMMYFUNCTION("importrange(""https://docs.google.com/spreadsheets/d/16St08vBtqG6cQ29Lh2yNSR8b82ABOrtscauHawL3SnA/edit?gid=1748251694#gid=1748251694"",""2026-27!an3"")"),0.0)</f>
        <v>0</v>
      </c>
      <c r="CJ128" s="59">
        <f>IFERROR(__xludf.DUMMYFUNCTION("importrange(""https://docs.google.com/spreadsheets/d/16St08vBtqG6cQ29Lh2yNSR8b82ABOrtscauHawL3SnA/edit?gid=1748251694#gid=1748251694"",""2026-27!ao4"")"),0.0)</f>
        <v>0</v>
      </c>
      <c r="CK128" s="59">
        <f>IFERROR(__xludf.DUMMYFUNCTION("importrange(""https://docs.google.com/spreadsheets/d/16St08vBtqG6cQ29Lh2yNSR8b82ABOrtscauHawL3SnA/edit?gid=1748251694#gid=1748251694"",""2026-27!ao3"")"),0.0)</f>
        <v>0</v>
      </c>
      <c r="CL128" s="63" t="str">
        <f t="shared" si="110"/>
        <v/>
      </c>
      <c r="CM128" s="59">
        <f>IFERROR(__xludf.DUMMYFUNCTION("importrange(""https://docs.google.com/spreadsheets/d/16St08vBtqG6cQ29Lh2yNSR8b82ABOrtscauHawL3SnA/edit?gid=1748251694#gid=1748251694"",""2026-27!ap4"")"),0.0)</f>
        <v>0</v>
      </c>
      <c r="CN128" s="59">
        <f>IFERROR(__xludf.DUMMYFUNCTION("importrange(""https://docs.google.com/spreadsheets/d/16St08vBtqG6cQ29Lh2yNSR8b82ABOrtscauHawL3SnA/edit?gid=1748251694#gid=1748251694"",""2026-27!ap3"")"),0.0)</f>
        <v>0</v>
      </c>
      <c r="CO128" s="59">
        <f>IFERROR(__xludf.DUMMYFUNCTION("importrange(""https://docs.google.com/spreadsheets/d/16St08vBtqG6cQ29Lh2yNSR8b82ABOrtscauHawL3SnA/edit?gid=1748251694#gid=1748251694"",""2026-27!aq4"")"),0.0)</f>
        <v>0</v>
      </c>
      <c r="CP128" s="59">
        <f>IFERROR(__xludf.DUMMYFUNCTION("importrange(""https://docs.google.com/spreadsheets/d/16St08vBtqG6cQ29Lh2yNSR8b82ABOrtscauHawL3SnA/edit?gid=1748251694#gid=1748251694"",""2026-27!aq3"")"),0.0)</f>
        <v>0</v>
      </c>
      <c r="CQ128" s="59">
        <f>IFERROR(__xludf.DUMMYFUNCTION("importrange(""https://docs.google.com/spreadsheets/d/16St08vBtqG6cQ29Lh2yNSR8b82ABOrtscauHawL3SnA/edit?gid=1748251694#gid=1748251694"",""2026-27!ar4"")"),0.0)</f>
        <v>0</v>
      </c>
      <c r="CR128" s="59">
        <f>IFERROR(__xludf.DUMMYFUNCTION("importrange(""https://docs.google.com/spreadsheets/d/16St08vBtqG6cQ29Lh2yNSR8b82ABOrtscauHawL3SnA/edit?gid=1748251694#gid=1748251694"",""2026-27!ar3"")"),0.0)</f>
        <v>0</v>
      </c>
      <c r="CS128" s="63" t="str">
        <f t="shared" si="111"/>
        <v/>
      </c>
      <c r="CT128" s="59">
        <f>IFERROR(__xludf.DUMMYFUNCTION("importrange(""https://docs.google.com/spreadsheets/d/16St08vBtqG6cQ29Lh2yNSR8b82ABOrtscauHawL3SnA/edit?gid=1748251694#gid=1748251694"",""2026-27!as4"")"),0.0)</f>
        <v>0</v>
      </c>
      <c r="CU128" s="59">
        <f>IFERROR(__xludf.DUMMYFUNCTION("importrange(""https://docs.google.com/spreadsheets/d/16St08vBtqG6cQ29Lh2yNSR8b82ABOrtscauHawL3SnA/edit?gid=1748251694#gid=1748251694"",""2026-27!as3"")"),0.0)</f>
        <v>0</v>
      </c>
      <c r="CV128" s="64"/>
    </row>
    <row r="129">
      <c r="A129" s="1" t="s">
        <v>160</v>
      </c>
      <c r="B129" s="41"/>
      <c r="C129" s="118" t="s">
        <v>253</v>
      </c>
      <c r="D129" s="69" t="s">
        <v>254</v>
      </c>
      <c r="E129" s="72">
        <v>8.918241755E9</v>
      </c>
      <c r="F129" s="84">
        <v>46087.0</v>
      </c>
      <c r="G129" s="5"/>
      <c r="H129" s="5"/>
      <c r="I129" s="74">
        <v>42480.0</v>
      </c>
      <c r="J129" s="58">
        <v>2000000.0</v>
      </c>
      <c r="K129" s="61">
        <f>IFERROR(__xludf.DUMMYFUNCTION("IMPORTRANGE(""https://docs.google.com/spreadsheets/d/1zXPh69S6ryZEZcVhfjtAeevcaJY_x59C3APN5fjBE5Q/edit?gid=1748251694#gid=1748251694"",""2026-27!A3"")"),38.0)</f>
        <v>38</v>
      </c>
      <c r="L129" s="61">
        <f>IFERROR(__xludf.DUMMYFUNCTION("IMPORTRANGE(""https://docs.google.com/spreadsheets/d/1zXPh69S6ryZEZcVhfjtAeevcaJY_x59C3APN5fjBE5Q/edit?gid=1748251694#gid=1748251694"",""2026-27!G4"")"),3695000.0)</f>
        <v>3695000</v>
      </c>
      <c r="M129" s="61">
        <f t="shared" si="97"/>
        <v>174749.81</v>
      </c>
      <c r="N129" s="60">
        <f t="shared" si="98"/>
        <v>0</v>
      </c>
      <c r="O129" s="61">
        <f t="shared" si="99"/>
        <v>0</v>
      </c>
      <c r="P129" s="59">
        <f>IFERROR(__xludf.DUMMYFUNCTION("IMPORTRANGE(""https://docs.google.com/spreadsheets/d/1zXPh69S6ryZEZcVhfjtAeevcaJY_x59C3APN5fjBE5Q/edit?gid=1748251694#gid=1748251694"",""2026-27!J4"")"),0.0)</f>
        <v>0</v>
      </c>
      <c r="Q129" s="59">
        <f>IFERROR(__xludf.DUMMYFUNCTION("IMPORTRANGE(""https://docs.google.com/spreadsheets/d/1zXPh69S6ryZEZcVhfjtAeevcaJY_x59C3APN5fjBE5Q/edit?gid=1748251694#gid=1748251694"",""2026-27!J3"")"),0.0)</f>
        <v>0</v>
      </c>
      <c r="R129" s="59">
        <f>IFERROR(__xludf.DUMMYFUNCTION("IMPORTRANGE(""https://docs.google.com/spreadsheets/d/1zXPh69S6ryZEZcVhfjtAeevcaJY_x59C3APN5fjBE5Q/edit?gid=1748251694#gid=1748251694"",""2026-27!K4"")"),0.0)</f>
        <v>0</v>
      </c>
      <c r="S129" s="59">
        <f>IFERROR(__xludf.DUMMYFUNCTION("IMPORTRANGE(""https://docs.google.com/spreadsheets/d/1zXPh69S6ryZEZcVhfjtAeevcaJY_x59C3APN5fjBE5Q/edit?gid=1748251694#gid=1748251694"",""2026-27!K3"")"),0.0)</f>
        <v>0</v>
      </c>
      <c r="T129" s="62" t="str">
        <f t="shared" si="100"/>
        <v/>
      </c>
      <c r="U129" s="59">
        <f>IFERROR(__xludf.DUMMYFUNCTION("IMPORTRANGE(""https://docs.google.com/spreadsheets/d/1zXPh69S6ryZEZcVhfjtAeevcaJY_x59C3APN5fjBE5Q/edit?gid=1748251694#gid=1748251694"",""2026-27!L4"")"),0.0)</f>
        <v>0</v>
      </c>
      <c r="V129" s="85">
        <f>IFERROR(__xludf.DUMMYFUNCTION("IMPORTRANGE(""https://docs.google.com/spreadsheets/d/1zXPh69S6ryZEZcVhfjtAeevcaJY_x59C3APN5fjBE5Q/edit?gid=1748251694#gid=1748251694"",""2026-27!L3"")"),0.0)</f>
        <v>0</v>
      </c>
      <c r="W129" s="59">
        <f>IFERROR(__xludf.DUMMYFUNCTION("IMPORTRANGE(""https://docs.google.com/spreadsheets/d/1zXPh69S6ryZEZcVhfjtAeevcaJY_x59C3APN5fjBE5Q/edit?gid=1748251694#gid=1748251694"",""2026-27!M4"")"),141000.0)</f>
        <v>141000</v>
      </c>
      <c r="X129" s="85">
        <f>IFERROR(__xludf.DUMMYFUNCTION("IMPORTRANGE(""https://docs.google.com/spreadsheets/d/1zXPh69S6ryZEZcVhfjtAeevcaJY_x59C3APN5fjBE5Q/edit?gid=1748251694#gid=1748251694"",""2026-27!M3"")"),18.0)</f>
        <v>18</v>
      </c>
      <c r="Y129" s="59">
        <f>IFERROR(__xludf.DUMMYFUNCTION("importrange(""https://docs.google.com/spreadsheets/d/1zXPh69S6ryZEZcVhfjtAeevcaJY_x59C3APN5fjBE5Q/edit?gid=1748251694#gid=1748251694"",""2026-27!n4"")"),128753.09999999999)</f>
        <v>128753.1</v>
      </c>
      <c r="Z129" s="59">
        <f>IFERROR(__xludf.DUMMYFUNCTION("importrange(""https://docs.google.com/spreadsheets/d/1zXPh69S6ryZEZcVhfjtAeevcaJY_x59C3APN5fjBE5Q/edit?gid=1748251694#gid=1748251694"",""2026-27!n3"")"),9.0)</f>
        <v>9</v>
      </c>
      <c r="AA129" s="62">
        <f t="shared" si="101"/>
        <v>0</v>
      </c>
      <c r="AB129" s="59">
        <f>IFERROR(__xludf.DUMMYFUNCTION("importrange(""https://docs.google.com/spreadsheets/d/1zXPh69S6ryZEZcVhfjtAeevcaJY_x59C3APN5fjBE5Q/edit?gid=1748251694#gid=1748251694"",""2026-27!o4"")"),0.0)</f>
        <v>0</v>
      </c>
      <c r="AC129" s="59">
        <f>IFERROR(__xludf.DUMMYFUNCTION("importrange(""https://docs.google.com/spreadsheets/d/1zXPh69S6ryZEZcVhfjtAeevcaJY_x59C3APN5fjBE5Q/edit?gid=1748251694#gid=1748251694"",""2026-27!o3"")"),0.0)</f>
        <v>0</v>
      </c>
      <c r="AD129" s="59">
        <f>IFERROR(__xludf.DUMMYFUNCTION("importrange(""https://docs.google.com/spreadsheets/d/1zXPh69S6ryZEZcVhfjtAeevcaJY_x59C3APN5fjBE5Q/edit?gid=1748251694#gid=1748251694"",""2026-27!p4"")"),186000.0)</f>
        <v>186000</v>
      </c>
      <c r="AE129" s="59">
        <f>IFERROR(__xludf.DUMMYFUNCTION("importrange(""https://docs.google.com/spreadsheets/d/1zXPh69S6ryZEZcVhfjtAeevcaJY_x59C3APN5fjBE5Q/edit?gid=1748251694#gid=1748251694"",""2026-27!p3"")"),23.0)</f>
        <v>23</v>
      </c>
      <c r="AF129" s="59">
        <f>IFERROR(__xludf.DUMMYFUNCTION("importrange(""https://docs.google.com/spreadsheets/d/1zXPh69S6ryZEZcVhfjtAeevcaJY_x59C3APN5fjBE5Q/edit?gid=1748251694#gid=1748251694"",""2026-27!q4"")"),45996.71)</f>
        <v>45996.71</v>
      </c>
      <c r="AG129" s="59">
        <f>IFERROR(__xludf.DUMMYFUNCTION("importrange(""https://docs.google.com/spreadsheets/d/1zXPh69S6ryZEZcVhfjtAeevcaJY_x59C3APN5fjBE5Q/edit?gid=1748251694#gid=1748251694"",""2026-27!q3"")"),3.0)</f>
        <v>3</v>
      </c>
      <c r="AH129" s="62">
        <f t="shared" si="102"/>
        <v>0</v>
      </c>
      <c r="AI129" s="59">
        <f>IFERROR(__xludf.DUMMYFUNCTION("importrange(""https://docs.google.com/spreadsheets/d/1zXPh69S6ryZEZcVhfjtAeevcaJY_x59C3APN5fjBE5Q/edit?gid=1748251694#gid=1748251694"",""2026-27!r4"")"),0.0)</f>
        <v>0</v>
      </c>
      <c r="AJ129" s="59">
        <f>IFERROR(__xludf.DUMMYFUNCTION("importrange(""https://docs.google.com/spreadsheets/d/1zXPh69S6ryZEZcVhfjtAeevcaJY_x59C3APN5fjBE5Q/edit?gid=1748251694#gid=1748251694"",""2026-27!r3"")"),0.0)</f>
        <v>0</v>
      </c>
      <c r="AK129" s="59">
        <f>IFERROR(__xludf.DUMMYFUNCTION("importrange(""https://docs.google.com/spreadsheets/d/1zXPh69S6ryZEZcVhfjtAeevcaJY_x59C3APN5fjBE5Q/edit?gid=1748251694#gid=1748251694"",""2026-27!s4"")"),243000.0)</f>
        <v>243000</v>
      </c>
      <c r="AL129" s="59">
        <f>IFERROR(__xludf.DUMMYFUNCTION("importrange(""https://docs.google.com/spreadsheets/d/1zXPh69S6ryZEZcVhfjtAeevcaJY_x59C3APN5fjBE5Q/edit?gid=1748251694#gid=1748251694"",""2026-27!s3"")"),23.0)</f>
        <v>23</v>
      </c>
      <c r="AM129" s="61">
        <f>IFERROR(__xludf.DUMMYFUNCTION("importrange(""https://docs.google.com/spreadsheets/d/1zXPh69S6ryZEZcVhfjtAeevcaJY_x59C3APN5fjBE5Q/edit?gid=1748251694#gid=1748251694"",""2026-27!t4"")"),0.0)</f>
        <v>0</v>
      </c>
      <c r="AN129" s="59">
        <f>IFERROR(__xludf.DUMMYFUNCTION("importrange(""https://docs.google.com/spreadsheets/d/1zXPh69S6ryZEZcVhfjtAeevcaJY_x59C3APN5fjBE5Q/edit?gid=1748251694#gid=1748251694"",""2026-27!t3"")"),0.0)</f>
        <v>0</v>
      </c>
      <c r="AO129" s="62">
        <f t="shared" si="103"/>
        <v>0</v>
      </c>
      <c r="AP129" s="59">
        <f>IFERROR(__xludf.DUMMYFUNCTION("importrange(""https://docs.google.com/spreadsheets/d/1zXPh69S6ryZEZcVhfjtAeevcaJY_x59C3APN5fjBE5Q/edit?gid=1748251694#gid=1748251694"",""2026-27!u4"")"),0.0)</f>
        <v>0</v>
      </c>
      <c r="AQ129" s="59">
        <f>IFERROR(__xludf.DUMMYFUNCTION("importrange(""https://docs.google.com/spreadsheets/d/1zXPh69S6ryZEZcVhfjtAeevcaJY_x59C3APN5fjBE5Q/edit?gid=1748251694#gid=1748251694"",""2026-27!u3"")"),0.0)</f>
        <v>0</v>
      </c>
      <c r="AR129" s="59">
        <f>IFERROR(__xludf.DUMMYFUNCTION("importrange(""https://docs.google.com/spreadsheets/d/1zXPh69S6ryZEZcVhfjtAeevcaJY_x59C3APN5fjBE5Q/edit?gid=1748251694#gid=1748251694"",""2026-27!v4"")"),278000.0)</f>
        <v>278000</v>
      </c>
      <c r="AS129" s="59">
        <f>IFERROR(__xludf.DUMMYFUNCTION("importrange(""https://docs.google.com/spreadsheets/d/1zXPh69S6ryZEZcVhfjtAeevcaJY_x59C3APN5fjBE5Q/edit?gid=1748251694#gid=1748251694"",""2026-27!v3"")"),23.0)</f>
        <v>23</v>
      </c>
      <c r="AT129" s="61">
        <f>IFERROR(__xludf.DUMMYFUNCTION("importrange(""https://docs.google.com/spreadsheets/d/1zXPh69S6ryZEZcVhfjtAeevcaJY_x59C3APN5fjBE5Q/edit?gid=1748251694#gid=1748251694"",""2026-27!w4"")"),0.0)</f>
        <v>0</v>
      </c>
      <c r="AU129" s="59">
        <f>IFERROR(__xludf.DUMMYFUNCTION("importrange(""https://docs.google.com/spreadsheets/d/1zXPh69S6ryZEZcVhfjtAeevcaJY_x59C3APN5fjBE5Q/edit?gid=1748251694#gid=1748251694"",""2026-27!w3"")"),0.0)</f>
        <v>0</v>
      </c>
      <c r="AV129" s="62">
        <f t="shared" si="104"/>
        <v>0</v>
      </c>
      <c r="AW129" s="59">
        <f>IFERROR(__xludf.DUMMYFUNCTION("importrange(""https://docs.google.com/spreadsheets/d/1zXPh69S6ryZEZcVhfjtAeevcaJY_x59C3APN5fjBE5Q/edit?gid=1748251694#gid=1748251694"",""2026-27!x4"")"),0.0)</f>
        <v>0</v>
      </c>
      <c r="AX129" s="59">
        <f>IFERROR(__xludf.DUMMYFUNCTION("importrange(""https://docs.google.com/spreadsheets/d/1zXPh69S6ryZEZcVhfjtAeevcaJY_x59C3APN5fjBE5Q/edit?gid=1748251694#gid=1748251694"",""2026-27!x3"")"),0.0)</f>
        <v>0</v>
      </c>
      <c r="AY129" s="59">
        <f>IFERROR(__xludf.DUMMYFUNCTION("importrange(""https://docs.google.com/spreadsheets/d/1zXPh69S6ryZEZcVhfjtAeevcaJY_x59C3APN5fjBE5Q/edit?gid=1748251694#gid=1748251694"",""2026-27!y4"")"),275000.0)</f>
        <v>275000</v>
      </c>
      <c r="AZ129" s="59">
        <f>IFERROR(__xludf.DUMMYFUNCTION("importrange(""https://docs.google.com/spreadsheets/d/1zXPh69S6ryZEZcVhfjtAeevcaJY_x59C3APN5fjBE5Q/edit?gid=1748251694#gid=1748251694"",""2026-27!y3"")"),23.0)</f>
        <v>23</v>
      </c>
      <c r="BA129" s="61">
        <f>IFERROR(__xludf.DUMMYFUNCTION("importrange(""https://docs.google.com/spreadsheets/d/1zXPh69S6ryZEZcVhfjtAeevcaJY_x59C3APN5fjBE5Q/edit?gid=1748251694#gid=1748251694"",""2026-27!z4"")"),0.0)</f>
        <v>0</v>
      </c>
      <c r="BB129" s="59">
        <f>IFERROR(__xludf.DUMMYFUNCTION("importrange(""https://docs.google.com/spreadsheets/d/1zXPh69S6ryZEZcVhfjtAeevcaJY_x59C3APN5fjBE5Q/edit?gid=1748251694#gid=1748251694"",""2026-27!z3"")"),0.0)</f>
        <v>0</v>
      </c>
      <c r="BC129" s="63">
        <f t="shared" si="105"/>
        <v>0</v>
      </c>
      <c r="BD129" s="59">
        <f>IFERROR(__xludf.DUMMYFUNCTION("importrange(""https://docs.google.com/spreadsheets/d/1zXPh69S6ryZEZcVhfjtAeevcaJY_x59C3APN5fjBE5Q/edit?gid=1748251694#gid=1748251694"",""2026-27!aa4"")"),0.0)</f>
        <v>0</v>
      </c>
      <c r="BE129" s="59">
        <f>IFERROR(__xludf.DUMMYFUNCTION("importrange(""https://docs.google.com/spreadsheets/d/1zXPh69S6ryZEZcVhfjtAeevcaJY_x59C3APN5fjBE5Q/edit?gid=1748251694#gid=1748251694"",""2026-27!aa3"")"),0.0)</f>
        <v>0</v>
      </c>
      <c r="BF129" s="59">
        <f>IFERROR(__xludf.DUMMYFUNCTION("importrange(""https://docs.google.com/spreadsheets/d/1zXPh69S6ryZEZcVhfjtAeevcaJY_x59C3APN5fjBE5Q/edit?gid=1748251694#gid=1748251694"",""2026-27!ab4"")"),282000.0)</f>
        <v>282000</v>
      </c>
      <c r="BG129" s="59">
        <f>IFERROR(__xludf.DUMMYFUNCTION("importrange(""https://docs.google.com/spreadsheets/d/1zXPh69S6ryZEZcVhfjtAeevcaJY_x59C3APN5fjBE5Q/edit?gid=1748251694#gid=1748251694"",""2026-27!ab3"")"),23.0)</f>
        <v>23</v>
      </c>
      <c r="BH129" s="59">
        <f>IFERROR(__xludf.DUMMYFUNCTION("importrange(""https://docs.google.com/spreadsheets/d/1zXPh69S6ryZEZcVhfjtAeevcaJY_x59C3APN5fjBE5Q/edit?gid=1748251694#gid=1748251694"",""2026-27!ac4"")"),0.0)</f>
        <v>0</v>
      </c>
      <c r="BI129" s="59">
        <f>IFERROR(__xludf.DUMMYFUNCTION("importrange(""https://docs.google.com/spreadsheets/d/1zXPh69S6ryZEZcVhfjtAeevcaJY_x59C3APN5fjBE5Q/edit?gid=1748251694#gid=1748251694"",""2026-27!ac3"")"),0.0)</f>
        <v>0</v>
      </c>
      <c r="BJ129" s="63">
        <f t="shared" si="106"/>
        <v>0</v>
      </c>
      <c r="BK129" s="59">
        <f>IFERROR(__xludf.DUMMYFUNCTION("importrange(""https://docs.google.com/spreadsheets/d/1zXPh69S6ryZEZcVhfjtAeevcaJY_x59C3APN5fjBE5Q/edit?gid=1748251694#gid=1748251694"",""2026-27!ad4"")"),0.0)</f>
        <v>0</v>
      </c>
      <c r="BL129" s="59">
        <f>IFERROR(__xludf.DUMMYFUNCTION("importrange(""https://docs.google.com/spreadsheets/d/1zXPh69S6ryZEZcVhfjtAeevcaJY_x59C3APN5fjBE5Q/edit?gid=1748251694#gid=1748251694"",""2026-27!ad3"")"),0.0)</f>
        <v>0</v>
      </c>
      <c r="BM129" s="59">
        <f>IFERROR(__xludf.DUMMYFUNCTION("importrange(""https://docs.google.com/spreadsheets/d/1zXPh69S6ryZEZcVhfjtAeevcaJY_x59C3APN5fjBE5Q/edit?gid=1748251694#gid=1748251694"",""2026-27!ae4"")"),275000.0)</f>
        <v>275000</v>
      </c>
      <c r="BN129" s="59">
        <f>IFERROR(__xludf.DUMMYFUNCTION("importrange(""https://docs.google.com/spreadsheets/d/1zXPh69S6ryZEZcVhfjtAeevcaJY_x59C3APN5fjBE5Q/edit?gid=1748251694#gid=1748251694"",""2026-27!ae3"")"),23.0)</f>
        <v>23</v>
      </c>
      <c r="BO129" s="59">
        <f>IFERROR(__xludf.DUMMYFUNCTION("importrange(""https://docs.google.com/spreadsheets/d/1zXPh69S6ryZEZcVhfjtAeevcaJY_x59C3APN5fjBE5Q/edit?gid=1748251694#gid=1748251694"",""2026-27!af4"")"),0.0)</f>
        <v>0</v>
      </c>
      <c r="BP129" s="59">
        <f>IFERROR(__xludf.DUMMYFUNCTION("importrange(""https://docs.google.com/spreadsheets/d/1zXPh69S6ryZEZcVhfjtAeevcaJY_x59C3APN5fjBE5Q/edit?gid=1748251694#gid=1748251694"",""2026-27!af3"")"),0.0)</f>
        <v>0</v>
      </c>
      <c r="BQ129" s="63">
        <f t="shared" si="107"/>
        <v>0</v>
      </c>
      <c r="BR129" s="59">
        <f>IFERROR(__xludf.DUMMYFUNCTION("importrange(""https://docs.google.com/spreadsheets/d/1zXPh69S6ryZEZcVhfjtAeevcaJY_x59C3APN5fjBE5Q/edit?gid=1748251694#gid=1748251694"",""2026-27!ag4"")"),0.0)</f>
        <v>0</v>
      </c>
      <c r="BS129" s="59">
        <f>IFERROR(__xludf.DUMMYFUNCTION("importrange(""https://docs.google.com/spreadsheets/d/1zXPh69S6ryZEZcVhfjtAeevcaJY_x59C3APN5fjBE5Q/edit?gid=1748251694#gid=1748251694"",""2026-27!ag3"")"),0.0)</f>
        <v>0</v>
      </c>
      <c r="BT129" s="59">
        <f>IFERROR(__xludf.DUMMYFUNCTION("importrange(""https://docs.google.com/spreadsheets/d/1zXPh69S6ryZEZcVhfjtAeevcaJY_x59C3APN5fjBE5Q/edit?gid=1748251694#gid=1748251694"",""2026-27!ah4"")"),405000.0)</f>
        <v>405000</v>
      </c>
      <c r="BU129" s="59">
        <f>IFERROR(__xludf.DUMMYFUNCTION("importrange(""https://docs.google.com/spreadsheets/d/1zXPh69S6ryZEZcVhfjtAeevcaJY_x59C3APN5fjBE5Q/edit?gid=1748251694#gid=1748251694"",""2026-27!ah3"")"),23.0)</f>
        <v>23</v>
      </c>
      <c r="BV129" s="59">
        <f>IFERROR(__xludf.DUMMYFUNCTION("importrange(""https://docs.google.com/spreadsheets/d/1zXPh69S6ryZEZcVhfjtAeevcaJY_x59C3APN5fjBE5Q/edit?gid=1748251694#gid=1748251694"",""2026-27!ai4"")"),0.0)</f>
        <v>0</v>
      </c>
      <c r="BW129" s="59">
        <f>IFERROR(__xludf.DUMMYFUNCTION("importrange(""https://docs.google.com/spreadsheets/d/1zXPh69S6ryZEZcVhfjtAeevcaJY_x59C3APN5fjBE5Q/edit?gid=1748251694#gid=1748251694"",""2026-27!ai3"")"),0.0)</f>
        <v>0</v>
      </c>
      <c r="BX129" s="63">
        <f t="shared" si="108"/>
        <v>0</v>
      </c>
      <c r="BY129" s="59">
        <f>IFERROR(__xludf.DUMMYFUNCTION("importrange(""https://docs.google.com/spreadsheets/d/1zXPh69S6ryZEZcVhfjtAeevcaJY_x59C3APN5fjBE5Q/edit?gid=1748251694#gid=1748251694"",""2026-27!aj4"")"),0.0)</f>
        <v>0</v>
      </c>
      <c r="BZ129" s="59">
        <f>IFERROR(__xludf.DUMMYFUNCTION("importrange(""https://docs.google.com/spreadsheets/d/1zXPh69S6ryZEZcVhfjtAeevcaJY_x59C3APN5fjBE5Q/edit?gid=1748251694#gid=1748251694"",""2026-27!aj3"")"),0.0)</f>
        <v>0</v>
      </c>
      <c r="CA129" s="59">
        <f>IFERROR(__xludf.DUMMYFUNCTION("importrange(""https://docs.google.com/spreadsheets/d/1zXPh69S6ryZEZcVhfjtAeevcaJY_x59C3APN5fjBE5Q/edit?gid=1748251694#gid=1748251694"",""2026-27!ak4"")"),502000.0)</f>
        <v>502000</v>
      </c>
      <c r="CB129" s="59">
        <f>IFERROR(__xludf.DUMMYFUNCTION("importrange(""https://docs.google.com/spreadsheets/d/1zXPh69S6ryZEZcVhfjtAeevcaJY_x59C3APN5fjBE5Q/edit?gid=1748251694#gid=1748251694"",""2026-27!ak3"")"),23.0)</f>
        <v>23</v>
      </c>
      <c r="CC129" s="59">
        <f>IFERROR(__xludf.DUMMYFUNCTION("importrange(""https://docs.google.com/spreadsheets/d/1zXPh69S6ryZEZcVhfjtAeevcaJY_x59C3APN5fjBE5Q/edit?gid=1748251694#gid=1748251694"",""2026-27!al4"")"),0.0)</f>
        <v>0</v>
      </c>
      <c r="CD129" s="59">
        <f>IFERROR(__xludf.DUMMYFUNCTION("importrange(""https://docs.google.com/spreadsheets/d/1zXPh69S6ryZEZcVhfjtAeevcaJY_x59C3APN5fjBE5Q/edit?gid=1748251694#gid=1748251694"",""2026-27!ai3"")"),0.0)</f>
        <v>0</v>
      </c>
      <c r="CE129" s="63">
        <f t="shared" si="109"/>
        <v>0</v>
      </c>
      <c r="CF129" s="59">
        <f>IFERROR(__xludf.DUMMYFUNCTION("importrange(""https://docs.google.com/spreadsheets/d/1zXPh69S6ryZEZcVhfjtAeevcaJY_x59C3APN5fjBE5Q/edit?gid=1748251694#gid=1748251694"",""2026-27!am4"")"),0.0)</f>
        <v>0</v>
      </c>
      <c r="CG129" s="59">
        <f>IFERROR(__xludf.DUMMYFUNCTION("importrange(""https://docs.google.com/spreadsheets/d/1zXPh69S6ryZEZcVhfjtAeevcaJY_x59C3APN5fjBE5Q/edit?gid=1748251694#gid=1748251694"",""2026-27!am3"")"),0.0)</f>
        <v>0</v>
      </c>
      <c r="CH129" s="59">
        <f>IFERROR(__xludf.DUMMYFUNCTION("importrange(""https://docs.google.com/spreadsheets/d/1zXPh69S6ryZEZcVhfjtAeevcaJY_x59C3APN5fjBE5Q/edit?gid=1748251694#gid=1748251694"",""2026-27!an4"")"),540000.0)</f>
        <v>540000</v>
      </c>
      <c r="CI129" s="59">
        <f>IFERROR(__xludf.DUMMYFUNCTION("importrange(""https://docs.google.com/spreadsheets/d/1zXPh69S6ryZEZcVhfjtAeevcaJY_x59C3APN5fjBE5Q/edit?gid=1748251694#gid=1748251694"",""2026-27!an3"")"),23.0)</f>
        <v>23</v>
      </c>
      <c r="CJ129" s="59">
        <f>IFERROR(__xludf.DUMMYFUNCTION("importrange(""https://docs.google.com/spreadsheets/d/1zXPh69S6ryZEZcVhfjtAeevcaJY_x59C3APN5fjBE5Q/edit?gid=1748251694#gid=1748251694"",""2026-27!ao4"")"),0.0)</f>
        <v>0</v>
      </c>
      <c r="CK129" s="59">
        <f>IFERROR(__xludf.DUMMYFUNCTION("importrange(""https://docs.google.com/spreadsheets/d/1zXPh69S6ryZEZcVhfjtAeevcaJY_x59C3APN5fjBE5Q/edit?gid=1748251694#gid=1748251694"",""2026-27!ao3"")"),0.0)</f>
        <v>0</v>
      </c>
      <c r="CL129" s="63">
        <f t="shared" si="110"/>
        <v>0</v>
      </c>
      <c r="CM129" s="59">
        <f>IFERROR(__xludf.DUMMYFUNCTION("importrange(""https://docs.google.com/spreadsheets/d/1zXPh69S6ryZEZcVhfjtAeevcaJY_x59C3APN5fjBE5Q/edit?gid=1748251694#gid=1748251694"",""2026-27!ap4"")"),0.0)</f>
        <v>0</v>
      </c>
      <c r="CN129" s="59">
        <f>IFERROR(__xludf.DUMMYFUNCTION("importrange(""https://docs.google.com/spreadsheets/d/1zXPh69S6ryZEZcVhfjtAeevcaJY_x59C3APN5fjBE5Q/edit?gid=1748251694#gid=1748251694"",""2026-27!ap3"")"),0.0)</f>
        <v>0</v>
      </c>
      <c r="CO129" s="59">
        <f>IFERROR(__xludf.DUMMYFUNCTION("importrange(""https://docs.google.com/spreadsheets/d/1zXPh69S6ryZEZcVhfjtAeevcaJY_x59C3APN5fjBE5Q/edit?gid=1748251694#gid=1748251694"",""2026-27!aq4"")"),598000.0)</f>
        <v>598000</v>
      </c>
      <c r="CP129" s="59">
        <f>IFERROR(__xludf.DUMMYFUNCTION("importrange(""https://docs.google.com/spreadsheets/d/1zXPh69S6ryZEZcVhfjtAeevcaJY_x59C3APN5fjBE5Q/edit?gid=1748251694#gid=1748251694"",""2026-27!aq3"")"),23.0)</f>
        <v>23</v>
      </c>
      <c r="CQ129" s="59">
        <f>IFERROR(__xludf.DUMMYFUNCTION("importrange(""https://docs.google.com/spreadsheets/d/1zXPh69S6ryZEZcVhfjtAeevcaJY_x59C3APN5fjBE5Q/edit?gid=1748251694#gid=1748251694"",""2026-27!ar4"")"),0.0)</f>
        <v>0</v>
      </c>
      <c r="CR129" s="59">
        <f>IFERROR(__xludf.DUMMYFUNCTION("importrange(""https://docs.google.com/spreadsheets/d/1zXPh69S6ryZEZcVhfjtAeevcaJY_x59C3APN5fjBE5Q/edit?gid=1748251694#gid=1748251694"",""2026-27!ar3"")"),0.0)</f>
        <v>0</v>
      </c>
      <c r="CS129" s="63">
        <f t="shared" si="111"/>
        <v>0</v>
      </c>
      <c r="CT129" s="59">
        <f>IFERROR(__xludf.DUMMYFUNCTION("importrange(""https://docs.google.com/spreadsheets/d/1zXPh69S6ryZEZcVhfjtAeevcaJY_x59C3APN5fjBE5Q/edit?gid=1748251694#gid=1748251694"",""2026-27!as4"")"),0.0)</f>
        <v>0</v>
      </c>
      <c r="CU129" s="59">
        <f>IFERROR(__xludf.DUMMYFUNCTION("importrange(""https://docs.google.com/spreadsheets/d/1zXPh69S6ryZEZcVhfjtAeevcaJY_x59C3APN5fjBE5Q/edit?gid=1748251694#gid=1748251694"",""2026-27!as3"")"),0.0)</f>
        <v>0</v>
      </c>
      <c r="CV129" s="64"/>
    </row>
    <row r="130">
      <c r="A130" s="1" t="s">
        <v>160</v>
      </c>
      <c r="B130" s="41"/>
      <c r="C130" s="118" t="s">
        <v>255</v>
      </c>
      <c r="D130" s="69" t="s">
        <v>256</v>
      </c>
      <c r="E130" s="72">
        <v>7.023852116E9</v>
      </c>
      <c r="F130" s="84">
        <v>46093.0</v>
      </c>
      <c r="G130" s="66"/>
      <c r="H130" s="66"/>
      <c r="I130" s="74">
        <v>20000.0</v>
      </c>
      <c r="J130" s="58"/>
      <c r="K130" s="61">
        <f>IFERROR(__xludf.DUMMYFUNCTION("IMPORTRANGE(""https://docs.google.com/spreadsheets/d/1WWW2zIyk5tLuZBmJ_SGRdLG9zfVVRBi6dj0APb4CYec/edit?gid=1748251694#gid=1748251694"",""2026-27!A3"")"),31.0)</f>
        <v>31</v>
      </c>
      <c r="L130" s="61">
        <f>IFERROR(__xludf.DUMMYFUNCTION("IMPORTRANGE(""https://docs.google.com/spreadsheets/d/1WWW2zIyk5tLuZBmJ_SGRdLG9zfVVRBi6dj0APb4CYec/edit?gid=1748251694#gid=1748251694"",""2026-27!G4"")"),0.0)</f>
        <v>0</v>
      </c>
      <c r="M130" s="61">
        <f t="shared" si="97"/>
        <v>1958049.1</v>
      </c>
      <c r="N130" s="60" t="str">
        <f t="shared" si="98"/>
        <v/>
      </c>
      <c r="O130" s="61">
        <f t="shared" si="99"/>
        <v>91928</v>
      </c>
      <c r="P130" s="59">
        <f>IFERROR(__xludf.DUMMYFUNCTION("IMPORTRANGE(""https://docs.google.com/spreadsheets/d/1WWW2zIyk5tLuZBmJ_SGRdLG9zfVVRBi6dj0APb4CYec/edit?gid=1748251694#gid=1748251694"",""2026-27!J4"")"),0.0)</f>
        <v>0</v>
      </c>
      <c r="Q130" s="59">
        <f>IFERROR(__xludf.DUMMYFUNCTION("IMPORTRANGE(""https://docs.google.com/spreadsheets/d/1WWW2zIyk5tLuZBmJ_SGRdLG9zfVVRBi6dj0APb4CYec/edit?gid=1748251694#gid=1748251694"",""2026-27!J3"")"),0.0)</f>
        <v>0</v>
      </c>
      <c r="R130" s="59">
        <f>IFERROR(__xludf.DUMMYFUNCTION("IMPORTRANGE(""https://docs.google.com/spreadsheets/d/1WWW2zIyk5tLuZBmJ_SGRdLG9zfVVRBi6dj0APb4CYec/edit?gid=1748251694#gid=1748251694"",""2026-27!K4"")"),144374.9)</f>
        <v>144374.9</v>
      </c>
      <c r="S130" s="59">
        <f>IFERROR(__xludf.DUMMYFUNCTION("IMPORTRANGE(""https://docs.google.com/spreadsheets/d/1WWW2zIyk5tLuZBmJ_SGRdLG9zfVVRBi6dj0APb4CYec/edit?gid=1748251694#gid=1748251694"",""2026-27!K3"")"),4.0)</f>
        <v>4</v>
      </c>
      <c r="T130" s="62" t="str">
        <f t="shared" si="100"/>
        <v/>
      </c>
      <c r="U130" s="59">
        <f>IFERROR(__xludf.DUMMYFUNCTION("IMPORTRANGE(""https://docs.google.com/spreadsheets/d/1WWW2zIyk5tLuZBmJ_SGRdLG9zfVVRBi6dj0APb4CYec/edit?gid=1748251694#gid=1748251694"",""2026-27!L4"")"),91928.0)</f>
        <v>91928</v>
      </c>
      <c r="V130" s="85">
        <f>IFERROR(__xludf.DUMMYFUNCTION("IMPORTRANGE(""https://docs.google.com/spreadsheets/d/1WWW2zIyk5tLuZBmJ_SGRdLG9zfVVRBi6dj0APb4CYec/edit?gid=1748251694#gid=1748251694"",""2026-27!L3"")"),1.0)</f>
        <v>1</v>
      </c>
      <c r="W130" s="59">
        <f>IFERROR(__xludf.DUMMYFUNCTION("IMPORTRANGE(""https://docs.google.com/spreadsheets/d/1WWW2zIyk5tLuZBmJ_SGRdLG9zfVVRBi6dj0APb4CYec/edit?gid=1748251694#gid=1748251694"",""2026-27!M4"")"),0.0)</f>
        <v>0</v>
      </c>
      <c r="X130" s="85">
        <f>IFERROR(__xludf.DUMMYFUNCTION("IMPORTRANGE(""https://docs.google.com/spreadsheets/d/1WWW2zIyk5tLuZBmJ_SGRdLG9zfVVRBi6dj0APb4CYec/edit?gid=1748251694#gid=1748251694"",""2026-27!M3"")"),0.0)</f>
        <v>0</v>
      </c>
      <c r="Y130" s="59">
        <f>IFERROR(__xludf.DUMMYFUNCTION("importrange(""https://docs.google.com/spreadsheets/d/1WWW2zIyk5tLuZBmJ_SGRdLG9zfVVRBi6dj0APb4CYec/edit?gid=1748251694#gid=1748251694"",""2026-27!n4"")"),375314.69)</f>
        <v>375314.69</v>
      </c>
      <c r="Z130" s="59">
        <f>IFERROR(__xludf.DUMMYFUNCTION("importrange(""https://docs.google.com/spreadsheets/d/1WWW2zIyk5tLuZBmJ_SGRdLG9zfVVRBi6dj0APb4CYec/edit?gid=1748251694#gid=1748251694"",""2026-27!n3"")"),6.0)</f>
        <v>6</v>
      </c>
      <c r="AA130" s="62" t="str">
        <f t="shared" si="101"/>
        <v/>
      </c>
      <c r="AB130" s="59">
        <f>IFERROR(__xludf.DUMMYFUNCTION("importrange(""https://docs.google.com/spreadsheets/d/1WWW2zIyk5tLuZBmJ_SGRdLG9zfVVRBi6dj0APb4CYec/edit?gid=1748251694#gid=1748251694"",""2026-27!o4"")"),0.0)</f>
        <v>0</v>
      </c>
      <c r="AC130" s="59">
        <f>IFERROR(__xludf.DUMMYFUNCTION("importrange(""https://docs.google.com/spreadsheets/d/1WWW2zIyk5tLuZBmJ_SGRdLG9zfVVRBi6dj0APb4CYec/edit?gid=1748251694#gid=1748251694"",""2026-27!o3"")"),0.0)</f>
        <v>0</v>
      </c>
      <c r="AD130" s="59">
        <f>IFERROR(__xludf.DUMMYFUNCTION("importrange(""https://docs.google.com/spreadsheets/d/1WWW2zIyk5tLuZBmJ_SGRdLG9zfVVRBi6dj0APb4CYec/edit?gid=1748251694#gid=1748251694"",""2026-27!p4"")"),0.0)</f>
        <v>0</v>
      </c>
      <c r="AE130" s="59">
        <f>IFERROR(__xludf.DUMMYFUNCTION("importrange(""https://docs.google.com/spreadsheets/d/1WWW2zIyk5tLuZBmJ_SGRdLG9zfVVRBi6dj0APb4CYec/edit?gid=1748251694#gid=1748251694"",""2026-27!p3"")"),0.0)</f>
        <v>0</v>
      </c>
      <c r="AF130" s="59">
        <f>IFERROR(__xludf.DUMMYFUNCTION("importrange(""https://docs.google.com/spreadsheets/d/1WWW2zIyk5tLuZBmJ_SGRdLG9zfVVRBi6dj0APb4CYec/edit?gid=1748251694#gid=1748251694"",""2026-27!q4"")"),1438359.5099999998)</f>
        <v>1438359.51</v>
      </c>
      <c r="AG130" s="59">
        <f>IFERROR(__xludf.DUMMYFUNCTION("importrange(""https://docs.google.com/spreadsheets/d/1WWW2zIyk5tLuZBmJ_SGRdLG9zfVVRBi6dj0APb4CYec/edit?gid=1748251694#gid=1748251694"",""2026-27!q3"")"),12.0)</f>
        <v>12</v>
      </c>
      <c r="AH130" s="62" t="str">
        <f t="shared" si="102"/>
        <v/>
      </c>
      <c r="AI130" s="59">
        <f>IFERROR(__xludf.DUMMYFUNCTION("importrange(""https://docs.google.com/spreadsheets/d/1WWW2zIyk5tLuZBmJ_SGRdLG9zfVVRBi6dj0APb4CYec/edit?gid=1748251694#gid=1748251694"",""2026-27!r4"")"),0.0)</f>
        <v>0</v>
      </c>
      <c r="AJ130" s="59">
        <f>IFERROR(__xludf.DUMMYFUNCTION("importrange(""https://docs.google.com/spreadsheets/d/1WWW2zIyk5tLuZBmJ_SGRdLG9zfVVRBi6dj0APb4CYec/edit?gid=1748251694#gid=1748251694"",""2026-27!r3"")"),0.0)</f>
        <v>0</v>
      </c>
      <c r="AK130" s="59">
        <f>IFERROR(__xludf.DUMMYFUNCTION("importrange(""https://docs.google.com/spreadsheets/d/1WWW2zIyk5tLuZBmJ_SGRdLG9zfVVRBi6dj0APb4CYec/edit?gid=1748251694#gid=1748251694"",""2026-27!s4"")"),0.0)</f>
        <v>0</v>
      </c>
      <c r="AL130" s="59">
        <f>IFERROR(__xludf.DUMMYFUNCTION("importrange(""https://docs.google.com/spreadsheets/d/1WWW2zIyk5tLuZBmJ_SGRdLG9zfVVRBi6dj0APb4CYec/edit?gid=1748251694#gid=1748251694"",""2026-27!s3"")"),0.0)</f>
        <v>0</v>
      </c>
      <c r="AM130" s="61">
        <f>IFERROR(__xludf.DUMMYFUNCTION("importrange(""https://docs.google.com/spreadsheets/d/1WWW2zIyk5tLuZBmJ_SGRdLG9zfVVRBi6dj0APb4CYec/edit?gid=1748251694#gid=1748251694"",""2026-27!t4"")"),0.0)</f>
        <v>0</v>
      </c>
      <c r="AN130" s="59">
        <f>IFERROR(__xludf.DUMMYFUNCTION("importrange(""https://docs.google.com/spreadsheets/d/1WWW2zIyk5tLuZBmJ_SGRdLG9zfVVRBi6dj0APb4CYec/edit?gid=1748251694#gid=1748251694"",""2026-27!t3"")"),0.0)</f>
        <v>0</v>
      </c>
      <c r="AO130" s="62" t="str">
        <f t="shared" si="103"/>
        <v/>
      </c>
      <c r="AP130" s="59">
        <f>IFERROR(__xludf.DUMMYFUNCTION("importrange(""https://docs.google.com/spreadsheets/d/1WWW2zIyk5tLuZBmJ_SGRdLG9zfVVRBi6dj0APb4CYec/edit?gid=1748251694#gid=1748251694"",""2026-27!u4"")"),0.0)</f>
        <v>0</v>
      </c>
      <c r="AQ130" s="59">
        <f>IFERROR(__xludf.DUMMYFUNCTION("importrange(""https://docs.google.com/spreadsheets/d/1WWW2zIyk5tLuZBmJ_SGRdLG9zfVVRBi6dj0APb4CYec/edit?gid=1748251694#gid=1748251694"",""2026-27!u3"")"),0.0)</f>
        <v>0</v>
      </c>
      <c r="AR130" s="59">
        <f>IFERROR(__xludf.DUMMYFUNCTION("importrange(""https://docs.google.com/spreadsheets/d/1WWW2zIyk5tLuZBmJ_SGRdLG9zfVVRBi6dj0APb4CYec/edit?gid=1748251694#gid=1748251694"",""2026-27!v4"")"),0.0)</f>
        <v>0</v>
      </c>
      <c r="AS130" s="59">
        <f>IFERROR(__xludf.DUMMYFUNCTION("importrange(""https://docs.google.com/spreadsheets/d/1WWW2zIyk5tLuZBmJ_SGRdLG9zfVVRBi6dj0APb4CYec/edit?gid=1748251694#gid=1748251694"",""2026-27!v3"")"),0.0)</f>
        <v>0</v>
      </c>
      <c r="AT130" s="61">
        <f>IFERROR(__xludf.DUMMYFUNCTION("importrange(""https://docs.google.com/spreadsheets/d/1WWW2zIyk5tLuZBmJ_SGRdLG9zfVVRBi6dj0APb4CYec/edit?gid=1748251694#gid=1748251694"",""2026-27!w4"")"),0.0)</f>
        <v>0</v>
      </c>
      <c r="AU130" s="59">
        <f>IFERROR(__xludf.DUMMYFUNCTION("importrange(""https://docs.google.com/spreadsheets/d/1WWW2zIyk5tLuZBmJ_SGRdLG9zfVVRBi6dj0APb4CYec/edit?gid=1748251694#gid=1748251694"",""2026-27!w3"")"),0.0)</f>
        <v>0</v>
      </c>
      <c r="AV130" s="62" t="str">
        <f t="shared" si="104"/>
        <v/>
      </c>
      <c r="AW130" s="59">
        <f>IFERROR(__xludf.DUMMYFUNCTION("importrange(""https://docs.google.com/spreadsheets/d/1WWW2zIyk5tLuZBmJ_SGRdLG9zfVVRBi6dj0APb4CYec/edit?gid=1748251694#gid=1748251694"",""2026-27!x4"")"),0.0)</f>
        <v>0</v>
      </c>
      <c r="AX130" s="59">
        <f>IFERROR(__xludf.DUMMYFUNCTION("importrange(""https://docs.google.com/spreadsheets/d/1WWW2zIyk5tLuZBmJ_SGRdLG9zfVVRBi6dj0APb4CYec/edit?gid=1748251694#gid=1748251694"",""2026-27!x3"")"),0.0)</f>
        <v>0</v>
      </c>
      <c r="AY130" s="59">
        <f>IFERROR(__xludf.DUMMYFUNCTION("importrange(""https://docs.google.com/spreadsheets/d/1WWW2zIyk5tLuZBmJ_SGRdLG9zfVVRBi6dj0APb4CYec/edit?gid=1748251694#gid=1748251694"",""2026-27!y4"")"),0.0)</f>
        <v>0</v>
      </c>
      <c r="AZ130" s="59">
        <f>IFERROR(__xludf.DUMMYFUNCTION("importrange(""https://docs.google.com/spreadsheets/d/1WWW2zIyk5tLuZBmJ_SGRdLG9zfVVRBi6dj0APb4CYec/edit?gid=1748251694#gid=1748251694"",""2026-27!y3"")"),0.0)</f>
        <v>0</v>
      </c>
      <c r="BA130" s="61">
        <f>IFERROR(__xludf.DUMMYFUNCTION("importrange(""https://docs.google.com/spreadsheets/d/1WWW2zIyk5tLuZBmJ_SGRdLG9zfVVRBi6dj0APb4CYec/edit?gid=1748251694#gid=1748251694"",""2026-27!z4"")"),0.0)</f>
        <v>0</v>
      </c>
      <c r="BB130" s="59">
        <f>IFERROR(__xludf.DUMMYFUNCTION("importrange(""https://docs.google.com/spreadsheets/d/1WWW2zIyk5tLuZBmJ_SGRdLG9zfVVRBi6dj0APb4CYec/edit?gid=1748251694#gid=1748251694"",""2026-27!z3"")"),0.0)</f>
        <v>0</v>
      </c>
      <c r="BC130" s="63" t="str">
        <f t="shared" si="105"/>
        <v/>
      </c>
      <c r="BD130" s="59">
        <f>IFERROR(__xludf.DUMMYFUNCTION("importrange(""https://docs.google.com/spreadsheets/d/1WWW2zIyk5tLuZBmJ_SGRdLG9zfVVRBi6dj0APb4CYec/edit?gid=1748251694#gid=1748251694"",""2026-27!aa4"")"),0.0)</f>
        <v>0</v>
      </c>
      <c r="BE130" s="59">
        <f>IFERROR(__xludf.DUMMYFUNCTION("importrange(""https://docs.google.com/spreadsheets/d/1WWW2zIyk5tLuZBmJ_SGRdLG9zfVVRBi6dj0APb4CYec/edit?gid=1748251694#gid=1748251694"",""2026-27!aa3"")"),0.0)</f>
        <v>0</v>
      </c>
      <c r="BF130" s="59">
        <f>IFERROR(__xludf.DUMMYFUNCTION("importrange(""https://docs.google.com/spreadsheets/d/1WWW2zIyk5tLuZBmJ_SGRdLG9zfVVRBi6dj0APb4CYec/edit?gid=1748251694#gid=1748251694"",""2026-27!ab4"")"),0.0)</f>
        <v>0</v>
      </c>
      <c r="BG130" s="59">
        <f>IFERROR(__xludf.DUMMYFUNCTION("importrange(""https://docs.google.com/spreadsheets/d/1WWW2zIyk5tLuZBmJ_SGRdLG9zfVVRBi6dj0APb4CYec/edit?gid=1748251694#gid=1748251694"",""2026-27!ab3"")"),0.0)</f>
        <v>0</v>
      </c>
      <c r="BH130" s="59">
        <f>IFERROR(__xludf.DUMMYFUNCTION("importrange(""https://docs.google.com/spreadsheets/d/1WWW2zIyk5tLuZBmJ_SGRdLG9zfVVRBi6dj0APb4CYec/edit?gid=1748251694#gid=1748251694"",""2026-27!ac4"")"),0.0)</f>
        <v>0</v>
      </c>
      <c r="BI130" s="59">
        <f>IFERROR(__xludf.DUMMYFUNCTION("importrange(""https://docs.google.com/spreadsheets/d/1WWW2zIyk5tLuZBmJ_SGRdLG9zfVVRBi6dj0APb4CYec/edit?gid=1748251694#gid=1748251694"",""2026-27!ac3"")"),0.0)</f>
        <v>0</v>
      </c>
      <c r="BJ130" s="63" t="str">
        <f t="shared" si="106"/>
        <v/>
      </c>
      <c r="BK130" s="59">
        <f>IFERROR(__xludf.DUMMYFUNCTION("importrange(""https://docs.google.com/spreadsheets/d/1WWW2zIyk5tLuZBmJ_SGRdLG9zfVVRBi6dj0APb4CYec/edit?gid=1748251694#gid=1748251694"",""2026-27!ad4"")"),0.0)</f>
        <v>0</v>
      </c>
      <c r="BL130" s="59">
        <f>IFERROR(__xludf.DUMMYFUNCTION("importrange(""https://docs.google.com/spreadsheets/d/1WWW2zIyk5tLuZBmJ_SGRdLG9zfVVRBi6dj0APb4CYec/edit?gid=1748251694#gid=1748251694"",""2026-27!ad3"")"),0.0)</f>
        <v>0</v>
      </c>
      <c r="BM130" s="59">
        <f>IFERROR(__xludf.DUMMYFUNCTION("importrange(""https://docs.google.com/spreadsheets/d/1WWW2zIyk5tLuZBmJ_SGRdLG9zfVVRBi6dj0APb4CYec/edit?gid=1748251694#gid=1748251694"",""2026-27!ae4"")"),0.0)</f>
        <v>0</v>
      </c>
      <c r="BN130" s="59">
        <f>IFERROR(__xludf.DUMMYFUNCTION("importrange(""https://docs.google.com/spreadsheets/d/1WWW2zIyk5tLuZBmJ_SGRdLG9zfVVRBi6dj0APb4CYec/edit?gid=1748251694#gid=1748251694"",""2026-27!ae3"")"),0.0)</f>
        <v>0</v>
      </c>
      <c r="BO130" s="59">
        <f>IFERROR(__xludf.DUMMYFUNCTION("importrange(""https://docs.google.com/spreadsheets/d/1WWW2zIyk5tLuZBmJ_SGRdLG9zfVVRBi6dj0APb4CYec/edit?gid=1748251694#gid=1748251694"",""2026-27!af4"")"),0.0)</f>
        <v>0</v>
      </c>
      <c r="BP130" s="59">
        <f>IFERROR(__xludf.DUMMYFUNCTION("importrange(""https://docs.google.com/spreadsheets/d/1WWW2zIyk5tLuZBmJ_SGRdLG9zfVVRBi6dj0APb4CYec/edit?gid=1748251694#gid=1748251694"",""2026-27!af3"")"),0.0)</f>
        <v>0</v>
      </c>
      <c r="BQ130" s="63" t="str">
        <f t="shared" si="107"/>
        <v/>
      </c>
      <c r="BR130" s="59">
        <f>IFERROR(__xludf.DUMMYFUNCTION("importrange(""https://docs.google.com/spreadsheets/d/1WWW2zIyk5tLuZBmJ_SGRdLG9zfVVRBi6dj0APb4CYec/edit?gid=1748251694#gid=1748251694"",""2026-27!ag4"")"),0.0)</f>
        <v>0</v>
      </c>
      <c r="BS130" s="59">
        <f>IFERROR(__xludf.DUMMYFUNCTION("importrange(""https://docs.google.com/spreadsheets/d/1WWW2zIyk5tLuZBmJ_SGRdLG9zfVVRBi6dj0APb4CYec/edit?gid=1748251694#gid=1748251694"",""2026-27!ag3"")"),0.0)</f>
        <v>0</v>
      </c>
      <c r="BT130" s="59">
        <f>IFERROR(__xludf.DUMMYFUNCTION("importrange(""https://docs.google.com/spreadsheets/d/1WWW2zIyk5tLuZBmJ_SGRdLG9zfVVRBi6dj0APb4CYec/edit?gid=1748251694#gid=1748251694"",""2026-27!ah4"")"),0.0)</f>
        <v>0</v>
      </c>
      <c r="BU130" s="59">
        <f>IFERROR(__xludf.DUMMYFUNCTION("importrange(""https://docs.google.com/spreadsheets/d/1WWW2zIyk5tLuZBmJ_SGRdLG9zfVVRBi6dj0APb4CYec/edit?gid=1748251694#gid=1748251694"",""2026-27!ah3"")"),0.0)</f>
        <v>0</v>
      </c>
      <c r="BV130" s="59">
        <f>IFERROR(__xludf.DUMMYFUNCTION("importrange(""https://docs.google.com/spreadsheets/d/1WWW2zIyk5tLuZBmJ_SGRdLG9zfVVRBi6dj0APb4CYec/edit?gid=1748251694#gid=1748251694"",""2026-27!ai4"")"),0.0)</f>
        <v>0</v>
      </c>
      <c r="BW130" s="59">
        <f>IFERROR(__xludf.DUMMYFUNCTION("importrange(""https://docs.google.com/spreadsheets/d/1WWW2zIyk5tLuZBmJ_SGRdLG9zfVVRBi6dj0APb4CYec/edit?gid=1748251694#gid=1748251694"",""2026-27!ai3"")"),0.0)</f>
        <v>0</v>
      </c>
      <c r="BX130" s="63" t="str">
        <f t="shared" si="108"/>
        <v/>
      </c>
      <c r="BY130" s="59">
        <f>IFERROR(__xludf.DUMMYFUNCTION("importrange(""https://docs.google.com/spreadsheets/d/1WWW2zIyk5tLuZBmJ_SGRdLG9zfVVRBi6dj0APb4CYec/edit?gid=1748251694#gid=1748251694"",""2026-27!aj4"")"),0.0)</f>
        <v>0</v>
      </c>
      <c r="BZ130" s="59">
        <f>IFERROR(__xludf.DUMMYFUNCTION("importrange(""https://docs.google.com/spreadsheets/d/1WWW2zIyk5tLuZBmJ_SGRdLG9zfVVRBi6dj0APb4CYec/edit?gid=1748251694#gid=1748251694"",""2026-27!aj3"")"),0.0)</f>
        <v>0</v>
      </c>
      <c r="CA130" s="59">
        <f>IFERROR(__xludf.DUMMYFUNCTION("importrange(""https://docs.google.com/spreadsheets/d/1WWW2zIyk5tLuZBmJ_SGRdLG9zfVVRBi6dj0APb4CYec/edit?gid=1748251694#gid=1748251694"",""2026-27!ak4"")"),0.0)</f>
        <v>0</v>
      </c>
      <c r="CB130" s="59">
        <f>IFERROR(__xludf.DUMMYFUNCTION("importrange(""https://docs.google.com/spreadsheets/d/1WWW2zIyk5tLuZBmJ_SGRdLG9zfVVRBi6dj0APb4CYec/edit?gid=1748251694#gid=1748251694"",""2026-27!ak3"")"),0.0)</f>
        <v>0</v>
      </c>
      <c r="CC130" s="59">
        <f>IFERROR(__xludf.DUMMYFUNCTION("importrange(""https://docs.google.com/spreadsheets/d/1WWW2zIyk5tLuZBmJ_SGRdLG9zfVVRBi6dj0APb4CYec/edit?gid=1748251694#gid=1748251694"",""2026-27!al4"")"),0.0)</f>
        <v>0</v>
      </c>
      <c r="CD130" s="59">
        <f>IFERROR(__xludf.DUMMYFUNCTION("importrange(""https://docs.google.com/spreadsheets/d/1WWW2zIyk5tLuZBmJ_SGRdLG9zfVVRBi6dj0APb4CYec/edit?gid=1748251694#gid=1748251694"",""2026-27!ai3"")"),0.0)</f>
        <v>0</v>
      </c>
      <c r="CE130" s="63" t="str">
        <f t="shared" si="109"/>
        <v/>
      </c>
      <c r="CF130" s="59">
        <f>IFERROR(__xludf.DUMMYFUNCTION("importrange(""https://docs.google.com/spreadsheets/d/1WWW2zIyk5tLuZBmJ_SGRdLG9zfVVRBi6dj0APb4CYec/edit?gid=1748251694#gid=1748251694"",""2026-27!am4"")"),0.0)</f>
        <v>0</v>
      </c>
      <c r="CG130" s="59">
        <f>IFERROR(__xludf.DUMMYFUNCTION("importrange(""https://docs.google.com/spreadsheets/d/1WWW2zIyk5tLuZBmJ_SGRdLG9zfVVRBi6dj0APb4CYec/edit?gid=1748251694#gid=1748251694"",""2026-27!am3"")"),0.0)</f>
        <v>0</v>
      </c>
      <c r="CH130" s="59">
        <f>IFERROR(__xludf.DUMMYFUNCTION("importrange(""https://docs.google.com/spreadsheets/d/1WWW2zIyk5tLuZBmJ_SGRdLG9zfVVRBi6dj0APb4CYec/edit?gid=1748251694#gid=1748251694"",""2026-27!an4"")"),0.0)</f>
        <v>0</v>
      </c>
      <c r="CI130" s="59">
        <f>IFERROR(__xludf.DUMMYFUNCTION("importrange(""https://docs.google.com/spreadsheets/d/1WWW2zIyk5tLuZBmJ_SGRdLG9zfVVRBi6dj0APb4CYec/edit?gid=1748251694#gid=1748251694"",""2026-27!an3"")"),0.0)</f>
        <v>0</v>
      </c>
      <c r="CJ130" s="59">
        <f>IFERROR(__xludf.DUMMYFUNCTION("importrange(""https://docs.google.com/spreadsheets/d/1WWW2zIyk5tLuZBmJ_SGRdLG9zfVVRBi6dj0APb4CYec/edit?gid=1748251694#gid=1748251694"",""2026-27!ao4"")"),0.0)</f>
        <v>0</v>
      </c>
      <c r="CK130" s="59">
        <f>IFERROR(__xludf.DUMMYFUNCTION("importrange(""https://docs.google.com/spreadsheets/d/1WWW2zIyk5tLuZBmJ_SGRdLG9zfVVRBi6dj0APb4CYec/edit?gid=1748251694#gid=1748251694"",""2026-27!ao3"")"),0.0)</f>
        <v>0</v>
      </c>
      <c r="CL130" s="63" t="str">
        <f t="shared" si="110"/>
        <v/>
      </c>
      <c r="CM130" s="59">
        <f>IFERROR(__xludf.DUMMYFUNCTION("importrange(""https://docs.google.com/spreadsheets/d/1WWW2zIyk5tLuZBmJ_SGRdLG9zfVVRBi6dj0APb4CYec/edit?gid=1748251694#gid=1748251694"",""2026-27!ap4"")"),0.0)</f>
        <v>0</v>
      </c>
      <c r="CN130" s="59">
        <f>IFERROR(__xludf.DUMMYFUNCTION("importrange(""https://docs.google.com/spreadsheets/d/1WWW2zIyk5tLuZBmJ_SGRdLG9zfVVRBi6dj0APb4CYec/edit?gid=1748251694#gid=1748251694"",""2026-27!ap3"")"),0.0)</f>
        <v>0</v>
      </c>
      <c r="CO130" s="59">
        <f>IFERROR(__xludf.DUMMYFUNCTION("importrange(""https://docs.google.com/spreadsheets/d/1WWW2zIyk5tLuZBmJ_SGRdLG9zfVVRBi6dj0APb4CYec/edit?gid=1748251694#gid=1748251694"",""2026-27!aq4"")"),0.0)</f>
        <v>0</v>
      </c>
      <c r="CP130" s="59">
        <f>IFERROR(__xludf.DUMMYFUNCTION("importrange(""https://docs.google.com/spreadsheets/d/1WWW2zIyk5tLuZBmJ_SGRdLG9zfVVRBi6dj0APb4CYec/edit?gid=1748251694#gid=1748251694"",""2026-27!aq3"")"),0.0)</f>
        <v>0</v>
      </c>
      <c r="CQ130" s="59">
        <f>IFERROR(__xludf.DUMMYFUNCTION("importrange(""https://docs.google.com/spreadsheets/d/1WWW2zIyk5tLuZBmJ_SGRdLG9zfVVRBi6dj0APb4CYec/edit?gid=1748251694#gid=1748251694"",""2026-27!ar4"")"),0.0)</f>
        <v>0</v>
      </c>
      <c r="CR130" s="59">
        <f>IFERROR(__xludf.DUMMYFUNCTION("importrange(""https://docs.google.com/spreadsheets/d/1WWW2zIyk5tLuZBmJ_SGRdLG9zfVVRBi6dj0APb4CYec/edit?gid=1748251694#gid=1748251694"",""2026-27!ar3"")"),0.0)</f>
        <v>0</v>
      </c>
      <c r="CS130" s="63" t="str">
        <f t="shared" si="111"/>
        <v/>
      </c>
      <c r="CT130" s="59">
        <f>IFERROR(__xludf.DUMMYFUNCTION("importrange(""https://docs.google.com/spreadsheets/d/1WWW2zIyk5tLuZBmJ_SGRdLG9zfVVRBi6dj0APb4CYec/edit?gid=1748251694#gid=1748251694"",""2026-27!as4"")"),0.0)</f>
        <v>0</v>
      </c>
      <c r="CU130" s="59">
        <f>IFERROR(__xludf.DUMMYFUNCTION("importrange(""https://docs.google.com/spreadsheets/d/1WWW2zIyk5tLuZBmJ_SGRdLG9zfVVRBi6dj0APb4CYec/edit?gid=1748251694#gid=1748251694"",""2026-27!as3"")"),0.0)</f>
        <v>0</v>
      </c>
      <c r="CV130" s="64"/>
    </row>
    <row r="131">
      <c r="A131" s="76"/>
      <c r="B131" s="41"/>
      <c r="C131" s="119" t="s">
        <v>257</v>
      </c>
      <c r="D131" s="120" t="s">
        <v>231</v>
      </c>
      <c r="E131" s="121">
        <v>9.776878624E9</v>
      </c>
      <c r="F131" s="122">
        <v>46153.0</v>
      </c>
      <c r="G131" s="66"/>
      <c r="H131" s="66"/>
      <c r="I131" s="57"/>
      <c r="J131" s="58"/>
      <c r="K131" s="61">
        <f>IFERROR(__xludf.DUMMYFUNCTION("IMPORTRANGE(""https://docs.google.com/spreadsheets/d/18ae2uzQJOtuCf9wsXVRUJahP0nrzJqy8-QAB-gP6ztc/edit?gid=0#gid=0"",""2026-27!A3"")"),66.0)</f>
        <v>66</v>
      </c>
      <c r="L131" s="61">
        <f>IFERROR(__xludf.DUMMYFUNCTION("IMPORTRANGE(""https://docs.google.com/spreadsheets/d/18ae2uzQJOtuCf9wsXVRUJahP0nrzJqy8-QAB-gP6ztc/edit?gid=0#gid=0"",""2026-27!G4"")"),1.2093996E7)</f>
        <v>12093996</v>
      </c>
      <c r="M131" s="61">
        <f t="shared" si="97"/>
        <v>3003305.75</v>
      </c>
      <c r="N131" s="60">
        <f t="shared" si="98"/>
        <v>0.09085989693</v>
      </c>
      <c r="O131" s="61">
        <f t="shared" si="99"/>
        <v>1098859.23</v>
      </c>
      <c r="P131" s="59">
        <f>IFERROR(__xludf.DUMMYFUNCTION("IMPORTRANGE(""https://docs.google.com/spreadsheets/d/18ae2uzQJOtuCf9wsXVRUJahP0nrzJqy8-QAB-gP6ztc/edit?gid=0#gid=0"",""2026-27!J4"")"),0.0)</f>
        <v>0</v>
      </c>
      <c r="Q131" s="59">
        <f>IFERROR(__xludf.DUMMYFUNCTION("IMPORTRANGE(""https://docs.google.com/spreadsheets/d/18ae2uzQJOtuCf9wsXVRUJahP0nrzJqy8-QAB-gP6ztc/edit?gid=0#gid=0"",""2026-27!J3"")"),0.0)</f>
        <v>0</v>
      </c>
      <c r="R131" s="59">
        <f>IFERROR(__xludf.DUMMYFUNCTION("IMPORTRANGE(""https://docs.google.com/spreadsheets/d/18ae2uzQJOtuCf9wsXVRUJahP0nrzJqy8-QAB-gP6ztc/edit?gid=0#gid=0"",""2026-27!K4"")"),0.0)</f>
        <v>0</v>
      </c>
      <c r="S131" s="59">
        <f>IFERROR(__xludf.DUMMYFUNCTION("IMPORTRANGE(""https://docs.google.com/spreadsheets/d/18ae2uzQJOtuCf9wsXVRUJahP0nrzJqy8-QAB-gP6ztc/edit?gid=0#gid=0"",""2026-27!K3"")"),0.0)</f>
        <v>0</v>
      </c>
      <c r="T131" s="62" t="str">
        <f t="shared" si="100"/>
        <v/>
      </c>
      <c r="U131" s="59">
        <f>IFERROR(__xludf.DUMMYFUNCTION("IMPORTRANGE(""https://docs.google.com/spreadsheets/d/18ae2uzQJOtuCf9wsXVRUJahP0nrzJqy8-QAB-gP6ztc/edit?gid=0#gid=0"",""2026-27!L4"")"),0.0)</f>
        <v>0</v>
      </c>
      <c r="V131" s="85">
        <f>IFERROR(__xludf.DUMMYFUNCTION("IMPORTRANGE(""https://docs.google.com/spreadsheets/d/18ae2uzQJOtuCf9wsXVRUJahP0nrzJqy8-QAB-gP6ztc/edit?gid=0#gid=0"",""2026-27!L3"")"),0.0)</f>
        <v>0</v>
      </c>
      <c r="W131" s="59">
        <f>IFERROR(__xludf.DUMMYFUNCTION("IMPORTRANGE(""https://docs.google.com/spreadsheets/d/18ae2uzQJOtuCf9wsXVRUJahP0nrzJqy8-QAB-gP6ztc/edit?gid=0#gid=0"",""2026-27!M4"")"),1099374.0)</f>
        <v>1099374</v>
      </c>
      <c r="X131" s="85">
        <f>IFERROR(__xludf.DUMMYFUNCTION("IMPORTRANGE(""https://docs.google.com/spreadsheets/d/18ae2uzQJOtuCf9wsXVRUJahP0nrzJqy8-QAB-gP6ztc/edit?gid=0#gid=0"",""2026-27!M3"")"),27.0)</f>
        <v>27</v>
      </c>
      <c r="Y131" s="59">
        <f>IFERROR(__xludf.DUMMYFUNCTION("importrange(""https://docs.google.com/spreadsheets/d/18ae2uzQJOtuCf9wsXVRUJahP0nrzJqy8-QAB-gP6ztc/edit?gid=0#gid=0"",""2026-27!n4"")"),1068749.84)</f>
        <v>1068749.84</v>
      </c>
      <c r="Z131" s="59">
        <f>IFERROR(__xludf.DUMMYFUNCTION("importrange(""https://docs.google.com/spreadsheets/d/18ae2uzQJOtuCf9wsXVRUJahP0nrzJqy8-QAB-gP6ztc/edit?gid=0#gid=0"",""2026-27!n3"")"),17.0)</f>
        <v>17</v>
      </c>
      <c r="AA131" s="62">
        <f t="shared" si="101"/>
        <v>0.9995317608</v>
      </c>
      <c r="AB131" s="59">
        <f>IFERROR(__xludf.DUMMYFUNCTION("importrange(""https://docs.google.com/spreadsheets/d/18ae2uzQJOtuCf9wsXVRUJahP0nrzJqy8-QAB-gP6ztc/edit?gid=0#gid=0"",""2026-27!o4"")"),1098859.23)</f>
        <v>1098859.23</v>
      </c>
      <c r="AC131" s="59">
        <f>IFERROR(__xludf.DUMMYFUNCTION("importrange(""https://docs.google.com/spreadsheets/d/18ae2uzQJOtuCf9wsXVRUJahP0nrzJqy8-QAB-gP6ztc/edit?gid=0#gid=0"",""2026-27!o3"")"),19.0)</f>
        <v>19</v>
      </c>
      <c r="AD131" s="59">
        <f>IFERROR(__xludf.DUMMYFUNCTION("importrange(""https://docs.google.com/spreadsheets/d/18ae2uzQJOtuCf9wsXVRUJahP0nrzJqy8-QAB-gP6ztc/edit?gid=0#gid=0"",""2026-27!p4"")"),1099374.0)</f>
        <v>1099374</v>
      </c>
      <c r="AE131" s="59">
        <f>IFERROR(__xludf.DUMMYFUNCTION("importrange(""https://docs.google.com/spreadsheets/d/18ae2uzQJOtuCf9wsXVRUJahP0nrzJqy8-QAB-gP6ztc/edit?gid=0#gid=0"",""2026-27!p3"")"),27.0)</f>
        <v>27</v>
      </c>
      <c r="AF131" s="59">
        <f>IFERROR(__xludf.DUMMYFUNCTION("importrange(""https://docs.google.com/spreadsheets/d/18ae2uzQJOtuCf9wsXVRUJahP0nrzJqy8-QAB-gP6ztc/edit?gid=0#gid=0"",""2026-27!q4"")"),1934555.91)</f>
        <v>1934555.91</v>
      </c>
      <c r="AG131" s="59">
        <f>IFERROR(__xludf.DUMMYFUNCTION("importrange(""https://docs.google.com/spreadsheets/d/18ae2uzQJOtuCf9wsXVRUJahP0nrzJqy8-QAB-gP6ztc/edit?gid=0#gid=0"",""2026-27!q3"")"),29.0)</f>
        <v>29</v>
      </c>
      <c r="AH131" s="62">
        <f t="shared" si="102"/>
        <v>0</v>
      </c>
      <c r="AI131" s="59">
        <f>IFERROR(__xludf.DUMMYFUNCTION("importrange(""https://docs.google.com/spreadsheets/d/18ae2uzQJOtuCf9wsXVRUJahP0nrzJqy8-QAB-gP6ztc/edit?gid=0#gid=0"",""2026-27!r4"")"),0.0)</f>
        <v>0</v>
      </c>
      <c r="AJ131" s="59">
        <f>IFERROR(__xludf.DUMMYFUNCTION("importrange(""https://docs.google.com/spreadsheets/d/18ae2uzQJOtuCf9wsXVRUJahP0nrzJqy8-QAB-gP6ztc/edit?gid=0#gid=0"",""2026-27!r3"")"),0.0)</f>
        <v>0</v>
      </c>
      <c r="AK131" s="59">
        <f>IFERROR(__xludf.DUMMYFUNCTION("importrange(""https://docs.google.com/spreadsheets/d/18ae2uzQJOtuCf9wsXVRUJahP0nrzJqy8-QAB-gP6ztc/edit?gid=0#gid=0"",""2026-27!s4"")"),1099374.0)</f>
        <v>1099374</v>
      </c>
      <c r="AL131" s="59">
        <f>IFERROR(__xludf.DUMMYFUNCTION("importrange(""https://docs.google.com/spreadsheets/d/18ae2uzQJOtuCf9wsXVRUJahP0nrzJqy8-QAB-gP6ztc/edit?gid=0#gid=0"",""2026-27!s3"")"),27.0)</f>
        <v>27</v>
      </c>
      <c r="AM131" s="61">
        <f>IFERROR(__xludf.DUMMYFUNCTION("importrange(""https://docs.google.com/spreadsheets/d/18ae2uzQJOtuCf9wsXVRUJahP0nrzJqy8-QAB-gP6ztc/edit?gid=0#gid=0"",""2026-27!t4"")"),0.0)</f>
        <v>0</v>
      </c>
      <c r="AN131" s="59">
        <f>IFERROR(__xludf.DUMMYFUNCTION("importrange(""https://docs.google.com/spreadsheets/d/18ae2uzQJOtuCf9wsXVRUJahP0nrzJqy8-QAB-gP6ztc/edit?gid=0#gid=0"",""2026-27!t3"")"),0.0)</f>
        <v>0</v>
      </c>
      <c r="AO131" s="62">
        <f t="shared" si="103"/>
        <v>0</v>
      </c>
      <c r="AP131" s="59">
        <f>IFERROR(__xludf.DUMMYFUNCTION("importrange(""https://docs.google.com/spreadsheets/d/18ae2uzQJOtuCf9wsXVRUJahP0nrzJqy8-QAB-gP6ztc/edit?gid=0#gid=0"",""2026-27!u4"")"),0.0)</f>
        <v>0</v>
      </c>
      <c r="AQ131" s="59">
        <f>IFERROR(__xludf.DUMMYFUNCTION("importrange(""https://docs.google.com/spreadsheets/d/18ae2uzQJOtuCf9wsXVRUJahP0nrzJqy8-QAB-gP6ztc/edit?gid=0#gid=0"",""2026-27!u3"")"),0.0)</f>
        <v>0</v>
      </c>
      <c r="AR131" s="59">
        <f>IFERROR(__xludf.DUMMYFUNCTION("importrange(""https://docs.google.com/spreadsheets/d/18ae2uzQJOtuCf9wsXVRUJahP0nrzJqy8-QAB-gP6ztc/edit?gid=0#gid=0"",""2026-27!v4"")"),1099374.0)</f>
        <v>1099374</v>
      </c>
      <c r="AS131" s="59">
        <f>IFERROR(__xludf.DUMMYFUNCTION("importrange(""https://docs.google.com/spreadsheets/d/18ae2uzQJOtuCf9wsXVRUJahP0nrzJqy8-QAB-gP6ztc/edit?gid=0#gid=0"",""2026-27!v3"")"),27.0)</f>
        <v>27</v>
      </c>
      <c r="AT131" s="61">
        <f>IFERROR(__xludf.DUMMYFUNCTION("importrange(""https://docs.google.com/spreadsheets/d/18ae2uzQJOtuCf9wsXVRUJahP0nrzJqy8-QAB-gP6ztc/edit?gid=0#gid=0"",""2026-27!w4"")"),0.0)</f>
        <v>0</v>
      </c>
      <c r="AU131" s="59">
        <f>IFERROR(__xludf.DUMMYFUNCTION("importrange(""https://docs.google.com/spreadsheets/d/18ae2uzQJOtuCf9wsXVRUJahP0nrzJqy8-QAB-gP6ztc/edit?gid=0#gid=0"",""2026-27!w3"")"),0.0)</f>
        <v>0</v>
      </c>
      <c r="AV131" s="62">
        <f t="shared" si="104"/>
        <v>0</v>
      </c>
      <c r="AW131" s="59">
        <f>IFERROR(__xludf.DUMMYFUNCTION("importrange(""https://docs.google.com/spreadsheets/d/18ae2uzQJOtuCf9wsXVRUJahP0nrzJqy8-QAB-gP6ztc/edit?gid=0#gid=0"",""2026-27!x4"")"),0.0)</f>
        <v>0</v>
      </c>
      <c r="AX131" s="59">
        <f>IFERROR(__xludf.DUMMYFUNCTION("importrange(""https://docs.google.com/spreadsheets/d/18ae2uzQJOtuCf9wsXVRUJahP0nrzJqy8-QAB-gP6ztc/edit?gid=0#gid=0"",""2026-27!x3"")"),0.0)</f>
        <v>0</v>
      </c>
      <c r="AY131" s="59">
        <f>IFERROR(__xludf.DUMMYFUNCTION("importrange(""https://docs.google.com/spreadsheets/d/18ae2uzQJOtuCf9wsXVRUJahP0nrzJqy8-QAB-gP6ztc/edit?gid=0#gid=0"",""2026-27!y4"")"),1099374.0)</f>
        <v>1099374</v>
      </c>
      <c r="AZ131" s="59">
        <f>IFERROR(__xludf.DUMMYFUNCTION("importrange(""https://docs.google.com/spreadsheets/d/18ae2uzQJOtuCf9wsXVRUJahP0nrzJqy8-QAB-gP6ztc/edit?gid=0#gid=0"",""2026-27!y3"")"),27.0)</f>
        <v>27</v>
      </c>
      <c r="BA131" s="61">
        <f>IFERROR(__xludf.DUMMYFUNCTION("importrange(""https://docs.google.com/spreadsheets/d/18ae2uzQJOtuCf9wsXVRUJahP0nrzJqy8-QAB-gP6ztc/edit?gid=0#gid=0"",""2026-27!z4"")"),0.0)</f>
        <v>0</v>
      </c>
      <c r="BB131" s="59">
        <f>IFERROR(__xludf.DUMMYFUNCTION("importrange(""https://docs.google.com/spreadsheets/d/18ae2uzQJOtuCf9wsXVRUJahP0nrzJqy8-QAB-gP6ztc/edit?gid=0#gid=0"",""2026-27!z3"")"),0.0)</f>
        <v>0</v>
      </c>
      <c r="BC131" s="63">
        <f t="shared" si="105"/>
        <v>0</v>
      </c>
      <c r="BD131" s="59">
        <f>IFERROR(__xludf.DUMMYFUNCTION("importrange(""https://docs.google.com/spreadsheets/d/18ae2uzQJOtuCf9wsXVRUJahP0nrzJqy8-QAB-gP6ztc/edit?gid=0#gid=0"",""2026-27!aa4"")"),0.0)</f>
        <v>0</v>
      </c>
      <c r="BE131" s="59">
        <f>IFERROR(__xludf.DUMMYFUNCTION("importrange(""https://docs.google.com/spreadsheets/d/18ae2uzQJOtuCf9wsXVRUJahP0nrzJqy8-QAB-gP6ztc/edit?gid=0#gid=0"",""2026-27!aa3"")"),0.0)</f>
        <v>0</v>
      </c>
      <c r="BF131" s="59">
        <f>IFERROR(__xludf.DUMMYFUNCTION("importrange(""https://docs.google.com/spreadsheets/d/18ae2uzQJOtuCf9wsXVRUJahP0nrzJqy8-QAB-gP6ztc/edit?gid=0#gid=0"",""2026-27!ab4"")"),1099374.0)</f>
        <v>1099374</v>
      </c>
      <c r="BG131" s="59">
        <f>IFERROR(__xludf.DUMMYFUNCTION("importrange(""https://docs.google.com/spreadsheets/d/18ae2uzQJOtuCf9wsXVRUJahP0nrzJqy8-QAB-gP6ztc/edit?gid=0#gid=0"",""2026-27!ab3"")"),27.0)</f>
        <v>27</v>
      </c>
      <c r="BH131" s="59">
        <f>IFERROR(__xludf.DUMMYFUNCTION("importrange(""https://docs.google.com/spreadsheets/d/18ae2uzQJOtuCf9wsXVRUJahP0nrzJqy8-QAB-gP6ztc/edit?gid=0#gid=0"",""2026-27!ac4"")"),0.0)</f>
        <v>0</v>
      </c>
      <c r="BI131" s="59">
        <f>IFERROR(__xludf.DUMMYFUNCTION("importrange(""https://docs.google.com/spreadsheets/d/18ae2uzQJOtuCf9wsXVRUJahP0nrzJqy8-QAB-gP6ztc/edit?gid=0#gid=0"",""2026-27!ac3"")"),0.0)</f>
        <v>0</v>
      </c>
      <c r="BJ131" s="63">
        <f t="shared" si="106"/>
        <v>0</v>
      </c>
      <c r="BK131" s="59">
        <f>IFERROR(__xludf.DUMMYFUNCTION("importrange(""https://docs.google.com/spreadsheets/d/18ae2uzQJOtuCf9wsXVRUJahP0nrzJqy8-QAB-gP6ztc/edit?gid=0#gid=0"",""2026-27!ad4"")"),0.0)</f>
        <v>0</v>
      </c>
      <c r="BL131" s="59">
        <f>IFERROR(__xludf.DUMMYFUNCTION("importrange(""https://docs.google.com/spreadsheets/d/18ae2uzQJOtuCf9wsXVRUJahP0nrzJqy8-QAB-gP6ztc/edit?gid=0#gid=0"",""2026-27!ad3"")"),0.0)</f>
        <v>0</v>
      </c>
      <c r="BM131" s="59">
        <f>IFERROR(__xludf.DUMMYFUNCTION("importrange(""https://docs.google.com/spreadsheets/d/18ae2uzQJOtuCf9wsXVRUJahP0nrzJqy8-QAB-gP6ztc/edit?gid=0#gid=0"",""2026-27!ae4"")"),1099374.0)</f>
        <v>1099374</v>
      </c>
      <c r="BN131" s="59">
        <f>IFERROR(__xludf.DUMMYFUNCTION("importrange(""https://docs.google.com/spreadsheets/d/18ae2uzQJOtuCf9wsXVRUJahP0nrzJqy8-QAB-gP6ztc/edit?gid=0#gid=0"",""2026-27!ae3"")"),27.0)</f>
        <v>27</v>
      </c>
      <c r="BO131" s="59">
        <f>IFERROR(__xludf.DUMMYFUNCTION("importrange(""https://docs.google.com/spreadsheets/d/18ae2uzQJOtuCf9wsXVRUJahP0nrzJqy8-QAB-gP6ztc/edit?gid=0#gid=0"",""2026-27!af4"")"),0.0)</f>
        <v>0</v>
      </c>
      <c r="BP131" s="59">
        <f>IFERROR(__xludf.DUMMYFUNCTION("importrange(""https://docs.google.com/spreadsheets/d/18ae2uzQJOtuCf9wsXVRUJahP0nrzJqy8-QAB-gP6ztc/edit?gid=0#gid=0"",""2026-27!af3"")"),0.0)</f>
        <v>0</v>
      </c>
      <c r="BQ131" s="63">
        <f t="shared" si="107"/>
        <v>0</v>
      </c>
      <c r="BR131" s="59">
        <f>IFERROR(__xludf.DUMMYFUNCTION("importrange(""https://docs.google.com/spreadsheets/d/18ae2uzQJOtuCf9wsXVRUJahP0nrzJqy8-QAB-gP6ztc/edit?gid=0#gid=0"",""2026-27!ag4"")"),0.0)</f>
        <v>0</v>
      </c>
      <c r="BS131" s="59">
        <f>IFERROR(__xludf.DUMMYFUNCTION("importrange(""https://docs.google.com/spreadsheets/d/18ae2uzQJOtuCf9wsXVRUJahP0nrzJqy8-QAB-gP6ztc/edit?gid=0#gid=0"",""2026-27!ag3"")"),0.0)</f>
        <v>0</v>
      </c>
      <c r="BT131" s="59">
        <f>IFERROR(__xludf.DUMMYFUNCTION("importrange(""https://docs.google.com/spreadsheets/d/18ae2uzQJOtuCf9wsXVRUJahP0nrzJqy8-QAB-gP6ztc/edit?gid=0#gid=0"",""2026-27!ah4"")"),1099374.0)</f>
        <v>1099374</v>
      </c>
      <c r="BU131" s="59">
        <f>IFERROR(__xludf.DUMMYFUNCTION("importrange(""https://docs.google.com/spreadsheets/d/18ae2uzQJOtuCf9wsXVRUJahP0nrzJqy8-QAB-gP6ztc/edit?gid=0#gid=0"",""2026-27!ah3"")"),27.0)</f>
        <v>27</v>
      </c>
      <c r="BV131" s="59">
        <f>IFERROR(__xludf.DUMMYFUNCTION("importrange(""https://docs.google.com/spreadsheets/d/18ae2uzQJOtuCf9wsXVRUJahP0nrzJqy8-QAB-gP6ztc/edit?gid=0#gid=0"",""2026-27!ai4"")"),0.0)</f>
        <v>0</v>
      </c>
      <c r="BW131" s="59">
        <f>IFERROR(__xludf.DUMMYFUNCTION("importrange(""https://docs.google.com/spreadsheets/d/18ae2uzQJOtuCf9wsXVRUJahP0nrzJqy8-QAB-gP6ztc/edit?gid=0#gid=0"",""2026-27!ai3"")"),0.0)</f>
        <v>0</v>
      </c>
      <c r="BX131" s="63">
        <f t="shared" si="108"/>
        <v>0</v>
      </c>
      <c r="BY131" s="59">
        <f>IFERROR(__xludf.DUMMYFUNCTION("importrange(""https://docs.google.com/spreadsheets/d/18ae2uzQJOtuCf9wsXVRUJahP0nrzJqy8-QAB-gP6ztc/edit?gid=0#gid=0"",""2026-27!aj4"")"),0.0)</f>
        <v>0</v>
      </c>
      <c r="BZ131" s="59">
        <f>IFERROR(__xludf.DUMMYFUNCTION("importrange(""https://docs.google.com/spreadsheets/d/18ae2uzQJOtuCf9wsXVRUJahP0nrzJqy8-QAB-gP6ztc/edit?gid=0#gid=0"",""2026-27!aj3"")"),0.0)</f>
        <v>0</v>
      </c>
      <c r="CA131" s="59">
        <f>IFERROR(__xludf.DUMMYFUNCTION("importrange(""https://docs.google.com/spreadsheets/d/18ae2uzQJOtuCf9wsXVRUJahP0nrzJqy8-QAB-gP6ztc/edit?gid=0#gid=0"",""2026-27!ak4"")"),1099374.0)</f>
        <v>1099374</v>
      </c>
      <c r="CB131" s="59">
        <f>IFERROR(__xludf.DUMMYFUNCTION("importrange(""https://docs.google.com/spreadsheets/d/18ae2uzQJOtuCf9wsXVRUJahP0nrzJqy8-QAB-gP6ztc/edit?gid=0#gid=0"",""2026-27!ak3"")"),27.0)</f>
        <v>27</v>
      </c>
      <c r="CC131" s="59">
        <f>IFERROR(__xludf.DUMMYFUNCTION("importrange(""https://docs.google.com/spreadsheets/d/18ae2uzQJOtuCf9wsXVRUJahP0nrzJqy8-QAB-gP6ztc/edit?gid=0#gid=0"",""2026-27!al4"")"),0.0)</f>
        <v>0</v>
      </c>
      <c r="CD131" s="59">
        <f>IFERROR(__xludf.DUMMYFUNCTION("importrange(""https://docs.google.com/spreadsheets/d/18ae2uzQJOtuCf9wsXVRUJahP0nrzJqy8-QAB-gP6ztc/edit?gid=0#gid=0"",""2026-27!ai3"")"),0.0)</f>
        <v>0</v>
      </c>
      <c r="CE131" s="63">
        <f t="shared" si="109"/>
        <v>0</v>
      </c>
      <c r="CF131" s="59">
        <f>IFERROR(__xludf.DUMMYFUNCTION("importrange(""https://docs.google.com/spreadsheets/d/18ae2uzQJOtuCf9wsXVRUJahP0nrzJqy8-QAB-gP6ztc/edit?gid=0#gid=0"",""2026-27!am4"")"),0.0)</f>
        <v>0</v>
      </c>
      <c r="CG131" s="59">
        <f>IFERROR(__xludf.DUMMYFUNCTION("importrange(""https://docs.google.com/spreadsheets/d/18ae2uzQJOtuCf9wsXVRUJahP0nrzJqy8-QAB-gP6ztc/edit?gid=0#gid=0"",""2026-27!am3"")"),0.0)</f>
        <v>0</v>
      </c>
      <c r="CH131" s="59">
        <f>IFERROR(__xludf.DUMMYFUNCTION("importrange(""https://docs.google.com/spreadsheets/d/18ae2uzQJOtuCf9wsXVRUJahP0nrzJqy8-QAB-gP6ztc/edit?gid=0#gid=0"",""2026-27!an4"")"),1099374.0)</f>
        <v>1099374</v>
      </c>
      <c r="CI131" s="59">
        <f>IFERROR(__xludf.DUMMYFUNCTION("importrange(""https://docs.google.com/spreadsheets/d/18ae2uzQJOtuCf9wsXVRUJahP0nrzJqy8-QAB-gP6ztc/edit?gid=0#gid=0"",""2026-27!an3"")"),27.0)</f>
        <v>27</v>
      </c>
      <c r="CJ131" s="59">
        <f>IFERROR(__xludf.DUMMYFUNCTION("importrange(""https://docs.google.com/spreadsheets/d/18ae2uzQJOtuCf9wsXVRUJahP0nrzJqy8-QAB-gP6ztc/edit?gid=0#gid=0"",""2026-27!ao4"")"),0.0)</f>
        <v>0</v>
      </c>
      <c r="CK131" s="59">
        <f>IFERROR(__xludf.DUMMYFUNCTION("importrange(""https://docs.google.com/spreadsheets/d/18ae2uzQJOtuCf9wsXVRUJahP0nrzJqy8-QAB-gP6ztc/edit?gid=0#gid=0"",""2026-27!ao3"")"),0.0)</f>
        <v>0</v>
      </c>
      <c r="CL131" s="63">
        <f t="shared" si="110"/>
        <v>0</v>
      </c>
      <c r="CM131" s="59">
        <f>IFERROR(__xludf.DUMMYFUNCTION("importrange(""https://docs.google.com/spreadsheets/d/18ae2uzQJOtuCf9wsXVRUJahP0nrzJqy8-QAB-gP6ztc/edit?gid=0#gid=0"",""2026-27!ap4"")"),0.0)</f>
        <v>0</v>
      </c>
      <c r="CN131" s="59">
        <f>IFERROR(__xludf.DUMMYFUNCTION("importrange(""https://docs.google.com/spreadsheets/d/18ae2uzQJOtuCf9wsXVRUJahP0nrzJqy8-QAB-gP6ztc/edit?gid=0#gid=0"",""2026-27!ap3"")"),0.0)</f>
        <v>0</v>
      </c>
      <c r="CO131" s="59">
        <f>IFERROR(__xludf.DUMMYFUNCTION("importrange(""https://docs.google.com/spreadsheets/d/18ae2uzQJOtuCf9wsXVRUJahP0nrzJqy8-QAB-gP6ztc/edit?gid=0#gid=0"",""2026-27!aq4"")"),1099374.0)</f>
        <v>1099374</v>
      </c>
      <c r="CP131" s="59">
        <f>IFERROR(__xludf.DUMMYFUNCTION("importrange(""https://docs.google.com/spreadsheets/d/18ae2uzQJOtuCf9wsXVRUJahP0nrzJqy8-QAB-gP6ztc/edit?gid=0#gid=0"",""2026-27!aq3"")"),27.0)</f>
        <v>27</v>
      </c>
      <c r="CQ131" s="59">
        <f>IFERROR(__xludf.DUMMYFUNCTION("importrange(""https://docs.google.com/spreadsheets/d/18ae2uzQJOtuCf9wsXVRUJahP0nrzJqy8-QAB-gP6ztc/edit?gid=0#gid=0"",""2026-27!ar4"")"),0.0)</f>
        <v>0</v>
      </c>
      <c r="CR131" s="59">
        <f>IFERROR(__xludf.DUMMYFUNCTION("importrange(""https://docs.google.com/spreadsheets/d/18ae2uzQJOtuCf9wsXVRUJahP0nrzJqy8-QAB-gP6ztc/edit?gid=0#gid=0"",""2026-27!ar3"")"),0.0)</f>
        <v>0</v>
      </c>
      <c r="CS131" s="63">
        <f t="shared" si="111"/>
        <v>0</v>
      </c>
      <c r="CT131" s="59">
        <f>IFERROR(__xludf.DUMMYFUNCTION("importrange(""https://docs.google.com/spreadsheets/d/18ae2uzQJOtuCf9wsXVRUJahP0nrzJqy8-QAB-gP6ztc/edit?gid=0#gid=0"",""2026-27!as4"")"),0.0)</f>
        <v>0</v>
      </c>
      <c r="CU131" s="59">
        <f>IFERROR(__xludf.DUMMYFUNCTION("importrange(""https://docs.google.com/spreadsheets/d/18ae2uzQJOtuCf9wsXVRUJahP0nrzJqy8-QAB-gP6ztc/edit?gid=0#gid=0"",""2026-27!as3"")"),0.0)</f>
        <v>0</v>
      </c>
      <c r="CV131" s="64"/>
    </row>
    <row r="132">
      <c r="A132" s="76"/>
      <c r="B132" s="41"/>
      <c r="C132" s="119" t="s">
        <v>258</v>
      </c>
      <c r="D132" s="120" t="s">
        <v>231</v>
      </c>
      <c r="E132" s="121">
        <v>7.00802533E9</v>
      </c>
      <c r="F132" s="122">
        <v>46148.0</v>
      </c>
      <c r="G132" s="66"/>
      <c r="H132" s="66"/>
      <c r="I132" s="57"/>
      <c r="J132" s="58"/>
      <c r="K132" s="61">
        <f>IFERROR(__xludf.DUMMYFUNCTION("IMPORTRANGE(""https://docs.google.com/spreadsheets/d/1lIjq4lqI_I2NTr_QMX-fDGS4warbHWtB6HUAekXAeY0/edit?gid=0#gid=0"",""2026-27!A3"")"),63.0)</f>
        <v>63</v>
      </c>
      <c r="L132" s="61">
        <f>IFERROR(__xludf.DUMMYFUNCTION("IMPORTRANGE(""https://docs.google.com/spreadsheets/d/1lIjq4lqI_I2NTr_QMX-fDGS4warbHWtB6HUAekXAeY0/edit?gid=0#gid=0"",""2026-27!G4"")"),2140000.0)</f>
        <v>2140000</v>
      </c>
      <c r="M132" s="61">
        <f t="shared" si="97"/>
        <v>516577.62</v>
      </c>
      <c r="N132" s="60">
        <f t="shared" si="98"/>
        <v>0.4863345794</v>
      </c>
      <c r="O132" s="61">
        <f t="shared" si="99"/>
        <v>1040756</v>
      </c>
      <c r="P132" s="59">
        <f>IFERROR(__xludf.DUMMYFUNCTION("IMPORTRANGE(""https://docs.google.com/spreadsheets/d/1lIjq4lqI_I2NTr_QMX-fDGS4warbHWtB6HUAekXAeY0/edit?gid=0#gid=0"",""2026-27!J4"")"),179262.0)</f>
        <v>179262</v>
      </c>
      <c r="Q132" s="59">
        <f>IFERROR(__xludf.DUMMYFUNCTION("IMPORTRANGE(""https://docs.google.com/spreadsheets/d/1lIjq4lqI_I2NTr_QMX-fDGS4warbHWtB6HUAekXAeY0/edit?gid=0#gid=0"",""2026-27!J3"")"),15.0)</f>
        <v>15</v>
      </c>
      <c r="R132" s="59">
        <f>IFERROR(__xludf.DUMMYFUNCTION("IMPORTRANGE(""https://docs.google.com/spreadsheets/d/1lIjq4lqI_I2NTr_QMX-fDGS4warbHWtB6HUAekXAeY0/edit?gid=0#gid=0"",""2026-27!K4"")"),0.0)</f>
        <v>0</v>
      </c>
      <c r="S132" s="59">
        <f>IFERROR(__xludf.DUMMYFUNCTION("IMPORTRANGE(""https://docs.google.com/spreadsheets/d/1lIjq4lqI_I2NTr_QMX-fDGS4warbHWtB6HUAekXAeY0/edit?gid=0#gid=0"",""2026-27!K3"")"),0.0)</f>
        <v>0</v>
      </c>
      <c r="T132" s="62">
        <f t="shared" si="100"/>
        <v>0</v>
      </c>
      <c r="U132" s="59">
        <f>IFERROR(__xludf.DUMMYFUNCTION("IMPORTRANGE(""https://docs.google.com/spreadsheets/d/1lIjq4lqI_I2NTr_QMX-fDGS4warbHWtB6HUAekXAeY0/edit?gid=0#gid=0"",""2026-27!L4"")"),0.0)</f>
        <v>0</v>
      </c>
      <c r="V132" s="85">
        <f>IFERROR(__xludf.DUMMYFUNCTION("IMPORTRANGE(""https://docs.google.com/spreadsheets/d/1lIjq4lqI_I2NTr_QMX-fDGS4warbHWtB6HUAekXAeY0/edit?gid=0#gid=0"",""2026-27!L3"")"),0.0)</f>
        <v>0</v>
      </c>
      <c r="W132" s="59">
        <f>IFERROR(__xludf.DUMMYFUNCTION("IMPORTRANGE(""https://docs.google.com/spreadsheets/d/1lIjq4lqI_I2NTr_QMX-fDGS4warbHWtB6HUAekXAeY0/edit?gid=0#gid=0"",""2026-27!M4"")"),197262.0)</f>
        <v>197262</v>
      </c>
      <c r="X132" s="85">
        <f>IFERROR(__xludf.DUMMYFUNCTION("IMPORTRANGE(""https://docs.google.com/spreadsheets/d/1lIjq4lqI_I2NTr_QMX-fDGS4warbHWtB6HUAekXAeY0/edit?gid=0#gid=0"",""2026-27!M3"")"),15.0)</f>
        <v>15</v>
      </c>
      <c r="Y132" s="59">
        <f>IFERROR(__xludf.DUMMYFUNCTION("importrange(""https://docs.google.com/spreadsheets/d/1lIjq4lqI_I2NTr_QMX-fDGS4warbHWtB6HUAekXAeY0/edit?gid=0#gid=0"",""2026-27!n4"")"),0.0)</f>
        <v>0</v>
      </c>
      <c r="Z132" s="59">
        <f>IFERROR(__xludf.DUMMYFUNCTION("importrange(""https://docs.google.com/spreadsheets/d/1lIjq4lqI_I2NTr_QMX-fDGS4warbHWtB6HUAekXAeY0/edit?gid=0#gid=0"",""2026-27!n3"")"),0.0)</f>
        <v>0</v>
      </c>
      <c r="AA132" s="62">
        <f t="shared" si="101"/>
        <v>1.844060184</v>
      </c>
      <c r="AB132" s="59">
        <f>IFERROR(__xludf.DUMMYFUNCTION("importrange(""https://docs.google.com/spreadsheets/d/1lIjq4lqI_I2NTr_QMX-fDGS4warbHWtB6HUAekXAeY0/edit?gid=0#gid=0"",""2026-27!o4"")"),363763.0)</f>
        <v>363763</v>
      </c>
      <c r="AC132" s="59">
        <f>IFERROR(__xludf.DUMMYFUNCTION("importrange(""https://docs.google.com/spreadsheets/d/1lIjq4lqI_I2NTr_QMX-fDGS4warbHWtB6HUAekXAeY0/edit?gid=0#gid=0"",""2026-27!o3"")"),16.0)</f>
        <v>16</v>
      </c>
      <c r="AD132" s="59">
        <f>IFERROR(__xludf.DUMMYFUNCTION("importrange(""https://docs.google.com/spreadsheets/d/1lIjq4lqI_I2NTr_QMX-fDGS4warbHWtB6HUAekXAeY0/edit?gid=0#gid=0"",""2026-27!p4"")"),197262.0)</f>
        <v>197262</v>
      </c>
      <c r="AE132" s="59">
        <f>IFERROR(__xludf.DUMMYFUNCTION("importrange(""https://docs.google.com/spreadsheets/d/1lIjq4lqI_I2NTr_QMX-fDGS4warbHWtB6HUAekXAeY0/edit?gid=0#gid=0"",""2026-27!p3"")"),15.0)</f>
        <v>15</v>
      </c>
      <c r="AF132" s="59">
        <f>IFERROR(__xludf.DUMMYFUNCTION("importrange(""https://docs.google.com/spreadsheets/d/1lIjq4lqI_I2NTr_QMX-fDGS4warbHWtB6HUAekXAeY0/edit?gid=0#gid=0"",""2026-27!q4"")"),516577.62000000005)</f>
        <v>516577.62</v>
      </c>
      <c r="AG132" s="59">
        <f>IFERROR(__xludf.DUMMYFUNCTION("importrange(""https://docs.google.com/spreadsheets/d/1lIjq4lqI_I2NTr_QMX-fDGS4warbHWtB6HUAekXAeY0/edit?gid=0#gid=0"",""2026-27!q3"")"),26.0)</f>
        <v>26</v>
      </c>
      <c r="AH132" s="62">
        <f t="shared" si="102"/>
        <v>3.431948373</v>
      </c>
      <c r="AI132" s="59">
        <f>IFERROR(__xludf.DUMMYFUNCTION("importrange(""https://docs.google.com/spreadsheets/d/1lIjq4lqI_I2NTr_QMX-fDGS4warbHWtB6HUAekXAeY0/edit?gid=0#gid=0"",""2026-27!r4"")"),676993.0)</f>
        <v>676993</v>
      </c>
      <c r="AJ132" s="59">
        <f>IFERROR(__xludf.DUMMYFUNCTION("importrange(""https://docs.google.com/spreadsheets/d/1lIjq4lqI_I2NTr_QMX-fDGS4warbHWtB6HUAekXAeY0/edit?gid=0#gid=0"",""2026-27!r3"")"),31.0)</f>
        <v>31</v>
      </c>
      <c r="AK132" s="59">
        <f>IFERROR(__xludf.DUMMYFUNCTION("importrange(""https://docs.google.com/spreadsheets/d/1lIjq4lqI_I2NTr_QMX-fDGS4warbHWtB6HUAekXAeY0/edit?gid=0#gid=0"",""2026-27!s4"")"),197262.0)</f>
        <v>197262</v>
      </c>
      <c r="AL132" s="59">
        <f>IFERROR(__xludf.DUMMYFUNCTION("importrange(""https://docs.google.com/spreadsheets/d/1lIjq4lqI_I2NTr_QMX-fDGS4warbHWtB6HUAekXAeY0/edit?gid=0#gid=0"",""2026-27!s3"")"),15.0)</f>
        <v>15</v>
      </c>
      <c r="AM132" s="61">
        <f>IFERROR(__xludf.DUMMYFUNCTION("importrange(""https://docs.google.com/spreadsheets/d/1lIjq4lqI_I2NTr_QMX-fDGS4warbHWtB6HUAekXAeY0/edit?gid=0#gid=0"",""2026-27!t4"")"),0.0)</f>
        <v>0</v>
      </c>
      <c r="AN132" s="59">
        <f>IFERROR(__xludf.DUMMYFUNCTION("importrange(""https://docs.google.com/spreadsheets/d/1lIjq4lqI_I2NTr_QMX-fDGS4warbHWtB6HUAekXAeY0/edit?gid=0#gid=0"",""2026-27!t3"")"),0.0)</f>
        <v>0</v>
      </c>
      <c r="AO132" s="62">
        <f t="shared" si="103"/>
        <v>0</v>
      </c>
      <c r="AP132" s="59">
        <f>IFERROR(__xludf.DUMMYFUNCTION("importrange(""https://docs.google.com/spreadsheets/d/1lIjq4lqI_I2NTr_QMX-fDGS4warbHWtB6HUAekXAeY0/edit?gid=0#gid=0"",""2026-27!u4"")"),0.0)</f>
        <v>0</v>
      </c>
      <c r="AQ132" s="59">
        <f>IFERROR(__xludf.DUMMYFUNCTION("importrange(""https://docs.google.com/spreadsheets/d/1lIjq4lqI_I2NTr_QMX-fDGS4warbHWtB6HUAekXAeY0/edit?gid=0#gid=0"",""2026-27!u3"")"),0.0)</f>
        <v>0</v>
      </c>
      <c r="AR132" s="59">
        <f>IFERROR(__xludf.DUMMYFUNCTION("importrange(""https://docs.google.com/spreadsheets/d/1lIjq4lqI_I2NTr_QMX-fDGS4warbHWtB6HUAekXAeY0/edit?gid=0#gid=0"",""2026-27!v4"")"),197262.0)</f>
        <v>197262</v>
      </c>
      <c r="AS132" s="59">
        <f>IFERROR(__xludf.DUMMYFUNCTION("importrange(""https://docs.google.com/spreadsheets/d/1lIjq4lqI_I2NTr_QMX-fDGS4warbHWtB6HUAekXAeY0/edit?gid=0#gid=0"",""2026-27!v3"")"),15.0)</f>
        <v>15</v>
      </c>
      <c r="AT132" s="61">
        <f>IFERROR(__xludf.DUMMYFUNCTION("importrange(""https://docs.google.com/spreadsheets/d/1lIjq4lqI_I2NTr_QMX-fDGS4warbHWtB6HUAekXAeY0/edit?gid=0#gid=0"",""2026-27!w4"")"),0.0)</f>
        <v>0</v>
      </c>
      <c r="AU132" s="59">
        <f>IFERROR(__xludf.DUMMYFUNCTION("importrange(""https://docs.google.com/spreadsheets/d/1lIjq4lqI_I2NTr_QMX-fDGS4warbHWtB6HUAekXAeY0/edit?gid=0#gid=0"",""2026-27!w3"")"),0.0)</f>
        <v>0</v>
      </c>
      <c r="AV132" s="62">
        <f t="shared" si="104"/>
        <v>0</v>
      </c>
      <c r="AW132" s="59">
        <f>IFERROR(__xludf.DUMMYFUNCTION("importrange(""https://docs.google.com/spreadsheets/d/1lIjq4lqI_I2NTr_QMX-fDGS4warbHWtB6HUAekXAeY0/edit?gid=0#gid=0"",""2026-27!x4"")"),0.0)</f>
        <v>0</v>
      </c>
      <c r="AX132" s="59">
        <f>IFERROR(__xludf.DUMMYFUNCTION("importrange(""https://docs.google.com/spreadsheets/d/1lIjq4lqI_I2NTr_QMX-fDGS4warbHWtB6HUAekXAeY0/edit?gid=0#gid=0"",""2026-27!x3"")"),0.0)</f>
        <v>0</v>
      </c>
      <c r="AY132" s="59">
        <f>IFERROR(__xludf.DUMMYFUNCTION("importrange(""https://docs.google.com/spreadsheets/d/1lIjq4lqI_I2NTr_QMX-fDGS4warbHWtB6HUAekXAeY0/edit?gid=0#gid=0"",""2026-27!y4"")"),197262.0)</f>
        <v>197262</v>
      </c>
      <c r="AZ132" s="59">
        <f>IFERROR(__xludf.DUMMYFUNCTION("importrange(""https://docs.google.com/spreadsheets/d/1lIjq4lqI_I2NTr_QMX-fDGS4warbHWtB6HUAekXAeY0/edit?gid=0#gid=0"",""2026-27!y3"")"),15.0)</f>
        <v>15</v>
      </c>
      <c r="BA132" s="61">
        <f>IFERROR(__xludf.DUMMYFUNCTION("importrange(""https://docs.google.com/spreadsheets/d/1lIjq4lqI_I2NTr_QMX-fDGS4warbHWtB6HUAekXAeY0/edit?gid=0#gid=0"",""2026-27!z4"")"),0.0)</f>
        <v>0</v>
      </c>
      <c r="BB132" s="59">
        <f>IFERROR(__xludf.DUMMYFUNCTION("importrange(""https://docs.google.com/spreadsheets/d/1lIjq4lqI_I2NTr_QMX-fDGS4warbHWtB6HUAekXAeY0/edit?gid=0#gid=0"",""2026-27!z3"")"),0.0)</f>
        <v>0</v>
      </c>
      <c r="BC132" s="63">
        <f t="shared" si="105"/>
        <v>0</v>
      </c>
      <c r="BD132" s="59">
        <f>IFERROR(__xludf.DUMMYFUNCTION("importrange(""https://docs.google.com/spreadsheets/d/1lIjq4lqI_I2NTr_QMX-fDGS4warbHWtB6HUAekXAeY0/edit?gid=0#gid=0"",""2026-27!aa4"")"),0.0)</f>
        <v>0</v>
      </c>
      <c r="BE132" s="59">
        <f>IFERROR(__xludf.DUMMYFUNCTION("importrange(""https://docs.google.com/spreadsheets/d/1lIjq4lqI_I2NTr_QMX-fDGS4warbHWtB6HUAekXAeY0/edit?gid=0#gid=0"",""2026-27!aa3"")"),0.0)</f>
        <v>0</v>
      </c>
      <c r="BF132" s="59">
        <f>IFERROR(__xludf.DUMMYFUNCTION("importrange(""https://docs.google.com/spreadsheets/d/1lIjq4lqI_I2NTr_QMX-fDGS4warbHWtB6HUAekXAeY0/edit?gid=0#gid=0"",""2026-27!ab4"")"),197262.0)</f>
        <v>197262</v>
      </c>
      <c r="BG132" s="59">
        <f>IFERROR(__xludf.DUMMYFUNCTION("importrange(""https://docs.google.com/spreadsheets/d/1lIjq4lqI_I2NTr_QMX-fDGS4warbHWtB6HUAekXAeY0/edit?gid=0#gid=0"",""2026-27!ab3"")"),15.0)</f>
        <v>15</v>
      </c>
      <c r="BH132" s="59">
        <f>IFERROR(__xludf.DUMMYFUNCTION("importrange(""https://docs.google.com/spreadsheets/d/1lIjq4lqI_I2NTr_QMX-fDGS4warbHWtB6HUAekXAeY0/edit?gid=0#gid=0"",""2026-27!ac4"")"),0.0)</f>
        <v>0</v>
      </c>
      <c r="BI132" s="59">
        <f>IFERROR(__xludf.DUMMYFUNCTION("importrange(""https://docs.google.com/spreadsheets/d/1lIjq4lqI_I2NTr_QMX-fDGS4warbHWtB6HUAekXAeY0/edit?gid=0#gid=0"",""2026-27!ac3"")"),0.0)</f>
        <v>0</v>
      </c>
      <c r="BJ132" s="63">
        <f t="shared" si="106"/>
        <v>0</v>
      </c>
      <c r="BK132" s="59">
        <f>IFERROR(__xludf.DUMMYFUNCTION("importrange(""https://docs.google.com/spreadsheets/d/1lIjq4lqI_I2NTr_QMX-fDGS4warbHWtB6HUAekXAeY0/edit?gid=0#gid=0"",""2026-27!ad4"")"),0.0)</f>
        <v>0</v>
      </c>
      <c r="BL132" s="59">
        <f>IFERROR(__xludf.DUMMYFUNCTION("importrange(""https://docs.google.com/spreadsheets/d/1lIjq4lqI_I2NTr_QMX-fDGS4warbHWtB6HUAekXAeY0/edit?gid=0#gid=0"",""2026-27!ad3"")"),0.0)</f>
        <v>0</v>
      </c>
      <c r="BM132" s="59">
        <f>IFERROR(__xludf.DUMMYFUNCTION("importrange(""https://docs.google.com/spreadsheets/d/1lIjq4lqI_I2NTr_QMX-fDGS4warbHWtB6HUAekXAeY0/edit?gid=0#gid=0"",""2026-27!ae4"")"),197262.0)</f>
        <v>197262</v>
      </c>
      <c r="BN132" s="59">
        <f>IFERROR(__xludf.DUMMYFUNCTION("importrange(""https://docs.google.com/spreadsheets/d/1lIjq4lqI_I2NTr_QMX-fDGS4warbHWtB6HUAekXAeY0/edit?gid=0#gid=0"",""2026-27!ae3"")"),15.0)</f>
        <v>15</v>
      </c>
      <c r="BO132" s="59">
        <f>IFERROR(__xludf.DUMMYFUNCTION("importrange(""https://docs.google.com/spreadsheets/d/1lIjq4lqI_I2NTr_QMX-fDGS4warbHWtB6HUAekXAeY0/edit?gid=0#gid=0"",""2026-27!af4"")"),0.0)</f>
        <v>0</v>
      </c>
      <c r="BP132" s="59">
        <f>IFERROR(__xludf.DUMMYFUNCTION("importrange(""https://docs.google.com/spreadsheets/d/1lIjq4lqI_I2NTr_QMX-fDGS4warbHWtB6HUAekXAeY0/edit?gid=0#gid=0"",""2026-27!af3"")"),0.0)</f>
        <v>0</v>
      </c>
      <c r="BQ132" s="63">
        <f t="shared" si="107"/>
        <v>0</v>
      </c>
      <c r="BR132" s="59">
        <f>IFERROR(__xludf.DUMMYFUNCTION("importrange(""https://docs.google.com/spreadsheets/d/1lIjq4lqI_I2NTr_QMX-fDGS4warbHWtB6HUAekXAeY0/edit?gid=0#gid=0"",""2026-27!ag4"")"),0.0)</f>
        <v>0</v>
      </c>
      <c r="BS132" s="59">
        <f>IFERROR(__xludf.DUMMYFUNCTION("importrange(""https://docs.google.com/spreadsheets/d/1lIjq4lqI_I2NTr_QMX-fDGS4warbHWtB6HUAekXAeY0/edit?gid=0#gid=0"",""2026-27!ag3"")"),0.0)</f>
        <v>0</v>
      </c>
      <c r="BT132" s="59">
        <f>IFERROR(__xludf.DUMMYFUNCTION("importrange(""https://docs.google.com/spreadsheets/d/1lIjq4lqI_I2NTr_QMX-fDGS4warbHWtB6HUAekXAeY0/edit?gid=0#gid=0"",""2026-27!ah4"")"),197262.0)</f>
        <v>197262</v>
      </c>
      <c r="BU132" s="59">
        <f>IFERROR(__xludf.DUMMYFUNCTION("importrange(""https://docs.google.com/spreadsheets/d/1lIjq4lqI_I2NTr_QMX-fDGS4warbHWtB6HUAekXAeY0/edit?gid=0#gid=0"",""2026-27!ah3"")"),15.0)</f>
        <v>15</v>
      </c>
      <c r="BV132" s="59">
        <f>IFERROR(__xludf.DUMMYFUNCTION("importrange(""https://docs.google.com/spreadsheets/d/1lIjq4lqI_I2NTr_QMX-fDGS4warbHWtB6HUAekXAeY0/edit?gid=0#gid=0"",""2026-27!ai4"")"),0.0)</f>
        <v>0</v>
      </c>
      <c r="BW132" s="59">
        <f>IFERROR(__xludf.DUMMYFUNCTION("importrange(""https://docs.google.com/spreadsheets/d/1lIjq4lqI_I2NTr_QMX-fDGS4warbHWtB6HUAekXAeY0/edit?gid=0#gid=0"",""2026-27!ai3"")"),0.0)</f>
        <v>0</v>
      </c>
      <c r="BX132" s="63">
        <f t="shared" si="108"/>
        <v>0</v>
      </c>
      <c r="BY132" s="59">
        <f>IFERROR(__xludf.DUMMYFUNCTION("importrange(""https://docs.google.com/spreadsheets/d/1lIjq4lqI_I2NTr_QMX-fDGS4warbHWtB6HUAekXAeY0/edit?gid=0#gid=0"",""2026-27!aj4"")"),0.0)</f>
        <v>0</v>
      </c>
      <c r="BZ132" s="59">
        <f>IFERROR(__xludf.DUMMYFUNCTION("importrange(""https://docs.google.com/spreadsheets/d/1lIjq4lqI_I2NTr_QMX-fDGS4warbHWtB6HUAekXAeY0/edit?gid=0#gid=0"",""2026-27!aj3"")"),0.0)</f>
        <v>0</v>
      </c>
      <c r="CA132" s="59">
        <f>IFERROR(__xludf.DUMMYFUNCTION("importrange(""https://docs.google.com/spreadsheets/d/1lIjq4lqI_I2NTr_QMX-fDGS4warbHWtB6HUAekXAeY0/edit?gid=0#gid=0"",""2026-27!ak4"")"),197262.0)</f>
        <v>197262</v>
      </c>
      <c r="CB132" s="59">
        <f>IFERROR(__xludf.DUMMYFUNCTION("importrange(""https://docs.google.com/spreadsheets/d/1lIjq4lqI_I2NTr_QMX-fDGS4warbHWtB6HUAekXAeY0/edit?gid=0#gid=0"",""2026-27!ak3"")"),15.0)</f>
        <v>15</v>
      </c>
      <c r="CC132" s="59">
        <f>IFERROR(__xludf.DUMMYFUNCTION("importrange(""https://docs.google.com/spreadsheets/d/1lIjq4lqI_I2NTr_QMX-fDGS4warbHWtB6HUAekXAeY0/edit?gid=0#gid=0"",""2026-27!al4"")"),0.0)</f>
        <v>0</v>
      </c>
      <c r="CD132" s="59">
        <f>IFERROR(__xludf.DUMMYFUNCTION("importrange(""https://docs.google.com/spreadsheets/d/1lIjq4lqI_I2NTr_QMX-fDGS4warbHWtB6HUAekXAeY0/edit?gid=0#gid=0"",""2026-27!ai3"")"),0.0)</f>
        <v>0</v>
      </c>
      <c r="CE132" s="63">
        <f t="shared" si="109"/>
        <v>0</v>
      </c>
      <c r="CF132" s="59">
        <f>IFERROR(__xludf.DUMMYFUNCTION("importrange(""https://docs.google.com/spreadsheets/d/1lIjq4lqI_I2NTr_QMX-fDGS4warbHWtB6HUAekXAeY0/edit?gid=0#gid=0"",""2026-27!am4"")"),0.0)</f>
        <v>0</v>
      </c>
      <c r="CG132" s="59">
        <f>IFERROR(__xludf.DUMMYFUNCTION("importrange(""https://docs.google.com/spreadsheets/d/1lIjq4lqI_I2NTr_QMX-fDGS4warbHWtB6HUAekXAeY0/edit?gid=0#gid=0"",""2026-27!am3"")"),0.0)</f>
        <v>0</v>
      </c>
      <c r="CH132" s="59">
        <f>IFERROR(__xludf.DUMMYFUNCTION("importrange(""https://docs.google.com/spreadsheets/d/1lIjq4lqI_I2NTr_QMX-fDGS4warbHWtB6HUAekXAeY0/edit?gid=0#gid=0"",""2026-27!an4"")"),197262.0)</f>
        <v>197262</v>
      </c>
      <c r="CI132" s="59">
        <f>IFERROR(__xludf.DUMMYFUNCTION("importrange(""https://docs.google.com/spreadsheets/d/1lIjq4lqI_I2NTr_QMX-fDGS4warbHWtB6HUAekXAeY0/edit?gid=0#gid=0"",""2026-27!an3"")"),15.0)</f>
        <v>15</v>
      </c>
      <c r="CJ132" s="59">
        <f>IFERROR(__xludf.DUMMYFUNCTION("importrange(""https://docs.google.com/spreadsheets/d/1lIjq4lqI_I2NTr_QMX-fDGS4warbHWtB6HUAekXAeY0/edit?gid=0#gid=0"",""2026-27!ao4"")"),0.0)</f>
        <v>0</v>
      </c>
      <c r="CK132" s="59">
        <f>IFERROR(__xludf.DUMMYFUNCTION("importrange(""https://docs.google.com/spreadsheets/d/1lIjq4lqI_I2NTr_QMX-fDGS4warbHWtB6HUAekXAeY0/edit?gid=0#gid=0"",""2026-27!ao3"")"),0.0)</f>
        <v>0</v>
      </c>
      <c r="CL132" s="63">
        <f t="shared" si="110"/>
        <v>0</v>
      </c>
      <c r="CM132" s="59">
        <f>IFERROR(__xludf.DUMMYFUNCTION("importrange(""https://docs.google.com/spreadsheets/d/1lIjq4lqI_I2NTr_QMX-fDGS4warbHWtB6HUAekXAeY0/edit?gid=0#gid=0"",""2026-27!ap4"")"),0.0)</f>
        <v>0</v>
      </c>
      <c r="CN132" s="59">
        <f>IFERROR(__xludf.DUMMYFUNCTION("importrange(""https://docs.google.com/spreadsheets/d/1lIjq4lqI_I2NTr_QMX-fDGS4warbHWtB6HUAekXAeY0/edit?gid=0#gid=0"",""2026-27!ap3"")"),0.0)</f>
        <v>0</v>
      </c>
      <c r="CO132" s="59">
        <f>IFERROR(__xludf.DUMMYFUNCTION("importrange(""https://docs.google.com/spreadsheets/d/1lIjq4lqI_I2NTr_QMX-fDGS4warbHWtB6HUAekXAeY0/edit?gid=0#gid=0"",""2026-27!aq4"")"),197262.0)</f>
        <v>197262</v>
      </c>
      <c r="CP132" s="59">
        <f>IFERROR(__xludf.DUMMYFUNCTION("importrange(""https://docs.google.com/spreadsheets/d/1lIjq4lqI_I2NTr_QMX-fDGS4warbHWtB6HUAekXAeY0/edit?gid=0#gid=0"",""2026-27!aq3"")"),15.0)</f>
        <v>15</v>
      </c>
      <c r="CQ132" s="59">
        <f>IFERROR(__xludf.DUMMYFUNCTION("importrange(""https://docs.google.com/spreadsheets/d/1lIjq4lqI_I2NTr_QMX-fDGS4warbHWtB6HUAekXAeY0/edit?gid=0#gid=0"",""2026-27!ar4"")"),0.0)</f>
        <v>0</v>
      </c>
      <c r="CR132" s="59">
        <f>IFERROR(__xludf.DUMMYFUNCTION("importrange(""https://docs.google.com/spreadsheets/d/1lIjq4lqI_I2NTr_QMX-fDGS4warbHWtB6HUAekXAeY0/edit?gid=0#gid=0"",""2026-27!ar3"")"),0.0)</f>
        <v>0</v>
      </c>
      <c r="CS132" s="63">
        <f t="shared" si="111"/>
        <v>0</v>
      </c>
      <c r="CT132" s="59">
        <f>IFERROR(__xludf.DUMMYFUNCTION("importrange(""https://docs.google.com/spreadsheets/d/1lIjq4lqI_I2NTr_QMX-fDGS4warbHWtB6HUAekXAeY0/edit?gid=0#gid=0"",""2026-27!as4"")"),0.0)</f>
        <v>0</v>
      </c>
      <c r="CU132" s="59">
        <f>IFERROR(__xludf.DUMMYFUNCTION("importrange(""https://docs.google.com/spreadsheets/d/1lIjq4lqI_I2NTr_QMX-fDGS4warbHWtB6HUAekXAeY0/edit?gid=0#gid=0"",""2026-27!as3"")"),0.0)</f>
        <v>0</v>
      </c>
      <c r="CV132" s="64"/>
    </row>
    <row r="133">
      <c r="A133" s="123" t="s">
        <v>160</v>
      </c>
      <c r="B133" s="41"/>
      <c r="C133" s="118" t="s">
        <v>259</v>
      </c>
      <c r="D133" s="53" t="s">
        <v>260</v>
      </c>
      <c r="E133" s="54">
        <v>9.599706206E9</v>
      </c>
      <c r="F133" s="80">
        <v>43185.0</v>
      </c>
      <c r="G133" s="66"/>
      <c r="H133" s="66"/>
      <c r="I133" s="57">
        <v>34650.0</v>
      </c>
      <c r="J133" s="58">
        <v>1500000.0</v>
      </c>
      <c r="K133" s="59">
        <f>IFERROR(__xludf.DUMMYFUNCTION("IMPORTRANGE(""1Hir2BSz1KtNe_zzhtoBurd4NvYToFy3OAbQvUmeocvQ"",""2026-27!A3"")"),107.0)</f>
        <v>107</v>
      </c>
      <c r="L133" s="59">
        <f>IFERROR(__xludf.DUMMYFUNCTION("IMPORTRANGE(""1Hir2BSz1KtNe_zzhtoBurd4NvYToFy3OAbQvUmeocvQ"",""2026-27!G4"")"),2.053E7)</f>
        <v>20530000</v>
      </c>
      <c r="M133" s="59">
        <f t="shared" ref="M133:M136" si="112">R133+Y133+AF133+AM133+AT133+BA133+BH133+BO133+BV133+CC133+CJ133+CQ133</f>
        <v>2855308.38</v>
      </c>
      <c r="N133" s="60">
        <f t="shared" si="98"/>
        <v>0.04361014564</v>
      </c>
      <c r="O133" s="61">
        <f t="shared" ref="O133:O136" si="113">U133+AB133+AI133+AP133+AW133+BD133+BK133+BR133+BY133+CF133+CM133+CT133</f>
        <v>895316.29</v>
      </c>
      <c r="P133" s="59">
        <f>IFERROR(__xludf.DUMMYFUNCTION("IMPORTRANGE(""1Hir2BSz1KtNe_zzhtoBurd4NvYToFy3OAbQvUmeocvQ"",""2026-27!J4"")"),1401000.0)</f>
        <v>1401000</v>
      </c>
      <c r="Q133" s="59">
        <f>IFERROR(__xludf.DUMMYFUNCTION("IMPORTRANGE(""1Hir2BSz1KtNe_zzhtoBurd4NvYToFy3OAbQvUmeocvQ"",""2026-27!J3"")"),98.0)</f>
        <v>98</v>
      </c>
      <c r="R133" s="59">
        <f>IFERROR(__xludf.DUMMYFUNCTION("IMPORTRANGE(""1Hir2BSz1KtNe_zzhtoBurd4NvYToFy3OAbQvUmeocvQ"",""2026-27!K4"")"),506577.0)</f>
        <v>506577</v>
      </c>
      <c r="S133" s="59">
        <f>IFERROR(__xludf.DUMMYFUNCTION("IMPORTRANGE(""1Hir2BSz1KtNe_zzhtoBurd4NvYToFy3OAbQvUmeocvQ"",""2026-27!K3"")"),16.0)</f>
        <v>16</v>
      </c>
      <c r="T133" s="62">
        <f t="shared" si="100"/>
        <v>0.2517651035</v>
      </c>
      <c r="U133" s="59">
        <f>IFERROR(__xludf.DUMMYFUNCTION("IMPORTRANGE(""1Hir2BSz1KtNe_zzhtoBurd4NvYToFy3OAbQvUmeocvQ"",""2026-27!L4"")"),352722.91)</f>
        <v>352722.91</v>
      </c>
      <c r="V133" s="59">
        <f>IFERROR(__xludf.DUMMYFUNCTION("IMPORTRANGE(""1Hir2BSz1KtNe_zzhtoBurd4NvYToFy3OAbQvUmeocvQ"",""2026-27!L3"")"),11.0)</f>
        <v>11</v>
      </c>
      <c r="W133" s="59">
        <f>IFERROR(__xludf.DUMMYFUNCTION("IMPORTRANGE(""1Hir2BSz1KtNe_zzhtoBurd4NvYToFy3OAbQvUmeocvQ"",""2026-27!m4"")"),1381000.0)</f>
        <v>1381000</v>
      </c>
      <c r="X133" s="59">
        <f>IFERROR(__xludf.DUMMYFUNCTION("IMPORTRANGE(""1Hir2BSz1KtNe_zzhtoBurd4NvYToFy3OAbQvUmeocvQ"",""2026-27!m3"")"),99.0)</f>
        <v>99</v>
      </c>
      <c r="Y133" s="59">
        <f>IFERROR(__xludf.DUMMYFUNCTION("IMPORTRANGE(""1Hir2BSz1KtNe_zzhtoBurd4NvYToFy3OAbQvUmeocvQ"",""2026-27!N4"")"),701665.95)</f>
        <v>701665.95</v>
      </c>
      <c r="Z133" s="59">
        <f>IFERROR(__xludf.DUMMYFUNCTION("IMPORTRANGE(""1Hir2BSz1KtNe_zzhtoBurd4NvYToFy3OAbQvUmeocvQ"",""2026-27!N3"")"),22.0)</f>
        <v>22</v>
      </c>
      <c r="AA133" s="62">
        <f t="shared" si="101"/>
        <v>0.3928988993</v>
      </c>
      <c r="AB133" s="59">
        <f>IFERROR(__xludf.DUMMYFUNCTION("IMPORTRANGE(""1Hir2BSz1KtNe_zzhtoBurd4NvYToFy3OAbQvUmeocvQ"",""2026-27!O4"")"),542593.3800000001)</f>
        <v>542593.38</v>
      </c>
      <c r="AC133" s="59">
        <f>IFERROR(__xludf.DUMMYFUNCTION("IMPORTRANGE(""1Hir2BSz1KtNe_zzhtoBurd4NvYToFy3OAbQvUmeocvQ"",""2026-27!O3"")"),19.0)</f>
        <v>19</v>
      </c>
      <c r="AD133" s="59">
        <f>IFERROR(__xludf.DUMMYFUNCTION("IMPORTRANGE(""1Hir2BSz1KtNe_zzhtoBurd4NvYToFy3OAbQvUmeocvQ"",""2026-27!P4"")"),1306000.0)</f>
        <v>1306000</v>
      </c>
      <c r="AE133" s="59">
        <f>IFERROR(__xludf.DUMMYFUNCTION("IMPORTRANGE(""1Hir2BSz1KtNe_zzhtoBurd4NvYToFy3OAbQvUmeocvQ"",""2026-27!P3"")"),99.0)</f>
        <v>99</v>
      </c>
      <c r="AF133" s="59">
        <f>IFERROR(__xludf.DUMMYFUNCTION("IMPORTRANGE(""1Hir2BSz1KtNe_zzhtoBurd4NvYToFy3OAbQvUmeocvQ"",""2026-27!Q4"")"),1647065.4299999997)</f>
        <v>1647065.43</v>
      </c>
      <c r="AG133" s="59">
        <f>IFERROR(__xludf.DUMMYFUNCTION("IMPORTRANGE(""1Hir2BSz1KtNe_zzhtoBurd4NvYToFy3OAbQvUmeocvQ"",""2026-27!Q3"")"),31.0)</f>
        <v>31</v>
      </c>
      <c r="AH133" s="62">
        <f t="shared" si="102"/>
        <v>0</v>
      </c>
      <c r="AI133" s="59">
        <f>IFERROR(__xludf.DUMMYFUNCTION("IMPORTRANGE(""1Hir2BSz1KtNe_zzhtoBurd4NvYToFy3OAbQvUmeocvQ"",""2026-27!R4"")"),0.0)</f>
        <v>0</v>
      </c>
      <c r="AJ133" s="59">
        <f>IFERROR(__xludf.DUMMYFUNCTION("IMPORTRANGE(""1Hir2BSz1KtNe_zzhtoBurd4NvYToFy3OAbQvUmeocvQ"",""2026-27!R3"")"),0.0)</f>
        <v>0</v>
      </c>
      <c r="AK133" s="59">
        <f>IFERROR(__xludf.DUMMYFUNCTION("IMPORTRANGE(""1Hir2BSz1KtNe_zzhtoBurd4NvYToFy3OAbQvUmeocvQ"",""2026-27!S4"")"),1510000.0)</f>
        <v>1510000</v>
      </c>
      <c r="AL133" s="59">
        <f>IFERROR(__xludf.DUMMYFUNCTION("IMPORTRANGE(""1Hir2BSz1KtNe_zzhtoBurd4NvYToFy3OAbQvUmeocvQ"",""2026-27!S3"")"),89.0)</f>
        <v>89</v>
      </c>
      <c r="AM133" s="59">
        <f>IFERROR(__xludf.DUMMYFUNCTION("IMPORTRANGE(""1Hir2BSz1KtNe_zzhtoBurd4NvYToFy3OAbQvUmeocvQ"",""2026-27!T4"")"),0.0)</f>
        <v>0</v>
      </c>
      <c r="AN133" s="59">
        <f>IFERROR(__xludf.DUMMYFUNCTION("IMPORTRANGE(""1Hir2BSz1KtNe_zzhtoBurd4NvYToFy3OAbQvUmeocvQ"",""2026-27!T3"")"),0.0)</f>
        <v>0</v>
      </c>
      <c r="AO133" s="62">
        <f t="shared" si="103"/>
        <v>0</v>
      </c>
      <c r="AP133" s="59">
        <f>IFERROR(__xludf.DUMMYFUNCTION("IMPORTRANGE(""1Hir2BSz1KtNe_zzhtoBurd4NvYToFy3OAbQvUmeocvQ"",""2026-27!U4"")"),0.0)</f>
        <v>0</v>
      </c>
      <c r="AQ133" s="59">
        <f>IFERROR(__xludf.DUMMYFUNCTION("IMPORTRANGE(""1Hir2BSz1KtNe_zzhtoBurd4NvYToFy3OAbQvUmeocvQ"",""2026-27!U3"")"),0.0)</f>
        <v>0</v>
      </c>
      <c r="AR133" s="59">
        <f>IFERROR(__xludf.DUMMYFUNCTION("IMPORTRANGE(""1Hir2BSz1KtNe_zzhtoBurd4NvYToFy3OAbQvUmeocvQ"",""2026-27!V4"")"),1510000.0)</f>
        <v>1510000</v>
      </c>
      <c r="AS133" s="59">
        <f>IFERROR(__xludf.DUMMYFUNCTION("IMPORTRANGE(""1Hir2BSz1KtNe_zzhtoBurd4NvYToFy3OAbQvUmeocvQ"",""2026-27!V3"")"),89.0)</f>
        <v>89</v>
      </c>
      <c r="AT133" s="59">
        <f>IFERROR(__xludf.DUMMYFUNCTION("IMPORTRANGE(""1Hir2BSz1KtNe_zzhtoBurd4NvYToFy3OAbQvUmeocvQ"",""2026-27!W4"")"),0.0)</f>
        <v>0</v>
      </c>
      <c r="AU133" s="59">
        <f>IFERROR(__xludf.DUMMYFUNCTION("IMPORTRANGE(""1Hir2BSz1KtNe_zzhtoBurd4NvYToFy3OAbQvUmeocvQ"",""2026-27!W3"")"),0.0)</f>
        <v>0</v>
      </c>
      <c r="AV133" s="62">
        <f t="shared" si="104"/>
        <v>0</v>
      </c>
      <c r="AW133" s="59">
        <f>IFERROR(__xludf.DUMMYFUNCTION("IMPORTRANGE(""1Hir2BSz1KtNe_zzhtoBurd4NvYToFy3OAbQvUmeocvQ"",""2026-27!X4"")"),0.0)</f>
        <v>0</v>
      </c>
      <c r="AX133" s="59">
        <f>IFERROR(__xludf.DUMMYFUNCTION("IMPORTRANGE(""1Hir2BSz1KtNe_zzhtoBurd4NvYToFy3OAbQvUmeocvQ"",""2026-27!X3"")"),0.0)</f>
        <v>0</v>
      </c>
      <c r="AY133" s="59">
        <f>IFERROR(__xludf.DUMMYFUNCTION("IMPORTRANGE(""1Hir2BSz1KtNe_zzhtoBurd4NvYToFy3OAbQvUmeocvQ"",""2026-27!Y4"")"),0.0)</f>
        <v>0</v>
      </c>
      <c r="AZ133" s="59">
        <f>IFERROR(__xludf.DUMMYFUNCTION("IMPORTRANGE(""1Hir2BSz1KtNe_zzhtoBurd4NvYToFy3OAbQvUmeocvQ"",""2026-27!Y3"")"),0.0)</f>
        <v>0</v>
      </c>
      <c r="BA133" s="59">
        <f>IFERROR(__xludf.DUMMYFUNCTION("IMPORTRANGE(""1Hir2BSz1KtNe_zzhtoBurd4NvYToFy3OAbQvUmeocvQ"",""2026-27!Z4"")"),0.0)</f>
        <v>0</v>
      </c>
      <c r="BB133" s="59">
        <f>IFERROR(__xludf.DUMMYFUNCTION("IMPORTRANGE(""1Hir2BSz1KtNe_zzhtoBurd4NvYToFy3OAbQvUmeocvQ"",""2026-27!Z3"")"),0.0)</f>
        <v>0</v>
      </c>
      <c r="BC133" s="63" t="str">
        <f t="shared" si="105"/>
        <v/>
      </c>
      <c r="BD133" s="59">
        <f>IFERROR(__xludf.DUMMYFUNCTION("IMPORTRANGE(""1Hir2BSz1KtNe_zzhtoBurd4NvYToFy3OAbQvUmeocvQ"",""2026-27!AA4"")"),0.0)</f>
        <v>0</v>
      </c>
      <c r="BE133" s="59">
        <f>IFERROR(__xludf.DUMMYFUNCTION("IMPORTRANGE(""1Hir2BSz1KtNe_zzhtoBurd4NvYToFy3OAbQvUmeocvQ"",""2026-27!AA3"")"),0.0)</f>
        <v>0</v>
      </c>
      <c r="BF133" s="59">
        <f>IFERROR(__xludf.DUMMYFUNCTION("IMPORTRANGE(""1Hir2BSz1KtNe_zzhtoBurd4NvYToFy3OAbQvUmeocvQ"",""2026-27!AB4"")"),0.0)</f>
        <v>0</v>
      </c>
      <c r="BG133" s="59">
        <f>IFERROR(__xludf.DUMMYFUNCTION("IMPORTRANGE(""1Hir2BSz1KtNe_zzhtoBurd4NvYToFy3OAbQvUmeocvQ"",""2026-27!AB3"")"),0.0)</f>
        <v>0</v>
      </c>
      <c r="BH133" s="59">
        <f>IFERROR(__xludf.DUMMYFUNCTION("IMPORTRANGE(""1Hir2BSz1KtNe_zzhtoBurd4NvYToFy3OAbQvUmeocvQ"",""2026-27!AC4"")"),0.0)</f>
        <v>0</v>
      </c>
      <c r="BI133" s="59">
        <f>IFERROR(__xludf.DUMMYFUNCTION("IMPORTRANGE(""1Hir2BSz1KtNe_zzhtoBurd4NvYToFy3OAbQvUmeocvQ"",""2026-27!AC3"")"),0.0)</f>
        <v>0</v>
      </c>
      <c r="BJ133" s="63" t="str">
        <f t="shared" si="106"/>
        <v/>
      </c>
      <c r="BK133" s="59">
        <f>IFERROR(__xludf.DUMMYFUNCTION("IMPORTRANGE(""1Hir2BSz1KtNe_zzhtoBurd4NvYToFy3OAbQvUmeocvQ"",""2026-27!AD4"")"),0.0)</f>
        <v>0</v>
      </c>
      <c r="BL133" s="59">
        <f>IFERROR(__xludf.DUMMYFUNCTION("IMPORTRANGE(""1Hir2BSz1KtNe_zzhtoBurd4NvYToFy3OAbQvUmeocvQ"",""2026-27!AD3"")"),0.0)</f>
        <v>0</v>
      </c>
      <c r="BM133" s="59">
        <f>IFERROR(__xludf.DUMMYFUNCTION("IMPORTRANGE(""1Hir2BSz1KtNe_zzhtoBurd4NvYToFy3OAbQvUmeocvQ"",""2026-27!AE4"")"),0.0)</f>
        <v>0</v>
      </c>
      <c r="BN133" s="59">
        <f>IFERROR(__xludf.DUMMYFUNCTION("IMPORTRANGE(""1Hir2BSz1KtNe_zzhtoBurd4NvYToFy3OAbQvUmeocvQ"",""2026-27!AE3"")"),0.0)</f>
        <v>0</v>
      </c>
      <c r="BO133" s="59">
        <f>IFERROR(__xludf.DUMMYFUNCTION("IMPORTRANGE(""1Hir2BSz1KtNe_zzhtoBurd4NvYToFy3OAbQvUmeocvQ"",""2026-27!AF4"")"),0.0)</f>
        <v>0</v>
      </c>
      <c r="BP133" s="59">
        <f>IFERROR(__xludf.DUMMYFUNCTION("IMPORTRANGE(""1Hir2BSz1KtNe_zzhtoBurd4NvYToFy3OAbQvUmeocvQ"",""2026-27!AF3"")"),0.0)</f>
        <v>0</v>
      </c>
      <c r="BQ133" s="63" t="str">
        <f t="shared" si="107"/>
        <v/>
      </c>
      <c r="BR133" s="59">
        <f>IFERROR(__xludf.DUMMYFUNCTION("IMPORTRANGE(""1Hir2BSz1KtNe_zzhtoBurd4NvYToFy3OAbQvUmeocvQ"",""2026-27!AG4"")"),0.0)</f>
        <v>0</v>
      </c>
      <c r="BS133" s="59">
        <f>IFERROR(__xludf.DUMMYFUNCTION("IMPORTRANGE(""1Hir2BSz1KtNe_zzhtoBurd4NvYToFy3OAbQvUmeocvQ"",""2026-27!AG3"")"),0.0)</f>
        <v>0</v>
      </c>
      <c r="BT133" s="59">
        <f>IFERROR(__xludf.DUMMYFUNCTION("IMPORTRANGE(""1Hir2BSz1KtNe_zzhtoBurd4NvYToFy3OAbQvUmeocvQ"",""2026-27!AH4"")"),0.0)</f>
        <v>0</v>
      </c>
      <c r="BU133" s="59">
        <f>IFERROR(__xludf.DUMMYFUNCTION("IMPORTRANGE(""1Hir2BSz1KtNe_zzhtoBurd4NvYToFy3OAbQvUmeocvQ"",""2026-27!AH3"")"),0.0)</f>
        <v>0</v>
      </c>
      <c r="BV133" s="59">
        <f>IFERROR(__xludf.DUMMYFUNCTION("IMPORTRANGE(""1Hir2BSz1KtNe_zzhtoBurd4NvYToFy3OAbQvUmeocvQ"",""2026-27!AI4"")"),0.0)</f>
        <v>0</v>
      </c>
      <c r="BW133" s="59">
        <f>IFERROR(__xludf.DUMMYFUNCTION("IMPORTRANGE(""1Hir2BSz1KtNe_zzhtoBurd4NvYToFy3OAbQvUmeocvQ"",""2026-27!AI3"")"),0.0)</f>
        <v>0</v>
      </c>
      <c r="BX133" s="63" t="str">
        <f t="shared" si="108"/>
        <v/>
      </c>
      <c r="BY133" s="59">
        <f>IFERROR(__xludf.DUMMYFUNCTION("IMPORTRANGE(""1Hir2BSz1KtNe_zzhtoBurd4NvYToFy3OAbQvUmeocvQ"",""2026-27!AJ4"")"),0.0)</f>
        <v>0</v>
      </c>
      <c r="BZ133" s="59">
        <f>IFERROR(__xludf.DUMMYFUNCTION("IMPORTRANGE(""1Hir2BSz1KtNe_zzhtoBurd4NvYToFy3OAbQvUmeocvQ"",""2026-27!AJ3"")"),0.0)</f>
        <v>0</v>
      </c>
      <c r="CA133" s="59">
        <f>IFERROR(__xludf.DUMMYFUNCTION("IMPORTRANGE(""1Hir2BSz1KtNe_zzhtoBurd4NvYToFy3OAbQvUmeocvQ"",""2026-27!AK4"")"),0.0)</f>
        <v>0</v>
      </c>
      <c r="CB133" s="59">
        <f>IFERROR(__xludf.DUMMYFUNCTION("IMPORTRANGE(""1Hir2BSz1KtNe_zzhtoBurd4NvYToFy3OAbQvUmeocvQ"",""2026-27!AK3"")"),0.0)</f>
        <v>0</v>
      </c>
      <c r="CC133" s="59">
        <f>IFERROR(__xludf.DUMMYFUNCTION("IMPORTRANGE(""1Hir2BSz1KtNe_zzhtoBurd4NvYToFy3OAbQvUmeocvQ"",""2026-27!AL4"")"),0.0)</f>
        <v>0</v>
      </c>
      <c r="CD133" s="59">
        <f>IFERROR(__xludf.DUMMYFUNCTION("IMPORTRANGE(""1Hir2BSz1KtNe_zzhtoBurd4NvYToFy3OAbQvUmeocvQ"",""2026-27!AL3"")"),0.0)</f>
        <v>0</v>
      </c>
      <c r="CE133" s="63" t="str">
        <f t="shared" si="109"/>
        <v/>
      </c>
      <c r="CF133" s="59">
        <f>IFERROR(__xludf.DUMMYFUNCTION("IMPORTRANGE(""1Hir2BSz1KtNe_zzhtoBurd4NvYToFy3OAbQvUmeocvQ"",""2026-27!AM4"")"),0.0)</f>
        <v>0</v>
      </c>
      <c r="CG133" s="59">
        <f>IFERROR(__xludf.DUMMYFUNCTION("IMPORTRANGE(""1Hir2BSz1KtNe_zzhtoBurd4NvYToFy3OAbQvUmeocvQ"",""2026-27!AM3"")"),0.0)</f>
        <v>0</v>
      </c>
      <c r="CH133" s="59">
        <f>IFERROR(__xludf.DUMMYFUNCTION("IMPORTRANGE(""1Hir2BSz1KtNe_zzhtoBurd4NvYToFy3OAbQvUmeocvQ"",""2026-27!AN4"")"),0.0)</f>
        <v>0</v>
      </c>
      <c r="CI133" s="59">
        <f>IFERROR(__xludf.DUMMYFUNCTION("IMPORTRANGE(""1Hir2BSz1KtNe_zzhtoBurd4NvYToFy3OAbQvUmeocvQ"",""2026-27!AN3"")"),0.0)</f>
        <v>0</v>
      </c>
      <c r="CJ133" s="59">
        <f>IFERROR(__xludf.DUMMYFUNCTION("IMPORTRANGE(""1Hir2BSz1KtNe_zzhtoBurd4NvYToFy3OAbQvUmeocvQ"",""2026-27!AO4"")"),0.0)</f>
        <v>0</v>
      </c>
      <c r="CK133" s="59">
        <f>IFERROR(__xludf.DUMMYFUNCTION("IMPORTRANGE(""1Hir2BSz1KtNe_zzhtoBurd4NvYToFy3OAbQvUmeocvQ"",""2026-27!AO3"")"),0.0)</f>
        <v>0</v>
      </c>
      <c r="CL133" s="63" t="str">
        <f t="shared" si="110"/>
        <v/>
      </c>
      <c r="CM133" s="59">
        <f>IFERROR(__xludf.DUMMYFUNCTION("IMPORTRANGE(""1Hir2BSz1KtNe_zzhtoBurd4NvYToFy3OAbQvUmeocvQ"",""2026-27!AP4"")"),0.0)</f>
        <v>0</v>
      </c>
      <c r="CN133" s="59">
        <f>IFERROR(__xludf.DUMMYFUNCTION("IMPORTRANGE(""1Hir2BSz1KtNe_zzhtoBurd4NvYToFy3OAbQvUmeocvQ"",""2026-27!AP3"")"),0.0)</f>
        <v>0</v>
      </c>
      <c r="CO133" s="59">
        <f>IFERROR(__xludf.DUMMYFUNCTION("IMPORTRANGE(""1Hir2BSz1KtNe_zzhtoBurd4NvYToFy3OAbQvUmeocvQ"",""2026-27!AQ4"")"),0.0)</f>
        <v>0</v>
      </c>
      <c r="CP133" s="59">
        <f>IFERROR(__xludf.DUMMYFUNCTION("IMPORTRANGE(""1Hir2BSz1KtNe_zzhtoBurd4NvYToFy3OAbQvUmeocvQ"",""2026-27!AQ3"")"),0.0)</f>
        <v>0</v>
      </c>
      <c r="CQ133" s="59">
        <f>IFERROR(__xludf.DUMMYFUNCTION("IMPORTRANGE(""1Hir2BSz1KtNe_zzhtoBurd4NvYToFy3OAbQvUmeocvQ"",""2026-27!AR4"")"),0.0)</f>
        <v>0</v>
      </c>
      <c r="CR133" s="59">
        <f>IFERROR(__xludf.DUMMYFUNCTION("IMPORTRANGE(""1Hir2BSz1KtNe_zzhtoBurd4NvYToFy3OAbQvUmeocvQ"",""2026-27!AR3"")"),0.0)</f>
        <v>0</v>
      </c>
      <c r="CS133" s="63" t="str">
        <f t="shared" si="111"/>
        <v/>
      </c>
      <c r="CT133" s="59">
        <f>IFERROR(__xludf.DUMMYFUNCTION("IMPORTRANGE(""1Hir2BSz1KtNe_zzhtoBurd4NvYToFy3OAbQvUmeocvQ"",""2026-27!AS4"")"),0.0)</f>
        <v>0</v>
      </c>
      <c r="CU133" s="59">
        <f>IFERROR(__xludf.DUMMYFUNCTION("IMPORTRANGE(""1Hir2BSz1KtNe_zzhtoBurd4NvYToFy3OAbQvUmeocvQ"",""2026-27!AS3"")"),0.0)</f>
        <v>0</v>
      </c>
      <c r="CV133" s="64"/>
    </row>
    <row r="134">
      <c r="A134" s="123" t="s">
        <v>160</v>
      </c>
      <c r="B134" s="41"/>
      <c r="C134" s="86" t="s">
        <v>261</v>
      </c>
      <c r="D134" s="53" t="s">
        <v>262</v>
      </c>
      <c r="E134" s="54">
        <v>9.205287011E9</v>
      </c>
      <c r="F134" s="55">
        <v>43393.0</v>
      </c>
      <c r="G134" s="66"/>
      <c r="H134" s="66"/>
      <c r="I134" s="57">
        <v>41430.0</v>
      </c>
      <c r="J134" s="58">
        <v>2500000.0</v>
      </c>
      <c r="K134" s="59">
        <f>IFERROR(__xludf.DUMMYFUNCTION("IMPORTRANGE(""1UwZVGRca4V7QbfCEKzKsInQfTfLYV5gkrTzD89b_gVg"",""2026-27!A3"")"),130.0)</f>
        <v>130</v>
      </c>
      <c r="L134" s="59">
        <f>IFERROR(__xludf.DUMMYFUNCTION("IMPORTRANGE(""1UwZVGRca4V7QbfCEKzKsInQfTfLYV5gkrTzD89b_gVg"",""2026-27!G4"")"),4.086E7)</f>
        <v>40860000</v>
      </c>
      <c r="M134" s="59">
        <f t="shared" si="112"/>
        <v>7538798.08</v>
      </c>
      <c r="N134" s="60">
        <f t="shared" si="98"/>
        <v>0.154807254</v>
      </c>
      <c r="O134" s="61">
        <f t="shared" si="113"/>
        <v>6325424.4</v>
      </c>
      <c r="P134" s="59">
        <f>IFERROR(__xludf.DUMMYFUNCTION("IMPORTRANGE(""1UwZVGRca4V7QbfCEKzKsInQfTfLYV5gkrTzD89b_gVg"",""2026-27!J4"")"),2600000.0)</f>
        <v>2600000</v>
      </c>
      <c r="Q134" s="59">
        <f>IFERROR(__xludf.DUMMYFUNCTION("IMPORTRANGE(""1UwZVGRca4V7QbfCEKzKsInQfTfLYV5gkrTzD89b_gVg"",""2026-27!J3"")"),108.0)</f>
        <v>108</v>
      </c>
      <c r="R134" s="59">
        <f>IFERROR(__xludf.DUMMYFUNCTION("IMPORTRANGE(""1UwZVGRca4V7QbfCEKzKsInQfTfLYV5gkrTzD89b_gVg"",""2026-27!K4"")"),2300102.6499999994)</f>
        <v>2300102.65</v>
      </c>
      <c r="S134" s="59">
        <f>IFERROR(__xludf.DUMMYFUNCTION("IMPORTRANGE(""1UwZVGRca4V7QbfCEKzKsInQfTfLYV5gkrTzD89b_gVg"",""2026-27!K3"")"),46.0)</f>
        <v>46</v>
      </c>
      <c r="T134" s="62">
        <f t="shared" si="100"/>
        <v>1.126404315</v>
      </c>
      <c r="U134" s="59">
        <f>IFERROR(__xludf.DUMMYFUNCTION("IMPORTRANGE(""1UwZVGRca4V7QbfCEKzKsInQfTfLYV5gkrTzD89b_gVg"",""2026-27!L4"")"),2928651.22)</f>
        <v>2928651.22</v>
      </c>
      <c r="V134" s="59">
        <f>IFERROR(__xludf.DUMMYFUNCTION("IMPORTRANGE(""1UwZVGRca4V7QbfCEKzKsInQfTfLYV5gkrTzD89b_gVg"",""2026-27!L3"")"),50.0)</f>
        <v>50</v>
      </c>
      <c r="W134" s="59">
        <f>IFERROR(__xludf.DUMMYFUNCTION("IMPORTRANGE(""1UwZVGRca4V7QbfCEKzKsInQfTfLYV5gkrTzD89b_gVg"",""2026-27!m4"")"),2600000.0)</f>
        <v>2600000</v>
      </c>
      <c r="X134" s="59">
        <f>IFERROR(__xludf.DUMMYFUNCTION("IMPORTRANGE(""1UwZVGRca4V7QbfCEKzKsInQfTfLYV5gkrTzD89b_gVg"",""2026-27!m3"")"),108.0)</f>
        <v>108</v>
      </c>
      <c r="Y134" s="59">
        <f>IFERROR(__xludf.DUMMYFUNCTION("IMPORTRANGE(""1UwZVGRca4V7QbfCEKzKsInQfTfLYV5gkrTzD89b_gVg"",""2026-27!N4"")"),2653965.7800000003)</f>
        <v>2653965.78</v>
      </c>
      <c r="Z134" s="59">
        <f>IFERROR(__xludf.DUMMYFUNCTION("IMPORTRANGE(""1UwZVGRca4V7QbfCEKzKsInQfTfLYV5gkrTzD89b_gVg"",""2026-27!N3"")"),39.0)</f>
        <v>39</v>
      </c>
      <c r="AA134" s="62">
        <f t="shared" si="101"/>
        <v>1.154647885</v>
      </c>
      <c r="AB134" s="59">
        <f>IFERROR(__xludf.DUMMYFUNCTION("IMPORTRANGE(""1UwZVGRca4V7QbfCEKzKsInQfTfLYV5gkrTzD89b_gVg"",""2026-27!O4"")"),3002084.5)</f>
        <v>3002084.5</v>
      </c>
      <c r="AC134" s="59">
        <f>IFERROR(__xludf.DUMMYFUNCTION("IMPORTRANGE(""1UwZVGRca4V7QbfCEKzKsInQfTfLYV5gkrTzD89b_gVg"",""2026-27!O3"")"),48.0)</f>
        <v>48</v>
      </c>
      <c r="AD134" s="59">
        <f>IFERROR(__xludf.DUMMYFUNCTION("IMPORTRANGE(""1UwZVGRca4V7QbfCEKzKsInQfTfLYV5gkrTzD89b_gVg"",""2026-27!P4"")"),2600000.0)</f>
        <v>2600000</v>
      </c>
      <c r="AE134" s="59">
        <f>IFERROR(__xludf.DUMMYFUNCTION("IMPORTRANGE(""1UwZVGRca4V7QbfCEKzKsInQfTfLYV5gkrTzD89b_gVg"",""2026-27!P3"")"),110.0)</f>
        <v>110</v>
      </c>
      <c r="AF134" s="59">
        <f>IFERROR(__xludf.DUMMYFUNCTION("IMPORTRANGE(""1UwZVGRca4V7QbfCEKzKsInQfTfLYV5gkrTzD89b_gVg"",""2026-27!Q4"")"),2584729.6500000004)</f>
        <v>2584729.65</v>
      </c>
      <c r="AG134" s="59">
        <f>IFERROR(__xludf.DUMMYFUNCTION("IMPORTRANGE(""1UwZVGRca4V7QbfCEKzKsInQfTfLYV5gkrTzD89b_gVg"",""2026-27!Q3"")"),53.0)</f>
        <v>53</v>
      </c>
      <c r="AH134" s="62">
        <f t="shared" si="102"/>
        <v>0.1518033385</v>
      </c>
      <c r="AI134" s="59">
        <f>IFERROR(__xludf.DUMMYFUNCTION("IMPORTRANGE(""1UwZVGRca4V7QbfCEKzKsInQfTfLYV5gkrTzD89b_gVg"",""2026-27!R4"")"),394688.6800000001)</f>
        <v>394688.68</v>
      </c>
      <c r="AJ134" s="59">
        <f>IFERROR(__xludf.DUMMYFUNCTION("IMPORTRANGE(""1UwZVGRca4V7QbfCEKzKsInQfTfLYV5gkrTzD89b_gVg"",""2026-27!R3"")"),15.0)</f>
        <v>15</v>
      </c>
      <c r="AK134" s="59">
        <f>IFERROR(__xludf.DUMMYFUNCTION("IMPORTRANGE(""1UwZVGRca4V7QbfCEKzKsInQfTfLYV5gkrTzD89b_gVg"",""2026-27!S4"")"),0.0)</f>
        <v>0</v>
      </c>
      <c r="AL134" s="59">
        <f>IFERROR(__xludf.DUMMYFUNCTION("IMPORTRANGE(""1UwZVGRca4V7QbfCEKzKsInQfTfLYV5gkrTzD89b_gVg"",""2026-27!S3"")"),0.0)</f>
        <v>0</v>
      </c>
      <c r="AM134" s="59">
        <f>IFERROR(__xludf.DUMMYFUNCTION("IMPORTRANGE(""1UwZVGRca4V7QbfCEKzKsInQfTfLYV5gkrTzD89b_gVg"",""2026-27!T4"")"),0.0)</f>
        <v>0</v>
      </c>
      <c r="AN134" s="59">
        <f>IFERROR(__xludf.DUMMYFUNCTION("IMPORTRANGE(""1UwZVGRca4V7QbfCEKzKsInQfTfLYV5gkrTzD89b_gVg"",""2026-27!T3"")"),0.0)</f>
        <v>0</v>
      </c>
      <c r="AO134" s="62" t="str">
        <f t="shared" si="103"/>
        <v/>
      </c>
      <c r="AP134" s="59">
        <f>IFERROR(__xludf.DUMMYFUNCTION("IMPORTRANGE(""1UwZVGRca4V7QbfCEKzKsInQfTfLYV5gkrTzD89b_gVg"",""2026-27!U4"")"),0.0)</f>
        <v>0</v>
      </c>
      <c r="AQ134" s="59">
        <f>IFERROR(__xludf.DUMMYFUNCTION("IMPORTRANGE(""1UwZVGRca4V7QbfCEKzKsInQfTfLYV5gkrTzD89b_gVg"",""2026-27!U3"")"),0.0)</f>
        <v>0</v>
      </c>
      <c r="AR134" s="59">
        <f>IFERROR(__xludf.DUMMYFUNCTION("IMPORTRANGE(""1UwZVGRca4V7QbfCEKzKsInQfTfLYV5gkrTzD89b_gVg"",""2026-27!V4"")"),0.0)</f>
        <v>0</v>
      </c>
      <c r="AS134" s="59">
        <f>IFERROR(__xludf.DUMMYFUNCTION("IMPORTRANGE(""1UwZVGRca4V7QbfCEKzKsInQfTfLYV5gkrTzD89b_gVg"",""2026-27!V3"")"),0.0)</f>
        <v>0</v>
      </c>
      <c r="AT134" s="59">
        <f>IFERROR(__xludf.DUMMYFUNCTION("IMPORTRANGE(""1UwZVGRca4V7QbfCEKzKsInQfTfLYV5gkrTzD89b_gVg"",""2026-27!W4"")"),0.0)</f>
        <v>0</v>
      </c>
      <c r="AU134" s="59">
        <f>IFERROR(__xludf.DUMMYFUNCTION("IMPORTRANGE(""1UwZVGRca4V7QbfCEKzKsInQfTfLYV5gkrTzD89b_gVg"",""2026-27!W3"")"),0.0)</f>
        <v>0</v>
      </c>
      <c r="AV134" s="62" t="str">
        <f t="shared" si="104"/>
        <v/>
      </c>
      <c r="AW134" s="59">
        <f>IFERROR(__xludf.DUMMYFUNCTION("IMPORTRANGE(""1UwZVGRca4V7QbfCEKzKsInQfTfLYV5gkrTzD89b_gVg"",""2026-27!X4"")"),0.0)</f>
        <v>0</v>
      </c>
      <c r="AX134" s="59">
        <f>IFERROR(__xludf.DUMMYFUNCTION("IMPORTRANGE(""1UwZVGRca4V7QbfCEKzKsInQfTfLYV5gkrTzD89b_gVg"",""2026-27!X3"")"),0.0)</f>
        <v>0</v>
      </c>
      <c r="AY134" s="59">
        <f>IFERROR(__xludf.DUMMYFUNCTION("IMPORTRANGE(""1UwZVGRca4V7QbfCEKzKsInQfTfLYV5gkrTzD89b_gVg"",""2026-27!Y4"")"),0.0)</f>
        <v>0</v>
      </c>
      <c r="AZ134" s="59">
        <f>IFERROR(__xludf.DUMMYFUNCTION("IMPORTRANGE(""1UwZVGRca4V7QbfCEKzKsInQfTfLYV5gkrTzD89b_gVg"",""2026-27!Y3"")"),0.0)</f>
        <v>0</v>
      </c>
      <c r="BA134" s="59">
        <f>IFERROR(__xludf.DUMMYFUNCTION("IMPORTRANGE(""1UwZVGRca4V7QbfCEKzKsInQfTfLYV5gkrTzD89b_gVg"",""2026-27!Z4"")"),0.0)</f>
        <v>0</v>
      </c>
      <c r="BB134" s="59">
        <f>IFERROR(__xludf.DUMMYFUNCTION("IMPORTRANGE(""1UwZVGRca4V7QbfCEKzKsInQfTfLYV5gkrTzD89b_gVg"",""2026-27!Z3"")"),0.0)</f>
        <v>0</v>
      </c>
      <c r="BC134" s="63" t="str">
        <f t="shared" si="105"/>
        <v/>
      </c>
      <c r="BD134" s="59">
        <f>IFERROR(__xludf.DUMMYFUNCTION("IMPORTRANGE(""1UwZVGRca4V7QbfCEKzKsInQfTfLYV5gkrTzD89b_gVg"",""2026-27!AA4"")"),0.0)</f>
        <v>0</v>
      </c>
      <c r="BE134" s="59">
        <f>IFERROR(__xludf.DUMMYFUNCTION("IMPORTRANGE(""1UwZVGRca4V7QbfCEKzKsInQfTfLYV5gkrTzD89b_gVg"",""2026-27!AA3"")"),0.0)</f>
        <v>0</v>
      </c>
      <c r="BF134" s="59">
        <f>IFERROR(__xludf.DUMMYFUNCTION("IMPORTRANGE(""1UwZVGRca4V7QbfCEKzKsInQfTfLYV5gkrTzD89b_gVg"",""2026-27!AB4"")"),0.0)</f>
        <v>0</v>
      </c>
      <c r="BG134" s="59">
        <f>IFERROR(__xludf.DUMMYFUNCTION("IMPORTRANGE(""1UwZVGRca4V7QbfCEKzKsInQfTfLYV5gkrTzD89b_gVg"",""2026-27!AB3"")"),0.0)</f>
        <v>0</v>
      </c>
      <c r="BH134" s="59">
        <f>IFERROR(__xludf.DUMMYFUNCTION("IMPORTRANGE(""1UwZVGRca4V7QbfCEKzKsInQfTfLYV5gkrTzD89b_gVg"",""2026-27!AC4"")"),0.0)</f>
        <v>0</v>
      </c>
      <c r="BI134" s="59">
        <f>IFERROR(__xludf.DUMMYFUNCTION("IMPORTRANGE(""1UwZVGRca4V7QbfCEKzKsInQfTfLYV5gkrTzD89b_gVg"",""2026-27!AC3"")"),0.0)</f>
        <v>0</v>
      </c>
      <c r="BJ134" s="63" t="str">
        <f t="shared" si="106"/>
        <v/>
      </c>
      <c r="BK134" s="59">
        <f>IFERROR(__xludf.DUMMYFUNCTION("IMPORTRANGE(""1UwZVGRca4V7QbfCEKzKsInQfTfLYV5gkrTzD89b_gVg"",""2026-27!AD4"")"),0.0)</f>
        <v>0</v>
      </c>
      <c r="BL134" s="59">
        <f>IFERROR(__xludf.DUMMYFUNCTION("IMPORTRANGE(""1UwZVGRca4V7QbfCEKzKsInQfTfLYV5gkrTzD89b_gVg"",""2026-27!AD3"")"),0.0)</f>
        <v>0</v>
      </c>
      <c r="BM134" s="59">
        <f>IFERROR(__xludf.DUMMYFUNCTION("IMPORTRANGE(""1UwZVGRca4V7QbfCEKzKsInQfTfLYV5gkrTzD89b_gVg"",""2026-27!AE4"")"),0.0)</f>
        <v>0</v>
      </c>
      <c r="BN134" s="59">
        <f>IFERROR(__xludf.DUMMYFUNCTION("IMPORTRANGE(""1UwZVGRca4V7QbfCEKzKsInQfTfLYV5gkrTzD89b_gVg"",""2026-27!AE3"")"),0.0)</f>
        <v>0</v>
      </c>
      <c r="BO134" s="59">
        <f>IFERROR(__xludf.DUMMYFUNCTION("IMPORTRANGE(""1UwZVGRca4V7QbfCEKzKsInQfTfLYV5gkrTzD89b_gVg"",""2026-27!AF4"")"),0.0)</f>
        <v>0</v>
      </c>
      <c r="BP134" s="59">
        <f>IFERROR(__xludf.DUMMYFUNCTION("IMPORTRANGE(""1UwZVGRca4V7QbfCEKzKsInQfTfLYV5gkrTzD89b_gVg"",""2026-27!AF3"")"),0.0)</f>
        <v>0</v>
      </c>
      <c r="BQ134" s="63" t="str">
        <f t="shared" si="107"/>
        <v/>
      </c>
      <c r="BR134" s="59">
        <f>IFERROR(__xludf.DUMMYFUNCTION("IMPORTRANGE(""1UwZVGRca4V7QbfCEKzKsInQfTfLYV5gkrTzD89b_gVg"",""2026-27!AG4"")"),0.0)</f>
        <v>0</v>
      </c>
      <c r="BS134" s="59">
        <f>IFERROR(__xludf.DUMMYFUNCTION("IMPORTRANGE(""1UwZVGRca4V7QbfCEKzKsInQfTfLYV5gkrTzD89b_gVg"",""2026-27!AG3"")"),0.0)</f>
        <v>0</v>
      </c>
      <c r="BT134" s="59">
        <f>IFERROR(__xludf.DUMMYFUNCTION("IMPORTRANGE(""1UwZVGRca4V7QbfCEKzKsInQfTfLYV5gkrTzD89b_gVg"",""2026-27!AH4"")"),0.0)</f>
        <v>0</v>
      </c>
      <c r="BU134" s="59">
        <f>IFERROR(__xludf.DUMMYFUNCTION("IMPORTRANGE(""1UwZVGRca4V7QbfCEKzKsInQfTfLYV5gkrTzD89b_gVg"",""2026-27!AH3"")"),0.0)</f>
        <v>0</v>
      </c>
      <c r="BV134" s="59">
        <f>IFERROR(__xludf.DUMMYFUNCTION("IMPORTRANGE(""1UwZVGRca4V7QbfCEKzKsInQfTfLYV5gkrTzD89b_gVg"",""2026-27!AI4"")"),0.0)</f>
        <v>0</v>
      </c>
      <c r="BW134" s="59">
        <f>IFERROR(__xludf.DUMMYFUNCTION("IMPORTRANGE(""1UwZVGRca4V7QbfCEKzKsInQfTfLYV5gkrTzD89b_gVg"",""2026-27!AI3"")"),0.0)</f>
        <v>0</v>
      </c>
      <c r="BX134" s="63" t="str">
        <f t="shared" si="108"/>
        <v/>
      </c>
      <c r="BY134" s="59">
        <f>IFERROR(__xludf.DUMMYFUNCTION("IMPORTRANGE(""1UwZVGRca4V7QbfCEKzKsInQfTfLYV5gkrTzD89b_gVg"",""2026-27!AJ4"")"),0.0)</f>
        <v>0</v>
      </c>
      <c r="BZ134" s="59">
        <f>IFERROR(__xludf.DUMMYFUNCTION("IMPORTRANGE(""1UwZVGRca4V7QbfCEKzKsInQfTfLYV5gkrTzD89b_gVg"",""2026-27!AJ3"")"),0.0)</f>
        <v>0</v>
      </c>
      <c r="CA134" s="59">
        <f>IFERROR(__xludf.DUMMYFUNCTION("IMPORTRANGE(""1UwZVGRca4V7QbfCEKzKsInQfTfLYV5gkrTzD89b_gVg"",""2026-27!AK4"")"),0.0)</f>
        <v>0</v>
      </c>
      <c r="CB134" s="59">
        <f>IFERROR(__xludf.DUMMYFUNCTION("IMPORTRANGE(""1UwZVGRca4V7QbfCEKzKsInQfTfLYV5gkrTzD89b_gVg"",""2026-27!AK3"")"),0.0)</f>
        <v>0</v>
      </c>
      <c r="CC134" s="59">
        <f>IFERROR(__xludf.DUMMYFUNCTION("IMPORTRANGE(""1UwZVGRca4V7QbfCEKzKsInQfTfLYV5gkrTzD89b_gVg"",""2026-27!AL4"")"),0.0)</f>
        <v>0</v>
      </c>
      <c r="CD134" s="59">
        <f>IFERROR(__xludf.DUMMYFUNCTION("IMPORTRANGE(""1UwZVGRca4V7QbfCEKzKsInQfTfLYV5gkrTzD89b_gVg"",""2026-27!AL3"")"),0.0)</f>
        <v>0</v>
      </c>
      <c r="CE134" s="63" t="str">
        <f t="shared" si="109"/>
        <v/>
      </c>
      <c r="CF134" s="59">
        <f>IFERROR(__xludf.DUMMYFUNCTION("IMPORTRANGE(""1UwZVGRca4V7QbfCEKzKsInQfTfLYV5gkrTzD89b_gVg"",""2026-27!AM4"")"),0.0)</f>
        <v>0</v>
      </c>
      <c r="CG134" s="59">
        <f>IFERROR(__xludf.DUMMYFUNCTION("IMPORTRANGE(""1UwZVGRca4V7QbfCEKzKsInQfTfLYV5gkrTzD89b_gVg"",""2026-27!AM3"")"),0.0)</f>
        <v>0</v>
      </c>
      <c r="CH134" s="59">
        <f>IFERROR(__xludf.DUMMYFUNCTION("IMPORTRANGE(""1UwZVGRca4V7QbfCEKzKsInQfTfLYV5gkrTzD89b_gVg"",""2026-27!AN4"")"),0.0)</f>
        <v>0</v>
      </c>
      <c r="CI134" s="59">
        <f>IFERROR(__xludf.DUMMYFUNCTION("IMPORTRANGE(""1UwZVGRca4V7QbfCEKzKsInQfTfLYV5gkrTzD89b_gVg"",""2026-27!AN3"")"),0.0)</f>
        <v>0</v>
      </c>
      <c r="CJ134" s="59">
        <f>IFERROR(__xludf.DUMMYFUNCTION("IMPORTRANGE(""1UwZVGRca4V7QbfCEKzKsInQfTfLYV5gkrTzD89b_gVg"",""2026-27!AO4"")"),0.0)</f>
        <v>0</v>
      </c>
      <c r="CK134" s="59">
        <f>IFERROR(__xludf.DUMMYFUNCTION("IMPORTRANGE(""1UwZVGRca4V7QbfCEKzKsInQfTfLYV5gkrTzD89b_gVg"",""2026-27!AO3"")"),0.0)</f>
        <v>0</v>
      </c>
      <c r="CL134" s="63" t="str">
        <f t="shared" si="110"/>
        <v/>
      </c>
      <c r="CM134" s="59">
        <f>IFERROR(__xludf.DUMMYFUNCTION("IMPORTRANGE(""1UwZVGRca4V7QbfCEKzKsInQfTfLYV5gkrTzD89b_gVg"",""2026-27!AP4"")"),0.0)</f>
        <v>0</v>
      </c>
      <c r="CN134" s="59">
        <f>IFERROR(__xludf.DUMMYFUNCTION("IMPORTRANGE(""1UwZVGRca4V7QbfCEKzKsInQfTfLYV5gkrTzD89b_gVg"",""2026-27!AP3"")"),0.0)</f>
        <v>0</v>
      </c>
      <c r="CO134" s="59">
        <f>IFERROR(__xludf.DUMMYFUNCTION("IMPORTRANGE(""1UwZVGRca4V7QbfCEKzKsInQfTfLYV5gkrTzD89b_gVg"",""2026-27!AQ4"")"),0.0)</f>
        <v>0</v>
      </c>
      <c r="CP134" s="59">
        <f>IFERROR(__xludf.DUMMYFUNCTION("IMPORTRANGE(""1UwZVGRca4V7QbfCEKzKsInQfTfLYV5gkrTzD89b_gVg"",""2026-27!AQ3"")"),0.0)</f>
        <v>0</v>
      </c>
      <c r="CQ134" s="59">
        <f>IFERROR(__xludf.DUMMYFUNCTION("IMPORTRANGE(""1UwZVGRca4V7QbfCEKzKsInQfTfLYV5gkrTzD89b_gVg"",""2026-27!AR4"")"),0.0)</f>
        <v>0</v>
      </c>
      <c r="CR134" s="59">
        <f>IFERROR(__xludf.DUMMYFUNCTION("IMPORTRANGE(""1UwZVGRca4V7QbfCEKzKsInQfTfLYV5gkrTzD89b_gVg"",""2026-27!AR3"")"),0.0)</f>
        <v>0</v>
      </c>
      <c r="CS134" s="63" t="str">
        <f t="shared" si="111"/>
        <v/>
      </c>
      <c r="CT134" s="59">
        <f>IFERROR(__xludf.DUMMYFUNCTION("IMPORTRANGE(""1UwZVGRca4V7QbfCEKzKsInQfTfLYV5gkrTzD89b_gVg"",""2026-27!AS4"")"),0.0)</f>
        <v>0</v>
      </c>
      <c r="CU134" s="59">
        <f>IFERROR(__xludf.DUMMYFUNCTION("IMPORTRANGE(""1UwZVGRca4V7QbfCEKzKsInQfTfLYV5gkrTzD89b_gVg"",""2026-27!AS3"")"),0.0)</f>
        <v>0</v>
      </c>
      <c r="CV134" s="64"/>
    </row>
    <row r="135">
      <c r="A135" s="123" t="s">
        <v>160</v>
      </c>
      <c r="B135" s="41"/>
      <c r="C135" s="52" t="s">
        <v>263</v>
      </c>
      <c r="D135" s="53" t="s">
        <v>264</v>
      </c>
      <c r="E135" s="54">
        <v>9.391684072E9</v>
      </c>
      <c r="F135" s="55">
        <v>44743.0</v>
      </c>
      <c r="G135" s="66"/>
      <c r="H135" s="66"/>
      <c r="I135" s="57">
        <v>24445.0</v>
      </c>
      <c r="J135" s="58">
        <v>1500000.0</v>
      </c>
      <c r="K135" s="59">
        <f>IFERROR(__xludf.DUMMYFUNCTION("IMPORTRANGE(""1mt75vIKJmjJpjC3XhdItkTMn04Duusc2QWxpLJYvWbs"",""2026-27!A3"")"),75.0)</f>
        <v>75</v>
      </c>
      <c r="L135" s="59">
        <f>IFERROR(__xludf.DUMMYFUNCTION("IMPORTRANGE(""1mt75vIKJmjJpjC3XhdItkTMn04Duusc2QWxpLJYvWbs"",""2026-27!G4"")"),1.5016E7)</f>
        <v>15016000</v>
      </c>
      <c r="M135" s="59">
        <f t="shared" si="112"/>
        <v>1202890.69</v>
      </c>
      <c r="N135" s="60">
        <f t="shared" si="98"/>
        <v>0.07851251998</v>
      </c>
      <c r="O135" s="61">
        <f t="shared" si="113"/>
        <v>1178944</v>
      </c>
      <c r="P135" s="59">
        <f>IFERROR(__xludf.DUMMYFUNCTION("IMPORTRANGE(""1mt75vIKJmjJpjC3XhdItkTMn04Duusc2QWxpLJYvWbs"",""2026-27!J4"")"),1270000.0)</f>
        <v>1270000</v>
      </c>
      <c r="Q135" s="59">
        <f>IFERROR(__xludf.DUMMYFUNCTION("IMPORTRANGE(""1mt75vIKJmjJpjC3XhdItkTMn04Duusc2QWxpLJYvWbs"",""2026-27!J3"")"),74.0)</f>
        <v>74</v>
      </c>
      <c r="R135" s="59">
        <f>IFERROR(__xludf.DUMMYFUNCTION("IMPORTRANGE(""1mt75vIKJmjJpjC3XhdItkTMn04Duusc2QWxpLJYvWbs"",""2026-27!K4"")"),372957.78)</f>
        <v>372957.78</v>
      </c>
      <c r="S135" s="59">
        <f>IFERROR(__xludf.DUMMYFUNCTION("IMPORTRANGE(""1mt75vIKJmjJpjC3XhdItkTMn04Duusc2QWxpLJYvWbs"",""2026-27!K3"")"),11.0)</f>
        <v>11</v>
      </c>
      <c r="T135" s="62">
        <f t="shared" si="100"/>
        <v>0.280596063</v>
      </c>
      <c r="U135" s="59">
        <f>IFERROR(__xludf.DUMMYFUNCTION("IMPORTRANGE(""1mt75vIKJmjJpjC3XhdItkTMn04Duusc2QWxpLJYvWbs"",""2026-27!L4"")"),356357.0)</f>
        <v>356357</v>
      </c>
      <c r="V135" s="59">
        <f>IFERROR(__xludf.DUMMYFUNCTION("IMPORTRANGE(""1mt75vIKJmjJpjC3XhdItkTMn04Duusc2QWxpLJYvWbs"",""2026-27!L3"")"),9.0)</f>
        <v>9</v>
      </c>
      <c r="W135" s="59">
        <f>IFERROR(__xludf.DUMMYFUNCTION("IMPORTRANGE(""1mt75vIKJmjJpjC3XhdItkTMn04Duusc2QWxpLJYvWbs"",""2026-27!m4"")"),1280000.0)</f>
        <v>1280000</v>
      </c>
      <c r="X135" s="59">
        <f>IFERROR(__xludf.DUMMYFUNCTION("IMPORTRANGE(""1mt75vIKJmjJpjC3XhdItkTMn04Duusc2QWxpLJYvWbs"",""2026-27!m3"")"),74.0)</f>
        <v>74</v>
      </c>
      <c r="Y135" s="59">
        <f>IFERROR(__xludf.DUMMYFUNCTION("IMPORTRANGE(""1mt75vIKJmjJpjC3XhdItkTMn04Duusc2QWxpLJYvWbs"",""2026-27!N4"")"),305674.33999999997)</f>
        <v>305674.34</v>
      </c>
      <c r="Z135" s="59">
        <f>IFERROR(__xludf.DUMMYFUNCTION("IMPORTRANGE(""1mt75vIKJmjJpjC3XhdItkTMn04Duusc2QWxpLJYvWbs"",""2026-27!N3"")"),9.0)</f>
        <v>9</v>
      </c>
      <c r="AA135" s="62">
        <f t="shared" si="101"/>
        <v>0.2424507813</v>
      </c>
      <c r="AB135" s="59">
        <f>IFERROR(__xludf.DUMMYFUNCTION("IMPORTRANGE(""1mt75vIKJmjJpjC3XhdItkTMn04Duusc2QWxpLJYvWbs"",""2026-27!O4"")"),310337.0)</f>
        <v>310337</v>
      </c>
      <c r="AC135" s="59">
        <f>IFERROR(__xludf.DUMMYFUNCTION("IMPORTRANGE(""1mt75vIKJmjJpjC3XhdItkTMn04Duusc2QWxpLJYvWbs"",""2026-27!O3"")"),9.0)</f>
        <v>9</v>
      </c>
      <c r="AD135" s="59">
        <f>IFERROR(__xludf.DUMMYFUNCTION("IMPORTRANGE(""1mt75vIKJmjJpjC3XhdItkTMn04Duusc2QWxpLJYvWbs"",""2026-27!P4"")"),1500000.0)</f>
        <v>1500000</v>
      </c>
      <c r="AE135" s="59">
        <f>IFERROR(__xludf.DUMMYFUNCTION("IMPORTRANGE(""1mt75vIKJmjJpjC3XhdItkTMn04Duusc2QWxpLJYvWbs"",""2026-27!P3"")"),74.0)</f>
        <v>74</v>
      </c>
      <c r="AF135" s="59">
        <f>IFERROR(__xludf.DUMMYFUNCTION("IMPORTRANGE(""1mt75vIKJmjJpjC3XhdItkTMn04Duusc2QWxpLJYvWbs"",""2026-27!Q4"")"),524258.57)</f>
        <v>524258.57</v>
      </c>
      <c r="AG135" s="59">
        <f>IFERROR(__xludf.DUMMYFUNCTION("IMPORTRANGE(""1mt75vIKJmjJpjC3XhdItkTMn04Duusc2QWxpLJYvWbs"",""2026-27!Q3"")"),15.0)</f>
        <v>15</v>
      </c>
      <c r="AH135" s="62">
        <f t="shared" si="102"/>
        <v>0.3415</v>
      </c>
      <c r="AI135" s="59">
        <f>IFERROR(__xludf.DUMMYFUNCTION("IMPORTRANGE(""1mt75vIKJmjJpjC3XhdItkTMn04Duusc2QWxpLJYvWbs"",""2026-27!R4"")"),512250.0)</f>
        <v>512250</v>
      </c>
      <c r="AJ135" s="59">
        <f>IFERROR(__xludf.DUMMYFUNCTION("IMPORTRANGE(""1mt75vIKJmjJpjC3XhdItkTMn04Duusc2QWxpLJYvWbs"",""2026-27!R3"")"),14.0)</f>
        <v>14</v>
      </c>
      <c r="AK135" s="59">
        <f>IFERROR(__xludf.DUMMYFUNCTION("IMPORTRANGE(""1mt75vIKJmjJpjC3XhdItkTMn04Duusc2QWxpLJYvWbs"",""2026-27!S4"")"),0.0)</f>
        <v>0</v>
      </c>
      <c r="AL135" s="59">
        <f>IFERROR(__xludf.DUMMYFUNCTION("IMPORTRANGE(""1mt75vIKJmjJpjC3XhdItkTMn04Duusc2QWxpLJYvWbs"",""2026-27!S3"")"),0.0)</f>
        <v>0</v>
      </c>
      <c r="AM135" s="59">
        <f>IFERROR(__xludf.DUMMYFUNCTION("IMPORTRANGE(""1mt75vIKJmjJpjC3XhdItkTMn04Duusc2QWxpLJYvWbs"",""2026-27!T4"")"),0.0)</f>
        <v>0</v>
      </c>
      <c r="AN135" s="59">
        <f>IFERROR(__xludf.DUMMYFUNCTION("IMPORTRANGE(""1mt75vIKJmjJpjC3XhdItkTMn04Duusc2QWxpLJYvWbs"",""2026-27!T3"")"),0.0)</f>
        <v>0</v>
      </c>
      <c r="AO135" s="62" t="str">
        <f t="shared" si="103"/>
        <v/>
      </c>
      <c r="AP135" s="59">
        <f>IFERROR(__xludf.DUMMYFUNCTION("IMPORTRANGE(""1mt75vIKJmjJpjC3XhdItkTMn04Duusc2QWxpLJYvWbs"",""2026-27!U4"")"),0.0)</f>
        <v>0</v>
      </c>
      <c r="AQ135" s="59">
        <f>IFERROR(__xludf.DUMMYFUNCTION("IMPORTRANGE(""1mt75vIKJmjJpjC3XhdItkTMn04Duusc2QWxpLJYvWbs"",""2026-27!U3"")"),0.0)</f>
        <v>0</v>
      </c>
      <c r="AR135" s="59">
        <f>IFERROR(__xludf.DUMMYFUNCTION("IMPORTRANGE(""1mt75vIKJmjJpjC3XhdItkTMn04Duusc2QWxpLJYvWbs"",""2026-27!V4"")"),0.0)</f>
        <v>0</v>
      </c>
      <c r="AS135" s="59">
        <f>IFERROR(__xludf.DUMMYFUNCTION("IMPORTRANGE(""1mt75vIKJmjJpjC3XhdItkTMn04Duusc2QWxpLJYvWbs"",""2026-27!V3"")"),0.0)</f>
        <v>0</v>
      </c>
      <c r="AT135" s="59">
        <f>IFERROR(__xludf.DUMMYFUNCTION("IMPORTRANGE(""1mt75vIKJmjJpjC3XhdItkTMn04Duusc2QWxpLJYvWbs"",""2026-27!W4"")"),0.0)</f>
        <v>0</v>
      </c>
      <c r="AU135" s="59">
        <f>IFERROR(__xludf.DUMMYFUNCTION("IMPORTRANGE(""1mt75vIKJmjJpjC3XhdItkTMn04Duusc2QWxpLJYvWbs"",""2026-27!W3"")"),0.0)</f>
        <v>0</v>
      </c>
      <c r="AV135" s="62" t="str">
        <f t="shared" si="104"/>
        <v/>
      </c>
      <c r="AW135" s="59">
        <f>IFERROR(__xludf.DUMMYFUNCTION("IMPORTRANGE(""1mt75vIKJmjJpjC3XhdItkTMn04Duusc2QWxpLJYvWbs"",""2026-27!X4"")"),0.0)</f>
        <v>0</v>
      </c>
      <c r="AX135" s="59">
        <f>IFERROR(__xludf.DUMMYFUNCTION("IMPORTRANGE(""1mt75vIKJmjJpjC3XhdItkTMn04Duusc2QWxpLJYvWbs"",""2026-27!X3"")"),0.0)</f>
        <v>0</v>
      </c>
      <c r="AY135" s="59">
        <f>IFERROR(__xludf.DUMMYFUNCTION("IMPORTRANGE(""1mt75vIKJmjJpjC3XhdItkTMn04Duusc2QWxpLJYvWbs"",""2026-27!Y4"")"),0.0)</f>
        <v>0</v>
      </c>
      <c r="AZ135" s="59">
        <f>IFERROR(__xludf.DUMMYFUNCTION("IMPORTRANGE(""1mt75vIKJmjJpjC3XhdItkTMn04Duusc2QWxpLJYvWbs"",""2026-27!Y3"")"),0.0)</f>
        <v>0</v>
      </c>
      <c r="BA135" s="59">
        <f>IFERROR(__xludf.DUMMYFUNCTION("IMPORTRANGE(""1mt75vIKJmjJpjC3XhdItkTMn04Duusc2QWxpLJYvWbs"",""2026-27!Z4"")"),0.0)</f>
        <v>0</v>
      </c>
      <c r="BB135" s="59">
        <f>IFERROR(__xludf.DUMMYFUNCTION("IMPORTRANGE(""1mt75vIKJmjJpjC3XhdItkTMn04Duusc2QWxpLJYvWbs"",""2026-27!Z3"")"),0.0)</f>
        <v>0</v>
      </c>
      <c r="BC135" s="63" t="str">
        <f t="shared" si="105"/>
        <v/>
      </c>
      <c r="BD135" s="59">
        <f>IFERROR(__xludf.DUMMYFUNCTION("IMPORTRANGE(""1mt75vIKJmjJpjC3XhdItkTMn04Duusc2QWxpLJYvWbs"",""2026-27!AA4"")"),0.0)</f>
        <v>0</v>
      </c>
      <c r="BE135" s="59">
        <f>IFERROR(__xludf.DUMMYFUNCTION("IMPORTRANGE(""1mt75vIKJmjJpjC3XhdItkTMn04Duusc2QWxpLJYvWbs"",""2026-27!AA3"")"),0.0)</f>
        <v>0</v>
      </c>
      <c r="BF135" s="59">
        <f>IFERROR(__xludf.DUMMYFUNCTION("IMPORTRANGE(""1mt75vIKJmjJpjC3XhdItkTMn04Duusc2QWxpLJYvWbs"",""2026-27!AB4"")"),0.0)</f>
        <v>0</v>
      </c>
      <c r="BG135" s="59">
        <f>IFERROR(__xludf.DUMMYFUNCTION("IMPORTRANGE(""1mt75vIKJmjJpjC3XhdItkTMn04Duusc2QWxpLJYvWbs"",""2026-27!AB3"")"),0.0)</f>
        <v>0</v>
      </c>
      <c r="BH135" s="59">
        <f>IFERROR(__xludf.DUMMYFUNCTION("IMPORTRANGE(""1mt75vIKJmjJpjC3XhdItkTMn04Duusc2QWxpLJYvWbs"",""2026-27!AC4"")"),0.0)</f>
        <v>0</v>
      </c>
      <c r="BI135" s="59">
        <f>IFERROR(__xludf.DUMMYFUNCTION("IMPORTRANGE(""1mt75vIKJmjJpjC3XhdItkTMn04Duusc2QWxpLJYvWbs"",""2026-27!AC3"")"),0.0)</f>
        <v>0</v>
      </c>
      <c r="BJ135" s="63" t="str">
        <f t="shared" si="106"/>
        <v/>
      </c>
      <c r="BK135" s="59">
        <f>IFERROR(__xludf.DUMMYFUNCTION("IMPORTRANGE(""1mt75vIKJmjJpjC3XhdItkTMn04Duusc2QWxpLJYvWbs"",""2026-27!AD4"")"),0.0)</f>
        <v>0</v>
      </c>
      <c r="BL135" s="59">
        <f>IFERROR(__xludf.DUMMYFUNCTION("IMPORTRANGE(""1mt75vIKJmjJpjC3XhdItkTMn04Duusc2QWxpLJYvWbs"",""2026-27!AD3"")"),0.0)</f>
        <v>0</v>
      </c>
      <c r="BM135" s="59">
        <f>IFERROR(__xludf.DUMMYFUNCTION("IMPORTRANGE(""1mt75vIKJmjJpjC3XhdItkTMn04Duusc2QWxpLJYvWbs"",""2026-27!AE4"")"),0.0)</f>
        <v>0</v>
      </c>
      <c r="BN135" s="59">
        <f>IFERROR(__xludf.DUMMYFUNCTION("IMPORTRANGE(""1mt75vIKJmjJpjC3XhdItkTMn04Duusc2QWxpLJYvWbs"",""2026-27!AE3"")"),0.0)</f>
        <v>0</v>
      </c>
      <c r="BO135" s="59">
        <f>IFERROR(__xludf.DUMMYFUNCTION("IMPORTRANGE(""1mt75vIKJmjJpjC3XhdItkTMn04Duusc2QWxpLJYvWbs"",""2026-27!AF4"")"),0.0)</f>
        <v>0</v>
      </c>
      <c r="BP135" s="59">
        <f>IFERROR(__xludf.DUMMYFUNCTION("IMPORTRANGE(""1mt75vIKJmjJpjC3XhdItkTMn04Duusc2QWxpLJYvWbs"",""2026-27!AF3"")"),0.0)</f>
        <v>0</v>
      </c>
      <c r="BQ135" s="63" t="str">
        <f t="shared" si="107"/>
        <v/>
      </c>
      <c r="BR135" s="59">
        <f>IFERROR(__xludf.DUMMYFUNCTION("IMPORTRANGE(""1mt75vIKJmjJpjC3XhdItkTMn04Duusc2QWxpLJYvWbs"",""2026-27!AG4"")"),0.0)</f>
        <v>0</v>
      </c>
      <c r="BS135" s="59">
        <f>IFERROR(__xludf.DUMMYFUNCTION("IMPORTRANGE(""1mt75vIKJmjJpjC3XhdItkTMn04Duusc2QWxpLJYvWbs"",""2026-27!AG3"")"),0.0)</f>
        <v>0</v>
      </c>
      <c r="BT135" s="59">
        <f>IFERROR(__xludf.DUMMYFUNCTION("IMPORTRANGE(""1mt75vIKJmjJpjC3XhdItkTMn04Duusc2QWxpLJYvWbs"",""2026-27!AH4"")"),0.0)</f>
        <v>0</v>
      </c>
      <c r="BU135" s="59">
        <f>IFERROR(__xludf.DUMMYFUNCTION("IMPORTRANGE(""1mt75vIKJmjJpjC3XhdItkTMn04Duusc2QWxpLJYvWbs"",""2026-27!AH3"")"),0.0)</f>
        <v>0</v>
      </c>
      <c r="BV135" s="59">
        <f>IFERROR(__xludf.DUMMYFUNCTION("IMPORTRANGE(""1mt75vIKJmjJpjC3XhdItkTMn04Duusc2QWxpLJYvWbs"",""2026-27!AI4"")"),0.0)</f>
        <v>0</v>
      </c>
      <c r="BW135" s="59">
        <f>IFERROR(__xludf.DUMMYFUNCTION("IMPORTRANGE(""1mt75vIKJmjJpjC3XhdItkTMn04Duusc2QWxpLJYvWbs"",""2026-27!AI3"")"),0.0)</f>
        <v>0</v>
      </c>
      <c r="BX135" s="63" t="str">
        <f t="shared" si="108"/>
        <v/>
      </c>
      <c r="BY135" s="59">
        <f>IFERROR(__xludf.DUMMYFUNCTION("IMPORTRANGE(""1mt75vIKJmjJpjC3XhdItkTMn04Duusc2QWxpLJYvWbs"",""2026-27!AJ4"")"),0.0)</f>
        <v>0</v>
      </c>
      <c r="BZ135" s="59">
        <f>IFERROR(__xludf.DUMMYFUNCTION("IMPORTRANGE(""1mt75vIKJmjJpjC3XhdItkTMn04Duusc2QWxpLJYvWbs"",""2026-27!AJ3"")"),0.0)</f>
        <v>0</v>
      </c>
      <c r="CA135" s="59">
        <f>IFERROR(__xludf.DUMMYFUNCTION("IMPORTRANGE(""1mt75vIKJmjJpjC3XhdItkTMn04Duusc2QWxpLJYvWbs"",""2026-27!AK4"")"),0.0)</f>
        <v>0</v>
      </c>
      <c r="CB135" s="59">
        <f>IFERROR(__xludf.DUMMYFUNCTION("IMPORTRANGE(""1mt75vIKJmjJpjC3XhdItkTMn04Duusc2QWxpLJYvWbs"",""2026-27!AK3"")"),0.0)</f>
        <v>0</v>
      </c>
      <c r="CC135" s="59">
        <f>IFERROR(__xludf.DUMMYFUNCTION("IMPORTRANGE(""1mt75vIKJmjJpjC3XhdItkTMn04Duusc2QWxpLJYvWbs"",""2026-27!AL4"")"),0.0)</f>
        <v>0</v>
      </c>
      <c r="CD135" s="59">
        <f>IFERROR(__xludf.DUMMYFUNCTION("IMPORTRANGE(""1mt75vIKJmjJpjC3XhdItkTMn04Duusc2QWxpLJYvWbs"",""2026-27!AL3"")"),0.0)</f>
        <v>0</v>
      </c>
      <c r="CE135" s="63" t="str">
        <f t="shared" si="109"/>
        <v/>
      </c>
      <c r="CF135" s="59">
        <f>IFERROR(__xludf.DUMMYFUNCTION("IMPORTRANGE(""1mt75vIKJmjJpjC3XhdItkTMn04Duusc2QWxpLJYvWbs"",""2026-27!AM4"")"),0.0)</f>
        <v>0</v>
      </c>
      <c r="CG135" s="59">
        <f>IFERROR(__xludf.DUMMYFUNCTION("IMPORTRANGE(""1mt75vIKJmjJpjC3XhdItkTMn04Duusc2QWxpLJYvWbs"",""2026-27!AM3"")"),0.0)</f>
        <v>0</v>
      </c>
      <c r="CH135" s="59">
        <f>IFERROR(__xludf.DUMMYFUNCTION("IMPORTRANGE(""1mt75vIKJmjJpjC3XhdItkTMn04Duusc2QWxpLJYvWbs"",""2026-27!AN4"")"),0.0)</f>
        <v>0</v>
      </c>
      <c r="CI135" s="59">
        <f>IFERROR(__xludf.DUMMYFUNCTION("IMPORTRANGE(""1mt75vIKJmjJpjC3XhdItkTMn04Duusc2QWxpLJYvWbs"",""2026-27!AN3"")"),0.0)</f>
        <v>0</v>
      </c>
      <c r="CJ135" s="59">
        <f>IFERROR(__xludf.DUMMYFUNCTION("IMPORTRANGE(""1mt75vIKJmjJpjC3XhdItkTMn04Duusc2QWxpLJYvWbs"",""2026-27!AO4"")"),0.0)</f>
        <v>0</v>
      </c>
      <c r="CK135" s="59">
        <f>IFERROR(__xludf.DUMMYFUNCTION("IMPORTRANGE(""1mt75vIKJmjJpjC3XhdItkTMn04Duusc2QWxpLJYvWbs"",""2026-27!AO3"")"),0.0)</f>
        <v>0</v>
      </c>
      <c r="CL135" s="63" t="str">
        <f t="shared" si="110"/>
        <v/>
      </c>
      <c r="CM135" s="59">
        <f>IFERROR(__xludf.DUMMYFUNCTION("IMPORTRANGE(""1mt75vIKJmjJpjC3XhdItkTMn04Duusc2QWxpLJYvWbs"",""2026-27!AP4"")"),0.0)</f>
        <v>0</v>
      </c>
      <c r="CN135" s="59">
        <f>IFERROR(__xludf.DUMMYFUNCTION("IMPORTRANGE(""1mt75vIKJmjJpjC3XhdItkTMn04Duusc2QWxpLJYvWbs"",""2026-27!AP3"")"),0.0)</f>
        <v>0</v>
      </c>
      <c r="CO135" s="59">
        <f>IFERROR(__xludf.DUMMYFUNCTION("IMPORTRANGE(""1mt75vIKJmjJpjC3XhdItkTMn04Duusc2QWxpLJYvWbs"",""2026-27!AQ4"")"),0.0)</f>
        <v>0</v>
      </c>
      <c r="CP135" s="59">
        <f>IFERROR(__xludf.DUMMYFUNCTION("IMPORTRANGE(""1mt75vIKJmjJpjC3XhdItkTMn04Duusc2QWxpLJYvWbs"",""2026-27!AQ3"")"),0.0)</f>
        <v>0</v>
      </c>
      <c r="CQ135" s="59">
        <f>IFERROR(__xludf.DUMMYFUNCTION("IMPORTRANGE(""1mt75vIKJmjJpjC3XhdItkTMn04Duusc2QWxpLJYvWbs"",""2026-27!AR4"")"),0.0)</f>
        <v>0</v>
      </c>
      <c r="CR135" s="59">
        <f>IFERROR(__xludf.DUMMYFUNCTION("IMPORTRANGE(""1mt75vIKJmjJpjC3XhdItkTMn04Duusc2QWxpLJYvWbs"",""2026-27!AR3"")"),0.0)</f>
        <v>0</v>
      </c>
      <c r="CS135" s="63" t="str">
        <f t="shared" si="111"/>
        <v/>
      </c>
      <c r="CT135" s="59">
        <f>IFERROR(__xludf.DUMMYFUNCTION("IMPORTRANGE(""1mt75vIKJmjJpjC3XhdItkTMn04Duusc2QWxpLJYvWbs"",""2026-27!AS4"")"),0.0)</f>
        <v>0</v>
      </c>
      <c r="CU135" s="59">
        <f>IFERROR(__xludf.DUMMYFUNCTION("IMPORTRANGE(""1mt75vIKJmjJpjC3XhdItkTMn04Duusc2QWxpLJYvWbs"",""2026-27!AS3"")"),0.0)</f>
        <v>0</v>
      </c>
      <c r="CV135" s="64"/>
    </row>
    <row r="136">
      <c r="A136" s="123" t="s">
        <v>160</v>
      </c>
      <c r="B136" s="41"/>
      <c r="C136" s="86" t="s">
        <v>265</v>
      </c>
      <c r="D136" s="53" t="s">
        <v>266</v>
      </c>
      <c r="E136" s="54">
        <v>9.397303436E9</v>
      </c>
      <c r="F136" s="55">
        <v>44953.0</v>
      </c>
      <c r="G136" s="66"/>
      <c r="H136" s="66"/>
      <c r="I136" s="57">
        <v>34920.0</v>
      </c>
      <c r="J136" s="58">
        <v>1500000.0</v>
      </c>
      <c r="K136" s="59">
        <f>IFERROR(__xludf.DUMMYFUNCTION("IMPORTRANGE(""1h3OkZUk2XSA0l8e-AWxaJmXe7Z1U0attMzXCN4SdOQ8"",""2026-27!A3"")"),130.0)</f>
        <v>130</v>
      </c>
      <c r="L136" s="59">
        <f>IFERROR(__xludf.DUMMYFUNCTION("IMPORTRANGE(""1h3OkZUk2XSA0l8e-AWxaJmXe7Z1U0attMzXCN4SdOQ8"",""2026-27!G4"")"),1.65E7)</f>
        <v>16500000</v>
      </c>
      <c r="M136" s="59">
        <f t="shared" si="112"/>
        <v>1742481.71</v>
      </c>
      <c r="N136" s="60">
        <f t="shared" si="98"/>
        <v>0.1236635152</v>
      </c>
      <c r="O136" s="61">
        <f t="shared" si="113"/>
        <v>2040448</v>
      </c>
      <c r="P136" s="59">
        <f>IFERROR(__xludf.DUMMYFUNCTION("IMPORTRANGE(""1h3OkZUk2XSA0l8e-AWxaJmXe7Z1U0attMzXCN4SdOQ8"",""2026-27!J4"")"),1379300.0)</f>
        <v>1379300</v>
      </c>
      <c r="Q136" s="59">
        <f>IFERROR(__xludf.DUMMYFUNCTION("IMPORTRANGE(""1h3OkZUk2XSA0l8e-AWxaJmXe7Z1U0attMzXCN4SdOQ8"",""2026-27!J3"")"),130.0)</f>
        <v>130</v>
      </c>
      <c r="R136" s="59">
        <f>IFERROR(__xludf.DUMMYFUNCTION("IMPORTRANGE(""1h3OkZUk2XSA0l8e-AWxaJmXe7Z1U0attMzXCN4SdOQ8"",""2026-27!K4"")"),345372.47)</f>
        <v>345372.47</v>
      </c>
      <c r="S136" s="59">
        <f>IFERROR(__xludf.DUMMYFUNCTION("IMPORTRANGE(""1h3OkZUk2XSA0l8e-AWxaJmXe7Z1U0attMzXCN4SdOQ8"",""2026-27!K3"")"),31.0)</f>
        <v>31</v>
      </c>
      <c r="T136" s="62">
        <f t="shared" si="100"/>
        <v>0.3279482346</v>
      </c>
      <c r="U136" s="59">
        <f>IFERROR(__xludf.DUMMYFUNCTION("IMPORTRANGE(""1h3OkZUk2XSA0l8e-AWxaJmXe7Z1U0attMzXCN4SdOQ8"",""2026-27!L4"")"),452339.0)</f>
        <v>452339</v>
      </c>
      <c r="V136" s="59">
        <f>IFERROR(__xludf.DUMMYFUNCTION("IMPORTRANGE(""1h3OkZUk2XSA0l8e-AWxaJmXe7Z1U0attMzXCN4SdOQ8"",""2026-27!L3"")"),32.0)</f>
        <v>32</v>
      </c>
      <c r="W136" s="59">
        <f>IFERROR(__xludf.DUMMYFUNCTION("IMPORTRANGE(""1h3OkZUk2XSA0l8e-AWxaJmXe7Z1U0attMzXCN4SdOQ8"",""2026-27!m4"")"),1368900.0)</f>
        <v>1368900</v>
      </c>
      <c r="X136" s="59">
        <f>IFERROR(__xludf.DUMMYFUNCTION("IMPORTRANGE(""1h3OkZUk2XSA0l8e-AWxaJmXe7Z1U0attMzXCN4SdOQ8"",""2026-27!m3"")"),130.0)</f>
        <v>130</v>
      </c>
      <c r="Y136" s="59">
        <f>IFERROR(__xludf.DUMMYFUNCTION("IMPORTRANGE(""1h3OkZUk2XSA0l8e-AWxaJmXe7Z1U0attMzXCN4SdOQ8"",""2026-27!N4"")"),702051.65)</f>
        <v>702051.65</v>
      </c>
      <c r="Z136" s="59">
        <f>IFERROR(__xludf.DUMMYFUNCTION("IMPORTRANGE(""1h3OkZUk2XSA0l8e-AWxaJmXe7Z1U0attMzXCN4SdOQ8"",""2026-27!N3"")"),41.0)</f>
        <v>41</v>
      </c>
      <c r="AA136" s="62">
        <f t="shared" si="101"/>
        <v>0.5492110454</v>
      </c>
      <c r="AB136" s="59">
        <f>IFERROR(__xludf.DUMMYFUNCTION("IMPORTRANGE(""1h3OkZUk2XSA0l8e-AWxaJmXe7Z1U0attMzXCN4SdOQ8"",""2026-27!O4"")"),751815.0)</f>
        <v>751815</v>
      </c>
      <c r="AC136" s="59">
        <f>IFERROR(__xludf.DUMMYFUNCTION("IMPORTRANGE(""1h3OkZUk2XSA0l8e-AWxaJmXe7Z1U0attMzXCN4SdOQ8"",""2026-27!O3"")"),38.0)</f>
        <v>38</v>
      </c>
      <c r="AD136" s="59">
        <f>IFERROR(__xludf.DUMMYFUNCTION("IMPORTRANGE(""1h3OkZUk2XSA0l8e-AWxaJmXe7Z1U0attMzXCN4SdOQ8"",""2026-27!P4"")"),1376800.0)</f>
        <v>1376800</v>
      </c>
      <c r="AE136" s="59">
        <f>IFERROR(__xludf.DUMMYFUNCTION("IMPORTRANGE(""1h3OkZUk2XSA0l8e-AWxaJmXe7Z1U0attMzXCN4SdOQ8"",""2026-27!P3"")"),130.0)</f>
        <v>130</v>
      </c>
      <c r="AF136" s="59">
        <f>IFERROR(__xludf.DUMMYFUNCTION("IMPORTRANGE(""1h3OkZUk2XSA0l8e-AWxaJmXe7Z1U0attMzXCN4SdOQ8"",""2026-27!Q4"")"),695057.5900000002)</f>
        <v>695057.59</v>
      </c>
      <c r="AG136" s="59">
        <f>IFERROR(__xludf.DUMMYFUNCTION("IMPORTRANGE(""1h3OkZUk2XSA0l8e-AWxaJmXe7Z1U0attMzXCN4SdOQ8"",""2026-27!Q3"")"),51.0)</f>
        <v>51</v>
      </c>
      <c r="AH136" s="62">
        <f t="shared" si="102"/>
        <v>0.6074186519</v>
      </c>
      <c r="AI136" s="59">
        <f>IFERROR(__xludf.DUMMYFUNCTION("IMPORTRANGE(""1h3OkZUk2XSA0l8e-AWxaJmXe7Z1U0attMzXCN4SdOQ8"",""2026-27!R4"")"),836294.0)</f>
        <v>836294</v>
      </c>
      <c r="AJ136" s="59">
        <f>IFERROR(__xludf.DUMMYFUNCTION("IMPORTRANGE(""1h3OkZUk2XSA0l8e-AWxaJmXe7Z1U0attMzXCN4SdOQ8"",""2026-27!R3"")"),48.0)</f>
        <v>48</v>
      </c>
      <c r="AK136" s="59">
        <f>IFERROR(__xludf.DUMMYFUNCTION("IMPORTRANGE(""1h3OkZUk2XSA0l8e-AWxaJmXe7Z1U0attMzXCN4SdOQ8"",""2026-27!S4"")"),0.0)</f>
        <v>0</v>
      </c>
      <c r="AL136" s="59">
        <f>IFERROR(__xludf.DUMMYFUNCTION("IMPORTRANGE(""1h3OkZUk2XSA0l8e-AWxaJmXe7Z1U0attMzXCN4SdOQ8"",""2026-27!S3"")"),0.0)</f>
        <v>0</v>
      </c>
      <c r="AM136" s="59">
        <f>IFERROR(__xludf.DUMMYFUNCTION("IMPORTRANGE(""1h3OkZUk2XSA0l8e-AWxaJmXe7Z1U0attMzXCN4SdOQ8"",""2026-27!T4"")"),0.0)</f>
        <v>0</v>
      </c>
      <c r="AN136" s="59">
        <f>IFERROR(__xludf.DUMMYFUNCTION("IMPORTRANGE(""1h3OkZUk2XSA0l8e-AWxaJmXe7Z1U0attMzXCN4SdOQ8"",""2026-27!T3"")"),0.0)</f>
        <v>0</v>
      </c>
      <c r="AO136" s="62" t="str">
        <f t="shared" si="103"/>
        <v/>
      </c>
      <c r="AP136" s="59">
        <f>IFERROR(__xludf.DUMMYFUNCTION("IMPORTRANGE(""1h3OkZUk2XSA0l8e-AWxaJmXe7Z1U0attMzXCN4SdOQ8"",""2026-27!U4"")"),0.0)</f>
        <v>0</v>
      </c>
      <c r="AQ136" s="59">
        <f>IFERROR(__xludf.DUMMYFUNCTION("IMPORTRANGE(""1h3OkZUk2XSA0l8e-AWxaJmXe7Z1U0attMzXCN4SdOQ8"",""2026-27!U3"")"),0.0)</f>
        <v>0</v>
      </c>
      <c r="AR136" s="59">
        <f>IFERROR(__xludf.DUMMYFUNCTION("IMPORTRANGE(""1h3OkZUk2XSA0l8e-AWxaJmXe7Z1U0attMzXCN4SdOQ8"",""2026-27!V4"")"),0.0)</f>
        <v>0</v>
      </c>
      <c r="AS136" s="59">
        <f>IFERROR(__xludf.DUMMYFUNCTION("IMPORTRANGE(""1h3OkZUk2XSA0l8e-AWxaJmXe7Z1U0attMzXCN4SdOQ8"",""2026-27!V3"")"),0.0)</f>
        <v>0</v>
      </c>
      <c r="AT136" s="59">
        <f>IFERROR(__xludf.DUMMYFUNCTION("IMPORTRANGE(""1h3OkZUk2XSA0l8e-AWxaJmXe7Z1U0attMzXCN4SdOQ8"",""2026-27!W4"")"),0.0)</f>
        <v>0</v>
      </c>
      <c r="AU136" s="59">
        <f>IFERROR(__xludf.DUMMYFUNCTION("IMPORTRANGE(""1h3OkZUk2XSA0l8e-AWxaJmXe7Z1U0attMzXCN4SdOQ8"",""2026-27!W3"")"),0.0)</f>
        <v>0</v>
      </c>
      <c r="AV136" s="62" t="str">
        <f t="shared" si="104"/>
        <v/>
      </c>
      <c r="AW136" s="59">
        <f>IFERROR(__xludf.DUMMYFUNCTION("IMPORTRANGE(""1h3OkZUk2XSA0l8e-AWxaJmXe7Z1U0attMzXCN4SdOQ8"",""2026-27!X4"")"),0.0)</f>
        <v>0</v>
      </c>
      <c r="AX136" s="59">
        <f>IFERROR(__xludf.DUMMYFUNCTION("IMPORTRANGE(""1h3OkZUk2XSA0l8e-AWxaJmXe7Z1U0attMzXCN4SdOQ8"",""2026-27!X3"")"),0.0)</f>
        <v>0</v>
      </c>
      <c r="AY136" s="59">
        <f>IFERROR(__xludf.DUMMYFUNCTION("IMPORTRANGE(""1h3OkZUk2XSA0l8e-AWxaJmXe7Z1U0attMzXCN4SdOQ8"",""2026-27!Y4"")"),0.0)</f>
        <v>0</v>
      </c>
      <c r="AZ136" s="59">
        <f>IFERROR(__xludf.DUMMYFUNCTION("IMPORTRANGE(""1h3OkZUk2XSA0l8e-AWxaJmXe7Z1U0attMzXCN4SdOQ8"",""2026-27!Y3"")"),0.0)</f>
        <v>0</v>
      </c>
      <c r="BA136" s="59">
        <f>IFERROR(__xludf.DUMMYFUNCTION("IMPORTRANGE(""1h3OkZUk2XSA0l8e-AWxaJmXe7Z1U0attMzXCN4SdOQ8"",""2026-27!Z4"")"),0.0)</f>
        <v>0</v>
      </c>
      <c r="BB136" s="59">
        <f>IFERROR(__xludf.DUMMYFUNCTION("IMPORTRANGE(""1h3OkZUk2XSA0l8e-AWxaJmXe7Z1U0attMzXCN4SdOQ8"",""2026-27!Z3"")"),0.0)</f>
        <v>0</v>
      </c>
      <c r="BC136" s="63" t="str">
        <f t="shared" si="105"/>
        <v/>
      </c>
      <c r="BD136" s="59">
        <f>IFERROR(__xludf.DUMMYFUNCTION("IMPORTRANGE(""1h3OkZUk2XSA0l8e-AWxaJmXe7Z1U0attMzXCN4SdOQ8"",""2026-27!AA4"")"),0.0)</f>
        <v>0</v>
      </c>
      <c r="BE136" s="59">
        <f>IFERROR(__xludf.DUMMYFUNCTION("IMPORTRANGE(""1h3OkZUk2XSA0l8e-AWxaJmXe7Z1U0attMzXCN4SdOQ8"",""2026-27!AA3"")"),0.0)</f>
        <v>0</v>
      </c>
      <c r="BF136" s="59">
        <f>IFERROR(__xludf.DUMMYFUNCTION("IMPORTRANGE(""1h3OkZUk2XSA0l8e-AWxaJmXe7Z1U0attMzXCN4SdOQ8"",""2026-27!AB4"")"),0.0)</f>
        <v>0</v>
      </c>
      <c r="BG136" s="59">
        <f>IFERROR(__xludf.DUMMYFUNCTION("IMPORTRANGE(""1h3OkZUk2XSA0l8e-AWxaJmXe7Z1U0attMzXCN4SdOQ8"",""2026-27!AB3"")"),0.0)</f>
        <v>0</v>
      </c>
      <c r="BH136" s="59">
        <f>IFERROR(__xludf.DUMMYFUNCTION("IMPORTRANGE(""1h3OkZUk2XSA0l8e-AWxaJmXe7Z1U0attMzXCN4SdOQ8"",""2026-27!AC4"")"),0.0)</f>
        <v>0</v>
      </c>
      <c r="BI136" s="59">
        <f>IFERROR(__xludf.DUMMYFUNCTION("IMPORTRANGE(""1h3OkZUk2XSA0l8e-AWxaJmXe7Z1U0attMzXCN4SdOQ8"",""2026-27!AC3"")"),0.0)</f>
        <v>0</v>
      </c>
      <c r="BJ136" s="63" t="str">
        <f t="shared" si="106"/>
        <v/>
      </c>
      <c r="BK136" s="59">
        <f>IFERROR(__xludf.DUMMYFUNCTION("IMPORTRANGE(""1h3OkZUk2XSA0l8e-AWxaJmXe7Z1U0attMzXCN4SdOQ8"",""2026-27!AD4"")"),0.0)</f>
        <v>0</v>
      </c>
      <c r="BL136" s="59">
        <f>IFERROR(__xludf.DUMMYFUNCTION("IMPORTRANGE(""1h3OkZUk2XSA0l8e-AWxaJmXe7Z1U0attMzXCN4SdOQ8"",""2026-27!AD3"")"),0.0)</f>
        <v>0</v>
      </c>
      <c r="BM136" s="59">
        <f>IFERROR(__xludf.DUMMYFUNCTION("IMPORTRANGE(""1h3OkZUk2XSA0l8e-AWxaJmXe7Z1U0attMzXCN4SdOQ8"",""2026-27!AE4"")"),0.0)</f>
        <v>0</v>
      </c>
      <c r="BN136" s="59">
        <f>IFERROR(__xludf.DUMMYFUNCTION("IMPORTRANGE(""1h3OkZUk2XSA0l8e-AWxaJmXe7Z1U0attMzXCN4SdOQ8"",""2026-27!AE3"")"),0.0)</f>
        <v>0</v>
      </c>
      <c r="BO136" s="59">
        <f>IFERROR(__xludf.DUMMYFUNCTION("IMPORTRANGE(""1h3OkZUk2XSA0l8e-AWxaJmXe7Z1U0attMzXCN4SdOQ8"",""2026-27!AF4"")"),0.0)</f>
        <v>0</v>
      </c>
      <c r="BP136" s="59">
        <f>IFERROR(__xludf.DUMMYFUNCTION("IMPORTRANGE(""1h3OkZUk2XSA0l8e-AWxaJmXe7Z1U0attMzXCN4SdOQ8"",""2026-27!AF3"")"),0.0)</f>
        <v>0</v>
      </c>
      <c r="BQ136" s="63" t="str">
        <f t="shared" si="107"/>
        <v/>
      </c>
      <c r="BR136" s="59">
        <f>IFERROR(__xludf.DUMMYFUNCTION("IMPORTRANGE(""1h3OkZUk2XSA0l8e-AWxaJmXe7Z1U0attMzXCN4SdOQ8"",""2026-27!AG4"")"),0.0)</f>
        <v>0</v>
      </c>
      <c r="BS136" s="59">
        <f>IFERROR(__xludf.DUMMYFUNCTION("IMPORTRANGE(""1h3OkZUk2XSA0l8e-AWxaJmXe7Z1U0attMzXCN4SdOQ8"",""2026-27!AG3"")"),0.0)</f>
        <v>0</v>
      </c>
      <c r="BT136" s="59">
        <f>IFERROR(__xludf.DUMMYFUNCTION("IMPORTRANGE(""1h3OkZUk2XSA0l8e-AWxaJmXe7Z1U0attMzXCN4SdOQ8"",""2026-27!AH4"")"),0.0)</f>
        <v>0</v>
      </c>
      <c r="BU136" s="59">
        <f>IFERROR(__xludf.DUMMYFUNCTION("IMPORTRANGE(""1h3OkZUk2XSA0l8e-AWxaJmXe7Z1U0attMzXCN4SdOQ8"",""2026-27!AH3"")"),0.0)</f>
        <v>0</v>
      </c>
      <c r="BV136" s="59">
        <f>IFERROR(__xludf.DUMMYFUNCTION("IMPORTRANGE(""1h3OkZUk2XSA0l8e-AWxaJmXe7Z1U0attMzXCN4SdOQ8"",""2026-27!AI4"")"),0.0)</f>
        <v>0</v>
      </c>
      <c r="BW136" s="59">
        <f>IFERROR(__xludf.DUMMYFUNCTION("IMPORTRANGE(""1h3OkZUk2XSA0l8e-AWxaJmXe7Z1U0attMzXCN4SdOQ8"",""2026-27!AI3"")"),0.0)</f>
        <v>0</v>
      </c>
      <c r="BX136" s="63" t="str">
        <f t="shared" si="108"/>
        <v/>
      </c>
      <c r="BY136" s="59">
        <f>IFERROR(__xludf.DUMMYFUNCTION("IMPORTRANGE(""1h3OkZUk2XSA0l8e-AWxaJmXe7Z1U0attMzXCN4SdOQ8"",""2026-27!AJ4"")"),0.0)</f>
        <v>0</v>
      </c>
      <c r="BZ136" s="59">
        <f>IFERROR(__xludf.DUMMYFUNCTION("IMPORTRANGE(""1h3OkZUk2XSA0l8e-AWxaJmXe7Z1U0attMzXCN4SdOQ8"",""2026-27!AJ3"")"),0.0)</f>
        <v>0</v>
      </c>
      <c r="CA136" s="59">
        <f>IFERROR(__xludf.DUMMYFUNCTION("IMPORTRANGE(""1h3OkZUk2XSA0l8e-AWxaJmXe7Z1U0attMzXCN4SdOQ8"",""2026-27!AK4"")"),0.0)</f>
        <v>0</v>
      </c>
      <c r="CB136" s="59">
        <f>IFERROR(__xludf.DUMMYFUNCTION("IMPORTRANGE(""1h3OkZUk2XSA0l8e-AWxaJmXe7Z1U0attMzXCN4SdOQ8"",""2026-27!AK3"")"),0.0)</f>
        <v>0</v>
      </c>
      <c r="CC136" s="59">
        <f>IFERROR(__xludf.DUMMYFUNCTION("IMPORTRANGE(""1h3OkZUk2XSA0l8e-AWxaJmXe7Z1U0attMzXCN4SdOQ8"",""2026-27!AL4"")"),0.0)</f>
        <v>0</v>
      </c>
      <c r="CD136" s="59">
        <f>IFERROR(__xludf.DUMMYFUNCTION("IMPORTRANGE(""1h3OkZUk2XSA0l8e-AWxaJmXe7Z1U0attMzXCN4SdOQ8"",""2026-27!AL3"")"),0.0)</f>
        <v>0</v>
      </c>
      <c r="CE136" s="63" t="str">
        <f t="shared" si="109"/>
        <v/>
      </c>
      <c r="CF136" s="59">
        <f>IFERROR(__xludf.DUMMYFUNCTION("IMPORTRANGE(""1h3OkZUk2XSA0l8e-AWxaJmXe7Z1U0attMzXCN4SdOQ8"",""2026-27!AM4"")"),0.0)</f>
        <v>0</v>
      </c>
      <c r="CG136" s="59">
        <f>IFERROR(__xludf.DUMMYFUNCTION("IMPORTRANGE(""1h3OkZUk2XSA0l8e-AWxaJmXe7Z1U0attMzXCN4SdOQ8"",""2026-27!AM3"")"),0.0)</f>
        <v>0</v>
      </c>
      <c r="CH136" s="59">
        <f>IFERROR(__xludf.DUMMYFUNCTION("IMPORTRANGE(""1h3OkZUk2XSA0l8e-AWxaJmXe7Z1U0attMzXCN4SdOQ8"",""2026-27!AN4"")"),0.0)</f>
        <v>0</v>
      </c>
      <c r="CI136" s="59">
        <f>IFERROR(__xludf.DUMMYFUNCTION("IMPORTRANGE(""1h3OkZUk2XSA0l8e-AWxaJmXe7Z1U0attMzXCN4SdOQ8"",""2026-27!AN3"")"),0.0)</f>
        <v>0</v>
      </c>
      <c r="CJ136" s="59">
        <f>IFERROR(__xludf.DUMMYFUNCTION("IMPORTRANGE(""1h3OkZUk2XSA0l8e-AWxaJmXe7Z1U0attMzXCN4SdOQ8"",""2026-27!AO4"")"),0.0)</f>
        <v>0</v>
      </c>
      <c r="CK136" s="59">
        <f>IFERROR(__xludf.DUMMYFUNCTION("IMPORTRANGE(""1h3OkZUk2XSA0l8e-AWxaJmXe7Z1U0attMzXCN4SdOQ8"",""2026-27!AO3"")"),0.0)</f>
        <v>0</v>
      </c>
      <c r="CL136" s="63" t="str">
        <f t="shared" si="110"/>
        <v/>
      </c>
      <c r="CM136" s="59">
        <f>IFERROR(__xludf.DUMMYFUNCTION("IMPORTRANGE(""1h3OkZUk2XSA0l8e-AWxaJmXe7Z1U0attMzXCN4SdOQ8"",""2026-27!AP4"")"),0.0)</f>
        <v>0</v>
      </c>
      <c r="CN136" s="59">
        <f>IFERROR(__xludf.DUMMYFUNCTION("IMPORTRANGE(""1h3OkZUk2XSA0l8e-AWxaJmXe7Z1U0attMzXCN4SdOQ8"",""2026-27!AP3"")"),0.0)</f>
        <v>0</v>
      </c>
      <c r="CO136" s="59">
        <f>IFERROR(__xludf.DUMMYFUNCTION("IMPORTRANGE(""1h3OkZUk2XSA0l8e-AWxaJmXe7Z1U0attMzXCN4SdOQ8"",""2026-27!AQ4"")"),0.0)</f>
        <v>0</v>
      </c>
      <c r="CP136" s="59">
        <f>IFERROR(__xludf.DUMMYFUNCTION("IMPORTRANGE(""1h3OkZUk2XSA0l8e-AWxaJmXe7Z1U0attMzXCN4SdOQ8"",""2026-27!AQ3"")"),0.0)</f>
        <v>0</v>
      </c>
      <c r="CQ136" s="59">
        <f>IFERROR(__xludf.DUMMYFUNCTION("IMPORTRANGE(""1h3OkZUk2XSA0l8e-AWxaJmXe7Z1U0attMzXCN4SdOQ8"",""2026-27!AR4"")"),0.0)</f>
        <v>0</v>
      </c>
      <c r="CR136" s="59">
        <f>IFERROR(__xludf.DUMMYFUNCTION("IMPORTRANGE(""1h3OkZUk2XSA0l8e-AWxaJmXe7Z1U0attMzXCN4SdOQ8"",""2026-27!AR3"")"),0.0)</f>
        <v>0</v>
      </c>
      <c r="CS136" s="63" t="str">
        <f t="shared" si="111"/>
        <v/>
      </c>
      <c r="CT136" s="59">
        <f>IFERROR(__xludf.DUMMYFUNCTION("IMPORTRANGE(""1h3OkZUk2XSA0l8e-AWxaJmXe7Z1U0attMzXCN4SdOQ8"",""2026-27!AS4"")"),0.0)</f>
        <v>0</v>
      </c>
      <c r="CU136" s="59">
        <f>IFERROR(__xludf.DUMMYFUNCTION("IMPORTRANGE(""1h3OkZUk2XSA0l8e-AWxaJmXe7Z1U0attMzXCN4SdOQ8"",""2026-27!AS3"")"),0.0)</f>
        <v>0</v>
      </c>
      <c r="CV136" s="64"/>
    </row>
    <row r="137">
      <c r="A137" s="123"/>
      <c r="B137" s="41"/>
      <c r="C137" s="124" t="s">
        <v>267</v>
      </c>
      <c r="D137" s="69"/>
      <c r="E137" s="54"/>
      <c r="F137" s="70"/>
      <c r="G137" s="66"/>
      <c r="H137" s="66"/>
      <c r="I137" s="57"/>
      <c r="J137" s="58">
        <v>1500000.0</v>
      </c>
      <c r="K137" s="59"/>
      <c r="L137" s="59"/>
      <c r="M137" s="59"/>
      <c r="N137" s="60"/>
      <c r="O137" s="61"/>
      <c r="P137" s="59"/>
      <c r="Q137" s="59"/>
      <c r="R137" s="59"/>
      <c r="S137" s="59"/>
      <c r="T137" s="62"/>
      <c r="U137" s="59"/>
      <c r="V137" s="59"/>
      <c r="W137" s="59"/>
      <c r="X137" s="59"/>
      <c r="Y137" s="59"/>
      <c r="Z137" s="59"/>
      <c r="AA137" s="62"/>
      <c r="AB137" s="59"/>
      <c r="AC137" s="59"/>
      <c r="AD137" s="59"/>
      <c r="AE137" s="59"/>
      <c r="AF137" s="59"/>
      <c r="AG137" s="59"/>
      <c r="AH137" s="62"/>
      <c r="AI137" s="59"/>
      <c r="AJ137" s="59"/>
      <c r="AK137" s="59"/>
      <c r="AL137" s="59"/>
      <c r="AM137" s="59"/>
      <c r="AN137" s="59"/>
      <c r="AO137" s="62"/>
      <c r="AP137" s="59"/>
      <c r="AQ137" s="59"/>
      <c r="AR137" s="59"/>
      <c r="AS137" s="59"/>
      <c r="AT137" s="59"/>
      <c r="AU137" s="59"/>
      <c r="AV137" s="62"/>
      <c r="AW137" s="59"/>
      <c r="AX137" s="59"/>
      <c r="AY137" s="59"/>
      <c r="AZ137" s="59"/>
      <c r="BA137" s="59"/>
      <c r="BB137" s="59"/>
      <c r="BC137" s="63"/>
      <c r="BD137" s="59"/>
      <c r="BE137" s="59"/>
      <c r="BF137" s="59"/>
      <c r="BG137" s="59"/>
      <c r="BH137" s="59"/>
      <c r="BI137" s="59"/>
      <c r="BJ137" s="63"/>
      <c r="BK137" s="59"/>
      <c r="BL137" s="59"/>
      <c r="BM137" s="59"/>
      <c r="BN137" s="59"/>
      <c r="BO137" s="59"/>
      <c r="BP137" s="59"/>
      <c r="BQ137" s="63"/>
      <c r="BR137" s="59"/>
      <c r="BS137" s="59"/>
      <c r="BT137" s="59"/>
      <c r="BU137" s="59"/>
      <c r="BV137" s="59"/>
      <c r="BW137" s="59"/>
      <c r="BX137" s="63"/>
      <c r="BY137" s="59"/>
      <c r="BZ137" s="59"/>
      <c r="CA137" s="59"/>
      <c r="CB137" s="59"/>
      <c r="CC137" s="59"/>
      <c r="CD137" s="59"/>
      <c r="CE137" s="63"/>
      <c r="CF137" s="59"/>
      <c r="CG137" s="59"/>
      <c r="CH137" s="59"/>
      <c r="CI137" s="59"/>
      <c r="CJ137" s="59"/>
      <c r="CK137" s="59"/>
      <c r="CL137" s="63"/>
      <c r="CM137" s="59"/>
      <c r="CN137" s="59"/>
      <c r="CO137" s="59"/>
      <c r="CP137" s="59"/>
      <c r="CQ137" s="59"/>
      <c r="CR137" s="59"/>
      <c r="CS137" s="63"/>
      <c r="CT137" s="59"/>
      <c r="CU137" s="59"/>
      <c r="CV137" s="64"/>
    </row>
    <row r="138">
      <c r="A138" s="123" t="s">
        <v>160</v>
      </c>
      <c r="B138" s="41"/>
      <c r="C138" s="125" t="s">
        <v>268</v>
      </c>
      <c r="D138" s="69" t="s">
        <v>269</v>
      </c>
      <c r="E138" s="54">
        <v>6.300840082E9</v>
      </c>
      <c r="F138" s="70">
        <v>45453.0</v>
      </c>
      <c r="G138" s="66"/>
      <c r="H138" s="66"/>
      <c r="I138" s="57">
        <v>36925.0</v>
      </c>
      <c r="J138" s="58">
        <v>1500000.0</v>
      </c>
      <c r="K138" s="59">
        <f>IFERROR(__xludf.DUMMYFUNCTION("IMPORTRANGE(""15AqdQm5YkAFRfu2r5LTF0YinlxQl1irlVpAkdhrGbJ0"",""2026-27!A3"")"),142.0)</f>
        <v>142</v>
      </c>
      <c r="L138" s="59">
        <f>IFERROR(__xludf.DUMMYFUNCTION("IMPORTRANGE(""15AqdQm5YkAFRfu2r5LTF0YinlxQl1irlVpAkdhrGbJ0"",""2026-27!G4"")"),1.51E7)</f>
        <v>15100000</v>
      </c>
      <c r="M138" s="59">
        <f t="shared" ref="M138:M139" si="114">R138+Y138+AF138+AM138+AT138+BA138+BH138+BO138+BV138+CC138+CJ138+CQ138</f>
        <v>2704830.65</v>
      </c>
      <c r="N138" s="60">
        <f t="shared" ref="N138:N139" si="115">iferror(O138/L138,"")</f>
        <v>0.1141802649</v>
      </c>
      <c r="O138" s="61">
        <f t="shared" ref="O138:O139" si="116">U138+AB138+AI138+AP138+AW138+BD138+BK138+BR138+BY138+CF138+CM138+CT138</f>
        <v>1724122</v>
      </c>
      <c r="P138" s="59">
        <f>IFERROR(__xludf.DUMMYFUNCTION("IMPORTRANGE(""15AqdQm5YkAFRfu2r5LTF0YinlxQl1irlVpAkdhrGbJ0"",""2026-27!J4"")"),1420000.0)</f>
        <v>1420000</v>
      </c>
      <c r="Q138" s="59" t="str">
        <f>IFERROR(__xludf.DUMMYFUNCTION("IMPORTRANGE(""15AqdQm5YkAFRfu2r5LTF0YinlxQl1irlVpAkdhrGbJ0"",""2026-27!J3"")"),"")</f>
        <v/>
      </c>
      <c r="R138" s="59">
        <f>IFERROR(__xludf.DUMMYFUNCTION("IMPORTRANGE(""15AqdQm5YkAFRfu2r5LTF0YinlxQl1irlVpAkdhrGbJ0"",""2026-27!K4"")"),907896.55)</f>
        <v>907896.55</v>
      </c>
      <c r="S138" s="59" t="str">
        <f>IFERROR(__xludf.DUMMYFUNCTION("IMPORTRANGE(""15AqdQm5YkAFRfu2r5LTF0YinlxQl1irlVpAkdhrGbJ0"",""2026-27!K3"")"),"")</f>
        <v/>
      </c>
      <c r="T138" s="62">
        <f t="shared" ref="T138:T139" si="117">IFERROR((U138/P138),"")</f>
        <v>0.3444612676</v>
      </c>
      <c r="U138" s="59">
        <f>IFERROR(__xludf.DUMMYFUNCTION("IMPORTRANGE(""15AqdQm5YkAFRfu2r5LTF0YinlxQl1irlVpAkdhrGbJ0"",""2026-27!L4"")"),489135.0)</f>
        <v>489135</v>
      </c>
      <c r="V138" s="59" t="str">
        <f>IFERROR(__xludf.DUMMYFUNCTION("IMPORTRANGE(""15AqdQm5YkAFRfu2r5LTF0YinlxQl1irlVpAkdhrGbJ0"",""2026-27!L3"")"),"")</f>
        <v/>
      </c>
      <c r="W138" s="59">
        <f>IFERROR(__xludf.DUMMYFUNCTION("IMPORTRANGE(""15AqdQm5YkAFRfu2r5LTF0YinlxQl1irlVpAkdhrGbJ0"",""2026-27!m4"")"),1420000.0)</f>
        <v>1420000</v>
      </c>
      <c r="X138" s="59" t="str">
        <f>IFERROR(__xludf.DUMMYFUNCTION("IMPORTRANGE(""15AqdQm5YkAFRfu2r5LTF0YinlxQl1irlVpAkdhrGbJ0"",""2026-27!m3"")"),"")</f>
        <v/>
      </c>
      <c r="Y138" s="59">
        <f>IFERROR(__xludf.DUMMYFUNCTION("IMPORTRANGE(""15AqdQm5YkAFRfu2r5LTF0YinlxQl1irlVpAkdhrGbJ0"",""2026-27!N4"")"),824460.6)</f>
        <v>824460.6</v>
      </c>
      <c r="Z138" s="59" t="str">
        <f>IFERROR(__xludf.DUMMYFUNCTION("IMPORTRANGE(""15AqdQm5YkAFRfu2r5LTF0YinlxQl1irlVpAkdhrGbJ0"",""2026-27!N3"")"),"")</f>
        <v/>
      </c>
      <c r="AA138" s="62">
        <f t="shared" ref="AA138:AA139" si="118">IFERROR((AB138/W138),"")</f>
        <v>0.4087802817</v>
      </c>
      <c r="AB138" s="59">
        <f>IFERROR(__xludf.DUMMYFUNCTION("IMPORTRANGE(""15AqdQm5YkAFRfu2r5LTF0YinlxQl1irlVpAkdhrGbJ0"",""2026-27!O4"")"),580468.0)</f>
        <v>580468</v>
      </c>
      <c r="AC138" s="59" t="str">
        <f>IFERROR(__xludf.DUMMYFUNCTION("IMPORTRANGE(""15AqdQm5YkAFRfu2r5LTF0YinlxQl1irlVpAkdhrGbJ0"",""2026-27!O3"")"),"")</f>
        <v/>
      </c>
      <c r="AD138" s="59">
        <f>IFERROR(__xludf.DUMMYFUNCTION("IMPORTRANGE(""15AqdQm5YkAFRfu2r5LTF0YinlxQl1irlVpAkdhrGbJ0"",""2026-27!P4"")"),1420000.0)</f>
        <v>1420000</v>
      </c>
      <c r="AE138" s="59" t="str">
        <f>IFERROR(__xludf.DUMMYFUNCTION("IMPORTRANGE(""15AqdQm5YkAFRfu2r5LTF0YinlxQl1irlVpAkdhrGbJ0"",""2026-27!P3"")"),"")</f>
        <v/>
      </c>
      <c r="AF138" s="59">
        <f>IFERROR(__xludf.DUMMYFUNCTION("IMPORTRANGE(""15AqdQm5YkAFRfu2r5LTF0YinlxQl1irlVpAkdhrGbJ0"",""2026-27!Q4"")"),972473.4999999999)</f>
        <v>972473.5</v>
      </c>
      <c r="AG138" s="59" t="str">
        <f>IFERROR(__xludf.DUMMYFUNCTION("IMPORTRANGE(""15AqdQm5YkAFRfu2r5LTF0YinlxQl1irlVpAkdhrGbJ0"",""2026-27!Q3"")"),"")</f>
        <v/>
      </c>
      <c r="AH138" s="62">
        <f t="shared" ref="AH138:AH139" si="119">IFERROR((AI138/AD138),"")</f>
        <v>0.4609288732</v>
      </c>
      <c r="AI138" s="59">
        <f>IFERROR(__xludf.DUMMYFUNCTION("IMPORTRANGE(""15AqdQm5YkAFRfu2r5LTF0YinlxQl1irlVpAkdhrGbJ0"",""2026-27!R4"")"),654519.0)</f>
        <v>654519</v>
      </c>
      <c r="AJ138" s="59" t="str">
        <f>IFERROR(__xludf.DUMMYFUNCTION("IMPORTRANGE(""15AqdQm5YkAFRfu2r5LTF0YinlxQl1irlVpAkdhrGbJ0"",""2026-27!R3"")"),"")</f>
        <v/>
      </c>
      <c r="AK138" s="59">
        <f>IFERROR(__xludf.DUMMYFUNCTION("IMPORTRANGE(""15AqdQm5YkAFRfu2r5LTF0YinlxQl1irlVpAkdhrGbJ0"",""2026-27!S4"")"),0.0)</f>
        <v>0</v>
      </c>
      <c r="AL138" s="59" t="str">
        <f>IFERROR(__xludf.DUMMYFUNCTION("IMPORTRANGE(""15AqdQm5YkAFRfu2r5LTF0YinlxQl1irlVpAkdhrGbJ0"",""2026-27!S3"")"),"")</f>
        <v/>
      </c>
      <c r="AM138" s="59">
        <f>IFERROR(__xludf.DUMMYFUNCTION("IMPORTRANGE(""15AqdQm5YkAFRfu2r5LTF0YinlxQl1irlVpAkdhrGbJ0"",""2026-27!T4"")"),0.0)</f>
        <v>0</v>
      </c>
      <c r="AN138" s="59" t="str">
        <f>IFERROR(__xludf.DUMMYFUNCTION("IMPORTRANGE(""15AqdQm5YkAFRfu2r5LTF0YinlxQl1irlVpAkdhrGbJ0"",""2026-27!T3"")"),"")</f>
        <v/>
      </c>
      <c r="AO138" s="62" t="str">
        <f t="shared" ref="AO138:AO139" si="120">IFERROR((AP138/AK138),"")</f>
        <v/>
      </c>
      <c r="AP138" s="59">
        <f>IFERROR(__xludf.DUMMYFUNCTION("IMPORTRANGE(""15AqdQm5YkAFRfu2r5LTF0YinlxQl1irlVpAkdhrGbJ0"",""2026-27!U4"")"),0.0)</f>
        <v>0</v>
      </c>
      <c r="AQ138" s="59" t="str">
        <f>IFERROR(__xludf.DUMMYFUNCTION("IMPORTRANGE(""15AqdQm5YkAFRfu2r5LTF0YinlxQl1irlVpAkdhrGbJ0"",""2026-27!U3"")"),"")</f>
        <v/>
      </c>
      <c r="AR138" s="59">
        <f>IFERROR(__xludf.DUMMYFUNCTION("IMPORTRANGE(""15AqdQm5YkAFRfu2r5LTF0YinlxQl1irlVpAkdhrGbJ0"",""2026-27!V4"")"),0.0)</f>
        <v>0</v>
      </c>
      <c r="AS138" s="59" t="str">
        <f>IFERROR(__xludf.DUMMYFUNCTION("IMPORTRANGE(""15AqdQm5YkAFRfu2r5LTF0YinlxQl1irlVpAkdhrGbJ0"",""2026-27!V3"")"),"")</f>
        <v/>
      </c>
      <c r="AT138" s="59">
        <f>IFERROR(__xludf.DUMMYFUNCTION("IMPORTRANGE(""15AqdQm5YkAFRfu2r5LTF0YinlxQl1irlVpAkdhrGbJ0"",""2026-27!W4"")"),0.0)</f>
        <v>0</v>
      </c>
      <c r="AU138" s="59" t="str">
        <f>IFERROR(__xludf.DUMMYFUNCTION("IMPORTRANGE(""15AqdQm5YkAFRfu2r5LTF0YinlxQl1irlVpAkdhrGbJ0"",""2026-27!W3"")"),"")</f>
        <v/>
      </c>
      <c r="AV138" s="62" t="str">
        <f t="shared" ref="AV138:AV139" si="121">IFERROR((AW138/AR138),"")</f>
        <v/>
      </c>
      <c r="AW138" s="59">
        <f>IFERROR(__xludf.DUMMYFUNCTION("IMPORTRANGE(""15AqdQm5YkAFRfu2r5LTF0YinlxQl1irlVpAkdhrGbJ0"",""2026-27!X4"")"),0.0)</f>
        <v>0</v>
      </c>
      <c r="AX138" s="59" t="str">
        <f>IFERROR(__xludf.DUMMYFUNCTION("IMPORTRANGE(""15AqdQm5YkAFRfu2r5LTF0YinlxQl1irlVpAkdhrGbJ0"",""2026-27!X3"")"),"")</f>
        <v/>
      </c>
      <c r="AY138" s="59">
        <f>IFERROR(__xludf.DUMMYFUNCTION("IMPORTRANGE(""15AqdQm5YkAFRfu2r5LTF0YinlxQl1irlVpAkdhrGbJ0"",""2026-27!Y4"")"),0.0)</f>
        <v>0</v>
      </c>
      <c r="AZ138" s="59" t="str">
        <f>IFERROR(__xludf.DUMMYFUNCTION("IMPORTRANGE(""15AqdQm5YkAFRfu2r5LTF0YinlxQl1irlVpAkdhrGbJ0"",""2026-27!Y3"")"),"")</f>
        <v/>
      </c>
      <c r="BA138" s="59">
        <f>IFERROR(__xludf.DUMMYFUNCTION("IMPORTRANGE(""15AqdQm5YkAFRfu2r5LTF0YinlxQl1irlVpAkdhrGbJ0"",""2026-27!Z4"")"),0.0)</f>
        <v>0</v>
      </c>
      <c r="BB138" s="59" t="str">
        <f>IFERROR(__xludf.DUMMYFUNCTION("IMPORTRANGE(""15AqdQm5YkAFRfu2r5LTF0YinlxQl1irlVpAkdhrGbJ0"",""2026-27!Z3"")"),"")</f>
        <v/>
      </c>
      <c r="BC138" s="63" t="str">
        <f t="shared" ref="BC138:BC139" si="122">IFERROR((BD138/AY138),"")</f>
        <v/>
      </c>
      <c r="BD138" s="59">
        <f>IFERROR(__xludf.DUMMYFUNCTION("IMPORTRANGE(""15AqdQm5YkAFRfu2r5LTF0YinlxQl1irlVpAkdhrGbJ0"",""2026-27!AA4"")"),0.0)</f>
        <v>0</v>
      </c>
      <c r="BE138" s="59" t="str">
        <f>IFERROR(__xludf.DUMMYFUNCTION("IMPORTRANGE(""15AqdQm5YkAFRfu2r5LTF0YinlxQl1irlVpAkdhrGbJ0"",""2026-27!AA3"")"),"")</f>
        <v/>
      </c>
      <c r="BF138" s="59">
        <f>IFERROR(__xludf.DUMMYFUNCTION("IMPORTRANGE(""15AqdQm5YkAFRfu2r5LTF0YinlxQl1irlVpAkdhrGbJ0"",""2026-27!AB4"")"),0.0)</f>
        <v>0</v>
      </c>
      <c r="BG138" s="59" t="str">
        <f>IFERROR(__xludf.DUMMYFUNCTION("IMPORTRANGE(""15AqdQm5YkAFRfu2r5LTF0YinlxQl1irlVpAkdhrGbJ0"",""2026-27!AB3"")"),"")</f>
        <v/>
      </c>
      <c r="BH138" s="59">
        <f>IFERROR(__xludf.DUMMYFUNCTION("IMPORTRANGE(""15AqdQm5YkAFRfu2r5LTF0YinlxQl1irlVpAkdhrGbJ0"",""2026-27!AC4"")"),0.0)</f>
        <v>0</v>
      </c>
      <c r="BI138" s="59" t="str">
        <f>IFERROR(__xludf.DUMMYFUNCTION("IMPORTRANGE(""15AqdQm5YkAFRfu2r5LTF0YinlxQl1irlVpAkdhrGbJ0"",""2026-27!AC3"")"),"")</f>
        <v/>
      </c>
      <c r="BJ138" s="63" t="str">
        <f t="shared" ref="BJ138:BJ139" si="123">IFERROR((BK138/BF138),"")</f>
        <v/>
      </c>
      <c r="BK138" s="59">
        <f>IFERROR(__xludf.DUMMYFUNCTION("IMPORTRANGE(""15AqdQm5YkAFRfu2r5LTF0YinlxQl1irlVpAkdhrGbJ0"",""2026-27!AD4"")"),0.0)</f>
        <v>0</v>
      </c>
      <c r="BL138" s="59" t="str">
        <f>IFERROR(__xludf.DUMMYFUNCTION("IMPORTRANGE(""15AqdQm5YkAFRfu2r5LTF0YinlxQl1irlVpAkdhrGbJ0"",""2026-27!AD3"")"),"")</f>
        <v/>
      </c>
      <c r="BM138" s="59">
        <f>IFERROR(__xludf.DUMMYFUNCTION("IMPORTRANGE(""15AqdQm5YkAFRfu2r5LTF0YinlxQl1irlVpAkdhrGbJ0"",""2026-27!AE4"")"),0.0)</f>
        <v>0</v>
      </c>
      <c r="BN138" s="59" t="str">
        <f>IFERROR(__xludf.DUMMYFUNCTION("IMPORTRANGE(""15AqdQm5YkAFRfu2r5LTF0YinlxQl1irlVpAkdhrGbJ0"",""2026-27!AE3"")"),"")</f>
        <v/>
      </c>
      <c r="BO138" s="59">
        <f>IFERROR(__xludf.DUMMYFUNCTION("IMPORTRANGE(""15AqdQm5YkAFRfu2r5LTF0YinlxQl1irlVpAkdhrGbJ0"",""2026-27!AF4"")"),0.0)</f>
        <v>0</v>
      </c>
      <c r="BP138" s="59" t="str">
        <f>IFERROR(__xludf.DUMMYFUNCTION("IMPORTRANGE(""15AqdQm5YkAFRfu2r5LTF0YinlxQl1irlVpAkdhrGbJ0"",""2026-27!AF3"")"),"")</f>
        <v/>
      </c>
      <c r="BQ138" s="63" t="str">
        <f t="shared" ref="BQ138:BQ139" si="124">IFERROR((BR138/BM138),"")</f>
        <v/>
      </c>
      <c r="BR138" s="59">
        <f>IFERROR(__xludf.DUMMYFUNCTION("IMPORTRANGE(""15AqdQm5YkAFRfu2r5LTF0YinlxQl1irlVpAkdhrGbJ0"",""2026-27!AG4"")"),0.0)</f>
        <v>0</v>
      </c>
      <c r="BS138" s="59" t="str">
        <f>IFERROR(__xludf.DUMMYFUNCTION("IMPORTRANGE(""15AqdQm5YkAFRfu2r5LTF0YinlxQl1irlVpAkdhrGbJ0"",""2026-27!AG3"")"),"")</f>
        <v/>
      </c>
      <c r="BT138" s="59">
        <f>IFERROR(__xludf.DUMMYFUNCTION("IMPORTRANGE(""15AqdQm5YkAFRfu2r5LTF0YinlxQl1irlVpAkdhrGbJ0"",""2026-27!AH4"")"),0.0)</f>
        <v>0</v>
      </c>
      <c r="BU138" s="59" t="str">
        <f>IFERROR(__xludf.DUMMYFUNCTION("IMPORTRANGE(""15AqdQm5YkAFRfu2r5LTF0YinlxQl1irlVpAkdhrGbJ0"",""2026-27!AH3"")"),"")</f>
        <v/>
      </c>
      <c r="BV138" s="59">
        <f>IFERROR(__xludf.DUMMYFUNCTION("IMPORTRANGE(""15AqdQm5YkAFRfu2r5LTF0YinlxQl1irlVpAkdhrGbJ0"",""2026-27!AI4"")"),0.0)</f>
        <v>0</v>
      </c>
      <c r="BW138" s="59" t="str">
        <f>IFERROR(__xludf.DUMMYFUNCTION("IMPORTRANGE(""15AqdQm5YkAFRfu2r5LTF0YinlxQl1irlVpAkdhrGbJ0"",""2026-27!AI3"")"),"")</f>
        <v/>
      </c>
      <c r="BX138" s="63" t="str">
        <f t="shared" ref="BX138:BX139" si="125">IFERROR((BY138/BT138),"")</f>
        <v/>
      </c>
      <c r="BY138" s="59">
        <f>IFERROR(__xludf.DUMMYFUNCTION("IMPORTRANGE(""15AqdQm5YkAFRfu2r5LTF0YinlxQl1irlVpAkdhrGbJ0"",""2026-27!AJ4"")"),0.0)</f>
        <v>0</v>
      </c>
      <c r="BZ138" s="59" t="str">
        <f>IFERROR(__xludf.DUMMYFUNCTION("IMPORTRANGE(""15AqdQm5YkAFRfu2r5LTF0YinlxQl1irlVpAkdhrGbJ0"",""2026-27!AJ3"")"),"")</f>
        <v/>
      </c>
      <c r="CA138" s="59">
        <f>IFERROR(__xludf.DUMMYFUNCTION("IMPORTRANGE(""15AqdQm5YkAFRfu2r5LTF0YinlxQl1irlVpAkdhrGbJ0"",""2026-27!AK4"")"),0.0)</f>
        <v>0</v>
      </c>
      <c r="CB138" s="59" t="str">
        <f>IFERROR(__xludf.DUMMYFUNCTION("IMPORTRANGE(""15AqdQm5YkAFRfu2r5LTF0YinlxQl1irlVpAkdhrGbJ0"",""2026-27!AK3"")"),"")</f>
        <v/>
      </c>
      <c r="CC138" s="59">
        <f>IFERROR(__xludf.DUMMYFUNCTION("IMPORTRANGE(""15AqdQm5YkAFRfu2r5LTF0YinlxQl1irlVpAkdhrGbJ0"",""2026-27!AL4"")"),0.0)</f>
        <v>0</v>
      </c>
      <c r="CD138" s="59" t="str">
        <f>IFERROR(__xludf.DUMMYFUNCTION("IMPORTRANGE(""15AqdQm5YkAFRfu2r5LTF0YinlxQl1irlVpAkdhrGbJ0"",""2026-27!AL3"")"),"")</f>
        <v/>
      </c>
      <c r="CE138" s="63" t="str">
        <f t="shared" ref="CE138:CE139" si="126">IFERROR((CF138/CA138),"")</f>
        <v/>
      </c>
      <c r="CF138" s="59">
        <f>IFERROR(__xludf.DUMMYFUNCTION("IMPORTRANGE(""15AqdQm5YkAFRfu2r5LTF0YinlxQl1irlVpAkdhrGbJ0"",""2026-27!AM4"")"),0.0)</f>
        <v>0</v>
      </c>
      <c r="CG138" s="59" t="str">
        <f>IFERROR(__xludf.DUMMYFUNCTION("IMPORTRANGE(""15AqdQm5YkAFRfu2r5LTF0YinlxQl1irlVpAkdhrGbJ0"",""2026-27!AM3"")"),"")</f>
        <v/>
      </c>
      <c r="CH138" s="59">
        <f>IFERROR(__xludf.DUMMYFUNCTION("IMPORTRANGE(""15AqdQm5YkAFRfu2r5LTF0YinlxQl1irlVpAkdhrGbJ0"",""2026-27!AN4"")"),0.0)</f>
        <v>0</v>
      </c>
      <c r="CI138" s="59" t="str">
        <f>IFERROR(__xludf.DUMMYFUNCTION("IMPORTRANGE(""15AqdQm5YkAFRfu2r5LTF0YinlxQl1irlVpAkdhrGbJ0"",""2026-27!AN3"")"),"")</f>
        <v/>
      </c>
      <c r="CJ138" s="59">
        <f>IFERROR(__xludf.DUMMYFUNCTION("IMPORTRANGE(""15AqdQm5YkAFRfu2r5LTF0YinlxQl1irlVpAkdhrGbJ0"",""2026-27!AO4"")"),0.0)</f>
        <v>0</v>
      </c>
      <c r="CK138" s="59" t="str">
        <f>IFERROR(__xludf.DUMMYFUNCTION("IMPORTRANGE(""15AqdQm5YkAFRfu2r5LTF0YinlxQl1irlVpAkdhrGbJ0"",""2026-27!AO3"")"),"")</f>
        <v/>
      </c>
      <c r="CL138" s="63" t="str">
        <f t="shared" ref="CL138:CL139" si="127">IFERROR((CM138/CH138),"")</f>
        <v/>
      </c>
      <c r="CM138" s="59">
        <f>IFERROR(__xludf.DUMMYFUNCTION("IMPORTRANGE(""15AqdQm5YkAFRfu2r5LTF0YinlxQl1irlVpAkdhrGbJ0"",""2026-27!AP4"")"),0.0)</f>
        <v>0</v>
      </c>
      <c r="CN138" s="59" t="str">
        <f>IFERROR(__xludf.DUMMYFUNCTION("IMPORTRANGE(""15AqdQm5YkAFRfu2r5LTF0YinlxQl1irlVpAkdhrGbJ0"",""2026-27!AP3"")"),"")</f>
        <v/>
      </c>
      <c r="CO138" s="59">
        <f>IFERROR(__xludf.DUMMYFUNCTION("IMPORTRANGE(""15AqdQm5YkAFRfu2r5LTF0YinlxQl1irlVpAkdhrGbJ0"",""2026-27!AQ4"")"),0.0)</f>
        <v>0</v>
      </c>
      <c r="CP138" s="59" t="str">
        <f>IFERROR(__xludf.DUMMYFUNCTION("IMPORTRANGE(""15AqdQm5YkAFRfu2r5LTF0YinlxQl1irlVpAkdhrGbJ0"",""2026-27!AQ3"")"),"")</f>
        <v/>
      </c>
      <c r="CQ138" s="59">
        <f>IFERROR(__xludf.DUMMYFUNCTION("IMPORTRANGE(""15AqdQm5YkAFRfu2r5LTF0YinlxQl1irlVpAkdhrGbJ0"",""2026-27!AR4"")"),0.0)</f>
        <v>0</v>
      </c>
      <c r="CR138" s="59" t="str">
        <f>IFERROR(__xludf.DUMMYFUNCTION("IMPORTRANGE(""15AqdQm5YkAFRfu2r5LTF0YinlxQl1irlVpAkdhrGbJ0"",""2026-27!AR3"")"),"")</f>
        <v/>
      </c>
      <c r="CS138" s="63" t="str">
        <f t="shared" ref="CS138:CS139" si="128">IFERROR((CT138/CO138),"")</f>
        <v/>
      </c>
      <c r="CT138" s="59">
        <f>IFERROR(__xludf.DUMMYFUNCTION("IMPORTRANGE(""15AqdQm5YkAFRfu2r5LTF0YinlxQl1irlVpAkdhrGbJ0"",""2026-27!AS4"")"),0.0)</f>
        <v>0</v>
      </c>
      <c r="CU138" s="59" t="str">
        <f>IFERROR(__xludf.DUMMYFUNCTION("IMPORTRANGE(""15AqdQm5YkAFRfu2r5LTF0YinlxQl1irlVpAkdhrGbJ0"",""2026-27!AS3"")"),"")</f>
        <v/>
      </c>
      <c r="CV138" s="64"/>
    </row>
    <row r="139">
      <c r="A139" s="123" t="s">
        <v>160</v>
      </c>
      <c r="B139" s="41"/>
      <c r="C139" s="68" t="s">
        <v>270</v>
      </c>
      <c r="D139" s="69" t="s">
        <v>271</v>
      </c>
      <c r="E139" s="72">
        <v>9.700864755E9</v>
      </c>
      <c r="F139" s="70">
        <v>45636.0</v>
      </c>
      <c r="G139" s="66"/>
      <c r="H139" s="66"/>
      <c r="I139" s="57">
        <v>51910.0</v>
      </c>
      <c r="J139" s="58">
        <v>1800000.0</v>
      </c>
      <c r="K139" s="59">
        <f>IFERROR(__xludf.DUMMYFUNCTION("IMPORTRANGE(""1ocgsSn3L-88dzzTXvjPnm-mRwf9KNXUnPd--lUdR6oc"",""2026-27!A3"")"),211.0)</f>
        <v>211</v>
      </c>
      <c r="L139" s="59">
        <f>IFERROR(__xludf.DUMMYFUNCTION("IMPORTRANGE(""1ocgsSn3L-88dzzTXvjPnm-mRwf9KNXUnPd--lUdR6oc"",""2026-27!G4"")"),4.385E7)</f>
        <v>43850000</v>
      </c>
      <c r="M139" s="59">
        <f t="shared" si="114"/>
        <v>5379420.8</v>
      </c>
      <c r="N139" s="60">
        <f t="shared" si="115"/>
        <v>0.1464606385</v>
      </c>
      <c r="O139" s="61">
        <f t="shared" si="116"/>
        <v>6422299</v>
      </c>
      <c r="P139" s="59">
        <f>IFERROR(__xludf.DUMMYFUNCTION("IMPORTRANGE(""1ocgsSn3L-88dzzTXvjPnm-mRwf9KNXUnPd--lUdR6oc"",""2026-27!J4"")"),3654097.0)</f>
        <v>3654097</v>
      </c>
      <c r="Q139" s="59">
        <f>IFERROR(__xludf.DUMMYFUNCTION("IMPORTRANGE(""1ocgsSn3L-88dzzTXvjPnm-mRwf9KNXUnPd--lUdR6oc"",""2026-27!J3"")"),198.0)</f>
        <v>198</v>
      </c>
      <c r="R139" s="59">
        <f>IFERROR(__xludf.DUMMYFUNCTION("IMPORTRANGE(""1ocgsSn3L-88dzzTXvjPnm-mRwf9KNXUnPd--lUdR6oc"",""2026-27!K4"")"),2322869.6100000003)</f>
        <v>2322869.61</v>
      </c>
      <c r="S139" s="59">
        <f>IFERROR(__xludf.DUMMYFUNCTION("IMPORTRANGE(""1ocgsSn3L-88dzzTXvjPnm-mRwf9KNXUnPd--lUdR6oc"",""2026-27!K3"")"),20.0)</f>
        <v>20</v>
      </c>
      <c r="T139" s="62">
        <f t="shared" si="117"/>
        <v>0.7664895048</v>
      </c>
      <c r="U139" s="59">
        <f>IFERROR(__xludf.DUMMYFUNCTION("IMPORTRANGE(""1ocgsSn3L-88dzzTXvjPnm-mRwf9KNXUnPd--lUdR6oc"",""2026-27!L4"")"),2800827.0)</f>
        <v>2800827</v>
      </c>
      <c r="V139" s="59">
        <f>IFERROR(__xludf.DUMMYFUNCTION("IMPORTRANGE(""1ocgsSn3L-88dzzTXvjPnm-mRwf9KNXUnPd--lUdR6oc"",""2026-27!L3"")"),42.0)</f>
        <v>42</v>
      </c>
      <c r="W139" s="59">
        <f>IFERROR(__xludf.DUMMYFUNCTION("IMPORTRANGE(""1ocgsSn3L-88dzzTXvjPnm-mRwf9KNXUnPd--lUdR6oc"",""2026-27!m4"")"),3654204.0)</f>
        <v>3654204</v>
      </c>
      <c r="X139" s="59">
        <f>IFERROR(__xludf.DUMMYFUNCTION("IMPORTRANGE(""1ocgsSn3L-88dzzTXvjPnm-mRwf9KNXUnPd--lUdR6oc"",""2026-27!m3"")"),198.0)</f>
        <v>198</v>
      </c>
      <c r="Y139" s="59">
        <f>IFERROR(__xludf.DUMMYFUNCTION("IMPORTRANGE(""1ocgsSn3L-88dzzTXvjPnm-mRwf9KNXUnPd--lUdR6oc"",""2026-27!N4"")"),1440311.2500000002)</f>
        <v>1440311.25</v>
      </c>
      <c r="Z139" s="59">
        <f>IFERROR(__xludf.DUMMYFUNCTION("IMPORTRANGE(""1ocgsSn3L-88dzzTXvjPnm-mRwf9KNXUnPd--lUdR6oc"",""2026-27!N3"")"),31.0)</f>
        <v>31</v>
      </c>
      <c r="AA139" s="62">
        <f t="shared" si="118"/>
        <v>0.4443265893</v>
      </c>
      <c r="AB139" s="59">
        <f>IFERROR(__xludf.DUMMYFUNCTION("IMPORTRANGE(""1ocgsSn3L-88dzzTXvjPnm-mRwf9KNXUnPd--lUdR6oc"",""2026-27!O4"")"),1623660.0)</f>
        <v>1623660</v>
      </c>
      <c r="AC139" s="59">
        <f>IFERROR(__xludf.DUMMYFUNCTION("IMPORTRANGE(""1ocgsSn3L-88dzzTXvjPnm-mRwf9KNXUnPd--lUdR6oc"",""2026-27!O3"")"),39.0)</f>
        <v>39</v>
      </c>
      <c r="AD139" s="59">
        <f>IFERROR(__xludf.DUMMYFUNCTION("IMPORTRANGE(""1ocgsSn3L-88dzzTXvjPnm-mRwf9KNXUnPd--lUdR6oc"",""2026-27!P4"")"),3654204.0)</f>
        <v>3654204</v>
      </c>
      <c r="AE139" s="59">
        <f>IFERROR(__xludf.DUMMYFUNCTION("IMPORTRANGE(""1ocgsSn3L-88dzzTXvjPnm-mRwf9KNXUnPd--lUdR6oc"",""2026-27!P3"")"),198.0)</f>
        <v>198</v>
      </c>
      <c r="AF139" s="59">
        <f>IFERROR(__xludf.DUMMYFUNCTION("IMPORTRANGE(""1ocgsSn3L-88dzzTXvjPnm-mRwf9KNXUnPd--lUdR6oc"",""2026-27!Q4"")"),1616239.9400000002)</f>
        <v>1616239.94</v>
      </c>
      <c r="AG139" s="59">
        <f>IFERROR(__xludf.DUMMYFUNCTION("IMPORTRANGE(""1ocgsSn3L-88dzzTXvjPnm-mRwf9KNXUnPd--lUdR6oc"",""2026-27!Q3"")"),39.0)</f>
        <v>39</v>
      </c>
      <c r="AH139" s="62">
        <f t="shared" si="119"/>
        <v>0.5467160564</v>
      </c>
      <c r="AI139" s="59">
        <f>IFERROR(__xludf.DUMMYFUNCTION("IMPORTRANGE(""1ocgsSn3L-88dzzTXvjPnm-mRwf9KNXUnPd--lUdR6oc"",""2026-27!R4"")"),1997812.0)</f>
        <v>1997812</v>
      </c>
      <c r="AJ139" s="59">
        <f>IFERROR(__xludf.DUMMYFUNCTION("IMPORTRANGE(""1ocgsSn3L-88dzzTXvjPnm-mRwf9KNXUnPd--lUdR6oc"",""2026-27!R3"")"),62.0)</f>
        <v>62</v>
      </c>
      <c r="AK139" s="59">
        <f>IFERROR(__xludf.DUMMYFUNCTION("IMPORTRANGE(""1ocgsSn3L-88dzzTXvjPnm-mRwf9KNXUnPd--lUdR6oc"",""2026-27!S4"")"),0.0)</f>
        <v>0</v>
      </c>
      <c r="AL139" s="59">
        <f>IFERROR(__xludf.DUMMYFUNCTION("IMPORTRANGE(""1ocgsSn3L-88dzzTXvjPnm-mRwf9KNXUnPd--lUdR6oc"",""2026-27!S3"")"),0.0)</f>
        <v>0</v>
      </c>
      <c r="AM139" s="59">
        <f>IFERROR(__xludf.DUMMYFUNCTION("IMPORTRANGE(""1ocgsSn3L-88dzzTXvjPnm-mRwf9KNXUnPd--lUdR6oc"",""2026-27!T4"")"),0.0)</f>
        <v>0</v>
      </c>
      <c r="AN139" s="59">
        <f>IFERROR(__xludf.DUMMYFUNCTION("IMPORTRANGE(""1ocgsSn3L-88dzzTXvjPnm-mRwf9KNXUnPd--lUdR6oc"",""2026-27!T3"")"),0.0)</f>
        <v>0</v>
      </c>
      <c r="AO139" s="62" t="str">
        <f t="shared" si="120"/>
        <v/>
      </c>
      <c r="AP139" s="59">
        <f>IFERROR(__xludf.DUMMYFUNCTION("IMPORTRANGE(""1ocgsSn3L-88dzzTXvjPnm-mRwf9KNXUnPd--lUdR6oc"",""2026-27!U4"")"),0.0)</f>
        <v>0</v>
      </c>
      <c r="AQ139" s="59">
        <f>IFERROR(__xludf.DUMMYFUNCTION("IMPORTRANGE(""1ocgsSn3L-88dzzTXvjPnm-mRwf9KNXUnPd--lUdR6oc"",""2026-27!U3"")"),0.0)</f>
        <v>0</v>
      </c>
      <c r="AR139" s="59">
        <f>IFERROR(__xludf.DUMMYFUNCTION("IMPORTRANGE(""1ocgsSn3L-88dzzTXvjPnm-mRwf9KNXUnPd--lUdR6oc"",""2026-27!V4"")"),0.0)</f>
        <v>0</v>
      </c>
      <c r="AS139" s="59">
        <f>IFERROR(__xludf.DUMMYFUNCTION("IMPORTRANGE(""1ocgsSn3L-88dzzTXvjPnm-mRwf9KNXUnPd--lUdR6oc"",""2026-27!V3"")"),0.0)</f>
        <v>0</v>
      </c>
      <c r="AT139" s="59">
        <f>IFERROR(__xludf.DUMMYFUNCTION("IMPORTRANGE(""1ocgsSn3L-88dzzTXvjPnm-mRwf9KNXUnPd--lUdR6oc"",""2026-27!W4"")"),0.0)</f>
        <v>0</v>
      </c>
      <c r="AU139" s="59">
        <f>IFERROR(__xludf.DUMMYFUNCTION("IMPORTRANGE(""1ocgsSn3L-88dzzTXvjPnm-mRwf9KNXUnPd--lUdR6oc"",""2026-27!W3"")"),0.0)</f>
        <v>0</v>
      </c>
      <c r="AV139" s="62" t="str">
        <f t="shared" si="121"/>
        <v/>
      </c>
      <c r="AW139" s="59">
        <f>IFERROR(__xludf.DUMMYFUNCTION("IMPORTRANGE(""1ocgsSn3L-88dzzTXvjPnm-mRwf9KNXUnPd--lUdR6oc"",""2026-27!X4"")"),0.0)</f>
        <v>0</v>
      </c>
      <c r="AX139" s="59">
        <f>IFERROR(__xludf.DUMMYFUNCTION("IMPORTRANGE(""1ocgsSn3L-88dzzTXvjPnm-mRwf9KNXUnPd--lUdR6oc"",""2026-27!X3"")"),0.0)</f>
        <v>0</v>
      </c>
      <c r="AY139" s="59">
        <f>IFERROR(__xludf.DUMMYFUNCTION("IMPORTRANGE(""1ocgsSn3L-88dzzTXvjPnm-mRwf9KNXUnPd--lUdR6oc"",""2026-27!Y4"")"),0.0)</f>
        <v>0</v>
      </c>
      <c r="AZ139" s="59">
        <f>IFERROR(__xludf.DUMMYFUNCTION("IMPORTRANGE(""1ocgsSn3L-88dzzTXvjPnm-mRwf9KNXUnPd--lUdR6oc"",""2026-27!Y3"")"),0.0)</f>
        <v>0</v>
      </c>
      <c r="BA139" s="59">
        <f>IFERROR(__xludf.DUMMYFUNCTION("IMPORTRANGE(""1ocgsSn3L-88dzzTXvjPnm-mRwf9KNXUnPd--lUdR6oc"",""2026-27!Z4"")"),0.0)</f>
        <v>0</v>
      </c>
      <c r="BB139" s="59">
        <f>IFERROR(__xludf.DUMMYFUNCTION("IMPORTRANGE(""1ocgsSn3L-88dzzTXvjPnm-mRwf9KNXUnPd--lUdR6oc"",""2026-27!Z3"")"),0.0)</f>
        <v>0</v>
      </c>
      <c r="BC139" s="63" t="str">
        <f t="shared" si="122"/>
        <v/>
      </c>
      <c r="BD139" s="59">
        <f>IFERROR(__xludf.DUMMYFUNCTION("IMPORTRANGE(""1ocgsSn3L-88dzzTXvjPnm-mRwf9KNXUnPd--lUdR6oc"",""2026-27!AA4"")"),0.0)</f>
        <v>0</v>
      </c>
      <c r="BE139" s="59">
        <f>IFERROR(__xludf.DUMMYFUNCTION("IMPORTRANGE(""1ocgsSn3L-88dzzTXvjPnm-mRwf9KNXUnPd--lUdR6oc"",""2026-27!AA3"")"),0.0)</f>
        <v>0</v>
      </c>
      <c r="BF139" s="59">
        <f>IFERROR(__xludf.DUMMYFUNCTION("IMPORTRANGE(""1ocgsSn3L-88dzzTXvjPnm-mRwf9KNXUnPd--lUdR6oc"",""2026-27!AB4"")"),0.0)</f>
        <v>0</v>
      </c>
      <c r="BG139" s="59">
        <f>IFERROR(__xludf.DUMMYFUNCTION("IMPORTRANGE(""1ocgsSn3L-88dzzTXvjPnm-mRwf9KNXUnPd--lUdR6oc"",""2026-27!AB3"")"),0.0)</f>
        <v>0</v>
      </c>
      <c r="BH139" s="59">
        <f>IFERROR(__xludf.DUMMYFUNCTION("IMPORTRANGE(""1ocgsSn3L-88dzzTXvjPnm-mRwf9KNXUnPd--lUdR6oc"",""2026-27!AC4"")"),0.0)</f>
        <v>0</v>
      </c>
      <c r="BI139" s="59">
        <f>IFERROR(__xludf.DUMMYFUNCTION("IMPORTRANGE(""1ocgsSn3L-88dzzTXvjPnm-mRwf9KNXUnPd--lUdR6oc"",""2026-27!AC3"")"),0.0)</f>
        <v>0</v>
      </c>
      <c r="BJ139" s="63" t="str">
        <f t="shared" si="123"/>
        <v/>
      </c>
      <c r="BK139" s="59">
        <f>IFERROR(__xludf.DUMMYFUNCTION("IMPORTRANGE(""1ocgsSn3L-88dzzTXvjPnm-mRwf9KNXUnPd--lUdR6oc"",""2026-27!AD4"")"),0.0)</f>
        <v>0</v>
      </c>
      <c r="BL139" s="59">
        <f>IFERROR(__xludf.DUMMYFUNCTION("IMPORTRANGE(""1ocgsSn3L-88dzzTXvjPnm-mRwf9KNXUnPd--lUdR6oc"",""2026-27!AD3"")"),0.0)</f>
        <v>0</v>
      </c>
      <c r="BM139" s="59">
        <f>IFERROR(__xludf.DUMMYFUNCTION("IMPORTRANGE(""1ocgsSn3L-88dzzTXvjPnm-mRwf9KNXUnPd--lUdR6oc"",""2026-27!AE4"")"),0.0)</f>
        <v>0</v>
      </c>
      <c r="BN139" s="59">
        <f>IFERROR(__xludf.DUMMYFUNCTION("IMPORTRANGE(""1ocgsSn3L-88dzzTXvjPnm-mRwf9KNXUnPd--lUdR6oc"",""2026-27!AE3"")"),0.0)</f>
        <v>0</v>
      </c>
      <c r="BO139" s="59">
        <f>IFERROR(__xludf.DUMMYFUNCTION("IMPORTRANGE(""1ocgsSn3L-88dzzTXvjPnm-mRwf9KNXUnPd--lUdR6oc"",""2026-27!AF4"")"),0.0)</f>
        <v>0</v>
      </c>
      <c r="BP139" s="59">
        <f>IFERROR(__xludf.DUMMYFUNCTION("IMPORTRANGE(""1ocgsSn3L-88dzzTXvjPnm-mRwf9KNXUnPd--lUdR6oc"",""2026-27!AF3"")"),0.0)</f>
        <v>0</v>
      </c>
      <c r="BQ139" s="63" t="str">
        <f t="shared" si="124"/>
        <v/>
      </c>
      <c r="BR139" s="59">
        <f>IFERROR(__xludf.DUMMYFUNCTION("IMPORTRANGE(""1ocgsSn3L-88dzzTXvjPnm-mRwf9KNXUnPd--lUdR6oc"",""2026-27!AG4"")"),0.0)</f>
        <v>0</v>
      </c>
      <c r="BS139" s="59">
        <f>IFERROR(__xludf.DUMMYFUNCTION("IMPORTRANGE(""1ocgsSn3L-88dzzTXvjPnm-mRwf9KNXUnPd--lUdR6oc"",""2026-27!AG3"")"),0.0)</f>
        <v>0</v>
      </c>
      <c r="BT139" s="59">
        <f>IFERROR(__xludf.DUMMYFUNCTION("IMPORTRANGE(""1ocgsSn3L-88dzzTXvjPnm-mRwf9KNXUnPd--lUdR6oc"",""2026-27!AH4"")"),0.0)</f>
        <v>0</v>
      </c>
      <c r="BU139" s="59">
        <f>IFERROR(__xludf.DUMMYFUNCTION("IMPORTRANGE(""1ocgsSn3L-88dzzTXvjPnm-mRwf9KNXUnPd--lUdR6oc"",""2026-27!AH3"")"),0.0)</f>
        <v>0</v>
      </c>
      <c r="BV139" s="59">
        <f>IFERROR(__xludf.DUMMYFUNCTION("IMPORTRANGE(""1ocgsSn3L-88dzzTXvjPnm-mRwf9KNXUnPd--lUdR6oc"",""2026-27!AI4"")"),0.0)</f>
        <v>0</v>
      </c>
      <c r="BW139" s="59">
        <f>IFERROR(__xludf.DUMMYFUNCTION("IMPORTRANGE(""1ocgsSn3L-88dzzTXvjPnm-mRwf9KNXUnPd--lUdR6oc"",""2026-27!AI3"")"),0.0)</f>
        <v>0</v>
      </c>
      <c r="BX139" s="63" t="str">
        <f t="shared" si="125"/>
        <v/>
      </c>
      <c r="BY139" s="59">
        <f>IFERROR(__xludf.DUMMYFUNCTION("IMPORTRANGE(""1ocgsSn3L-88dzzTXvjPnm-mRwf9KNXUnPd--lUdR6oc"",""2026-27!AJ4"")"),0.0)</f>
        <v>0</v>
      </c>
      <c r="BZ139" s="59">
        <f>IFERROR(__xludf.DUMMYFUNCTION("IMPORTRANGE(""1ocgsSn3L-88dzzTXvjPnm-mRwf9KNXUnPd--lUdR6oc"",""2026-27!AJ3"")"),0.0)</f>
        <v>0</v>
      </c>
      <c r="CA139" s="59">
        <f>IFERROR(__xludf.DUMMYFUNCTION("IMPORTRANGE(""1ocgsSn3L-88dzzTXvjPnm-mRwf9KNXUnPd--lUdR6oc"",""2026-27!AK4"")"),0.0)</f>
        <v>0</v>
      </c>
      <c r="CB139" s="59">
        <f>IFERROR(__xludf.DUMMYFUNCTION("IMPORTRANGE(""1ocgsSn3L-88dzzTXvjPnm-mRwf9KNXUnPd--lUdR6oc"",""2026-27!AK3"")"),0.0)</f>
        <v>0</v>
      </c>
      <c r="CC139" s="59">
        <f>IFERROR(__xludf.DUMMYFUNCTION("IMPORTRANGE(""1ocgsSn3L-88dzzTXvjPnm-mRwf9KNXUnPd--lUdR6oc"",""2026-27!AL4"")"),0.0)</f>
        <v>0</v>
      </c>
      <c r="CD139" s="59">
        <f>IFERROR(__xludf.DUMMYFUNCTION("IMPORTRANGE(""1ocgsSn3L-88dzzTXvjPnm-mRwf9KNXUnPd--lUdR6oc"",""2026-27!AL3"")"),0.0)</f>
        <v>0</v>
      </c>
      <c r="CE139" s="63" t="str">
        <f t="shared" si="126"/>
        <v/>
      </c>
      <c r="CF139" s="59">
        <f>IFERROR(__xludf.DUMMYFUNCTION("IMPORTRANGE(""1ocgsSn3L-88dzzTXvjPnm-mRwf9KNXUnPd--lUdR6oc"",""2026-27!AM4"")"),0.0)</f>
        <v>0</v>
      </c>
      <c r="CG139" s="59">
        <f>IFERROR(__xludf.DUMMYFUNCTION("IMPORTRANGE(""1ocgsSn3L-88dzzTXvjPnm-mRwf9KNXUnPd--lUdR6oc"",""2026-27!AM3"")"),0.0)</f>
        <v>0</v>
      </c>
      <c r="CH139" s="59">
        <f>IFERROR(__xludf.DUMMYFUNCTION("IMPORTRANGE(""1ocgsSn3L-88dzzTXvjPnm-mRwf9KNXUnPd--lUdR6oc"",""2026-27!AN4"")"),0.0)</f>
        <v>0</v>
      </c>
      <c r="CI139" s="59">
        <f>IFERROR(__xludf.DUMMYFUNCTION("IMPORTRANGE(""1ocgsSn3L-88dzzTXvjPnm-mRwf9KNXUnPd--lUdR6oc"",""2026-27!AN3"")"),0.0)</f>
        <v>0</v>
      </c>
      <c r="CJ139" s="59">
        <f>IFERROR(__xludf.DUMMYFUNCTION("IMPORTRANGE(""1ocgsSn3L-88dzzTXvjPnm-mRwf9KNXUnPd--lUdR6oc"",""2026-27!AO4"")"),0.0)</f>
        <v>0</v>
      </c>
      <c r="CK139" s="59">
        <f>IFERROR(__xludf.DUMMYFUNCTION("IMPORTRANGE(""1ocgsSn3L-88dzzTXvjPnm-mRwf9KNXUnPd--lUdR6oc"",""2026-27!AO3"")"),0.0)</f>
        <v>0</v>
      </c>
      <c r="CL139" s="63" t="str">
        <f t="shared" si="127"/>
        <v/>
      </c>
      <c r="CM139" s="59">
        <f>IFERROR(__xludf.DUMMYFUNCTION("IMPORTRANGE(""1ocgsSn3L-88dzzTXvjPnm-mRwf9KNXUnPd--lUdR6oc"",""2026-27!AP4"")"),0.0)</f>
        <v>0</v>
      </c>
      <c r="CN139" s="59">
        <f>IFERROR(__xludf.DUMMYFUNCTION("IMPORTRANGE(""1ocgsSn3L-88dzzTXvjPnm-mRwf9KNXUnPd--lUdR6oc"",""2026-27!AP3"")"),0.0)</f>
        <v>0</v>
      </c>
      <c r="CO139" s="59">
        <f>IFERROR(__xludf.DUMMYFUNCTION("IMPORTRANGE(""1ocgsSn3L-88dzzTXvjPnm-mRwf9KNXUnPd--lUdR6oc"",""2026-27!AQ4"")"),0.0)</f>
        <v>0</v>
      </c>
      <c r="CP139" s="59">
        <f>IFERROR(__xludf.DUMMYFUNCTION("IMPORTRANGE(""1ocgsSn3L-88dzzTXvjPnm-mRwf9KNXUnPd--lUdR6oc"",""2026-27!AQ3"")"),0.0)</f>
        <v>0</v>
      </c>
      <c r="CQ139" s="59">
        <f>IFERROR(__xludf.DUMMYFUNCTION("IMPORTRANGE(""1ocgsSn3L-88dzzTXvjPnm-mRwf9KNXUnPd--lUdR6oc"",""2026-27!AR4"")"),0.0)</f>
        <v>0</v>
      </c>
      <c r="CR139" s="59">
        <f>IFERROR(__xludf.DUMMYFUNCTION("IMPORTRANGE(""1ocgsSn3L-88dzzTXvjPnm-mRwf9KNXUnPd--lUdR6oc"",""2026-27!AR3"")"),0.0)</f>
        <v>0</v>
      </c>
      <c r="CS139" s="63" t="str">
        <f t="shared" si="128"/>
        <v/>
      </c>
      <c r="CT139" s="59">
        <f>IFERROR(__xludf.DUMMYFUNCTION("IMPORTRANGE(""1ocgsSn3L-88dzzTXvjPnm-mRwf9KNXUnPd--lUdR6oc"",""2026-27!AS4"")"),0.0)</f>
        <v>0</v>
      </c>
      <c r="CU139" s="59">
        <f>IFERROR(__xludf.DUMMYFUNCTION("IMPORTRANGE(""1ocgsSn3L-88dzzTXvjPnm-mRwf9KNXUnPd--lUdR6oc"",""2026-27!AS3"")"),0.0)</f>
        <v>0</v>
      </c>
      <c r="CV139" s="64"/>
    </row>
    <row r="140">
      <c r="A140" s="1"/>
      <c r="B140" s="41"/>
      <c r="C140" s="68" t="s">
        <v>272</v>
      </c>
      <c r="D140" s="126"/>
      <c r="E140" s="126"/>
      <c r="F140" s="80"/>
      <c r="G140" s="66"/>
      <c r="H140" s="66"/>
      <c r="I140" s="57"/>
      <c r="J140" s="58">
        <v>1500000.0</v>
      </c>
      <c r="K140" s="61"/>
      <c r="L140" s="61"/>
      <c r="M140" s="61"/>
      <c r="N140" s="60"/>
      <c r="O140" s="61"/>
      <c r="P140" s="59"/>
      <c r="Q140" s="59"/>
      <c r="R140" s="59"/>
      <c r="S140" s="59"/>
      <c r="T140" s="62"/>
      <c r="U140" s="59"/>
      <c r="V140" s="85"/>
      <c r="W140" s="59"/>
      <c r="X140" s="85"/>
      <c r="Y140" s="59"/>
      <c r="Z140" s="59"/>
      <c r="AA140" s="62"/>
      <c r="AB140" s="59"/>
      <c r="AC140" s="59"/>
      <c r="AD140" s="59"/>
      <c r="AE140" s="59"/>
      <c r="AF140" s="59"/>
      <c r="AG140" s="59"/>
      <c r="AH140" s="62"/>
      <c r="AI140" s="59"/>
      <c r="AJ140" s="59"/>
      <c r="AK140" s="59"/>
      <c r="AL140" s="59"/>
      <c r="AM140" s="61"/>
      <c r="AN140" s="59"/>
      <c r="AO140" s="62"/>
      <c r="AP140" s="59"/>
      <c r="AQ140" s="59"/>
      <c r="AR140" s="59"/>
      <c r="AS140" s="59"/>
      <c r="AT140" s="61"/>
      <c r="AU140" s="59"/>
      <c r="AV140" s="62"/>
      <c r="AW140" s="59"/>
      <c r="AX140" s="59"/>
      <c r="AY140" s="59"/>
      <c r="AZ140" s="59"/>
      <c r="BA140" s="61"/>
      <c r="BB140" s="59"/>
      <c r="BC140" s="63"/>
      <c r="BD140" s="59"/>
      <c r="BE140" s="59"/>
      <c r="BF140" s="59"/>
      <c r="BG140" s="59"/>
      <c r="BH140" s="59"/>
      <c r="BI140" s="59"/>
      <c r="BJ140" s="63"/>
      <c r="BK140" s="59"/>
      <c r="BL140" s="59"/>
      <c r="BM140" s="59"/>
      <c r="BN140" s="59"/>
      <c r="BO140" s="59"/>
      <c r="BP140" s="59"/>
      <c r="BQ140" s="63"/>
      <c r="BR140" s="59"/>
      <c r="BS140" s="59"/>
      <c r="BT140" s="59"/>
      <c r="BU140" s="59"/>
      <c r="BV140" s="59"/>
      <c r="BW140" s="59"/>
      <c r="BX140" s="63"/>
      <c r="BY140" s="59"/>
      <c r="BZ140" s="59"/>
      <c r="CA140" s="59"/>
      <c r="CB140" s="59"/>
      <c r="CC140" s="59"/>
      <c r="CD140" s="59"/>
      <c r="CE140" s="63"/>
      <c r="CF140" s="59"/>
      <c r="CG140" s="59"/>
      <c r="CH140" s="59"/>
      <c r="CI140" s="59"/>
      <c r="CJ140" s="59"/>
      <c r="CK140" s="59"/>
      <c r="CL140" s="63"/>
      <c r="CM140" s="59"/>
      <c r="CN140" s="59"/>
      <c r="CO140" s="59"/>
      <c r="CP140" s="59"/>
      <c r="CQ140" s="59"/>
      <c r="CR140" s="59"/>
      <c r="CS140" s="63"/>
      <c r="CT140" s="59"/>
      <c r="CU140" s="59"/>
      <c r="CV140" s="64"/>
    </row>
    <row r="141">
      <c r="A141" s="1" t="s">
        <v>273</v>
      </c>
      <c r="B141" s="51" t="s">
        <v>273</v>
      </c>
      <c r="C141" s="68" t="s">
        <v>274</v>
      </c>
      <c r="D141" s="54" t="s">
        <v>275</v>
      </c>
      <c r="E141" s="54">
        <v>9.82200876E9</v>
      </c>
      <c r="F141" s="80">
        <v>43015.0</v>
      </c>
      <c r="G141" s="66"/>
      <c r="H141" s="66"/>
      <c r="I141" s="57">
        <v>38750.0</v>
      </c>
      <c r="J141" s="58">
        <v>2000000.0</v>
      </c>
      <c r="K141" s="61">
        <f>IFERROR(__xludf.DUMMYFUNCTION("IMPORTRANGE(""https://docs.google.com/spreadsheets/d/1hdnWim5IyU3odQS7qac9pteQzzcjKICRf0oXedBwc28/edit#gid=1496943040"",""2026-27!A3"")"),129.0)</f>
        <v>129</v>
      </c>
      <c r="L141" s="61">
        <f>IFERROR(__xludf.DUMMYFUNCTION("IMPORTRANGE(""https://docs.google.com/spreadsheets/d/1hdnWim5IyU3odQS7qac9pteQzzcjKICRf0oXedBwc28/edit#gid=1496943040"",""2026-27!G4"")"),2.74E7)</f>
        <v>27400000</v>
      </c>
      <c r="M141" s="61">
        <f t="shared" ref="M141:M159" si="129">SUM(R141+Y141+AF141+AM141+AT141+BA141+BH141+BO141+BV141+CC141+CJ141+CQ141)</f>
        <v>6444165.25</v>
      </c>
      <c r="N141" s="60">
        <f t="shared" ref="N141:N159" si="130">iferror(O141/L141,"")</f>
        <v>0.2463525547</v>
      </c>
      <c r="O141" s="61">
        <f t="shared" ref="O141:O159" si="131">SUM(U141,AB141,AI141,AP141,AW141,BD141,BK141,BR141,BY141,CF141,CM141,CT141)</f>
        <v>6750060</v>
      </c>
      <c r="P141" s="59">
        <f>IFERROR(__xludf.DUMMYFUNCTION("IMPORTRANGE(""https://docs.google.com/spreadsheets/d/1hdnWim5IyU3odQS7qac9pteQzzcjKICRf0oXedBwc28/edit#gid=1496943040"",""2026-27!J4"")"),2279160.0000000005)</f>
        <v>2279160</v>
      </c>
      <c r="Q141" s="59">
        <f>IFERROR(__xludf.DUMMYFUNCTION("IMPORTRANGE(""https://docs.google.com/spreadsheets/d/1hdnWim5IyU3odQS7qac9pteQzzcjKICRf0oXedBwc28/edit#gid=1496943040"",""2026-27!J3"")"),75.0)</f>
        <v>75</v>
      </c>
      <c r="R141" s="59">
        <f>IFERROR(__xludf.DUMMYFUNCTION("IMPORTRANGE(""https://docs.google.com/spreadsheets/d/1hdnWim5IyU3odQS7qac9pteQzzcjKICRf0oXedBwc28/edit#gid=1496943040"",""2026-27!K4"")"),1902378.58)</f>
        <v>1902378.58</v>
      </c>
      <c r="S141" s="59">
        <f>IFERROR(__xludf.DUMMYFUNCTION("IMPORTRANGE(""https://docs.google.com/spreadsheets/d/1hdnWim5IyU3odQS7qac9pteQzzcjKICRf0oXedBwc28/edit#gid=1496943040"",""2026-27!K3"")"),31.0)</f>
        <v>31</v>
      </c>
      <c r="T141" s="62">
        <f t="shared" ref="T141:T159" si="132">IFERROR((U141/P141),"")</f>
        <v>0.8609000684</v>
      </c>
      <c r="U141" s="59">
        <f>IFERROR(__xludf.DUMMYFUNCTION("IMPORTRANGE(""https://docs.google.com/spreadsheets/d/1hdnWim5IyU3odQS7qac9pteQzzcjKICRf0oXedBwc28/edit#gid=1496943040"",""2026-27!L4"")"),1962129.0)</f>
        <v>1962129</v>
      </c>
      <c r="V141" s="85">
        <f>IFERROR(__xludf.DUMMYFUNCTION("IMPORTRANGE(""https://docs.google.com/spreadsheets/d/1hdnWim5IyU3odQS7qac9pteQzzcjKICRf0oXedBwc28/edit#gid=1496943040"",""2026-27!L3"")"),30.0)</f>
        <v>30</v>
      </c>
      <c r="W141" s="59">
        <f>IFERROR(__xludf.DUMMYFUNCTION("IMPORTRANGE(""https://docs.google.com/spreadsheets/d/1hdnWim5IyU3odQS7qac9pteQzzcjKICRf0oXedBwc28/edit#gid=1496943040"",""2026-27!M4"")"),2158329.3333333335)</f>
        <v>2158329.333</v>
      </c>
      <c r="X141" s="85">
        <f>IFERROR(__xludf.DUMMYFUNCTION("IMPORTRANGE(""https://docs.google.com/spreadsheets/d/1hdnWim5IyU3odQS7qac9pteQzzcjKICRf0oXedBwc28/edit#gid=1496943040"",""2026-27!M3"")"),70.0)</f>
        <v>70</v>
      </c>
      <c r="Y141" s="59">
        <f>IFERROR(__xludf.DUMMYFUNCTION("importrange(""https://docs.google.com/spreadsheets/d/1hdnWim5IyU3odQS7qac9pteQzzcjKICRf0oXedBwc28/edit#gid=1496943040"",""2026-27!n4"")"),2259150.81)</f>
        <v>2259150.81</v>
      </c>
      <c r="Z141" s="59">
        <f>IFERROR(__xludf.DUMMYFUNCTION("importrange(""https://docs.google.com/spreadsheets/d/1hdnWim5IyU3odQS7qac9pteQzzcjKICRf0oXedBwc28/edit#gid=1496943040"",""2026-27!n3"")"),39.0)</f>
        <v>39</v>
      </c>
      <c r="AA141" s="62">
        <f t="shared" ref="AA141:AA159" si="133">IFERROR((AB141/W141),"")</f>
        <v>1.054120409</v>
      </c>
      <c r="AB141" s="59">
        <f>IFERROR(__xludf.DUMMYFUNCTION("importrange(""https://docs.google.com/spreadsheets/d/1hdnWim5IyU3odQS7qac9pteQzzcjKICRf0oXedBwc28/edit#gid=1496943040"",""2026-27!o4"")"),2275139.0)</f>
        <v>2275139</v>
      </c>
      <c r="AC141" s="59">
        <f>IFERROR(__xludf.DUMMYFUNCTION("importrange(""https://docs.google.com/spreadsheets/d/1hdnWim5IyU3odQS7qac9pteQzzcjKICRf0oXedBwc28/edit#gid=1496943040"",""2026-27!o3"")"),49.0)</f>
        <v>49</v>
      </c>
      <c r="AD141" s="59">
        <f>IFERROR(__xludf.DUMMYFUNCTION("importrange(""https://docs.google.com/spreadsheets/d/1hdnWim5IyU3odQS7qac9pteQzzcjKICRf0oXedBwc28/edit#gid=1496943040"",""2026-27!p4"")"),2099996.0)</f>
        <v>2099996</v>
      </c>
      <c r="AE141" s="59">
        <f>IFERROR(__xludf.DUMMYFUNCTION("importrange(""https://docs.google.com/spreadsheets/d/1hdnWim5IyU3odQS7qac9pteQzzcjKICRf0oXedBwc28/edit#gid=1496943040"",""2026-27!p3"")"),69.0)</f>
        <v>69</v>
      </c>
      <c r="AF141" s="59">
        <f>IFERROR(__xludf.DUMMYFUNCTION("importrange(""https://docs.google.com/spreadsheets/d/1hdnWim5IyU3odQS7qac9pteQzzcjKICRf0oXedBwc28/edit#gid=1496943040"",""2026-27!q4"")"),2282635.86)</f>
        <v>2282635.86</v>
      </c>
      <c r="AG141" s="59">
        <f>IFERROR(__xludf.DUMMYFUNCTION("importrange(""https://docs.google.com/spreadsheets/d/1hdnWim5IyU3odQS7qac9pteQzzcjKICRf0oXedBwc28/edit#gid=1496943040"",""2026-27!q3"")"),41.0)</f>
        <v>41</v>
      </c>
      <c r="AH141" s="62">
        <f t="shared" ref="AH141:AH159" si="134">IFERROR((AI141/AD141),"")</f>
        <v>1.196569898</v>
      </c>
      <c r="AI141" s="59">
        <f>IFERROR(__xludf.DUMMYFUNCTION("importrange(""https://docs.google.com/spreadsheets/d/1hdnWim5IyU3odQS7qac9pteQzzcjKICRf0oXedBwc28/edit#gid=1496943040"",""2026-27!r4"")"),2512792.0)</f>
        <v>2512792</v>
      </c>
      <c r="AJ141" s="59">
        <f>IFERROR(__xludf.DUMMYFUNCTION("importrange(""https://docs.google.com/spreadsheets/d/1hdnWim5IyU3odQS7qac9pteQzzcjKICRf0oXedBwc28/edit#gid=1496943040"",""2026-27!r3"")"),43.0)</f>
        <v>43</v>
      </c>
      <c r="AK141" s="59">
        <f>IFERROR(__xludf.DUMMYFUNCTION("importrange(""https://docs.google.com/spreadsheets/d/1hdnWim5IyU3odQS7qac9pteQzzcjKICRf0oXedBwc28/edit#gid=1496943040"",""2026-27!s4"")"),2099996.0)</f>
        <v>2099996</v>
      </c>
      <c r="AL141" s="59">
        <f>IFERROR(__xludf.DUMMYFUNCTION("importrange(""https://docs.google.com/spreadsheets/d/1hdnWim5IyU3odQS7qac9pteQzzcjKICRf0oXedBwc28/edit#gid=1496943040"",""2026-27!s3"")"),69.0)</f>
        <v>69</v>
      </c>
      <c r="AM141" s="61">
        <f>IFERROR(__xludf.DUMMYFUNCTION("importrange(""https://docs.google.com/spreadsheets/d/1hdnWim5IyU3odQS7qac9pteQzzcjKICRf0oXedBwc28/edit#gid=1496943040"",""2026-27!t4"")"),0.0)</f>
        <v>0</v>
      </c>
      <c r="AN141" s="59">
        <f>IFERROR(__xludf.DUMMYFUNCTION("importrange(""https://docs.google.com/spreadsheets/d/1hdnWim5IyU3odQS7qac9pteQzzcjKICRf0oXedBwc28/edit#gid=1496943040"",""2026-27!t3"")"),0.0)</f>
        <v>0</v>
      </c>
      <c r="AO141" s="62">
        <f t="shared" ref="AO141:AO159" si="135">IFERROR((AP141/AK141),"")</f>
        <v>0</v>
      </c>
      <c r="AP141" s="59">
        <f>IFERROR(__xludf.DUMMYFUNCTION("importrange(""https://docs.google.com/spreadsheets/d/1hdnWim5IyU3odQS7qac9pteQzzcjKICRf0oXedBwc28/edit#gid=1496943040"",""2026-27!u4"")"),0.0)</f>
        <v>0</v>
      </c>
      <c r="AQ141" s="59">
        <f>IFERROR(__xludf.DUMMYFUNCTION("importrange(""https://docs.google.com/spreadsheets/d/1hdnWim5IyU3odQS7qac9pteQzzcjKICRf0oXedBwc28/edit#gid=1496943040"",""2026-27!u3"")"),0.0)</f>
        <v>0</v>
      </c>
      <c r="AR141" s="59">
        <f>IFERROR(__xludf.DUMMYFUNCTION("importrange(""https://docs.google.com/spreadsheets/d/1hdnWim5IyU3odQS7qac9pteQzzcjKICRf0oXedBwc28/edit#gid=1496943040"",""2026-27!v4"")"),2099996.0)</f>
        <v>2099996</v>
      </c>
      <c r="AS141" s="59">
        <f>IFERROR(__xludf.DUMMYFUNCTION("importrange(""https://docs.google.com/spreadsheets/d/1hdnWim5IyU3odQS7qac9pteQzzcjKICRf0oXedBwc28/edit#gid=1496943040"",""2026-27!v3"")"),69.0)</f>
        <v>69</v>
      </c>
      <c r="AT141" s="61">
        <f>IFERROR(__xludf.DUMMYFUNCTION("importrange(""https://docs.google.com/spreadsheets/d/1hdnWim5IyU3odQS7qac9pteQzzcjKICRf0oXedBwc28/edit#gid=1496943040"",""2026-27!w4"")"),0.0)</f>
        <v>0</v>
      </c>
      <c r="AU141" s="59">
        <f>IFERROR(__xludf.DUMMYFUNCTION("importrange(""https://docs.google.com/spreadsheets/d/1hdnWim5IyU3odQS7qac9pteQzzcjKICRf0oXedBwc28/edit#gid=1496943040"",""2026-27!w3"")"),0.0)</f>
        <v>0</v>
      </c>
      <c r="AV141" s="62">
        <f t="shared" ref="AV141:AV159" si="136">IFERROR((AW141/AR141),"")</f>
        <v>0</v>
      </c>
      <c r="AW141" s="59">
        <f>IFERROR(__xludf.DUMMYFUNCTION("importrange(""https://docs.google.com/spreadsheets/d/1hdnWim5IyU3odQS7qac9pteQzzcjKICRf0oXedBwc28/edit#gid=1496943040"",""2026-27!x4"")"),0.0)</f>
        <v>0</v>
      </c>
      <c r="AX141" s="59">
        <f>IFERROR(__xludf.DUMMYFUNCTION("importrange(""https://docs.google.com/spreadsheets/d/1hdnWim5IyU3odQS7qac9pteQzzcjKICRf0oXedBwc28/edit#gid=1496943040"",""2026-27!x3"")"),0.0)</f>
        <v>0</v>
      </c>
      <c r="AY141" s="59">
        <f>IFERROR(__xludf.DUMMYFUNCTION("importrange(""https://docs.google.com/spreadsheets/d/1hdnWim5IyU3odQS7qac9pteQzzcjKICRf0oXedBwc28/edit#gid=1496943040"",""2026-27!y4"")"),2099996.3333333335)</f>
        <v>2099996.333</v>
      </c>
      <c r="AZ141" s="59">
        <f>IFERROR(__xludf.DUMMYFUNCTION("importrange(""https://docs.google.com/spreadsheets/d/1hdnWim5IyU3odQS7qac9pteQzzcjKICRf0oXedBwc28/edit#gid=1496943040"",""2026-27!y3"")"),69.0)</f>
        <v>69</v>
      </c>
      <c r="BA141" s="61">
        <f>IFERROR(__xludf.DUMMYFUNCTION("importrange(""https://docs.google.com/spreadsheets/d/1hdnWim5IyU3odQS7qac9pteQzzcjKICRf0oXedBwc28/edit#gid=1496943040"",""2026-27!z4"")"),0.0)</f>
        <v>0</v>
      </c>
      <c r="BB141" s="59">
        <f>IFERROR(__xludf.DUMMYFUNCTION("importrange(""https://docs.google.com/spreadsheets/d/1hdnWim5IyU3odQS7qac9pteQzzcjKICRf0oXedBwc28/edit#gid=1496943040"",""2026-27!z3"")"),0.0)</f>
        <v>0</v>
      </c>
      <c r="BC141" s="63">
        <f t="shared" ref="BC141:BC159" si="137">IFERROR((BD141/AY141),"")</f>
        <v>0</v>
      </c>
      <c r="BD141" s="59">
        <f>IFERROR(__xludf.DUMMYFUNCTION("importrange(""https://docs.google.com/spreadsheets/d/1hdnWim5IyU3odQS7qac9pteQzzcjKICRf0oXedBwc28/edit#gid=1496943040"",""2026-27!aa4"")"),0.0)</f>
        <v>0</v>
      </c>
      <c r="BE141" s="59">
        <f>IFERROR(__xludf.DUMMYFUNCTION("importrange(""https://docs.google.com/spreadsheets/d/1hdnWim5IyU3odQS7qac9pteQzzcjKICRf0oXedBwc28/edit#gid=1496943040"",""2026-27!aa3"")"),0.0)</f>
        <v>0</v>
      </c>
      <c r="BF141" s="59">
        <f>IFERROR(__xludf.DUMMYFUNCTION("importrange(""https://docs.google.com/spreadsheets/d/1hdnWim5IyU3odQS7qac9pteQzzcjKICRf0oXedBwc28/edit#gid=1496943040"",""2026-27!ab4"")"),2099996.0)</f>
        <v>2099996</v>
      </c>
      <c r="BG141" s="59">
        <f>IFERROR(__xludf.DUMMYFUNCTION("importrange(""https://docs.google.com/spreadsheets/d/1hdnWim5IyU3odQS7qac9pteQzzcjKICRf0oXedBwc28/edit#gid=1496943040"",""2026-27!ab3"")"),69.0)</f>
        <v>69</v>
      </c>
      <c r="BH141" s="59">
        <f>IFERROR(__xludf.DUMMYFUNCTION("importrange(""https://docs.google.com/spreadsheets/d/1hdnWim5IyU3odQS7qac9pteQzzcjKICRf0oXedBwc28/edit#gid=1496943040"",""2026-27!ac4"")"),0.0)</f>
        <v>0</v>
      </c>
      <c r="BI141" s="59">
        <f>IFERROR(__xludf.DUMMYFUNCTION("importrange(""https://docs.google.com/spreadsheets/d/1hdnWim5IyU3odQS7qac9pteQzzcjKICRf0oXedBwc28/edit#gid=1496943040"",""2026-27!ac3"")"),0.0)</f>
        <v>0</v>
      </c>
      <c r="BJ141" s="63">
        <f t="shared" ref="BJ141:BJ159" si="138">IFERROR((BK141/BF141),"")</f>
        <v>0</v>
      </c>
      <c r="BK141" s="59">
        <f>IFERROR(__xludf.DUMMYFUNCTION("importrange(""https://docs.google.com/spreadsheets/d/1hdnWim5IyU3odQS7qac9pteQzzcjKICRf0oXedBwc28/edit#gid=1496943040"",""2026-27!ad4"")"),0.0)</f>
        <v>0</v>
      </c>
      <c r="BL141" s="59">
        <f>IFERROR(__xludf.DUMMYFUNCTION("importrange(""https://docs.google.com/spreadsheets/d/1hdnWim5IyU3odQS7qac9pteQzzcjKICRf0oXedBwc28/edit#gid=1496943040"",""2026-27!ad3"")"),0.0)</f>
        <v>0</v>
      </c>
      <c r="BM141" s="59">
        <f>IFERROR(__xludf.DUMMYFUNCTION("importrange(""https://docs.google.com/spreadsheets/d/1hdnWim5IyU3odQS7qac9pteQzzcjKICRf0oXedBwc28/edit#gid=1496943040"",""2026-27!ae4"")"),2099996.0)</f>
        <v>2099996</v>
      </c>
      <c r="BN141" s="59">
        <f>IFERROR(__xludf.DUMMYFUNCTION("importrange(""https://docs.google.com/spreadsheets/d/1hdnWim5IyU3odQS7qac9pteQzzcjKICRf0oXedBwc28/edit#gid=1496943040"",""2026-27!ae3"")"),69.0)</f>
        <v>69</v>
      </c>
      <c r="BO141" s="59">
        <f>IFERROR(__xludf.DUMMYFUNCTION("importrange(""https://docs.google.com/spreadsheets/d/1hdnWim5IyU3odQS7qac9pteQzzcjKICRf0oXedBwc28/edit#gid=1496943040"",""2026-27!af4"")"),0.0)</f>
        <v>0</v>
      </c>
      <c r="BP141" s="59">
        <f>IFERROR(__xludf.DUMMYFUNCTION("importrange(""https://docs.google.com/spreadsheets/d/1hdnWim5IyU3odQS7qac9pteQzzcjKICRf0oXedBwc28/edit#gid=1496943040"",""2026-27!af3"")"),0.0)</f>
        <v>0</v>
      </c>
      <c r="BQ141" s="63">
        <f t="shared" ref="BQ141:BQ159" si="139">IFERROR((BR141/BM141),"")</f>
        <v>0</v>
      </c>
      <c r="BR141" s="59">
        <f>IFERROR(__xludf.DUMMYFUNCTION("importrange(""https://docs.google.com/spreadsheets/d/1hdnWim5IyU3odQS7qac9pteQzzcjKICRf0oXedBwc28/edit#gid=1496943040"",""2026-27!ag4"")"),0.0)</f>
        <v>0</v>
      </c>
      <c r="BS141" s="59">
        <f>IFERROR(__xludf.DUMMYFUNCTION("importrange(""https://docs.google.com/spreadsheets/d/1hdnWim5IyU3odQS7qac9pteQzzcjKICRf0oXedBwc28/edit#gid=1496943040"",""2026-27!ag3"")"),0.0)</f>
        <v>0</v>
      </c>
      <c r="BT141" s="59">
        <f>IFERROR(__xludf.DUMMYFUNCTION("importrange(""https://docs.google.com/spreadsheets/d/1hdnWim5IyU3odQS7qac9pteQzzcjKICRf0oXedBwc28/edit#gid=1496943040"",""2026-27!ah4"")"),2099996.0)</f>
        <v>2099996</v>
      </c>
      <c r="BU141" s="59">
        <f>IFERROR(__xludf.DUMMYFUNCTION("importrange(""https://docs.google.com/spreadsheets/d/1hdnWim5IyU3odQS7qac9pteQzzcjKICRf0oXedBwc28/edit#gid=1496943040"",""2026-27!ah3"")"),69.0)</f>
        <v>69</v>
      </c>
      <c r="BV141" s="59">
        <f>IFERROR(__xludf.DUMMYFUNCTION("importrange(""https://docs.google.com/spreadsheets/d/1hdnWim5IyU3odQS7qac9pteQzzcjKICRf0oXedBwc28/edit#gid=1496943040"",""2026-27!ai4"")"),0.0)</f>
        <v>0</v>
      </c>
      <c r="BW141" s="59">
        <f>IFERROR(__xludf.DUMMYFUNCTION("importrange(""https://docs.google.com/spreadsheets/d/1hdnWim5IyU3odQS7qac9pteQzzcjKICRf0oXedBwc28/edit#gid=1496943040"",""2026-27!ai3"")"),0.0)</f>
        <v>0</v>
      </c>
      <c r="BX141" s="63">
        <f t="shared" ref="BX141:BX159" si="140">IFERROR((BY141/BT141),"")</f>
        <v>0</v>
      </c>
      <c r="BY141" s="59">
        <f>IFERROR(__xludf.DUMMYFUNCTION("importrange(""https://docs.google.com/spreadsheets/d/1hdnWim5IyU3odQS7qac9pteQzzcjKICRf0oXedBwc28/edit#gid=1496943040"",""2026-27!aj4"")"),0.0)</f>
        <v>0</v>
      </c>
      <c r="BZ141" s="59">
        <f>IFERROR(__xludf.DUMMYFUNCTION("importrange(""https://docs.google.com/spreadsheets/d/1hdnWim5IyU3odQS7qac9pteQzzcjKICRf0oXedBwc28/edit#gid=1496943040"",""2026-27!aj3"")"),0.0)</f>
        <v>0</v>
      </c>
      <c r="CA141" s="59">
        <f>IFERROR(__xludf.DUMMYFUNCTION("importrange(""https://docs.google.com/spreadsheets/d/1hdnWim5IyU3odQS7qac9pteQzzcjKICRf0oXedBwc28/edit#gid=1496943040"",""2026-27!ak4"")"),2099996.0)</f>
        <v>2099996</v>
      </c>
      <c r="CB141" s="59">
        <f>IFERROR(__xludf.DUMMYFUNCTION("importrange(""https://docs.google.com/spreadsheets/d/1hdnWim5IyU3odQS7qac9pteQzzcjKICRf0oXedBwc28/edit#gid=1496943040"",""2026-27!ak3"")"),69.0)</f>
        <v>69</v>
      </c>
      <c r="CC141" s="59">
        <f>IFERROR(__xludf.DUMMYFUNCTION("importrange(""https://docs.google.com/spreadsheets/d/1hdnWim5IyU3odQS7qac9pteQzzcjKICRf0oXedBwc28/edit#gid=1496943040"",""2026-27!al4"")"),0.0)</f>
        <v>0</v>
      </c>
      <c r="CD141" s="59">
        <f>IFERROR(__xludf.DUMMYFUNCTION("importrange(""https://docs.google.com/spreadsheets/d/1hdnWim5IyU3odQS7qac9pteQzzcjKICRf0oXedBwc28/edit#gid=1496943040"",""2026-27!ai3"")"),0.0)</f>
        <v>0</v>
      </c>
      <c r="CE141" s="63">
        <f t="shared" ref="CE141:CE159" si="141">IFERROR((CF141/CA141),"")</f>
        <v>0</v>
      </c>
      <c r="CF141" s="59">
        <f>IFERROR(__xludf.DUMMYFUNCTION("importrange(""https://docs.google.com/spreadsheets/d/1hdnWim5IyU3odQS7qac9pteQzzcjKICRf0oXedBwc28/edit#gid=1496943040"",""2026-27!am4"")"),0.0)</f>
        <v>0</v>
      </c>
      <c r="CG141" s="59">
        <f>IFERROR(__xludf.DUMMYFUNCTION("importrange(""https://docs.google.com/spreadsheets/d/1hdnWim5IyU3odQS7qac9pteQzzcjKICRf0oXedBwc28/edit#gid=1496943040"",""2026-27!am3"")"),0.0)</f>
        <v>0</v>
      </c>
      <c r="CH141" s="59">
        <f>IFERROR(__xludf.DUMMYFUNCTION("importrange(""https://docs.google.com/spreadsheets/d/1hdnWim5IyU3odQS7qac9pteQzzcjKICRf0oXedBwc28/edit#gid=1496943040"",""2026-27!an4"")"),2099996.0)</f>
        <v>2099996</v>
      </c>
      <c r="CI141" s="59">
        <f>IFERROR(__xludf.DUMMYFUNCTION("importrange(""https://docs.google.com/spreadsheets/d/1hdnWim5IyU3odQS7qac9pteQzzcjKICRf0oXedBwc28/edit#gid=1496943040"",""2026-27!an3"")"),69.0)</f>
        <v>69</v>
      </c>
      <c r="CJ141" s="59">
        <f>IFERROR(__xludf.DUMMYFUNCTION("importrange(""https://docs.google.com/spreadsheets/d/1hdnWim5IyU3odQS7qac9pteQzzcjKICRf0oXedBwc28/edit#gid=1496943040"",""2026-27!ao4"")"),0.0)</f>
        <v>0</v>
      </c>
      <c r="CK141" s="59">
        <f>IFERROR(__xludf.DUMMYFUNCTION("importrange(""https://docs.google.com/spreadsheets/d/1hdnWim5IyU3odQS7qac9pteQzzcjKICRf0oXedBwc28/edit#gid=1496943040"",""2026-27!ao3"")"),0.0)</f>
        <v>0</v>
      </c>
      <c r="CL141" s="63">
        <f t="shared" ref="CL141:CL159" si="142">IFERROR((CM141/CH141),"")</f>
        <v>0</v>
      </c>
      <c r="CM141" s="59">
        <f>IFERROR(__xludf.DUMMYFUNCTION("importrange(""https://docs.google.com/spreadsheets/d/1hdnWim5IyU3odQS7qac9pteQzzcjKICRf0oXedBwc28/edit#gid=1496943040"",""2026-27!ap4"")"),0.0)</f>
        <v>0</v>
      </c>
      <c r="CN141" s="59">
        <f>IFERROR(__xludf.DUMMYFUNCTION("importrange(""https://docs.google.com/spreadsheets/d/1hdnWim5IyU3odQS7qac9pteQzzcjKICRf0oXedBwc28/edit#gid=1496943040"",""2026-27!ap3"")"),0.0)</f>
        <v>0</v>
      </c>
      <c r="CO141" s="59">
        <f>IFERROR(__xludf.DUMMYFUNCTION("importrange(""https://docs.google.com/spreadsheets/d/1hdnWim5IyU3odQS7qac9pteQzzcjKICRf0oXedBwc28/edit#gid=1496943040"",""2026-27!aq4"")"),2120829.3333333335)</f>
        <v>2120829.333</v>
      </c>
      <c r="CP141" s="59">
        <f>IFERROR(__xludf.DUMMYFUNCTION("importrange(""https://docs.google.com/spreadsheets/d/1hdnWim5IyU3odQS7qac9pteQzzcjKICRf0oXedBwc28/edit#gid=1496943040"",""2026-27!aq3"")"),70.0)</f>
        <v>70</v>
      </c>
      <c r="CQ141" s="59">
        <f>IFERROR(__xludf.DUMMYFUNCTION("importrange(""https://docs.google.com/spreadsheets/d/1hdnWim5IyU3odQS7qac9pteQzzcjKICRf0oXedBwc28/edit#gid=1496943040"",""2026-27!ar4"")"),0.0)</f>
        <v>0</v>
      </c>
      <c r="CR141" s="59">
        <f>IFERROR(__xludf.DUMMYFUNCTION("importrange(""https://docs.google.com/spreadsheets/d/1hdnWim5IyU3odQS7qac9pteQzzcjKICRf0oXedBwc28/edit#gid=1496943040"",""2026-27!ar3"")"),0.0)</f>
        <v>0</v>
      </c>
      <c r="CS141" s="63">
        <f t="shared" ref="CS141:CS159" si="143">IFERROR((CT141/CO141),"")</f>
        <v>0</v>
      </c>
      <c r="CT141" s="59">
        <f>IFERROR(__xludf.DUMMYFUNCTION("importrange(""https://docs.google.com/spreadsheets/d/1hdnWim5IyU3odQS7qac9pteQzzcjKICRf0oXedBwc28/edit#gid=1496943040"",""2026-27!as4"")"),0.0)</f>
        <v>0</v>
      </c>
      <c r="CU141" s="59">
        <f>IFERROR(__xludf.DUMMYFUNCTION("importrange(""https://docs.google.com/spreadsheets/d/1hdnWim5IyU3odQS7qac9pteQzzcjKICRf0oXedBwc28/edit#gid=1496943040"",""2026-27!as3"")"),0.0)</f>
        <v>0</v>
      </c>
      <c r="CV141" s="64"/>
    </row>
    <row r="142">
      <c r="A142" s="1" t="s">
        <v>273</v>
      </c>
      <c r="B142" s="41"/>
      <c r="C142" s="68" t="s">
        <v>276</v>
      </c>
      <c r="D142" s="54" t="s">
        <v>277</v>
      </c>
      <c r="E142" s="54">
        <v>8.08717707E9</v>
      </c>
      <c r="F142" s="80">
        <v>44459.0</v>
      </c>
      <c r="G142" s="66"/>
      <c r="H142" s="66"/>
      <c r="I142" s="57">
        <v>49585.0</v>
      </c>
      <c r="J142" s="58">
        <v>2000000.0</v>
      </c>
      <c r="K142" s="61">
        <f>IFERROR(__xludf.DUMMYFUNCTION("IMPORTRANGE(""https://docs.google.com/spreadsheets/d/1MRc1o6yRbC1yz2vf27KvD-M1jrmImyc4pmYWn9yMT_Y/edit#gid=1183044711"",""2026-27!A3"")"),67.0)</f>
        <v>67</v>
      </c>
      <c r="L142" s="61">
        <f>IFERROR(__xludf.DUMMYFUNCTION("IMPORTRANGE(""https://docs.google.com/spreadsheets/d/1MRc1o6yRbC1yz2vf27KvD-M1jrmImyc4pmYWn9yMT_Y/edit#gid=1183044711"",""2026-27!G4"")"),2.4E7)</f>
        <v>24000000</v>
      </c>
      <c r="M142" s="61">
        <f t="shared" si="129"/>
        <v>2982646.83</v>
      </c>
      <c r="N142" s="60">
        <f t="shared" si="130"/>
        <v>0.0715094025</v>
      </c>
      <c r="O142" s="61">
        <f t="shared" si="131"/>
        <v>1716225.66</v>
      </c>
      <c r="P142" s="59">
        <f>IFERROR(__xludf.DUMMYFUNCTION("IMPORTRANGE(""https://docs.google.com/spreadsheets/d/1MRc1o6yRbC1yz2vf27KvD-M1jrmImyc4pmYWn9yMT_Y/edit#gid=1183044711"",""2026-27!J4"")"),1200000.0)</f>
        <v>1200000</v>
      </c>
      <c r="Q142" s="59">
        <f>IFERROR(__xludf.DUMMYFUNCTION("IMPORTRANGE(""https://docs.google.com/spreadsheets/d/1MRc1o6yRbC1yz2vf27KvD-M1jrmImyc4pmYWn9yMT_Y/edit#gid=1183044711"",""2026-27!J3"")"),49.0)</f>
        <v>49</v>
      </c>
      <c r="R142" s="59">
        <f>IFERROR(__xludf.DUMMYFUNCTION("IMPORTRANGE(""https://docs.google.com/spreadsheets/d/1MRc1o6yRbC1yz2vf27KvD-M1jrmImyc4pmYWn9yMT_Y/edit#gid=1183044711"",""2026-27!K4"")"),0.0)</f>
        <v>0</v>
      </c>
      <c r="S142" s="59">
        <f>IFERROR(__xludf.DUMMYFUNCTION("IMPORTRANGE(""https://docs.google.com/spreadsheets/d/1MRc1o6yRbC1yz2vf27KvD-M1jrmImyc4pmYWn9yMT_Y/edit#gid=1183044711"",""2026-27!K3"")"),0.0)</f>
        <v>0</v>
      </c>
      <c r="T142" s="62">
        <f t="shared" si="132"/>
        <v>0.03592666667</v>
      </c>
      <c r="U142" s="59">
        <f>IFERROR(__xludf.DUMMYFUNCTION("IMPORTRANGE(""https://docs.google.com/spreadsheets/d/1MRc1o6yRbC1yz2vf27KvD-M1jrmImyc4pmYWn9yMT_Y/edit#gid=1183044711"",""2026-27!L4"")"),43112.0)</f>
        <v>43112</v>
      </c>
      <c r="V142" s="85">
        <f>IFERROR(__xludf.DUMMYFUNCTION("IMPORTRANGE(""https://docs.google.com/spreadsheets/d/1MRc1o6yRbC1yz2vf27KvD-M1jrmImyc4pmYWn9yMT_Y/edit#gid=1183044711"",""2026-27!L3"")"),3.0)</f>
        <v>3</v>
      </c>
      <c r="W142" s="59">
        <f>IFERROR(__xludf.DUMMYFUNCTION("IMPORTRANGE(""https://docs.google.com/spreadsheets/d/1MRc1o6yRbC1yz2vf27KvD-M1jrmImyc4pmYWn9yMT_Y/edit#gid=1183044711"",""2026-27!M4"")"),1680000.0)</f>
        <v>1680000</v>
      </c>
      <c r="X142" s="85">
        <f>IFERROR(__xludf.DUMMYFUNCTION("IMPORTRANGE(""https://docs.google.com/spreadsheets/d/1MRc1o6yRbC1yz2vf27KvD-M1jrmImyc4pmYWn9yMT_Y/edit#gid=1183044711"",""2026-27!M3"")"),49.0)</f>
        <v>49</v>
      </c>
      <c r="Y142" s="59">
        <f>IFERROR(__xludf.DUMMYFUNCTION("importrange(""https://docs.google.com/spreadsheets/d/1MRc1o6yRbC1yz2vf27KvD-M1jrmImyc4pmYWn9yMT_Y/edit#gid=1183044711"",""2026-27!n4"")"),1384289.17)</f>
        <v>1384289.17</v>
      </c>
      <c r="Z142" s="59">
        <f>IFERROR(__xludf.DUMMYFUNCTION("importrange(""https://docs.google.com/spreadsheets/d/1MRc1o6yRbC1yz2vf27KvD-M1jrmImyc4pmYWn9yMT_Y/edit#gid=1183044711"",""2026-27!n3"")"),20.0)</f>
        <v>20</v>
      </c>
      <c r="AA142" s="62">
        <f t="shared" si="133"/>
        <v>0</v>
      </c>
      <c r="AB142" s="59">
        <f>IFERROR(__xludf.DUMMYFUNCTION("importrange(""https://docs.google.com/spreadsheets/d/1MRc1o6yRbC1yz2vf27KvD-M1jrmImyc4pmYWn9yMT_Y/edit#gid=1183044711"",""2026-27!o4"")"),0.0)</f>
        <v>0</v>
      </c>
      <c r="AC142" s="59">
        <f>IFERROR(__xludf.DUMMYFUNCTION("importrange(""https://docs.google.com/spreadsheets/d/1MRc1o6yRbC1yz2vf27KvD-M1jrmImyc4pmYWn9yMT_Y/edit#gid=1183044711"",""2026-27!o3"")"),0.0)</f>
        <v>0</v>
      </c>
      <c r="AD142" s="59">
        <f>IFERROR(__xludf.DUMMYFUNCTION("importrange(""https://docs.google.com/spreadsheets/d/1MRc1o6yRbC1yz2vf27KvD-M1jrmImyc4pmYWn9yMT_Y/edit#gid=1183044711"",""2026-27!p4"")"),1680000.0)</f>
        <v>1680000</v>
      </c>
      <c r="AE142" s="59">
        <f>IFERROR(__xludf.DUMMYFUNCTION("importrange(""https://docs.google.com/spreadsheets/d/1MRc1o6yRbC1yz2vf27KvD-M1jrmImyc4pmYWn9yMT_Y/edit#gid=1183044711"",""2026-27!p3"")"),49.0)</f>
        <v>49</v>
      </c>
      <c r="AF142" s="59">
        <f>IFERROR(__xludf.DUMMYFUNCTION("importrange(""https://docs.google.com/spreadsheets/d/1MRc1o6yRbC1yz2vf27KvD-M1jrmImyc4pmYWn9yMT_Y/edit#gid=1183044711"",""2026-27!q4"")"),1598357.6599999997)</f>
        <v>1598357.66</v>
      </c>
      <c r="AG142" s="59">
        <f>IFERROR(__xludf.DUMMYFUNCTION("importrange(""https://docs.google.com/spreadsheets/d/1MRc1o6yRbC1yz2vf27KvD-M1jrmImyc4pmYWn9yMT_Y/edit#gid=1183044711"",""2026-27!q3"")"),22.0)</f>
        <v>22</v>
      </c>
      <c r="AH142" s="62">
        <f t="shared" si="134"/>
        <v>0.9959009881</v>
      </c>
      <c r="AI142" s="59">
        <f>IFERROR(__xludf.DUMMYFUNCTION("importrange(""https://docs.google.com/spreadsheets/d/1MRc1o6yRbC1yz2vf27KvD-M1jrmImyc4pmYWn9yMT_Y/edit#gid=1183044711"",""2026-27!r4"")"),1673113.6599999997)</f>
        <v>1673113.66</v>
      </c>
      <c r="AJ142" s="59">
        <f>IFERROR(__xludf.DUMMYFUNCTION("importrange(""https://docs.google.com/spreadsheets/d/1MRc1o6yRbC1yz2vf27KvD-M1jrmImyc4pmYWn9yMT_Y/edit#gid=1183044711"",""2026-27!r3"")"),24.0)</f>
        <v>24</v>
      </c>
      <c r="AK142" s="59">
        <f>IFERROR(__xludf.DUMMYFUNCTION("importrange(""https://docs.google.com/spreadsheets/d/1MRc1o6yRbC1yz2vf27KvD-M1jrmImyc4pmYWn9yMT_Y/edit#gid=1183044711"",""2026-27!s4"")"),1200000.0)</f>
        <v>1200000</v>
      </c>
      <c r="AL142" s="59">
        <f>IFERROR(__xludf.DUMMYFUNCTION("importrange(""https://docs.google.com/spreadsheets/d/1MRc1o6yRbC1yz2vf27KvD-M1jrmImyc4pmYWn9yMT_Y/edit#gid=1183044711"",""2026-27!s3"")"),49.0)</f>
        <v>49</v>
      </c>
      <c r="AM142" s="61">
        <f>IFERROR(__xludf.DUMMYFUNCTION("importrange(""https://docs.google.com/spreadsheets/d/1MRc1o6yRbC1yz2vf27KvD-M1jrmImyc4pmYWn9yMT_Y/edit#gid=1183044711"",""2026-27!t4"")"),0.0)</f>
        <v>0</v>
      </c>
      <c r="AN142" s="59">
        <f>IFERROR(__xludf.DUMMYFUNCTION("importrange(""https://docs.google.com/spreadsheets/d/1MRc1o6yRbC1yz2vf27KvD-M1jrmImyc4pmYWn9yMT_Y/edit#gid=1183044711"",""2026-27!t3"")"),0.0)</f>
        <v>0</v>
      </c>
      <c r="AO142" s="62">
        <f t="shared" si="135"/>
        <v>0</v>
      </c>
      <c r="AP142" s="59">
        <f>IFERROR(__xludf.DUMMYFUNCTION("importrange(""https://docs.google.com/spreadsheets/d/1MRc1o6yRbC1yz2vf27KvD-M1jrmImyc4pmYWn9yMT_Y/edit#gid=1183044711"",""2026-27!u4"")"),0.0)</f>
        <v>0</v>
      </c>
      <c r="AQ142" s="59">
        <f>IFERROR(__xludf.DUMMYFUNCTION("importrange(""https://docs.google.com/spreadsheets/d/1MRc1o6yRbC1yz2vf27KvD-M1jrmImyc4pmYWn9yMT_Y/edit#gid=1183044711"",""2026-27!u3"")"),0.0)</f>
        <v>0</v>
      </c>
      <c r="AR142" s="59">
        <f>IFERROR(__xludf.DUMMYFUNCTION("importrange(""https://docs.google.com/spreadsheets/d/1MRc1o6yRbC1yz2vf27KvD-M1jrmImyc4pmYWn9yMT_Y/edit#gid=1183044711"",""2026-27!v4"")"),1920000.0)</f>
        <v>1920000</v>
      </c>
      <c r="AS142" s="59">
        <f>IFERROR(__xludf.DUMMYFUNCTION("importrange(""https://docs.google.com/spreadsheets/d/1MRc1o6yRbC1yz2vf27KvD-M1jrmImyc4pmYWn9yMT_Y/edit#gid=1183044711"",""2026-27!v3"")"),49.0)</f>
        <v>49</v>
      </c>
      <c r="AT142" s="61">
        <f>IFERROR(__xludf.DUMMYFUNCTION("importrange(""https://docs.google.com/spreadsheets/d/1MRc1o6yRbC1yz2vf27KvD-M1jrmImyc4pmYWn9yMT_Y/edit#gid=1183044711"",""2026-27!w4"")"),0.0)</f>
        <v>0</v>
      </c>
      <c r="AU142" s="59">
        <f>IFERROR(__xludf.DUMMYFUNCTION("importrange(""https://docs.google.com/spreadsheets/d/1MRc1o6yRbC1yz2vf27KvD-M1jrmImyc4pmYWn9yMT_Y/edit#gid=1183044711"",""2026-27!w3"")"),0.0)</f>
        <v>0</v>
      </c>
      <c r="AV142" s="62">
        <f t="shared" si="136"/>
        <v>0</v>
      </c>
      <c r="AW142" s="59">
        <f>IFERROR(__xludf.DUMMYFUNCTION("importrange(""https://docs.google.com/spreadsheets/d/1MRc1o6yRbC1yz2vf27KvD-M1jrmImyc4pmYWn9yMT_Y/edit#gid=1183044711"",""2026-27!x4"")"),0.0)</f>
        <v>0</v>
      </c>
      <c r="AX142" s="59">
        <f>IFERROR(__xludf.DUMMYFUNCTION("importrange(""https://docs.google.com/spreadsheets/d/1MRc1o6yRbC1yz2vf27KvD-M1jrmImyc4pmYWn9yMT_Y/edit#gid=1183044711"",""2026-27!x3"")"),0.0)</f>
        <v>0</v>
      </c>
      <c r="AY142" s="59">
        <f>IFERROR(__xludf.DUMMYFUNCTION("importrange(""https://docs.google.com/spreadsheets/d/1MRc1o6yRbC1yz2vf27KvD-M1jrmImyc4pmYWn9yMT_Y/edit#gid=1183044711"",""2026-27!y4"")"),2880000.0)</f>
        <v>2880000</v>
      </c>
      <c r="AZ142" s="59">
        <f>IFERROR(__xludf.DUMMYFUNCTION("importrange(""https://docs.google.com/spreadsheets/d/1MRc1o6yRbC1yz2vf27KvD-M1jrmImyc4pmYWn9yMT_Y/edit#gid=1183044711"",""2026-27!y3"")"),49.0)</f>
        <v>49</v>
      </c>
      <c r="BA142" s="61">
        <f>IFERROR(__xludf.DUMMYFUNCTION("importrange(""https://docs.google.com/spreadsheets/d/1MRc1o6yRbC1yz2vf27KvD-M1jrmImyc4pmYWn9yMT_Y/edit#gid=1183044711"",""2026-27!z4"")"),0.0)</f>
        <v>0</v>
      </c>
      <c r="BB142" s="59">
        <f>IFERROR(__xludf.DUMMYFUNCTION("importrange(""https://docs.google.com/spreadsheets/d/1MRc1o6yRbC1yz2vf27KvD-M1jrmImyc4pmYWn9yMT_Y/edit#gid=1183044711"",""2026-27!z3"")"),0.0)</f>
        <v>0</v>
      </c>
      <c r="BC142" s="63">
        <f t="shared" si="137"/>
        <v>0</v>
      </c>
      <c r="BD142" s="59">
        <f>IFERROR(__xludf.DUMMYFUNCTION("importrange(""https://docs.google.com/spreadsheets/d/1MRc1o6yRbC1yz2vf27KvD-M1jrmImyc4pmYWn9yMT_Y/edit#gid=1183044711"",""2026-27!aa4"")"),0.0)</f>
        <v>0</v>
      </c>
      <c r="BE142" s="59">
        <f>IFERROR(__xludf.DUMMYFUNCTION("importrange(""https://docs.google.com/spreadsheets/d/1MRc1o6yRbC1yz2vf27KvD-M1jrmImyc4pmYWn9yMT_Y/edit#gid=1183044711"",""2026-27!aa3"")"),0.0)</f>
        <v>0</v>
      </c>
      <c r="BF142" s="59">
        <f>IFERROR(__xludf.DUMMYFUNCTION("importrange(""https://docs.google.com/spreadsheets/d/1MRc1o6yRbC1yz2vf27KvD-M1jrmImyc4pmYWn9yMT_Y/edit#gid=1183044711"",""2026-27!ab4"")"),1200000.0)</f>
        <v>1200000</v>
      </c>
      <c r="BG142" s="59">
        <f>IFERROR(__xludf.DUMMYFUNCTION("importrange(""https://docs.google.com/spreadsheets/d/1MRc1o6yRbC1yz2vf27KvD-M1jrmImyc4pmYWn9yMT_Y/edit#gid=1183044711"",""2026-27!ab3"")"),49.0)</f>
        <v>49</v>
      </c>
      <c r="BH142" s="59">
        <f>IFERROR(__xludf.DUMMYFUNCTION("importrange(""https://docs.google.com/spreadsheets/d/1MRc1o6yRbC1yz2vf27KvD-M1jrmImyc4pmYWn9yMT_Y/edit#gid=1183044711"",""2026-27!ac4"")"),0.0)</f>
        <v>0</v>
      </c>
      <c r="BI142" s="59">
        <f>IFERROR(__xludf.DUMMYFUNCTION("importrange(""https://docs.google.com/spreadsheets/d/1MRc1o6yRbC1yz2vf27KvD-M1jrmImyc4pmYWn9yMT_Y/edit#gid=1183044711"",""2026-27!ac3"")"),0.0)</f>
        <v>0</v>
      </c>
      <c r="BJ142" s="63">
        <f t="shared" si="138"/>
        <v>0</v>
      </c>
      <c r="BK142" s="59">
        <f>IFERROR(__xludf.DUMMYFUNCTION("importrange(""https://docs.google.com/spreadsheets/d/1MRc1o6yRbC1yz2vf27KvD-M1jrmImyc4pmYWn9yMT_Y/edit#gid=1183044711"",""2026-27!ad4"")"),0.0)</f>
        <v>0</v>
      </c>
      <c r="BL142" s="59">
        <f>IFERROR(__xludf.DUMMYFUNCTION("importrange(""https://docs.google.com/spreadsheets/d/1MRc1o6yRbC1yz2vf27KvD-M1jrmImyc4pmYWn9yMT_Y/edit#gid=1183044711"",""2026-27!ad3"")"),0.0)</f>
        <v>0</v>
      </c>
      <c r="BM142" s="59">
        <f>IFERROR(__xludf.DUMMYFUNCTION("importrange(""https://docs.google.com/spreadsheets/d/1MRc1o6yRbC1yz2vf27KvD-M1jrmImyc4pmYWn9yMT_Y/edit#gid=1183044711"",""2026-27!ae4"")"),1920000.0)</f>
        <v>1920000</v>
      </c>
      <c r="BN142" s="59">
        <f>IFERROR(__xludf.DUMMYFUNCTION("importrange(""https://docs.google.com/spreadsheets/d/1MRc1o6yRbC1yz2vf27KvD-M1jrmImyc4pmYWn9yMT_Y/edit#gid=1183044711"",""2026-27!ae3"")"),49.0)</f>
        <v>49</v>
      </c>
      <c r="BO142" s="59">
        <f>IFERROR(__xludf.DUMMYFUNCTION("importrange(""https://docs.google.com/spreadsheets/d/1MRc1o6yRbC1yz2vf27KvD-M1jrmImyc4pmYWn9yMT_Y/edit#gid=1183044711"",""2026-27!af4"")"),0.0)</f>
        <v>0</v>
      </c>
      <c r="BP142" s="59">
        <f>IFERROR(__xludf.DUMMYFUNCTION("importrange(""https://docs.google.com/spreadsheets/d/1MRc1o6yRbC1yz2vf27KvD-M1jrmImyc4pmYWn9yMT_Y/edit#gid=1183044711"",""2026-27!af3"")"),0.0)</f>
        <v>0</v>
      </c>
      <c r="BQ142" s="63">
        <f t="shared" si="139"/>
        <v>0</v>
      </c>
      <c r="BR142" s="59">
        <f>IFERROR(__xludf.DUMMYFUNCTION("importrange(""https://docs.google.com/spreadsheets/d/1MRc1o6yRbC1yz2vf27KvD-M1jrmImyc4pmYWn9yMT_Y/edit#gid=1183044711"",""2026-27!ag4"")"),0.0)</f>
        <v>0</v>
      </c>
      <c r="BS142" s="59">
        <f>IFERROR(__xludf.DUMMYFUNCTION("importrange(""https://docs.google.com/spreadsheets/d/1MRc1o6yRbC1yz2vf27KvD-M1jrmImyc4pmYWn9yMT_Y/edit#gid=1183044711"",""2026-27!ag3"")"),0.0)</f>
        <v>0</v>
      </c>
      <c r="BT142" s="59">
        <f>IFERROR(__xludf.DUMMYFUNCTION("importrange(""https://docs.google.com/spreadsheets/d/1MRc1o6yRbC1yz2vf27KvD-M1jrmImyc4pmYWn9yMT_Y/edit#gid=1183044711"",""2026-27!ah4"")"),2880000.0)</f>
        <v>2880000</v>
      </c>
      <c r="BU142" s="59">
        <f>IFERROR(__xludf.DUMMYFUNCTION("importrange(""https://docs.google.com/spreadsheets/d/1MRc1o6yRbC1yz2vf27KvD-M1jrmImyc4pmYWn9yMT_Y/edit#gid=1183044711"",""2026-27!ah3"")"),49.0)</f>
        <v>49</v>
      </c>
      <c r="BV142" s="59">
        <f>IFERROR(__xludf.DUMMYFUNCTION("importrange(""https://docs.google.com/spreadsheets/d/1MRc1o6yRbC1yz2vf27KvD-M1jrmImyc4pmYWn9yMT_Y/edit#gid=1183044711"",""2026-27!ai4"")"),0.0)</f>
        <v>0</v>
      </c>
      <c r="BW142" s="59">
        <f>IFERROR(__xludf.DUMMYFUNCTION("importrange(""https://docs.google.com/spreadsheets/d/1MRc1o6yRbC1yz2vf27KvD-M1jrmImyc4pmYWn9yMT_Y/edit#gid=1183044711"",""2026-27!ai3"")"),0.0)</f>
        <v>0</v>
      </c>
      <c r="BX142" s="63">
        <f t="shared" si="140"/>
        <v>0</v>
      </c>
      <c r="BY142" s="59">
        <f>IFERROR(__xludf.DUMMYFUNCTION("importrange(""https://docs.google.com/spreadsheets/d/1MRc1o6yRbC1yz2vf27KvD-M1jrmImyc4pmYWn9yMT_Y/edit#gid=1183044711"",""2026-27!aj4"")"),0.0)</f>
        <v>0</v>
      </c>
      <c r="BZ142" s="59">
        <f>IFERROR(__xludf.DUMMYFUNCTION("importrange(""https://docs.google.com/spreadsheets/d/1MRc1o6yRbC1yz2vf27KvD-M1jrmImyc4pmYWn9yMT_Y/edit#gid=1183044711"",""2026-27!aj3"")"),0.0)</f>
        <v>0</v>
      </c>
      <c r="CA142" s="59">
        <f>IFERROR(__xludf.DUMMYFUNCTION("importrange(""https://docs.google.com/spreadsheets/d/1MRc1o6yRbC1yz2vf27KvD-M1jrmImyc4pmYWn9yMT_Y/edit#gid=1183044711"",""2026-27!ak4"")"),1920000.0)</f>
        <v>1920000</v>
      </c>
      <c r="CB142" s="59">
        <f>IFERROR(__xludf.DUMMYFUNCTION("importrange(""https://docs.google.com/spreadsheets/d/1MRc1o6yRbC1yz2vf27KvD-M1jrmImyc4pmYWn9yMT_Y/edit#gid=1183044711"",""2026-27!ak3"")"),49.0)</f>
        <v>49</v>
      </c>
      <c r="CC142" s="59">
        <f>IFERROR(__xludf.DUMMYFUNCTION("importrange(""https://docs.google.com/spreadsheets/d/1MRc1o6yRbC1yz2vf27KvD-M1jrmImyc4pmYWn9yMT_Y/edit#gid=1183044711"",""2026-27!al4"")"),0.0)</f>
        <v>0</v>
      </c>
      <c r="CD142" s="59">
        <f>IFERROR(__xludf.DUMMYFUNCTION("importrange(""https://docs.google.com/spreadsheets/d/1MRc1o6yRbC1yz2vf27KvD-M1jrmImyc4pmYWn9yMT_Y/edit#gid=1183044711"",""2026-27!ai3"")"),0.0)</f>
        <v>0</v>
      </c>
      <c r="CE142" s="63">
        <f t="shared" si="141"/>
        <v>0</v>
      </c>
      <c r="CF142" s="59">
        <f>IFERROR(__xludf.DUMMYFUNCTION("importrange(""https://docs.google.com/spreadsheets/d/1MRc1o6yRbC1yz2vf27KvD-M1jrmImyc4pmYWn9yMT_Y/edit#gid=1183044711"",""2026-27!am4"")"),0.0)</f>
        <v>0</v>
      </c>
      <c r="CG142" s="59">
        <f>IFERROR(__xludf.DUMMYFUNCTION("importrange(""https://docs.google.com/spreadsheets/d/1MRc1o6yRbC1yz2vf27KvD-M1jrmImyc4pmYWn9yMT_Y/edit#gid=1183044711"",""2026-27!am3"")"),0.0)</f>
        <v>0</v>
      </c>
      <c r="CH142" s="59">
        <f>IFERROR(__xludf.DUMMYFUNCTION("importrange(""https://docs.google.com/spreadsheets/d/1MRc1o6yRbC1yz2vf27KvD-M1jrmImyc4pmYWn9yMT_Y/edit#gid=1183044711"",""2026-27!an4"")"),2880000.0)</f>
        <v>2880000</v>
      </c>
      <c r="CI142" s="59">
        <f>IFERROR(__xludf.DUMMYFUNCTION("importrange(""https://docs.google.com/spreadsheets/d/1MRc1o6yRbC1yz2vf27KvD-M1jrmImyc4pmYWn9yMT_Y/edit#gid=1183044711"",""2026-27!an3"")"),49.0)</f>
        <v>49</v>
      </c>
      <c r="CJ142" s="59">
        <f>IFERROR(__xludf.DUMMYFUNCTION("importrange(""https://docs.google.com/spreadsheets/d/1MRc1o6yRbC1yz2vf27KvD-M1jrmImyc4pmYWn9yMT_Y/edit#gid=1183044711"",""2026-27!ao4"")"),0.0)</f>
        <v>0</v>
      </c>
      <c r="CK142" s="59">
        <f>IFERROR(__xludf.DUMMYFUNCTION("importrange(""https://docs.google.com/spreadsheets/d/1MRc1o6yRbC1yz2vf27KvD-M1jrmImyc4pmYWn9yMT_Y/edit#gid=1183044711"",""2026-27!ao3"")"),0.0)</f>
        <v>0</v>
      </c>
      <c r="CL142" s="63">
        <f t="shared" si="142"/>
        <v>0</v>
      </c>
      <c r="CM142" s="59">
        <f>IFERROR(__xludf.DUMMYFUNCTION("importrange(""https://docs.google.com/spreadsheets/d/1MRc1o6yRbC1yz2vf27KvD-M1jrmImyc4pmYWn9yMT_Y/edit#gid=1183044711"",""2026-27!ap4"")"),0.0)</f>
        <v>0</v>
      </c>
      <c r="CN142" s="59">
        <f>IFERROR(__xludf.DUMMYFUNCTION("importrange(""https://docs.google.com/spreadsheets/d/1MRc1o6yRbC1yz2vf27KvD-M1jrmImyc4pmYWn9yMT_Y/edit#gid=1183044711"",""2026-27!ap3"")"),0.0)</f>
        <v>0</v>
      </c>
      <c r="CO142" s="59">
        <f>IFERROR(__xludf.DUMMYFUNCTION("importrange(""https://docs.google.com/spreadsheets/d/1MRc1o6yRbC1yz2vf27KvD-M1jrmImyc4pmYWn9yMT_Y/edit#gid=1183044711"",""2026-27!aq4"")"),3600000.0)</f>
        <v>3600000</v>
      </c>
      <c r="CP142" s="59">
        <f>IFERROR(__xludf.DUMMYFUNCTION("importrange(""https://docs.google.com/spreadsheets/d/1MRc1o6yRbC1yz2vf27KvD-M1jrmImyc4pmYWn9yMT_Y/edit#gid=1183044711"",""2026-27!aq3"")"),49.0)</f>
        <v>49</v>
      </c>
      <c r="CQ142" s="59">
        <f>IFERROR(__xludf.DUMMYFUNCTION("importrange(""https://docs.google.com/spreadsheets/d/1MRc1o6yRbC1yz2vf27KvD-M1jrmImyc4pmYWn9yMT_Y/edit#gid=1183044711"",""2026-27!ar4"")"),0.0)</f>
        <v>0</v>
      </c>
      <c r="CR142" s="59">
        <f>IFERROR(__xludf.DUMMYFUNCTION("importrange(""https://docs.google.com/spreadsheets/d/1MRc1o6yRbC1yz2vf27KvD-M1jrmImyc4pmYWn9yMT_Y/edit#gid=1183044711"",""2026-27!ar3"")"),0.0)</f>
        <v>0</v>
      </c>
      <c r="CS142" s="63">
        <f t="shared" si="143"/>
        <v>0</v>
      </c>
      <c r="CT142" s="59">
        <f>IFERROR(__xludf.DUMMYFUNCTION("importrange(""https://docs.google.com/spreadsheets/d/1MRc1o6yRbC1yz2vf27KvD-M1jrmImyc4pmYWn9yMT_Y/edit#gid=1183044711"",""2026-27!as4"")"),0.0)</f>
        <v>0</v>
      </c>
      <c r="CU142" s="59">
        <f>IFERROR(__xludf.DUMMYFUNCTION("importrange(""https://docs.google.com/spreadsheets/d/1MRc1o6yRbC1yz2vf27KvD-M1jrmImyc4pmYWn9yMT_Y/edit#gid=1183044711"",""2026-27!as3"")"),0.0)</f>
        <v>0</v>
      </c>
      <c r="CV142" s="64"/>
    </row>
    <row r="143">
      <c r="A143" s="1" t="s">
        <v>273</v>
      </c>
      <c r="B143" s="41"/>
      <c r="C143" s="86" t="s">
        <v>278</v>
      </c>
      <c r="D143" s="54" t="s">
        <v>279</v>
      </c>
      <c r="E143" s="54">
        <v>9.637715E9</v>
      </c>
      <c r="F143" s="80">
        <v>44697.0</v>
      </c>
      <c r="G143" s="66"/>
      <c r="H143" s="66"/>
      <c r="I143" s="57">
        <v>34000.0</v>
      </c>
      <c r="J143" s="58">
        <v>1400000.0</v>
      </c>
      <c r="K143" s="61">
        <f>IFERROR(__xludf.DUMMYFUNCTION("IMPORTRANGE(""https://docs.google.com/spreadsheets/d/1CL9AQCD6lDzVeoB1ZWNbvv3iQAnDc2XWAbufodLvVyE/edit#gid=1806634832"",""2026-27!A3"")"),68.0)</f>
        <v>68</v>
      </c>
      <c r="L143" s="61">
        <f>IFERROR(__xludf.DUMMYFUNCTION("IMPORTRANGE(""https://docs.google.com/spreadsheets/d/1CL9AQCD6lDzVeoB1ZWNbvv3iQAnDc2XWAbufodLvVyE/edit#gid=1806634832"",""2026-27!G4"")"),1.68E7)</f>
        <v>16800000</v>
      </c>
      <c r="M143" s="61">
        <f t="shared" si="129"/>
        <v>2227667.47</v>
      </c>
      <c r="N143" s="60">
        <f t="shared" si="130"/>
        <v>0.1313085119</v>
      </c>
      <c r="O143" s="61">
        <f t="shared" si="131"/>
        <v>2205983</v>
      </c>
      <c r="P143" s="59">
        <f>IFERROR(__xludf.DUMMYFUNCTION("IMPORTRANGE(""https://docs.google.com/spreadsheets/d/1CL9AQCD6lDzVeoB1ZWNbvv3iQAnDc2XWAbufodLvVyE/edit#gid=1806634832"",""2026-27!J4"")"),1400000.0)</f>
        <v>1400000</v>
      </c>
      <c r="Q143" s="59">
        <f>IFERROR(__xludf.DUMMYFUNCTION("IMPORTRANGE(""https://docs.google.com/spreadsheets/d/1CL9AQCD6lDzVeoB1ZWNbvv3iQAnDc2XWAbufodLvVyE/edit#gid=1806634832"",""2026-27!J3"")"),66.0)</f>
        <v>66</v>
      </c>
      <c r="R143" s="59">
        <f>IFERROR(__xludf.DUMMYFUNCTION("IMPORTRANGE(""https://docs.google.com/spreadsheets/d/1CL9AQCD6lDzVeoB1ZWNbvv3iQAnDc2XWAbufodLvVyE/edit#gid=1806634832"",""2026-27!K4"")"),614644.12)</f>
        <v>614644.12</v>
      </c>
      <c r="S143" s="59">
        <f>IFERROR(__xludf.DUMMYFUNCTION("IMPORTRANGE(""https://docs.google.com/spreadsheets/d/1CL9AQCD6lDzVeoB1ZWNbvv3iQAnDc2XWAbufodLvVyE/edit#gid=1806634832"",""2026-27!K3"")"),11.0)</f>
        <v>11</v>
      </c>
      <c r="T143" s="62">
        <f t="shared" si="132"/>
        <v>0.4607042857</v>
      </c>
      <c r="U143" s="59">
        <f>IFERROR(__xludf.DUMMYFUNCTION("IMPORTRANGE(""https://docs.google.com/spreadsheets/d/1CL9AQCD6lDzVeoB1ZWNbvv3iQAnDc2XWAbufodLvVyE/edit#gid=1806634832"",""2026-27!L4"")"),644986.0)</f>
        <v>644986</v>
      </c>
      <c r="V143" s="85">
        <f>IFERROR(__xludf.DUMMYFUNCTION("IMPORTRANGE(""https://docs.google.com/spreadsheets/d/1CL9AQCD6lDzVeoB1ZWNbvv3iQAnDc2XWAbufodLvVyE/edit#gid=1806634832"",""2026-27!L3"")"),10.0)</f>
        <v>10</v>
      </c>
      <c r="W143" s="59">
        <f>IFERROR(__xludf.DUMMYFUNCTION("IMPORTRANGE(""https://docs.google.com/spreadsheets/d/1CL9AQCD6lDzVeoB1ZWNbvv3iQAnDc2XWAbufodLvVyE/edit#gid=1806634832"",""2026-27!M4"")"),1400000.0)</f>
        <v>1400000</v>
      </c>
      <c r="X143" s="85">
        <f>IFERROR(__xludf.DUMMYFUNCTION("IMPORTRANGE(""https://docs.google.com/spreadsheets/d/1CL9AQCD6lDzVeoB1ZWNbvv3iQAnDc2XWAbufodLvVyE/edit#gid=1806634832"",""2026-27!M3"")"),68.0)</f>
        <v>68</v>
      </c>
      <c r="Y143" s="59">
        <f>IFERROR(__xludf.DUMMYFUNCTION("importrange(""https://docs.google.com/spreadsheets/d/1CL9AQCD6lDzVeoB1ZWNbvv3iQAnDc2XWAbufodLvVyE/edit#gid=1806634832"",""2026-27!n4"")"),796755.6900000001)</f>
        <v>796755.69</v>
      </c>
      <c r="Z143" s="59">
        <f>IFERROR(__xludf.DUMMYFUNCTION("importrange(""https://docs.google.com/spreadsheets/d/1CL9AQCD6lDzVeoB1ZWNbvv3iQAnDc2XWAbufodLvVyE/edit#gid=1806634832"",""2026-27!n3"")"),16.0)</f>
        <v>16</v>
      </c>
      <c r="AA143" s="62">
        <f t="shared" si="133"/>
        <v>0.5564728571</v>
      </c>
      <c r="AB143" s="59">
        <f>IFERROR(__xludf.DUMMYFUNCTION("importrange(""https://docs.google.com/spreadsheets/d/1CL9AQCD6lDzVeoB1ZWNbvv3iQAnDc2XWAbufodLvVyE/edit#gid=1806634832"",""2026-27!o4"")"),779062.0)</f>
        <v>779062</v>
      </c>
      <c r="AC143" s="59">
        <f>IFERROR(__xludf.DUMMYFUNCTION("importrange(""https://docs.google.com/spreadsheets/d/1CL9AQCD6lDzVeoB1ZWNbvv3iQAnDc2XWAbufodLvVyE/edit#gid=1806634832"",""2026-27!o3"")"),14.0)</f>
        <v>14</v>
      </c>
      <c r="AD143" s="59">
        <f>IFERROR(__xludf.DUMMYFUNCTION("importrange(""https://docs.google.com/spreadsheets/d/1CL9AQCD6lDzVeoB1ZWNbvv3iQAnDc2XWAbufodLvVyE/edit#gid=1806634832"",""2026-27!p4"")"),1400000.0)</f>
        <v>1400000</v>
      </c>
      <c r="AE143" s="59">
        <f>IFERROR(__xludf.DUMMYFUNCTION("importrange(""https://docs.google.com/spreadsheets/d/1CL9AQCD6lDzVeoB1ZWNbvv3iQAnDc2XWAbufodLvVyE/edit#gid=1806634832"",""2026-27!p3"")"),68.0)</f>
        <v>68</v>
      </c>
      <c r="AF143" s="59">
        <f>IFERROR(__xludf.DUMMYFUNCTION("importrange(""https://docs.google.com/spreadsheets/d/1CL9AQCD6lDzVeoB1ZWNbvv3iQAnDc2XWAbufodLvVyE/edit#gid=1806634832"",""2026-27!q4"")"),816267.66)</f>
        <v>816267.66</v>
      </c>
      <c r="AG143" s="59">
        <f>IFERROR(__xludf.DUMMYFUNCTION("importrange(""https://docs.google.com/spreadsheets/d/1CL9AQCD6lDzVeoB1ZWNbvv3iQAnDc2XWAbufodLvVyE/edit#gid=1806634832"",""2026-27!q3"")"),16.0)</f>
        <v>16</v>
      </c>
      <c r="AH143" s="62">
        <f t="shared" si="134"/>
        <v>0.558525</v>
      </c>
      <c r="AI143" s="59">
        <f>IFERROR(__xludf.DUMMYFUNCTION("importrange(""https://docs.google.com/spreadsheets/d/1CL9AQCD6lDzVeoB1ZWNbvv3iQAnDc2XWAbufodLvVyE/edit#gid=1806634832"",""2026-27!r4"")"),781935.0)</f>
        <v>781935</v>
      </c>
      <c r="AJ143" s="59">
        <f>IFERROR(__xludf.DUMMYFUNCTION("importrange(""https://docs.google.com/spreadsheets/d/1CL9AQCD6lDzVeoB1ZWNbvv3iQAnDc2XWAbufodLvVyE/edit#gid=1806634832"",""2026-27!r3"")"),16.0)</f>
        <v>16</v>
      </c>
      <c r="AK143" s="59">
        <f>IFERROR(__xludf.DUMMYFUNCTION("importrange(""https://docs.google.com/spreadsheets/d/1CL9AQCD6lDzVeoB1ZWNbvv3iQAnDc2XWAbufodLvVyE/edit#gid=1806634832"",""2026-27!s4"")"),1400000.0)</f>
        <v>1400000</v>
      </c>
      <c r="AL143" s="59">
        <f>IFERROR(__xludf.DUMMYFUNCTION("importrange(""https://docs.google.com/spreadsheets/d/1CL9AQCD6lDzVeoB1ZWNbvv3iQAnDc2XWAbufodLvVyE/edit#gid=1806634832"",""2026-27!s3"")"),68.0)</f>
        <v>68</v>
      </c>
      <c r="AM143" s="61">
        <f>IFERROR(__xludf.DUMMYFUNCTION("importrange(""https://docs.google.com/spreadsheets/d/1CL9AQCD6lDzVeoB1ZWNbvv3iQAnDc2XWAbufodLvVyE/edit#gid=1806634832"",""2026-27!t4"")"),0.0)</f>
        <v>0</v>
      </c>
      <c r="AN143" s="59">
        <f>IFERROR(__xludf.DUMMYFUNCTION("importrange(""https://docs.google.com/spreadsheets/d/1CL9AQCD6lDzVeoB1ZWNbvv3iQAnDc2XWAbufodLvVyE/edit#gid=1806634832"",""2026-27!t3"")"),0.0)</f>
        <v>0</v>
      </c>
      <c r="AO143" s="62">
        <f t="shared" si="135"/>
        <v>0</v>
      </c>
      <c r="AP143" s="59">
        <f>IFERROR(__xludf.DUMMYFUNCTION("importrange(""https://docs.google.com/spreadsheets/d/1CL9AQCD6lDzVeoB1ZWNbvv3iQAnDc2XWAbufodLvVyE/edit#gid=1806634832"",""2026-27!u4"")"),0.0)</f>
        <v>0</v>
      </c>
      <c r="AQ143" s="59">
        <f>IFERROR(__xludf.DUMMYFUNCTION("importrange(""https://docs.google.com/spreadsheets/d/1CL9AQCD6lDzVeoB1ZWNbvv3iQAnDc2XWAbufodLvVyE/edit#gid=1806634832"",""2026-27!u3"")"),0.0)</f>
        <v>0</v>
      </c>
      <c r="AR143" s="59">
        <f>IFERROR(__xludf.DUMMYFUNCTION("importrange(""https://docs.google.com/spreadsheets/d/1CL9AQCD6lDzVeoB1ZWNbvv3iQAnDc2XWAbufodLvVyE/edit#gid=1806634832"",""2026-27!v4"")"),0.0)</f>
        <v>0</v>
      </c>
      <c r="AS143" s="59">
        <f>IFERROR(__xludf.DUMMYFUNCTION("importrange(""https://docs.google.com/spreadsheets/d/1CL9AQCD6lDzVeoB1ZWNbvv3iQAnDc2XWAbufodLvVyE/edit#gid=1806634832"",""2026-27!v3"")"),0.0)</f>
        <v>0</v>
      </c>
      <c r="AT143" s="61">
        <f>IFERROR(__xludf.DUMMYFUNCTION("importrange(""https://docs.google.com/spreadsheets/d/1CL9AQCD6lDzVeoB1ZWNbvv3iQAnDc2XWAbufodLvVyE/edit#gid=1806634832"",""2026-27!w4"")"),0.0)</f>
        <v>0</v>
      </c>
      <c r="AU143" s="59">
        <f>IFERROR(__xludf.DUMMYFUNCTION("importrange(""https://docs.google.com/spreadsheets/d/1CL9AQCD6lDzVeoB1ZWNbvv3iQAnDc2XWAbufodLvVyE/edit#gid=1806634832"",""2026-27!w3"")"),0.0)</f>
        <v>0</v>
      </c>
      <c r="AV143" s="62" t="str">
        <f t="shared" si="136"/>
        <v/>
      </c>
      <c r="AW143" s="59">
        <f>IFERROR(__xludf.DUMMYFUNCTION("importrange(""https://docs.google.com/spreadsheets/d/1CL9AQCD6lDzVeoB1ZWNbvv3iQAnDc2XWAbufodLvVyE/edit#gid=1806634832"",""2026-27!x4"")"),0.0)</f>
        <v>0</v>
      </c>
      <c r="AX143" s="59">
        <f>IFERROR(__xludf.DUMMYFUNCTION("importrange(""https://docs.google.com/spreadsheets/d/1CL9AQCD6lDzVeoB1ZWNbvv3iQAnDc2XWAbufodLvVyE/edit#gid=1806634832"",""2026-27!x3"")"),0.0)</f>
        <v>0</v>
      </c>
      <c r="AY143" s="59">
        <f>IFERROR(__xludf.DUMMYFUNCTION("importrange(""https://docs.google.com/spreadsheets/d/1CL9AQCD6lDzVeoB1ZWNbvv3iQAnDc2XWAbufodLvVyE/edit#gid=1806634832"",""2026-27!y4"")"),0.0)</f>
        <v>0</v>
      </c>
      <c r="AZ143" s="59">
        <f>IFERROR(__xludf.DUMMYFUNCTION("importrange(""https://docs.google.com/spreadsheets/d/1CL9AQCD6lDzVeoB1ZWNbvv3iQAnDc2XWAbufodLvVyE/edit#gid=1806634832"",""2026-27!y3"")"),0.0)</f>
        <v>0</v>
      </c>
      <c r="BA143" s="61">
        <f>IFERROR(__xludf.DUMMYFUNCTION("importrange(""https://docs.google.com/spreadsheets/d/1CL9AQCD6lDzVeoB1ZWNbvv3iQAnDc2XWAbufodLvVyE/edit#gid=1806634832"",""2026-27!z4"")"),0.0)</f>
        <v>0</v>
      </c>
      <c r="BB143" s="59">
        <f>IFERROR(__xludf.DUMMYFUNCTION("importrange(""https://docs.google.com/spreadsheets/d/1CL9AQCD6lDzVeoB1ZWNbvv3iQAnDc2XWAbufodLvVyE/edit#gid=1806634832"",""2026-27!z3"")"),0.0)</f>
        <v>0</v>
      </c>
      <c r="BC143" s="63" t="str">
        <f t="shared" si="137"/>
        <v/>
      </c>
      <c r="BD143" s="59">
        <f>IFERROR(__xludf.DUMMYFUNCTION("importrange(""https://docs.google.com/spreadsheets/d/1CL9AQCD6lDzVeoB1ZWNbvv3iQAnDc2XWAbufodLvVyE/edit#gid=1806634832"",""2026-27!aa4"")"),0.0)</f>
        <v>0</v>
      </c>
      <c r="BE143" s="59">
        <f>IFERROR(__xludf.DUMMYFUNCTION("importrange(""https://docs.google.com/spreadsheets/d/1CL9AQCD6lDzVeoB1ZWNbvv3iQAnDc2XWAbufodLvVyE/edit#gid=1806634832"",""2026-27!aa3"")"),0.0)</f>
        <v>0</v>
      </c>
      <c r="BF143" s="59">
        <f>IFERROR(__xludf.DUMMYFUNCTION("importrange(""https://docs.google.com/spreadsheets/d/1CL9AQCD6lDzVeoB1ZWNbvv3iQAnDc2XWAbufodLvVyE/edit#gid=1806634832"",""2026-27!ab4"")"),0.0)</f>
        <v>0</v>
      </c>
      <c r="BG143" s="59">
        <f>IFERROR(__xludf.DUMMYFUNCTION("importrange(""https://docs.google.com/spreadsheets/d/1CL9AQCD6lDzVeoB1ZWNbvv3iQAnDc2XWAbufodLvVyE/edit#gid=1806634832"",""2026-27!ab3"")"),0.0)</f>
        <v>0</v>
      </c>
      <c r="BH143" s="59">
        <f>IFERROR(__xludf.DUMMYFUNCTION("importrange(""https://docs.google.com/spreadsheets/d/1CL9AQCD6lDzVeoB1ZWNbvv3iQAnDc2XWAbufodLvVyE/edit#gid=1806634832"",""2026-27!ac4"")"),0.0)</f>
        <v>0</v>
      </c>
      <c r="BI143" s="59">
        <f>IFERROR(__xludf.DUMMYFUNCTION("importrange(""https://docs.google.com/spreadsheets/d/1CL9AQCD6lDzVeoB1ZWNbvv3iQAnDc2XWAbufodLvVyE/edit#gid=1806634832"",""2026-27!ac3"")"),0.0)</f>
        <v>0</v>
      </c>
      <c r="BJ143" s="63" t="str">
        <f t="shared" si="138"/>
        <v/>
      </c>
      <c r="BK143" s="59">
        <f>IFERROR(__xludf.DUMMYFUNCTION("importrange(""https://docs.google.com/spreadsheets/d/1CL9AQCD6lDzVeoB1ZWNbvv3iQAnDc2XWAbufodLvVyE/edit#gid=1806634832"",""2026-27!ad4"")"),0.0)</f>
        <v>0</v>
      </c>
      <c r="BL143" s="59">
        <f>IFERROR(__xludf.DUMMYFUNCTION("importrange(""https://docs.google.com/spreadsheets/d/1CL9AQCD6lDzVeoB1ZWNbvv3iQAnDc2XWAbufodLvVyE/edit#gid=1806634832"",""2026-27!ad3"")"),0.0)</f>
        <v>0</v>
      </c>
      <c r="BM143" s="59">
        <f>IFERROR(__xludf.DUMMYFUNCTION("importrange(""https://docs.google.com/spreadsheets/d/1CL9AQCD6lDzVeoB1ZWNbvv3iQAnDc2XWAbufodLvVyE/edit#gid=1806634832"",""2026-27!ae4"")"),0.0)</f>
        <v>0</v>
      </c>
      <c r="BN143" s="59">
        <f>IFERROR(__xludf.DUMMYFUNCTION("importrange(""https://docs.google.com/spreadsheets/d/1CL9AQCD6lDzVeoB1ZWNbvv3iQAnDc2XWAbufodLvVyE/edit#gid=1806634832"",""2026-27!ae3"")"),0.0)</f>
        <v>0</v>
      </c>
      <c r="BO143" s="59">
        <f>IFERROR(__xludf.DUMMYFUNCTION("importrange(""https://docs.google.com/spreadsheets/d/1CL9AQCD6lDzVeoB1ZWNbvv3iQAnDc2XWAbufodLvVyE/edit#gid=1806634832"",""2026-27!af4"")"),0.0)</f>
        <v>0</v>
      </c>
      <c r="BP143" s="59">
        <f>IFERROR(__xludf.DUMMYFUNCTION("importrange(""https://docs.google.com/spreadsheets/d/1CL9AQCD6lDzVeoB1ZWNbvv3iQAnDc2XWAbufodLvVyE/edit#gid=1806634832"",""2026-27!af3"")"),0.0)</f>
        <v>0</v>
      </c>
      <c r="BQ143" s="63" t="str">
        <f t="shared" si="139"/>
        <v/>
      </c>
      <c r="BR143" s="59">
        <f>IFERROR(__xludf.DUMMYFUNCTION("importrange(""https://docs.google.com/spreadsheets/d/1CL9AQCD6lDzVeoB1ZWNbvv3iQAnDc2XWAbufodLvVyE/edit#gid=1806634832"",""2026-27!ag4"")"),0.0)</f>
        <v>0</v>
      </c>
      <c r="BS143" s="59">
        <f>IFERROR(__xludf.DUMMYFUNCTION("importrange(""https://docs.google.com/spreadsheets/d/1CL9AQCD6lDzVeoB1ZWNbvv3iQAnDc2XWAbufodLvVyE/edit#gid=1806634832"",""2026-27!ag3"")"),0.0)</f>
        <v>0</v>
      </c>
      <c r="BT143" s="59">
        <f>IFERROR(__xludf.DUMMYFUNCTION("importrange(""https://docs.google.com/spreadsheets/d/1CL9AQCD6lDzVeoB1ZWNbvv3iQAnDc2XWAbufodLvVyE/edit#gid=1806634832"",""2026-27!ah4"")"),0.0)</f>
        <v>0</v>
      </c>
      <c r="BU143" s="59">
        <f>IFERROR(__xludf.DUMMYFUNCTION("importrange(""https://docs.google.com/spreadsheets/d/1CL9AQCD6lDzVeoB1ZWNbvv3iQAnDc2XWAbufodLvVyE/edit#gid=1806634832"",""2026-27!ah3"")"),0.0)</f>
        <v>0</v>
      </c>
      <c r="BV143" s="59">
        <f>IFERROR(__xludf.DUMMYFUNCTION("importrange(""https://docs.google.com/spreadsheets/d/1CL9AQCD6lDzVeoB1ZWNbvv3iQAnDc2XWAbufodLvVyE/edit#gid=1806634832"",""2026-27!ai4"")"),0.0)</f>
        <v>0</v>
      </c>
      <c r="BW143" s="59">
        <f>IFERROR(__xludf.DUMMYFUNCTION("importrange(""https://docs.google.com/spreadsheets/d/1CL9AQCD6lDzVeoB1ZWNbvv3iQAnDc2XWAbufodLvVyE/edit#gid=1806634832"",""2026-27!ai3"")"),0.0)</f>
        <v>0</v>
      </c>
      <c r="BX143" s="63" t="str">
        <f t="shared" si="140"/>
        <v/>
      </c>
      <c r="BY143" s="59">
        <f>IFERROR(__xludf.DUMMYFUNCTION("importrange(""https://docs.google.com/spreadsheets/d/1CL9AQCD6lDzVeoB1ZWNbvv3iQAnDc2XWAbufodLvVyE/edit#gid=1806634832"",""2026-27!aj4"")"),0.0)</f>
        <v>0</v>
      </c>
      <c r="BZ143" s="59">
        <f>IFERROR(__xludf.DUMMYFUNCTION("importrange(""https://docs.google.com/spreadsheets/d/1CL9AQCD6lDzVeoB1ZWNbvv3iQAnDc2XWAbufodLvVyE/edit#gid=1806634832"",""2026-27!aj3"")"),0.0)</f>
        <v>0</v>
      </c>
      <c r="CA143" s="59">
        <f>IFERROR(__xludf.DUMMYFUNCTION("importrange(""https://docs.google.com/spreadsheets/d/1CL9AQCD6lDzVeoB1ZWNbvv3iQAnDc2XWAbufodLvVyE/edit#gid=1806634832"",""2026-27!ak4"")"),0.0)</f>
        <v>0</v>
      </c>
      <c r="CB143" s="59">
        <f>IFERROR(__xludf.DUMMYFUNCTION("importrange(""https://docs.google.com/spreadsheets/d/1CL9AQCD6lDzVeoB1ZWNbvv3iQAnDc2XWAbufodLvVyE/edit#gid=1806634832"",""2026-27!ak3"")"),0.0)</f>
        <v>0</v>
      </c>
      <c r="CC143" s="59">
        <f>IFERROR(__xludf.DUMMYFUNCTION("importrange(""https://docs.google.com/spreadsheets/d/1CL9AQCD6lDzVeoB1ZWNbvv3iQAnDc2XWAbufodLvVyE/edit#gid=1806634832"",""2026-27!al4"")"),0.0)</f>
        <v>0</v>
      </c>
      <c r="CD143" s="59">
        <f>IFERROR(__xludf.DUMMYFUNCTION("importrange(""https://docs.google.com/spreadsheets/d/1CL9AQCD6lDzVeoB1ZWNbvv3iQAnDc2XWAbufodLvVyE/edit#gid=1806634832"",""2026-27!ai3"")"),0.0)</f>
        <v>0</v>
      </c>
      <c r="CE143" s="63" t="str">
        <f t="shared" si="141"/>
        <v/>
      </c>
      <c r="CF143" s="59">
        <f>IFERROR(__xludf.DUMMYFUNCTION("importrange(""https://docs.google.com/spreadsheets/d/1CL9AQCD6lDzVeoB1ZWNbvv3iQAnDc2XWAbufodLvVyE/edit#gid=1806634832"",""2026-27!am4"")"),0.0)</f>
        <v>0</v>
      </c>
      <c r="CG143" s="59">
        <f>IFERROR(__xludf.DUMMYFUNCTION("importrange(""https://docs.google.com/spreadsheets/d/1CL9AQCD6lDzVeoB1ZWNbvv3iQAnDc2XWAbufodLvVyE/edit#gid=1806634832"",""2026-27!am3"")"),0.0)</f>
        <v>0</v>
      </c>
      <c r="CH143" s="59">
        <f>IFERROR(__xludf.DUMMYFUNCTION("importrange(""https://docs.google.com/spreadsheets/d/1CL9AQCD6lDzVeoB1ZWNbvv3iQAnDc2XWAbufodLvVyE/edit#gid=1806634832"",""2026-27!an4"")"),0.0)</f>
        <v>0</v>
      </c>
      <c r="CI143" s="59">
        <f>IFERROR(__xludf.DUMMYFUNCTION("importrange(""https://docs.google.com/spreadsheets/d/1CL9AQCD6lDzVeoB1ZWNbvv3iQAnDc2XWAbufodLvVyE/edit#gid=1806634832"",""2026-27!an3"")"),0.0)</f>
        <v>0</v>
      </c>
      <c r="CJ143" s="59">
        <f>IFERROR(__xludf.DUMMYFUNCTION("importrange(""https://docs.google.com/spreadsheets/d/1CL9AQCD6lDzVeoB1ZWNbvv3iQAnDc2XWAbufodLvVyE/edit#gid=1806634832"",""2026-27!ao4"")"),0.0)</f>
        <v>0</v>
      </c>
      <c r="CK143" s="59">
        <f>IFERROR(__xludf.DUMMYFUNCTION("importrange(""https://docs.google.com/spreadsheets/d/1CL9AQCD6lDzVeoB1ZWNbvv3iQAnDc2XWAbufodLvVyE/edit#gid=1806634832"",""2026-27!ao3"")"),0.0)</f>
        <v>0</v>
      </c>
      <c r="CL143" s="63" t="str">
        <f t="shared" si="142"/>
        <v/>
      </c>
      <c r="CM143" s="59">
        <f>IFERROR(__xludf.DUMMYFUNCTION("importrange(""https://docs.google.com/spreadsheets/d/1CL9AQCD6lDzVeoB1ZWNbvv3iQAnDc2XWAbufodLvVyE/edit#gid=1806634832"",""2026-27!ap4"")"),0.0)</f>
        <v>0</v>
      </c>
      <c r="CN143" s="59">
        <f>IFERROR(__xludf.DUMMYFUNCTION("importrange(""https://docs.google.com/spreadsheets/d/1CL9AQCD6lDzVeoB1ZWNbvv3iQAnDc2XWAbufodLvVyE/edit#gid=1806634832"",""2026-27!ap3"")"),0.0)</f>
        <v>0</v>
      </c>
      <c r="CO143" s="59">
        <f>IFERROR(__xludf.DUMMYFUNCTION("importrange(""https://docs.google.com/spreadsheets/d/1CL9AQCD6lDzVeoB1ZWNbvv3iQAnDc2XWAbufodLvVyE/edit#gid=1806634832"",""2026-27!aq4"")"),0.0)</f>
        <v>0</v>
      </c>
      <c r="CP143" s="59">
        <f>IFERROR(__xludf.DUMMYFUNCTION("importrange(""https://docs.google.com/spreadsheets/d/1CL9AQCD6lDzVeoB1ZWNbvv3iQAnDc2XWAbufodLvVyE/edit#gid=1806634832"",""2026-27!aq3"")"),0.0)</f>
        <v>0</v>
      </c>
      <c r="CQ143" s="59">
        <f>IFERROR(__xludf.DUMMYFUNCTION("importrange(""https://docs.google.com/spreadsheets/d/1CL9AQCD6lDzVeoB1ZWNbvv3iQAnDc2XWAbufodLvVyE/edit#gid=1806634832"",""2026-27!ar4"")"),0.0)</f>
        <v>0</v>
      </c>
      <c r="CR143" s="59">
        <f>IFERROR(__xludf.DUMMYFUNCTION("importrange(""https://docs.google.com/spreadsheets/d/1CL9AQCD6lDzVeoB1ZWNbvv3iQAnDc2XWAbufodLvVyE/edit#gid=1806634832"",""2026-27!ar3"")"),0.0)</f>
        <v>0</v>
      </c>
      <c r="CS143" s="63" t="str">
        <f t="shared" si="143"/>
        <v/>
      </c>
      <c r="CT143" s="59">
        <f>IFERROR(__xludf.DUMMYFUNCTION("importrange(""https://docs.google.com/spreadsheets/d/1CL9AQCD6lDzVeoB1ZWNbvv3iQAnDc2XWAbufodLvVyE/edit#gid=1806634832"",""2026-27!as4"")"),0.0)</f>
        <v>0</v>
      </c>
      <c r="CU143" s="59">
        <f>IFERROR(__xludf.DUMMYFUNCTION("importrange(""https://docs.google.com/spreadsheets/d/1CL9AQCD6lDzVeoB1ZWNbvv3iQAnDc2XWAbufodLvVyE/edit#gid=1806634832"",""2026-27!as3"")"),0.0)</f>
        <v>0</v>
      </c>
      <c r="CV143" s="64"/>
    </row>
    <row r="144">
      <c r="A144" s="1" t="s">
        <v>273</v>
      </c>
      <c r="B144" s="41"/>
      <c r="C144" s="96" t="s">
        <v>280</v>
      </c>
      <c r="D144" s="54" t="s">
        <v>191</v>
      </c>
      <c r="E144" s="54">
        <v>8.668556831E9</v>
      </c>
      <c r="F144" s="80">
        <v>44825.0</v>
      </c>
      <c r="G144" s="66"/>
      <c r="H144" s="66"/>
      <c r="I144" s="57">
        <v>41667.0</v>
      </c>
      <c r="J144" s="58">
        <v>1800000.0</v>
      </c>
      <c r="K144" s="61">
        <f>IFERROR(__xludf.DUMMYFUNCTION("IMPORTRANGE(""https://docs.google.com/spreadsheets/d/1MGgolYlaQvBNEw9oPfJ_rFftpPOa2GbsHdGvFEWLn20/edit#gid=514728638"",""2026-27!A3"")"),90.0)</f>
        <v>90</v>
      </c>
      <c r="L144" s="61">
        <f>IFERROR(__xludf.DUMMYFUNCTION("IMPORTRANGE(""https://docs.google.com/spreadsheets/d/1MGgolYlaQvBNEw9oPfJ_rFftpPOa2GbsHdGvFEWLn20/edit#gid=514728638"",""2026-27!G4"")"),2.189E7)</f>
        <v>21890000</v>
      </c>
      <c r="M144" s="61">
        <f t="shared" si="129"/>
        <v>2433828.97</v>
      </c>
      <c r="N144" s="60">
        <f t="shared" si="130"/>
        <v>0.1136953403</v>
      </c>
      <c r="O144" s="61">
        <f t="shared" si="131"/>
        <v>2488791</v>
      </c>
      <c r="P144" s="59">
        <f>IFERROR(__xludf.DUMMYFUNCTION("IMPORTRANGE(""https://docs.google.com/spreadsheets/d/1MGgolYlaQvBNEw9oPfJ_rFftpPOa2GbsHdGvFEWLn20/edit#gid=514728638"",""2026-27!J4"")"),1739000.0)</f>
        <v>1739000</v>
      </c>
      <c r="Q144" s="59">
        <f>IFERROR(__xludf.DUMMYFUNCTION("IMPORTRANGE(""https://docs.google.com/spreadsheets/d/1MGgolYlaQvBNEw9oPfJ_rFftpPOa2GbsHdGvFEWLn20/edit#gid=514728638"",""2026-27!J3"")"),79.0)</f>
        <v>79</v>
      </c>
      <c r="R144" s="59">
        <f>IFERROR(__xludf.DUMMYFUNCTION("IMPORTRANGE(""https://docs.google.com/spreadsheets/d/1MGgolYlaQvBNEw9oPfJ_rFftpPOa2GbsHdGvFEWLn20/edit#gid=514728638"",""2026-27!K4"")"),617651.88)</f>
        <v>617651.88</v>
      </c>
      <c r="S144" s="59">
        <f>IFERROR(__xludf.DUMMYFUNCTION("IMPORTRANGE(""https://docs.google.com/spreadsheets/d/1MGgolYlaQvBNEw9oPfJ_rFftpPOa2GbsHdGvFEWLn20/edit#gid=514728638"",""2026-27!K3"")"),23.0)</f>
        <v>23</v>
      </c>
      <c r="T144" s="62">
        <f t="shared" si="132"/>
        <v>0.3551989649</v>
      </c>
      <c r="U144" s="59">
        <f>IFERROR(__xludf.DUMMYFUNCTION("IMPORTRANGE(""https://docs.google.com/spreadsheets/d/1MGgolYlaQvBNEw9oPfJ_rFftpPOa2GbsHdGvFEWLn20/edit#gid=514728638"",""2026-27!L4"")"),617691.0)</f>
        <v>617691</v>
      </c>
      <c r="V144" s="85">
        <f>IFERROR(__xludf.DUMMYFUNCTION("IMPORTRANGE(""https://docs.google.com/spreadsheets/d/1MGgolYlaQvBNEw9oPfJ_rFftpPOa2GbsHdGvFEWLn20/edit#gid=514728638"",""2026-27!L3"")"),23.0)</f>
        <v>23</v>
      </c>
      <c r="W144" s="59">
        <f>IFERROR(__xludf.DUMMYFUNCTION("IMPORTRANGE(""https://docs.google.com/spreadsheets/d/1MGgolYlaQvBNEw9oPfJ_rFftpPOa2GbsHdGvFEWLn20/edit#gid=514728638"",""2026-27!M4"")"),1739000.0)</f>
        <v>1739000</v>
      </c>
      <c r="X144" s="85">
        <f>IFERROR(__xludf.DUMMYFUNCTION("IMPORTRANGE(""https://docs.google.com/spreadsheets/d/1MGgolYlaQvBNEw9oPfJ_rFftpPOa2GbsHdGvFEWLn20/edit#gid=514728638"",""2026-27!M3"")"),79.0)</f>
        <v>79</v>
      </c>
      <c r="Y144" s="59">
        <f>IFERROR(__xludf.DUMMYFUNCTION("importrange(""https://docs.google.com/spreadsheets/d/1MGgolYlaQvBNEw9oPfJ_rFftpPOa2GbsHdGvFEWLn20/edit#gid=514728638"",""2026-27!n4"")"),734542.8)</f>
        <v>734542.8</v>
      </c>
      <c r="Z144" s="59">
        <f>IFERROR(__xludf.DUMMYFUNCTION("importrange(""https://docs.google.com/spreadsheets/d/1MGgolYlaQvBNEw9oPfJ_rFftpPOa2GbsHdGvFEWLn20/edit#gid=514728638"",""2026-27!n3"")"),21.0)</f>
        <v>21</v>
      </c>
      <c r="AA144" s="62">
        <f t="shared" si="133"/>
        <v>0.4318573893</v>
      </c>
      <c r="AB144" s="59">
        <f>IFERROR(__xludf.DUMMYFUNCTION("importrange(""https://docs.google.com/spreadsheets/d/1MGgolYlaQvBNEw9oPfJ_rFftpPOa2GbsHdGvFEWLn20/edit#gid=514728638"",""2026-27!o4"")"),751000.0)</f>
        <v>751000</v>
      </c>
      <c r="AC144" s="59">
        <f>IFERROR(__xludf.DUMMYFUNCTION("importrange(""https://docs.google.com/spreadsheets/d/1MGgolYlaQvBNEw9oPfJ_rFftpPOa2GbsHdGvFEWLn20/edit#gid=514728638"",""2026-27!o3"")"),22.0)</f>
        <v>22</v>
      </c>
      <c r="AD144" s="59">
        <f>IFERROR(__xludf.DUMMYFUNCTION("importrange(""https://docs.google.com/spreadsheets/d/1MGgolYlaQvBNEw9oPfJ_rFftpPOa2GbsHdGvFEWLn20/edit#gid=514728638"",""2026-27!p4"")"),1739000.0)</f>
        <v>1739000</v>
      </c>
      <c r="AE144" s="59">
        <f>IFERROR(__xludf.DUMMYFUNCTION("importrange(""https://docs.google.com/spreadsheets/d/1MGgolYlaQvBNEw9oPfJ_rFftpPOa2GbsHdGvFEWLn20/edit#gid=514728638"",""2026-27!p3"")"),79.0)</f>
        <v>79</v>
      </c>
      <c r="AF144" s="59">
        <f>IFERROR(__xludf.DUMMYFUNCTION("importrange(""https://docs.google.com/spreadsheets/d/1MGgolYlaQvBNEw9oPfJ_rFftpPOa2GbsHdGvFEWLn20/edit#gid=514728638"",""2026-27!q4"")"),1081634.2900000003)</f>
        <v>1081634.29</v>
      </c>
      <c r="AG144" s="59">
        <f>IFERROR(__xludf.DUMMYFUNCTION("importrange(""https://docs.google.com/spreadsheets/d/1MGgolYlaQvBNEw9oPfJ_rFftpPOa2GbsHdGvFEWLn20/edit#gid=514728638"",""2026-27!q3"")"),21.0)</f>
        <v>21</v>
      </c>
      <c r="AH144" s="62">
        <f t="shared" si="134"/>
        <v>0.6441058079</v>
      </c>
      <c r="AI144" s="59">
        <f>IFERROR(__xludf.DUMMYFUNCTION("importrange(""https://docs.google.com/spreadsheets/d/1MGgolYlaQvBNEw9oPfJ_rFftpPOa2GbsHdGvFEWLn20/edit#gid=514728638"",""2026-27!r4"")"),1120100.0)</f>
        <v>1120100</v>
      </c>
      <c r="AJ144" s="59">
        <f>IFERROR(__xludf.DUMMYFUNCTION("importrange(""https://docs.google.com/spreadsheets/d/1MGgolYlaQvBNEw9oPfJ_rFftpPOa2GbsHdGvFEWLn20/edit#gid=514728638"",""2026-27!r3"")"),22.0)</f>
        <v>22</v>
      </c>
      <c r="AK144" s="59">
        <f>IFERROR(__xludf.DUMMYFUNCTION("importrange(""https://docs.google.com/spreadsheets/d/1MGgolYlaQvBNEw9oPfJ_rFftpPOa2GbsHdGvFEWLn20/edit#gid=514728638"",""2026-27!s4"")"),1739000.0)</f>
        <v>1739000</v>
      </c>
      <c r="AL144" s="59">
        <f>IFERROR(__xludf.DUMMYFUNCTION("importrange(""https://docs.google.com/spreadsheets/d/1MGgolYlaQvBNEw9oPfJ_rFftpPOa2GbsHdGvFEWLn20/edit#gid=514728638"",""2026-27!s3"")"),79.0)</f>
        <v>79</v>
      </c>
      <c r="AM144" s="61">
        <f>IFERROR(__xludf.DUMMYFUNCTION("importrange(""https://docs.google.com/spreadsheets/d/1MGgolYlaQvBNEw9oPfJ_rFftpPOa2GbsHdGvFEWLn20/edit#gid=514728638"",""2026-27!t4"")"),0.0)</f>
        <v>0</v>
      </c>
      <c r="AN144" s="59">
        <f>IFERROR(__xludf.DUMMYFUNCTION("importrange(""https://docs.google.com/spreadsheets/d/1MGgolYlaQvBNEw9oPfJ_rFftpPOa2GbsHdGvFEWLn20/edit#gid=514728638"",""2026-27!t3"")"),0.0)</f>
        <v>0</v>
      </c>
      <c r="AO144" s="62">
        <f t="shared" si="135"/>
        <v>0</v>
      </c>
      <c r="AP144" s="59">
        <f>IFERROR(__xludf.DUMMYFUNCTION("importrange(""https://docs.google.com/spreadsheets/d/1MGgolYlaQvBNEw9oPfJ_rFftpPOa2GbsHdGvFEWLn20/edit#gid=514728638"",""2026-27!u4"")"),0.0)</f>
        <v>0</v>
      </c>
      <c r="AQ144" s="59">
        <f>IFERROR(__xludf.DUMMYFUNCTION("importrange(""https://docs.google.com/spreadsheets/d/1MGgolYlaQvBNEw9oPfJ_rFftpPOa2GbsHdGvFEWLn20/edit#gid=514728638"",""2026-27!u3"")"),0.0)</f>
        <v>0</v>
      </c>
      <c r="AR144" s="59">
        <f>IFERROR(__xludf.DUMMYFUNCTION("importrange(""https://docs.google.com/spreadsheets/d/1MGgolYlaQvBNEw9oPfJ_rFftpPOa2GbsHdGvFEWLn20/edit#gid=514728638"",""2026-27!v4"")"),1739000.0)</f>
        <v>1739000</v>
      </c>
      <c r="AS144" s="59">
        <f>IFERROR(__xludf.DUMMYFUNCTION("importrange(""https://docs.google.com/spreadsheets/d/1MGgolYlaQvBNEw9oPfJ_rFftpPOa2GbsHdGvFEWLn20/edit#gid=514728638"",""2026-27!v3"")"),79.0)</f>
        <v>79</v>
      </c>
      <c r="AT144" s="61">
        <f>IFERROR(__xludf.DUMMYFUNCTION("importrange(""https://docs.google.com/spreadsheets/d/1MGgolYlaQvBNEw9oPfJ_rFftpPOa2GbsHdGvFEWLn20/edit#gid=514728638"",""2026-27!w4"")"),0.0)</f>
        <v>0</v>
      </c>
      <c r="AU144" s="59">
        <f>IFERROR(__xludf.DUMMYFUNCTION("importrange(""https://docs.google.com/spreadsheets/d/1MGgolYlaQvBNEw9oPfJ_rFftpPOa2GbsHdGvFEWLn20/edit#gid=514728638"",""2026-27!w3"")"),0.0)</f>
        <v>0</v>
      </c>
      <c r="AV144" s="62">
        <f t="shared" si="136"/>
        <v>0</v>
      </c>
      <c r="AW144" s="59">
        <f>IFERROR(__xludf.DUMMYFUNCTION("importrange(""https://docs.google.com/spreadsheets/d/1MGgolYlaQvBNEw9oPfJ_rFftpPOa2GbsHdGvFEWLn20/edit#gid=514728638"",""2026-27!x4"")"),0.0)</f>
        <v>0</v>
      </c>
      <c r="AX144" s="59">
        <f>IFERROR(__xludf.DUMMYFUNCTION("importrange(""https://docs.google.com/spreadsheets/d/1MGgolYlaQvBNEw9oPfJ_rFftpPOa2GbsHdGvFEWLn20/edit#gid=514728638"",""2026-27!x3"")"),0.0)</f>
        <v>0</v>
      </c>
      <c r="AY144" s="59">
        <f>IFERROR(__xludf.DUMMYFUNCTION("importrange(""https://docs.google.com/spreadsheets/d/1MGgolYlaQvBNEw9oPfJ_rFftpPOa2GbsHdGvFEWLn20/edit#gid=514728638"",""2026-27!y4"")"),1739000.0)</f>
        <v>1739000</v>
      </c>
      <c r="AZ144" s="59">
        <f>IFERROR(__xludf.DUMMYFUNCTION("importrange(""https://docs.google.com/spreadsheets/d/1MGgolYlaQvBNEw9oPfJ_rFftpPOa2GbsHdGvFEWLn20/edit#gid=514728638"",""2026-27!y3"")"),79.0)</f>
        <v>79</v>
      </c>
      <c r="BA144" s="61">
        <f>IFERROR(__xludf.DUMMYFUNCTION("importrange(""https://docs.google.com/spreadsheets/d/1MGgolYlaQvBNEw9oPfJ_rFftpPOa2GbsHdGvFEWLn20/edit#gid=514728638"",""2026-27!z4"")"),0.0)</f>
        <v>0</v>
      </c>
      <c r="BB144" s="59">
        <f>IFERROR(__xludf.DUMMYFUNCTION("importrange(""https://docs.google.com/spreadsheets/d/1MGgolYlaQvBNEw9oPfJ_rFftpPOa2GbsHdGvFEWLn20/edit#gid=514728638"",""2026-27!z3"")"),0.0)</f>
        <v>0</v>
      </c>
      <c r="BC144" s="63">
        <f t="shared" si="137"/>
        <v>0</v>
      </c>
      <c r="BD144" s="59">
        <f>IFERROR(__xludf.DUMMYFUNCTION("importrange(""https://docs.google.com/spreadsheets/d/1MGgolYlaQvBNEw9oPfJ_rFftpPOa2GbsHdGvFEWLn20/edit#gid=514728638"",""2026-27!aa4"")"),0.0)</f>
        <v>0</v>
      </c>
      <c r="BE144" s="59">
        <f>IFERROR(__xludf.DUMMYFUNCTION("importrange(""https://docs.google.com/spreadsheets/d/1MGgolYlaQvBNEw9oPfJ_rFftpPOa2GbsHdGvFEWLn20/edit#gid=514728638"",""2026-27!aa3"")"),0.0)</f>
        <v>0</v>
      </c>
      <c r="BF144" s="59">
        <f>IFERROR(__xludf.DUMMYFUNCTION("importrange(""https://docs.google.com/spreadsheets/d/1MGgolYlaQvBNEw9oPfJ_rFftpPOa2GbsHdGvFEWLn20/edit#gid=514728638"",""2026-27!ab4"")"),1739000.0)</f>
        <v>1739000</v>
      </c>
      <c r="BG144" s="59">
        <f>IFERROR(__xludf.DUMMYFUNCTION("importrange(""https://docs.google.com/spreadsheets/d/1MGgolYlaQvBNEw9oPfJ_rFftpPOa2GbsHdGvFEWLn20/edit#gid=514728638"",""2026-27!ab3"")"),79.0)</f>
        <v>79</v>
      </c>
      <c r="BH144" s="59">
        <f>IFERROR(__xludf.DUMMYFUNCTION("importrange(""https://docs.google.com/spreadsheets/d/1MGgolYlaQvBNEw9oPfJ_rFftpPOa2GbsHdGvFEWLn20/edit#gid=514728638"",""2026-27!ac4"")"),0.0)</f>
        <v>0</v>
      </c>
      <c r="BI144" s="59">
        <f>IFERROR(__xludf.DUMMYFUNCTION("importrange(""https://docs.google.com/spreadsheets/d/1MGgolYlaQvBNEw9oPfJ_rFftpPOa2GbsHdGvFEWLn20/edit#gid=514728638"",""2026-27!ac3"")"),0.0)</f>
        <v>0</v>
      </c>
      <c r="BJ144" s="63">
        <f t="shared" si="138"/>
        <v>0</v>
      </c>
      <c r="BK144" s="59">
        <f>IFERROR(__xludf.DUMMYFUNCTION("importrange(""https://docs.google.com/spreadsheets/d/1MGgolYlaQvBNEw9oPfJ_rFftpPOa2GbsHdGvFEWLn20/edit#gid=514728638"",""2026-27!ad4"")"),0.0)</f>
        <v>0</v>
      </c>
      <c r="BL144" s="59">
        <f>IFERROR(__xludf.DUMMYFUNCTION("importrange(""https://docs.google.com/spreadsheets/d/1MGgolYlaQvBNEw9oPfJ_rFftpPOa2GbsHdGvFEWLn20/edit#gid=514728638"",""2026-27!ad3"")"),0.0)</f>
        <v>0</v>
      </c>
      <c r="BM144" s="59">
        <f>IFERROR(__xludf.DUMMYFUNCTION("importrange(""https://docs.google.com/spreadsheets/d/1MGgolYlaQvBNEw9oPfJ_rFftpPOa2GbsHdGvFEWLn20/edit#gid=514728638"",""2026-27!ae4"")"),1739000.0)</f>
        <v>1739000</v>
      </c>
      <c r="BN144" s="59">
        <f>IFERROR(__xludf.DUMMYFUNCTION("importrange(""https://docs.google.com/spreadsheets/d/1MGgolYlaQvBNEw9oPfJ_rFftpPOa2GbsHdGvFEWLn20/edit#gid=514728638"",""2026-27!ae3"")"),79.0)</f>
        <v>79</v>
      </c>
      <c r="BO144" s="59">
        <f>IFERROR(__xludf.DUMMYFUNCTION("importrange(""https://docs.google.com/spreadsheets/d/1MGgolYlaQvBNEw9oPfJ_rFftpPOa2GbsHdGvFEWLn20/edit#gid=514728638"",""2026-27!af4"")"),0.0)</f>
        <v>0</v>
      </c>
      <c r="BP144" s="59">
        <f>IFERROR(__xludf.DUMMYFUNCTION("importrange(""https://docs.google.com/spreadsheets/d/1MGgolYlaQvBNEw9oPfJ_rFftpPOa2GbsHdGvFEWLn20/edit#gid=514728638"",""2026-27!af3"")"),0.0)</f>
        <v>0</v>
      </c>
      <c r="BQ144" s="63">
        <f t="shared" si="139"/>
        <v>0</v>
      </c>
      <c r="BR144" s="59">
        <f>IFERROR(__xludf.DUMMYFUNCTION("importrange(""https://docs.google.com/spreadsheets/d/1MGgolYlaQvBNEw9oPfJ_rFftpPOa2GbsHdGvFEWLn20/edit#gid=514728638"",""2026-27!ag4"")"),0.0)</f>
        <v>0</v>
      </c>
      <c r="BS144" s="59">
        <f>IFERROR(__xludf.DUMMYFUNCTION("importrange(""https://docs.google.com/spreadsheets/d/1MGgolYlaQvBNEw9oPfJ_rFftpPOa2GbsHdGvFEWLn20/edit#gid=514728638"",""2026-27!ag3"")"),0.0)</f>
        <v>0</v>
      </c>
      <c r="BT144" s="59">
        <f>IFERROR(__xludf.DUMMYFUNCTION("importrange(""https://docs.google.com/spreadsheets/d/1MGgolYlaQvBNEw9oPfJ_rFftpPOa2GbsHdGvFEWLn20/edit#gid=514728638"",""2026-27!ah4"")"),1739000.0)</f>
        <v>1739000</v>
      </c>
      <c r="BU144" s="59">
        <f>IFERROR(__xludf.DUMMYFUNCTION("importrange(""https://docs.google.com/spreadsheets/d/1MGgolYlaQvBNEw9oPfJ_rFftpPOa2GbsHdGvFEWLn20/edit#gid=514728638"",""2026-27!ah3"")"),79.0)</f>
        <v>79</v>
      </c>
      <c r="BV144" s="59">
        <f>IFERROR(__xludf.DUMMYFUNCTION("importrange(""https://docs.google.com/spreadsheets/d/1MGgolYlaQvBNEw9oPfJ_rFftpPOa2GbsHdGvFEWLn20/edit#gid=514728638"",""2026-27!ai4"")"),0.0)</f>
        <v>0</v>
      </c>
      <c r="BW144" s="59">
        <f>IFERROR(__xludf.DUMMYFUNCTION("importrange(""https://docs.google.com/spreadsheets/d/1MGgolYlaQvBNEw9oPfJ_rFftpPOa2GbsHdGvFEWLn20/edit#gid=514728638"",""2026-27!ai3"")"),0.0)</f>
        <v>0</v>
      </c>
      <c r="BX144" s="63">
        <f t="shared" si="140"/>
        <v>0</v>
      </c>
      <c r="BY144" s="59">
        <f>IFERROR(__xludf.DUMMYFUNCTION("importrange(""https://docs.google.com/spreadsheets/d/1MGgolYlaQvBNEw9oPfJ_rFftpPOa2GbsHdGvFEWLn20/edit#gid=514728638"",""2026-27!aj4"")"),0.0)</f>
        <v>0</v>
      </c>
      <c r="BZ144" s="59">
        <f>IFERROR(__xludf.DUMMYFUNCTION("importrange(""https://docs.google.com/spreadsheets/d/1MGgolYlaQvBNEw9oPfJ_rFftpPOa2GbsHdGvFEWLn20/edit#gid=514728638"",""2026-27!aj3"")"),0.0)</f>
        <v>0</v>
      </c>
      <c r="CA144" s="59">
        <f>IFERROR(__xludf.DUMMYFUNCTION("importrange(""https://docs.google.com/spreadsheets/d/1MGgolYlaQvBNEw9oPfJ_rFftpPOa2GbsHdGvFEWLn20/edit#gid=514728638"",""2026-27!ak4"")"),1739000.0)</f>
        <v>1739000</v>
      </c>
      <c r="CB144" s="59">
        <f>IFERROR(__xludf.DUMMYFUNCTION("importrange(""https://docs.google.com/spreadsheets/d/1MGgolYlaQvBNEw9oPfJ_rFftpPOa2GbsHdGvFEWLn20/edit#gid=514728638"",""2026-27!ak3"")"),79.0)</f>
        <v>79</v>
      </c>
      <c r="CC144" s="59">
        <f>IFERROR(__xludf.DUMMYFUNCTION("importrange(""https://docs.google.com/spreadsheets/d/1MGgolYlaQvBNEw9oPfJ_rFftpPOa2GbsHdGvFEWLn20/edit#gid=514728638"",""2026-27!al4"")"),0.0)</f>
        <v>0</v>
      </c>
      <c r="CD144" s="59">
        <f>IFERROR(__xludf.DUMMYFUNCTION("importrange(""https://docs.google.com/spreadsheets/d/1MGgolYlaQvBNEw9oPfJ_rFftpPOa2GbsHdGvFEWLn20/edit#gid=514728638"",""2026-27!ai3"")"),0.0)</f>
        <v>0</v>
      </c>
      <c r="CE144" s="63">
        <f t="shared" si="141"/>
        <v>0</v>
      </c>
      <c r="CF144" s="59">
        <f>IFERROR(__xludf.DUMMYFUNCTION("importrange(""https://docs.google.com/spreadsheets/d/1MGgolYlaQvBNEw9oPfJ_rFftpPOa2GbsHdGvFEWLn20/edit#gid=514728638"",""2026-27!am4"")"),0.0)</f>
        <v>0</v>
      </c>
      <c r="CG144" s="59">
        <f>IFERROR(__xludf.DUMMYFUNCTION("importrange(""https://docs.google.com/spreadsheets/d/1MGgolYlaQvBNEw9oPfJ_rFftpPOa2GbsHdGvFEWLn20/edit#gid=514728638"",""2026-27!am3"")"),0.0)</f>
        <v>0</v>
      </c>
      <c r="CH144" s="59">
        <f>IFERROR(__xludf.DUMMYFUNCTION("importrange(""https://docs.google.com/spreadsheets/d/1MGgolYlaQvBNEw9oPfJ_rFftpPOa2GbsHdGvFEWLn20/edit#gid=514728638"",""2026-27!an4"")"),1739000.0)</f>
        <v>1739000</v>
      </c>
      <c r="CI144" s="59">
        <f>IFERROR(__xludf.DUMMYFUNCTION("importrange(""https://docs.google.com/spreadsheets/d/1MGgolYlaQvBNEw9oPfJ_rFftpPOa2GbsHdGvFEWLn20/edit#gid=514728638"",""2026-27!an3"")"),79.0)</f>
        <v>79</v>
      </c>
      <c r="CJ144" s="59">
        <f>IFERROR(__xludf.DUMMYFUNCTION("importrange(""https://docs.google.com/spreadsheets/d/1MGgolYlaQvBNEw9oPfJ_rFftpPOa2GbsHdGvFEWLn20/edit#gid=514728638"",""2026-27!ao4"")"),0.0)</f>
        <v>0</v>
      </c>
      <c r="CK144" s="59">
        <f>IFERROR(__xludf.DUMMYFUNCTION("importrange(""https://docs.google.com/spreadsheets/d/1MGgolYlaQvBNEw9oPfJ_rFftpPOa2GbsHdGvFEWLn20/edit#gid=514728638"",""2026-27!ao3"")"),0.0)</f>
        <v>0</v>
      </c>
      <c r="CL144" s="63">
        <f t="shared" si="142"/>
        <v>0</v>
      </c>
      <c r="CM144" s="59">
        <f>IFERROR(__xludf.DUMMYFUNCTION("importrange(""https://docs.google.com/spreadsheets/d/1MGgolYlaQvBNEw9oPfJ_rFftpPOa2GbsHdGvFEWLn20/edit#gid=514728638"",""2026-27!ap4"")"),0.0)</f>
        <v>0</v>
      </c>
      <c r="CN144" s="59">
        <f>IFERROR(__xludf.DUMMYFUNCTION("importrange(""https://docs.google.com/spreadsheets/d/1MGgolYlaQvBNEw9oPfJ_rFftpPOa2GbsHdGvFEWLn20/edit#gid=514728638"",""2026-27!ap3"")"),0.0)</f>
        <v>0</v>
      </c>
      <c r="CO144" s="59">
        <f>IFERROR(__xludf.DUMMYFUNCTION("importrange(""https://docs.google.com/spreadsheets/d/1MGgolYlaQvBNEw9oPfJ_rFftpPOa2GbsHdGvFEWLn20/edit#gid=514728638"",""2026-27!aq4"")"),1739000.0)</f>
        <v>1739000</v>
      </c>
      <c r="CP144" s="59">
        <f>IFERROR(__xludf.DUMMYFUNCTION("importrange(""https://docs.google.com/spreadsheets/d/1MGgolYlaQvBNEw9oPfJ_rFftpPOa2GbsHdGvFEWLn20/edit#gid=514728638"",""2026-27!aq3"")"),79.0)</f>
        <v>79</v>
      </c>
      <c r="CQ144" s="59">
        <f>IFERROR(__xludf.DUMMYFUNCTION("importrange(""https://docs.google.com/spreadsheets/d/1MGgolYlaQvBNEw9oPfJ_rFftpPOa2GbsHdGvFEWLn20/edit#gid=514728638"",""2026-27!ar4"")"),0.0)</f>
        <v>0</v>
      </c>
      <c r="CR144" s="59">
        <f>IFERROR(__xludf.DUMMYFUNCTION("importrange(""https://docs.google.com/spreadsheets/d/1MGgolYlaQvBNEw9oPfJ_rFftpPOa2GbsHdGvFEWLn20/edit#gid=514728638"",""2026-27!ar3"")"),0.0)</f>
        <v>0</v>
      </c>
      <c r="CS144" s="63">
        <f t="shared" si="143"/>
        <v>0</v>
      </c>
      <c r="CT144" s="59">
        <f>IFERROR(__xludf.DUMMYFUNCTION("importrange(""https://docs.google.com/spreadsheets/d/1MGgolYlaQvBNEw9oPfJ_rFftpPOa2GbsHdGvFEWLn20/edit#gid=514728638"",""2026-27!as4"")"),0.0)</f>
        <v>0</v>
      </c>
      <c r="CU144" s="59">
        <f>IFERROR(__xludf.DUMMYFUNCTION("importrange(""https://docs.google.com/spreadsheets/d/1MGgolYlaQvBNEw9oPfJ_rFftpPOa2GbsHdGvFEWLn20/edit#gid=514728638"",""2026-27!as3"")"),0.0)</f>
        <v>0</v>
      </c>
      <c r="CV144" s="64"/>
    </row>
    <row r="145">
      <c r="A145" s="1" t="s">
        <v>273</v>
      </c>
      <c r="B145" s="41"/>
      <c r="C145" s="86" t="s">
        <v>281</v>
      </c>
      <c r="D145" s="54" t="s">
        <v>282</v>
      </c>
      <c r="E145" s="54">
        <v>9.503504424E9</v>
      </c>
      <c r="F145" s="80">
        <v>45047.0</v>
      </c>
      <c r="G145" s="66"/>
      <c r="H145" s="66"/>
      <c r="I145" s="57">
        <v>35167.0</v>
      </c>
      <c r="J145" s="58">
        <v>1300000.0</v>
      </c>
      <c r="K145" s="61">
        <f>IFERROR(__xludf.DUMMYFUNCTION("IMPORTRANGE(""https://docs.google.com/spreadsheets/d/1WTwJOkEL-7pdLdu4DqeFqbDaTBRyZ2Y7K1Ui-q851JQ/edit#gid=218149684"",""2026-27!A3"")"),88.0)</f>
        <v>88</v>
      </c>
      <c r="L145" s="61">
        <f>IFERROR(__xludf.DUMMYFUNCTION("IMPORTRANGE(""https://docs.google.com/spreadsheets/d/1WTwJOkEL-7pdLdu4DqeFqbDaTBRyZ2Y7K1Ui-q851JQ/edit#gid=218149684"",""2026-27!G4"")"),1.629E7)</f>
        <v>16290000</v>
      </c>
      <c r="M145" s="61">
        <f t="shared" si="129"/>
        <v>1779590.69</v>
      </c>
      <c r="N145" s="60">
        <f t="shared" si="130"/>
        <v>0.1099319828</v>
      </c>
      <c r="O145" s="61">
        <f t="shared" si="131"/>
        <v>1790792</v>
      </c>
      <c r="P145" s="59">
        <f>IFERROR(__xludf.DUMMYFUNCTION("IMPORTRANGE(""https://docs.google.com/spreadsheets/d/1WTwJOkEL-7pdLdu4DqeFqbDaTBRyZ2Y7K1Ui-q851JQ/edit#gid=218149684"",""2026-27!J4"")"),1307501.0)</f>
        <v>1307501</v>
      </c>
      <c r="Q145" s="59">
        <f>IFERROR(__xludf.DUMMYFUNCTION("IMPORTRANGE(""https://docs.google.com/spreadsheets/d/1WTwJOkEL-7pdLdu4DqeFqbDaTBRyZ2Y7K1Ui-q851JQ/edit#gid=218149684"",""2026-27!J3"")"),74.0)</f>
        <v>74</v>
      </c>
      <c r="R145" s="59">
        <f>IFERROR(__xludf.DUMMYFUNCTION("IMPORTRANGE(""https://docs.google.com/spreadsheets/d/1WTwJOkEL-7pdLdu4DqeFqbDaTBRyZ2Y7K1Ui-q851JQ/edit#gid=218149684"",""2026-27!K4"")"),580045.4500000002)</f>
        <v>580045.45</v>
      </c>
      <c r="S145" s="59">
        <f>IFERROR(__xludf.DUMMYFUNCTION("IMPORTRANGE(""https://docs.google.com/spreadsheets/d/1WTwJOkEL-7pdLdu4DqeFqbDaTBRyZ2Y7K1Ui-q851JQ/edit#gid=218149684"",""2026-27!K3"")"),30.0)</f>
        <v>30</v>
      </c>
      <c r="T145" s="62">
        <f t="shared" si="132"/>
        <v>0.4536355995</v>
      </c>
      <c r="U145" s="59">
        <f>IFERROR(__xludf.DUMMYFUNCTION("IMPORTRANGE(""https://docs.google.com/spreadsheets/d/1WTwJOkEL-7pdLdu4DqeFqbDaTBRyZ2Y7K1Ui-q851JQ/edit#gid=218149684"",""2026-27!L4"")"),593129.0)</f>
        <v>593129</v>
      </c>
      <c r="V145" s="85">
        <f>IFERROR(__xludf.DUMMYFUNCTION("IMPORTRANGE(""https://docs.google.com/spreadsheets/d/1WTwJOkEL-7pdLdu4DqeFqbDaTBRyZ2Y7K1Ui-q851JQ/edit#gid=218149684"",""2026-27!L3"")"),28.0)</f>
        <v>28</v>
      </c>
      <c r="W145" s="59">
        <f>IFERROR(__xludf.DUMMYFUNCTION("IMPORTRANGE(""https://docs.google.com/spreadsheets/d/1WTwJOkEL-7pdLdu4DqeFqbDaTBRyZ2Y7K1Ui-q851JQ/edit#gid=218149684"",""2026-27!M4"")"),1320001.0)</f>
        <v>1320001</v>
      </c>
      <c r="X145" s="85">
        <f>IFERROR(__xludf.DUMMYFUNCTION("IMPORTRANGE(""https://docs.google.com/spreadsheets/d/1WTwJOkEL-7pdLdu4DqeFqbDaTBRyZ2Y7K1Ui-q851JQ/edit#gid=218149684"",""2026-27!M3"")"),75.0)</f>
        <v>75</v>
      </c>
      <c r="Y145" s="59">
        <f>IFERROR(__xludf.DUMMYFUNCTION("importrange(""https://docs.google.com/spreadsheets/d/1WTwJOkEL-7pdLdu4DqeFqbDaTBRyZ2Y7K1Ui-q851JQ/edit#gid=218149684"",""2026-27!n4"")"),497840.54000000004)</f>
        <v>497840.54</v>
      </c>
      <c r="Z145" s="59">
        <f>IFERROR(__xludf.DUMMYFUNCTION("importrange(""https://docs.google.com/spreadsheets/d/1WTwJOkEL-7pdLdu4DqeFqbDaTBRyZ2Y7K1Ui-q851JQ/edit#gid=218149684"",""2026-27!n3"")"),37.0)</f>
        <v>37</v>
      </c>
      <c r="AA145" s="62">
        <f t="shared" si="133"/>
        <v>0.3757194123</v>
      </c>
      <c r="AB145" s="59">
        <f>IFERROR(__xludf.DUMMYFUNCTION("importrange(""https://docs.google.com/spreadsheets/d/1WTwJOkEL-7pdLdu4DqeFqbDaTBRyZ2Y7K1Ui-q851JQ/edit#gid=218149684"",""2026-27!o4"")"),495950.0)</f>
        <v>495950</v>
      </c>
      <c r="AC145" s="59">
        <f>IFERROR(__xludf.DUMMYFUNCTION("importrange(""https://docs.google.com/spreadsheets/d/1WTwJOkEL-7pdLdu4DqeFqbDaTBRyZ2Y7K1Ui-q851JQ/edit#gid=218149684"",""2026-27!o3"")"),37.0)</f>
        <v>37</v>
      </c>
      <c r="AD145" s="59">
        <f>IFERROR(__xludf.DUMMYFUNCTION("importrange(""https://docs.google.com/spreadsheets/d/1WTwJOkEL-7pdLdu4DqeFqbDaTBRyZ2Y7K1Ui-q851JQ/edit#gid=218149684"",""2026-27!p4"")"),1357501.0)</f>
        <v>1357501</v>
      </c>
      <c r="AE145" s="59">
        <f>IFERROR(__xludf.DUMMYFUNCTION("importrange(""https://docs.google.com/spreadsheets/d/1WTwJOkEL-7pdLdu4DqeFqbDaTBRyZ2Y7K1Ui-q851JQ/edit#gid=218149684"",""2026-27!p3"")"),78.0)</f>
        <v>78</v>
      </c>
      <c r="AF145" s="59">
        <f>IFERROR(__xludf.DUMMYFUNCTION("importrange(""https://docs.google.com/spreadsheets/d/1WTwJOkEL-7pdLdu4DqeFqbDaTBRyZ2Y7K1Ui-q851JQ/edit#gid=218149684"",""2026-27!q4"")"),701704.7000000002)</f>
        <v>701704.7</v>
      </c>
      <c r="AG145" s="59">
        <f>IFERROR(__xludf.DUMMYFUNCTION("importrange(""https://docs.google.com/spreadsheets/d/1WTwJOkEL-7pdLdu4DqeFqbDaTBRyZ2Y7K1Ui-q851JQ/edit#gid=218149684"",""2026-27!q3"")"),37.0)</f>
        <v>37</v>
      </c>
      <c r="AH145" s="62">
        <f t="shared" si="134"/>
        <v>0.516915273</v>
      </c>
      <c r="AI145" s="59">
        <f>IFERROR(__xludf.DUMMYFUNCTION("importrange(""https://docs.google.com/spreadsheets/d/1WTwJOkEL-7pdLdu4DqeFqbDaTBRyZ2Y7K1Ui-q851JQ/edit#gid=218149684"",""2026-27!r4"")"),701713.0)</f>
        <v>701713</v>
      </c>
      <c r="AJ145" s="59">
        <f>IFERROR(__xludf.DUMMYFUNCTION("importrange(""https://docs.google.com/spreadsheets/d/1WTwJOkEL-7pdLdu4DqeFqbDaTBRyZ2Y7K1Ui-q851JQ/edit#gid=218149684"",""2026-27!r3"")"),37.0)</f>
        <v>37</v>
      </c>
      <c r="AK145" s="59">
        <f>IFERROR(__xludf.DUMMYFUNCTION("importrange(""https://docs.google.com/spreadsheets/d/1WTwJOkEL-7pdLdu4DqeFqbDaTBRyZ2Y7K1Ui-q851JQ/edit#gid=218149684"",""2026-27!s4"")"),1357501.0)</f>
        <v>1357501</v>
      </c>
      <c r="AL145" s="59">
        <f>IFERROR(__xludf.DUMMYFUNCTION("importrange(""https://docs.google.com/spreadsheets/d/1WTwJOkEL-7pdLdu4DqeFqbDaTBRyZ2Y7K1Ui-q851JQ/edit#gid=218149684"",""2026-27!s3"")"),78.0)</f>
        <v>78</v>
      </c>
      <c r="AM145" s="61">
        <f>IFERROR(__xludf.DUMMYFUNCTION("importrange(""https://docs.google.com/spreadsheets/d/1WTwJOkEL-7pdLdu4DqeFqbDaTBRyZ2Y7K1Ui-q851JQ/edit#gid=218149684"",""2026-27!t4"")"),0.0)</f>
        <v>0</v>
      </c>
      <c r="AN145" s="59">
        <f>IFERROR(__xludf.DUMMYFUNCTION("importrange(""https://docs.google.com/spreadsheets/d/1WTwJOkEL-7pdLdu4DqeFqbDaTBRyZ2Y7K1Ui-q851JQ/edit#gid=218149684"",""2026-27!t3"")"),0.0)</f>
        <v>0</v>
      </c>
      <c r="AO145" s="62">
        <f t="shared" si="135"/>
        <v>0</v>
      </c>
      <c r="AP145" s="59">
        <f>IFERROR(__xludf.DUMMYFUNCTION("importrange(""https://docs.google.com/spreadsheets/d/1WTwJOkEL-7pdLdu4DqeFqbDaTBRyZ2Y7K1Ui-q851JQ/edit#gid=218149684"",""2026-27!u4"")"),0.0)</f>
        <v>0</v>
      </c>
      <c r="AQ145" s="59">
        <f>IFERROR(__xludf.DUMMYFUNCTION("importrange(""https://docs.google.com/spreadsheets/d/1WTwJOkEL-7pdLdu4DqeFqbDaTBRyZ2Y7K1Ui-q851JQ/edit#gid=218149684"",""2026-27!u3"")"),0.0)</f>
        <v>0</v>
      </c>
      <c r="AR145" s="59">
        <f>IFERROR(__xludf.DUMMYFUNCTION("importrange(""https://docs.google.com/spreadsheets/d/1WTwJOkEL-7pdLdu4DqeFqbDaTBRyZ2Y7K1Ui-q851JQ/edit#gid=218149684"",""2026-27!v4"")"),0.0)</f>
        <v>0</v>
      </c>
      <c r="AS145" s="59">
        <f>IFERROR(__xludf.DUMMYFUNCTION("importrange(""https://docs.google.com/spreadsheets/d/1WTwJOkEL-7pdLdu4DqeFqbDaTBRyZ2Y7K1Ui-q851JQ/edit#gid=218149684"",""2026-27!v3"")"),0.0)</f>
        <v>0</v>
      </c>
      <c r="AT145" s="61">
        <f>IFERROR(__xludf.DUMMYFUNCTION("importrange(""https://docs.google.com/spreadsheets/d/1WTwJOkEL-7pdLdu4DqeFqbDaTBRyZ2Y7K1Ui-q851JQ/edit#gid=218149684"",""2026-27!w4"")"),0.0)</f>
        <v>0</v>
      </c>
      <c r="AU145" s="59">
        <f>IFERROR(__xludf.DUMMYFUNCTION("importrange(""https://docs.google.com/spreadsheets/d/1WTwJOkEL-7pdLdu4DqeFqbDaTBRyZ2Y7K1Ui-q851JQ/edit#gid=218149684"",""2026-27!w3"")"),0.0)</f>
        <v>0</v>
      </c>
      <c r="AV145" s="62" t="str">
        <f t="shared" si="136"/>
        <v/>
      </c>
      <c r="AW145" s="59">
        <f>IFERROR(__xludf.DUMMYFUNCTION("importrange(""https://docs.google.com/spreadsheets/d/1WTwJOkEL-7pdLdu4DqeFqbDaTBRyZ2Y7K1Ui-q851JQ/edit#gid=218149684"",""2026-27!x4"")"),0.0)</f>
        <v>0</v>
      </c>
      <c r="AX145" s="59">
        <f>IFERROR(__xludf.DUMMYFUNCTION("importrange(""https://docs.google.com/spreadsheets/d/1WTwJOkEL-7pdLdu4DqeFqbDaTBRyZ2Y7K1Ui-q851JQ/edit#gid=218149684"",""2026-27!x3"")"),0.0)</f>
        <v>0</v>
      </c>
      <c r="AY145" s="59">
        <f>IFERROR(__xludf.DUMMYFUNCTION("importrange(""https://docs.google.com/spreadsheets/d/1WTwJOkEL-7pdLdu4DqeFqbDaTBRyZ2Y7K1Ui-q851JQ/edit#gid=218149684"",""2026-27!y4"")"),0.0)</f>
        <v>0</v>
      </c>
      <c r="AZ145" s="59">
        <f>IFERROR(__xludf.DUMMYFUNCTION("importrange(""https://docs.google.com/spreadsheets/d/1WTwJOkEL-7pdLdu4DqeFqbDaTBRyZ2Y7K1Ui-q851JQ/edit#gid=218149684"",""2026-27!y3"")"),0.0)</f>
        <v>0</v>
      </c>
      <c r="BA145" s="61">
        <f>IFERROR(__xludf.DUMMYFUNCTION("importrange(""https://docs.google.com/spreadsheets/d/1WTwJOkEL-7pdLdu4DqeFqbDaTBRyZ2Y7K1Ui-q851JQ/edit#gid=218149684"",""2026-27!z4"")"),0.0)</f>
        <v>0</v>
      </c>
      <c r="BB145" s="59">
        <f>IFERROR(__xludf.DUMMYFUNCTION("importrange(""https://docs.google.com/spreadsheets/d/1WTwJOkEL-7pdLdu4DqeFqbDaTBRyZ2Y7K1Ui-q851JQ/edit#gid=218149684"",""2026-27!z3"")"),0.0)</f>
        <v>0</v>
      </c>
      <c r="BC145" s="63" t="str">
        <f t="shared" si="137"/>
        <v/>
      </c>
      <c r="BD145" s="59">
        <f>IFERROR(__xludf.DUMMYFUNCTION("importrange(""https://docs.google.com/spreadsheets/d/1WTwJOkEL-7pdLdu4DqeFqbDaTBRyZ2Y7K1Ui-q851JQ/edit#gid=218149684"",""2026-27!aa4"")"),0.0)</f>
        <v>0</v>
      </c>
      <c r="BE145" s="59">
        <f>IFERROR(__xludf.DUMMYFUNCTION("importrange(""https://docs.google.com/spreadsheets/d/1WTwJOkEL-7pdLdu4DqeFqbDaTBRyZ2Y7K1Ui-q851JQ/edit#gid=218149684"",""2026-27!aa3"")"),0.0)</f>
        <v>0</v>
      </c>
      <c r="BF145" s="59">
        <f>IFERROR(__xludf.DUMMYFUNCTION("importrange(""https://docs.google.com/spreadsheets/d/1WTwJOkEL-7pdLdu4DqeFqbDaTBRyZ2Y7K1Ui-q851JQ/edit#gid=218149684"",""2026-27!ab4"")"),0.0)</f>
        <v>0</v>
      </c>
      <c r="BG145" s="59">
        <f>IFERROR(__xludf.DUMMYFUNCTION("importrange(""https://docs.google.com/spreadsheets/d/1WTwJOkEL-7pdLdu4DqeFqbDaTBRyZ2Y7K1Ui-q851JQ/edit#gid=218149684"",""2026-27!ab3"")"),0.0)</f>
        <v>0</v>
      </c>
      <c r="BH145" s="59">
        <f>IFERROR(__xludf.DUMMYFUNCTION("importrange(""https://docs.google.com/spreadsheets/d/1WTwJOkEL-7pdLdu4DqeFqbDaTBRyZ2Y7K1Ui-q851JQ/edit#gid=218149684"",""2026-27!ac4"")"),0.0)</f>
        <v>0</v>
      </c>
      <c r="BI145" s="59">
        <f>IFERROR(__xludf.DUMMYFUNCTION("importrange(""https://docs.google.com/spreadsheets/d/1WTwJOkEL-7pdLdu4DqeFqbDaTBRyZ2Y7K1Ui-q851JQ/edit#gid=218149684"",""2026-27!ac3"")"),0.0)</f>
        <v>0</v>
      </c>
      <c r="BJ145" s="63" t="str">
        <f t="shared" si="138"/>
        <v/>
      </c>
      <c r="BK145" s="59">
        <f>IFERROR(__xludf.DUMMYFUNCTION("importrange(""https://docs.google.com/spreadsheets/d/1WTwJOkEL-7pdLdu4DqeFqbDaTBRyZ2Y7K1Ui-q851JQ/edit#gid=218149684"",""2026-27!ad4"")"),0.0)</f>
        <v>0</v>
      </c>
      <c r="BL145" s="59">
        <f>IFERROR(__xludf.DUMMYFUNCTION("importrange(""https://docs.google.com/spreadsheets/d/1WTwJOkEL-7pdLdu4DqeFqbDaTBRyZ2Y7K1Ui-q851JQ/edit#gid=218149684"",""2026-27!ad3"")"),0.0)</f>
        <v>0</v>
      </c>
      <c r="BM145" s="59">
        <f>IFERROR(__xludf.DUMMYFUNCTION("importrange(""https://docs.google.com/spreadsheets/d/1WTwJOkEL-7pdLdu4DqeFqbDaTBRyZ2Y7K1Ui-q851JQ/edit#gid=218149684"",""2026-27!ae4"")"),0.0)</f>
        <v>0</v>
      </c>
      <c r="BN145" s="59">
        <f>IFERROR(__xludf.DUMMYFUNCTION("importrange(""https://docs.google.com/spreadsheets/d/1WTwJOkEL-7pdLdu4DqeFqbDaTBRyZ2Y7K1Ui-q851JQ/edit#gid=218149684"",""2026-27!ae3"")"),0.0)</f>
        <v>0</v>
      </c>
      <c r="BO145" s="59">
        <f>IFERROR(__xludf.DUMMYFUNCTION("importrange(""https://docs.google.com/spreadsheets/d/1WTwJOkEL-7pdLdu4DqeFqbDaTBRyZ2Y7K1Ui-q851JQ/edit#gid=218149684"",""2026-27!af4"")"),0.0)</f>
        <v>0</v>
      </c>
      <c r="BP145" s="59">
        <f>IFERROR(__xludf.DUMMYFUNCTION("importrange(""https://docs.google.com/spreadsheets/d/1WTwJOkEL-7pdLdu4DqeFqbDaTBRyZ2Y7K1Ui-q851JQ/edit#gid=218149684"",""2026-27!af3"")"),0.0)</f>
        <v>0</v>
      </c>
      <c r="BQ145" s="63" t="str">
        <f t="shared" si="139"/>
        <v/>
      </c>
      <c r="BR145" s="59">
        <f>IFERROR(__xludf.DUMMYFUNCTION("importrange(""https://docs.google.com/spreadsheets/d/1WTwJOkEL-7pdLdu4DqeFqbDaTBRyZ2Y7K1Ui-q851JQ/edit#gid=218149684"",""2026-27!ag4"")"),0.0)</f>
        <v>0</v>
      </c>
      <c r="BS145" s="59">
        <f>IFERROR(__xludf.DUMMYFUNCTION("importrange(""https://docs.google.com/spreadsheets/d/1WTwJOkEL-7pdLdu4DqeFqbDaTBRyZ2Y7K1Ui-q851JQ/edit#gid=218149684"",""2026-27!ag3"")"),0.0)</f>
        <v>0</v>
      </c>
      <c r="BT145" s="59">
        <f>IFERROR(__xludf.DUMMYFUNCTION("importrange(""https://docs.google.com/spreadsheets/d/1WTwJOkEL-7pdLdu4DqeFqbDaTBRyZ2Y7K1Ui-q851JQ/edit#gid=218149684"",""2026-27!ah4"")"),0.0)</f>
        <v>0</v>
      </c>
      <c r="BU145" s="59">
        <f>IFERROR(__xludf.DUMMYFUNCTION("importrange(""https://docs.google.com/spreadsheets/d/1WTwJOkEL-7pdLdu4DqeFqbDaTBRyZ2Y7K1Ui-q851JQ/edit#gid=218149684"",""2026-27!ah3"")"),0.0)</f>
        <v>0</v>
      </c>
      <c r="BV145" s="59">
        <f>IFERROR(__xludf.DUMMYFUNCTION("importrange(""https://docs.google.com/spreadsheets/d/1WTwJOkEL-7pdLdu4DqeFqbDaTBRyZ2Y7K1Ui-q851JQ/edit#gid=218149684"",""2026-27!ai4"")"),0.0)</f>
        <v>0</v>
      </c>
      <c r="BW145" s="59">
        <f>IFERROR(__xludf.DUMMYFUNCTION("importrange(""https://docs.google.com/spreadsheets/d/1WTwJOkEL-7pdLdu4DqeFqbDaTBRyZ2Y7K1Ui-q851JQ/edit#gid=218149684"",""2026-27!ai3"")"),0.0)</f>
        <v>0</v>
      </c>
      <c r="BX145" s="63" t="str">
        <f t="shared" si="140"/>
        <v/>
      </c>
      <c r="BY145" s="59">
        <f>IFERROR(__xludf.DUMMYFUNCTION("importrange(""https://docs.google.com/spreadsheets/d/1WTwJOkEL-7pdLdu4DqeFqbDaTBRyZ2Y7K1Ui-q851JQ/edit#gid=218149684"",""2026-27!aj4"")"),0.0)</f>
        <v>0</v>
      </c>
      <c r="BZ145" s="59">
        <f>IFERROR(__xludf.DUMMYFUNCTION("importrange(""https://docs.google.com/spreadsheets/d/1WTwJOkEL-7pdLdu4DqeFqbDaTBRyZ2Y7K1Ui-q851JQ/edit#gid=218149684"",""2026-27!aj3"")"),0.0)</f>
        <v>0</v>
      </c>
      <c r="CA145" s="59">
        <f>IFERROR(__xludf.DUMMYFUNCTION("importrange(""https://docs.google.com/spreadsheets/d/1WTwJOkEL-7pdLdu4DqeFqbDaTBRyZ2Y7K1Ui-q851JQ/edit#gid=218149684"",""2026-27!ak4"")"),0.0)</f>
        <v>0</v>
      </c>
      <c r="CB145" s="59">
        <f>IFERROR(__xludf.DUMMYFUNCTION("importrange(""https://docs.google.com/spreadsheets/d/1WTwJOkEL-7pdLdu4DqeFqbDaTBRyZ2Y7K1Ui-q851JQ/edit#gid=218149684"",""2026-27!ak3"")"),0.0)</f>
        <v>0</v>
      </c>
      <c r="CC145" s="59">
        <f>IFERROR(__xludf.DUMMYFUNCTION("importrange(""https://docs.google.com/spreadsheets/d/1WTwJOkEL-7pdLdu4DqeFqbDaTBRyZ2Y7K1Ui-q851JQ/edit#gid=218149684"",""2026-27!al4"")"),0.0)</f>
        <v>0</v>
      </c>
      <c r="CD145" s="59">
        <f>IFERROR(__xludf.DUMMYFUNCTION("importrange(""https://docs.google.com/spreadsheets/d/1WTwJOkEL-7pdLdu4DqeFqbDaTBRyZ2Y7K1Ui-q851JQ/edit#gid=218149684"",""2026-27!ai3"")"),0.0)</f>
        <v>0</v>
      </c>
      <c r="CE145" s="63" t="str">
        <f t="shared" si="141"/>
        <v/>
      </c>
      <c r="CF145" s="59">
        <f>IFERROR(__xludf.DUMMYFUNCTION("importrange(""https://docs.google.com/spreadsheets/d/1WTwJOkEL-7pdLdu4DqeFqbDaTBRyZ2Y7K1Ui-q851JQ/edit#gid=218149684"",""2026-27!am4"")"),0.0)</f>
        <v>0</v>
      </c>
      <c r="CG145" s="59">
        <f>IFERROR(__xludf.DUMMYFUNCTION("importrange(""https://docs.google.com/spreadsheets/d/1WTwJOkEL-7pdLdu4DqeFqbDaTBRyZ2Y7K1Ui-q851JQ/edit#gid=218149684"",""2026-27!am3"")"),0.0)</f>
        <v>0</v>
      </c>
      <c r="CH145" s="59">
        <f>IFERROR(__xludf.DUMMYFUNCTION("importrange(""https://docs.google.com/spreadsheets/d/1WTwJOkEL-7pdLdu4DqeFqbDaTBRyZ2Y7K1Ui-q851JQ/edit#gid=218149684"",""2026-27!an4"")"),0.0)</f>
        <v>0</v>
      </c>
      <c r="CI145" s="59">
        <f>IFERROR(__xludf.DUMMYFUNCTION("importrange(""https://docs.google.com/spreadsheets/d/1WTwJOkEL-7pdLdu4DqeFqbDaTBRyZ2Y7K1Ui-q851JQ/edit#gid=218149684"",""2026-27!an3"")"),0.0)</f>
        <v>0</v>
      </c>
      <c r="CJ145" s="59">
        <f>IFERROR(__xludf.DUMMYFUNCTION("importrange(""https://docs.google.com/spreadsheets/d/1WTwJOkEL-7pdLdu4DqeFqbDaTBRyZ2Y7K1Ui-q851JQ/edit#gid=218149684"",""2026-27!ao4"")"),0.0)</f>
        <v>0</v>
      </c>
      <c r="CK145" s="59">
        <f>IFERROR(__xludf.DUMMYFUNCTION("importrange(""https://docs.google.com/spreadsheets/d/1WTwJOkEL-7pdLdu4DqeFqbDaTBRyZ2Y7K1Ui-q851JQ/edit#gid=218149684"",""2026-27!ao3"")"),0.0)</f>
        <v>0</v>
      </c>
      <c r="CL145" s="63" t="str">
        <f t="shared" si="142"/>
        <v/>
      </c>
      <c r="CM145" s="59">
        <f>IFERROR(__xludf.DUMMYFUNCTION("importrange(""https://docs.google.com/spreadsheets/d/1WTwJOkEL-7pdLdu4DqeFqbDaTBRyZ2Y7K1Ui-q851JQ/edit#gid=218149684"",""2026-27!ap4"")"),0.0)</f>
        <v>0</v>
      </c>
      <c r="CN145" s="59">
        <f>IFERROR(__xludf.DUMMYFUNCTION("importrange(""https://docs.google.com/spreadsheets/d/1WTwJOkEL-7pdLdu4DqeFqbDaTBRyZ2Y7K1Ui-q851JQ/edit#gid=218149684"",""2026-27!ap3"")"),0.0)</f>
        <v>0</v>
      </c>
      <c r="CO145" s="59">
        <f>IFERROR(__xludf.DUMMYFUNCTION("importrange(""https://docs.google.com/spreadsheets/d/1WTwJOkEL-7pdLdu4DqeFqbDaTBRyZ2Y7K1Ui-q851JQ/edit#gid=218149684"",""2026-27!aq4"")"),0.0)</f>
        <v>0</v>
      </c>
      <c r="CP145" s="59">
        <f>IFERROR(__xludf.DUMMYFUNCTION("importrange(""https://docs.google.com/spreadsheets/d/1WTwJOkEL-7pdLdu4DqeFqbDaTBRyZ2Y7K1Ui-q851JQ/edit#gid=218149684"",""2026-27!aq3"")"),0.0)</f>
        <v>0</v>
      </c>
      <c r="CQ145" s="59">
        <f>IFERROR(__xludf.DUMMYFUNCTION("importrange(""https://docs.google.com/spreadsheets/d/1WTwJOkEL-7pdLdu4DqeFqbDaTBRyZ2Y7K1Ui-q851JQ/edit#gid=218149684"",""2026-27!ar4"")"),0.0)</f>
        <v>0</v>
      </c>
      <c r="CR145" s="59">
        <f>IFERROR(__xludf.DUMMYFUNCTION("importrange(""https://docs.google.com/spreadsheets/d/1WTwJOkEL-7pdLdu4DqeFqbDaTBRyZ2Y7K1Ui-q851JQ/edit#gid=218149684"",""2026-27!ar3"")"),0.0)</f>
        <v>0</v>
      </c>
      <c r="CS145" s="63" t="str">
        <f t="shared" si="143"/>
        <v/>
      </c>
      <c r="CT145" s="59">
        <f>IFERROR(__xludf.DUMMYFUNCTION("importrange(""https://docs.google.com/spreadsheets/d/1WTwJOkEL-7pdLdu4DqeFqbDaTBRyZ2Y7K1Ui-q851JQ/edit#gid=218149684"",""2026-27!as4"")"),0.0)</f>
        <v>0</v>
      </c>
      <c r="CU145" s="59">
        <f>IFERROR(__xludf.DUMMYFUNCTION("importrange(""https://docs.google.com/spreadsheets/d/1WTwJOkEL-7pdLdu4DqeFqbDaTBRyZ2Y7K1Ui-q851JQ/edit#gid=218149684"",""2026-27!as3"")"),0.0)</f>
        <v>0</v>
      </c>
      <c r="CV145" s="64"/>
    </row>
    <row r="146">
      <c r="A146" s="1" t="s">
        <v>273</v>
      </c>
      <c r="B146" s="41"/>
      <c r="C146" s="68" t="s">
        <v>283</v>
      </c>
      <c r="D146" s="54" t="s">
        <v>284</v>
      </c>
      <c r="E146" s="54">
        <v>9.272991663E9</v>
      </c>
      <c r="F146" s="80">
        <v>45159.0</v>
      </c>
      <c r="G146" s="66"/>
      <c r="H146" s="66"/>
      <c r="I146" s="57">
        <v>25165.0</v>
      </c>
      <c r="J146" s="58">
        <v>1500000.0</v>
      </c>
      <c r="K146" s="61">
        <f>IFERROR(__xludf.DUMMYFUNCTION("IMPORTRANGE(""https://docs.google.com/spreadsheets/d/12dKOgyOY9ZTIrAmx7mV_iLSm7hXEwbS1yATBaqnCBtc/edit#gid=2055065649"",""2026-27!A3"")"),65.0)</f>
        <v>65</v>
      </c>
      <c r="L146" s="61">
        <f>IFERROR(__xludf.DUMMYFUNCTION("IMPORTRANGE(""https://docs.google.com/spreadsheets/d/12dKOgyOY9ZTIrAmx7mV_iLSm7hXEwbS1yATBaqnCBtc/edit#gid=2055065649"",""2026-27!G4"")"),1.83E7)</f>
        <v>18300000</v>
      </c>
      <c r="M146" s="61">
        <f t="shared" si="129"/>
        <v>2298281.93</v>
      </c>
      <c r="N146" s="60">
        <f t="shared" si="130"/>
        <v>0.1148574863</v>
      </c>
      <c r="O146" s="61">
        <f t="shared" si="131"/>
        <v>2101892</v>
      </c>
      <c r="P146" s="59">
        <f>IFERROR(__xludf.DUMMYFUNCTION("IMPORTRANGE(""https://docs.google.com/spreadsheets/d/12dKOgyOY9ZTIrAmx7mV_iLSm7hXEwbS1yATBaqnCBtc/edit#gid=2055065649"",""2026-27!J4"")"),1375000.0)</f>
        <v>1375000</v>
      </c>
      <c r="Q146" s="59">
        <f>IFERROR(__xludf.DUMMYFUNCTION("IMPORTRANGE(""https://docs.google.com/spreadsheets/d/12dKOgyOY9ZTIrAmx7mV_iLSm7hXEwbS1yATBaqnCBtc/edit#gid=2055065649"",""2026-27!J3"")"),64.0)</f>
        <v>64</v>
      </c>
      <c r="R146" s="59">
        <f>IFERROR(__xludf.DUMMYFUNCTION("IMPORTRANGE(""https://docs.google.com/spreadsheets/d/12dKOgyOY9ZTIrAmx7mV_iLSm7hXEwbS1yATBaqnCBtc/edit#gid=2055065649"",""2026-27!K4"")"),433315.88)</f>
        <v>433315.88</v>
      </c>
      <c r="S146" s="59">
        <f>IFERROR(__xludf.DUMMYFUNCTION("IMPORTRANGE(""https://docs.google.com/spreadsheets/d/12dKOgyOY9ZTIrAmx7mV_iLSm7hXEwbS1yATBaqnCBtc/edit#gid=2055065649"",""2026-27!K3"")"),12.0)</f>
        <v>12</v>
      </c>
      <c r="T146" s="62">
        <f t="shared" si="132"/>
        <v>0.3096349091</v>
      </c>
      <c r="U146" s="59">
        <f>IFERROR(__xludf.DUMMYFUNCTION("IMPORTRANGE(""https://docs.google.com/spreadsheets/d/12dKOgyOY9ZTIrAmx7mV_iLSm7hXEwbS1yATBaqnCBtc/edit#gid=2055065649"",""2026-27!L4"")"),425748.0)</f>
        <v>425748</v>
      </c>
      <c r="V146" s="85">
        <f>IFERROR(__xludf.DUMMYFUNCTION("IMPORTRANGE(""https://docs.google.com/spreadsheets/d/12dKOgyOY9ZTIrAmx7mV_iLSm7hXEwbS1yATBaqnCBtc/edit#gid=2055065649"",""2026-27!L3"")"),12.0)</f>
        <v>12</v>
      </c>
      <c r="W146" s="59">
        <f>IFERROR(__xludf.DUMMYFUNCTION("IMPORTRANGE(""https://docs.google.com/spreadsheets/d/12dKOgyOY9ZTIrAmx7mV_iLSm7hXEwbS1yATBaqnCBtc/edit#gid=2055065649"",""2026-27!M4"")"),1510000.0)</f>
        <v>1510000</v>
      </c>
      <c r="X146" s="85">
        <f>IFERROR(__xludf.DUMMYFUNCTION("IMPORTRANGE(""https://docs.google.com/spreadsheets/d/12dKOgyOY9ZTIrAmx7mV_iLSm7hXEwbS1yATBaqnCBtc/edit#gid=2055065649"",""2026-27!M3"")"),65.0)</f>
        <v>65</v>
      </c>
      <c r="Y146" s="59">
        <f>IFERROR(__xludf.DUMMYFUNCTION("importrange(""https://docs.google.com/spreadsheets/d/12dKOgyOY9ZTIrAmx7mV_iLSm7hXEwbS1yATBaqnCBtc/edit#gid=2055065649"",""2026-27!n4"")"),887685.6500000001)</f>
        <v>887685.65</v>
      </c>
      <c r="Z146" s="59">
        <f>IFERROR(__xludf.DUMMYFUNCTION("importrange(""https://docs.google.com/spreadsheets/d/12dKOgyOY9ZTIrAmx7mV_iLSm7hXEwbS1yATBaqnCBtc/edit#gid=2055065649"",""2026-27!n3"")"),18.0)</f>
        <v>18</v>
      </c>
      <c r="AA146" s="62">
        <f t="shared" si="133"/>
        <v>0.5566119205</v>
      </c>
      <c r="AB146" s="59">
        <f>IFERROR(__xludf.DUMMYFUNCTION("importrange(""https://docs.google.com/spreadsheets/d/12dKOgyOY9ZTIrAmx7mV_iLSm7hXEwbS1yATBaqnCBtc/edit#gid=2055065649"",""2026-27!o4"")"),840484.0)</f>
        <v>840484</v>
      </c>
      <c r="AC146" s="59">
        <f>IFERROR(__xludf.DUMMYFUNCTION("importrange(""https://docs.google.com/spreadsheets/d/12dKOgyOY9ZTIrAmx7mV_iLSm7hXEwbS1yATBaqnCBtc/edit#gid=2055065649"",""2026-27!o3"")"),16.0)</f>
        <v>16</v>
      </c>
      <c r="AD146" s="59">
        <f>IFERROR(__xludf.DUMMYFUNCTION("importrange(""https://docs.google.com/spreadsheets/d/12dKOgyOY9ZTIrAmx7mV_iLSm7hXEwbS1yATBaqnCBtc/edit#gid=2055065649"",""2026-27!p4"")"),1505000.0)</f>
        <v>1505000</v>
      </c>
      <c r="AE146" s="59">
        <f>IFERROR(__xludf.DUMMYFUNCTION("importrange(""https://docs.google.com/spreadsheets/d/12dKOgyOY9ZTIrAmx7mV_iLSm7hXEwbS1yATBaqnCBtc/edit#gid=2055065649"",""2026-27!p3"")"),64.0)</f>
        <v>64</v>
      </c>
      <c r="AF146" s="59">
        <f>IFERROR(__xludf.DUMMYFUNCTION("importrange(""https://docs.google.com/spreadsheets/d/12dKOgyOY9ZTIrAmx7mV_iLSm7hXEwbS1yATBaqnCBtc/edit#gid=2055065649"",""2026-27!q4"")"),977280.4)</f>
        <v>977280.4</v>
      </c>
      <c r="AG146" s="59">
        <f>IFERROR(__xludf.DUMMYFUNCTION("importrange(""https://docs.google.com/spreadsheets/d/12dKOgyOY9ZTIrAmx7mV_iLSm7hXEwbS1yATBaqnCBtc/edit#gid=2055065649"",""2026-27!q3"")"),20.0)</f>
        <v>20</v>
      </c>
      <c r="AH146" s="62">
        <f t="shared" si="134"/>
        <v>0.555255814</v>
      </c>
      <c r="AI146" s="59">
        <f>IFERROR(__xludf.DUMMYFUNCTION("importrange(""https://docs.google.com/spreadsheets/d/12dKOgyOY9ZTIrAmx7mV_iLSm7hXEwbS1yATBaqnCBtc/edit#gid=2055065649"",""2026-27!r4"")"),835660.0)</f>
        <v>835660</v>
      </c>
      <c r="AJ146" s="59">
        <f>IFERROR(__xludf.DUMMYFUNCTION("importrange(""https://docs.google.com/spreadsheets/d/12dKOgyOY9ZTIrAmx7mV_iLSm7hXEwbS1yATBaqnCBtc/edit#gid=2055065649"",""2026-27!r3"")"),16.0)</f>
        <v>16</v>
      </c>
      <c r="AK146" s="59">
        <f>IFERROR(__xludf.DUMMYFUNCTION("importrange(""https://docs.google.com/spreadsheets/d/12dKOgyOY9ZTIrAmx7mV_iLSm7hXEwbS1yATBaqnCBtc/edit#gid=2055065649"",""2026-27!s4"")"),1530000.0)</f>
        <v>1530000</v>
      </c>
      <c r="AL146" s="59">
        <f>IFERROR(__xludf.DUMMYFUNCTION("importrange(""https://docs.google.com/spreadsheets/d/12dKOgyOY9ZTIrAmx7mV_iLSm7hXEwbS1yATBaqnCBtc/edit#gid=2055065649"",""2026-27!s3"")"),65.0)</f>
        <v>65</v>
      </c>
      <c r="AM146" s="61">
        <f>IFERROR(__xludf.DUMMYFUNCTION("importrange(""https://docs.google.com/spreadsheets/d/12dKOgyOY9ZTIrAmx7mV_iLSm7hXEwbS1yATBaqnCBtc/edit#gid=2055065649"",""2026-27!t4"")"),0.0)</f>
        <v>0</v>
      </c>
      <c r="AN146" s="59">
        <f>IFERROR(__xludf.DUMMYFUNCTION("importrange(""https://docs.google.com/spreadsheets/d/12dKOgyOY9ZTIrAmx7mV_iLSm7hXEwbS1yATBaqnCBtc/edit#gid=2055065649"",""2026-27!t3"")"),0.0)</f>
        <v>0</v>
      </c>
      <c r="AO146" s="62">
        <f t="shared" si="135"/>
        <v>0</v>
      </c>
      <c r="AP146" s="59">
        <f>IFERROR(__xludf.DUMMYFUNCTION("importrange(""https://docs.google.com/spreadsheets/d/12dKOgyOY9ZTIrAmx7mV_iLSm7hXEwbS1yATBaqnCBtc/edit#gid=2055065649"",""2026-27!u4"")"),0.0)</f>
        <v>0</v>
      </c>
      <c r="AQ146" s="59">
        <f>IFERROR(__xludf.DUMMYFUNCTION("importrange(""https://docs.google.com/spreadsheets/d/12dKOgyOY9ZTIrAmx7mV_iLSm7hXEwbS1yATBaqnCBtc/edit#gid=2055065649"",""2026-27!u3"")"),0.0)</f>
        <v>0</v>
      </c>
      <c r="AR146" s="59">
        <f>IFERROR(__xludf.DUMMYFUNCTION("importrange(""https://docs.google.com/spreadsheets/d/12dKOgyOY9ZTIrAmx7mV_iLSm7hXEwbS1yATBaqnCBtc/edit#gid=2055065649"",""2026-27!v4"")"),0.0)</f>
        <v>0</v>
      </c>
      <c r="AS146" s="59">
        <f>IFERROR(__xludf.DUMMYFUNCTION("importrange(""https://docs.google.com/spreadsheets/d/12dKOgyOY9ZTIrAmx7mV_iLSm7hXEwbS1yATBaqnCBtc/edit#gid=2055065649"",""2026-27!v3"")"),0.0)</f>
        <v>0</v>
      </c>
      <c r="AT146" s="61">
        <f>IFERROR(__xludf.DUMMYFUNCTION("importrange(""https://docs.google.com/spreadsheets/d/12dKOgyOY9ZTIrAmx7mV_iLSm7hXEwbS1yATBaqnCBtc/edit#gid=2055065649"",""2026-27!w4"")"),0.0)</f>
        <v>0</v>
      </c>
      <c r="AU146" s="59">
        <f>IFERROR(__xludf.DUMMYFUNCTION("importrange(""https://docs.google.com/spreadsheets/d/12dKOgyOY9ZTIrAmx7mV_iLSm7hXEwbS1yATBaqnCBtc/edit#gid=2055065649"",""2026-27!w3"")"),0.0)</f>
        <v>0</v>
      </c>
      <c r="AV146" s="62" t="str">
        <f t="shared" si="136"/>
        <v/>
      </c>
      <c r="AW146" s="59">
        <f>IFERROR(__xludf.DUMMYFUNCTION("importrange(""https://docs.google.com/spreadsheets/d/12dKOgyOY9ZTIrAmx7mV_iLSm7hXEwbS1yATBaqnCBtc/edit#gid=2055065649"",""2026-27!x4"")"),0.0)</f>
        <v>0</v>
      </c>
      <c r="AX146" s="59">
        <f>IFERROR(__xludf.DUMMYFUNCTION("importrange(""https://docs.google.com/spreadsheets/d/12dKOgyOY9ZTIrAmx7mV_iLSm7hXEwbS1yATBaqnCBtc/edit#gid=2055065649"",""2026-27!x3"")"),0.0)</f>
        <v>0</v>
      </c>
      <c r="AY146" s="59">
        <f>IFERROR(__xludf.DUMMYFUNCTION("importrange(""https://docs.google.com/spreadsheets/d/12dKOgyOY9ZTIrAmx7mV_iLSm7hXEwbS1yATBaqnCBtc/edit#gid=2055065649"",""2026-27!y4"")"),0.0)</f>
        <v>0</v>
      </c>
      <c r="AZ146" s="59">
        <f>IFERROR(__xludf.DUMMYFUNCTION("importrange(""https://docs.google.com/spreadsheets/d/12dKOgyOY9ZTIrAmx7mV_iLSm7hXEwbS1yATBaqnCBtc/edit#gid=2055065649"",""2026-27!y3"")"),0.0)</f>
        <v>0</v>
      </c>
      <c r="BA146" s="61">
        <f>IFERROR(__xludf.DUMMYFUNCTION("importrange(""https://docs.google.com/spreadsheets/d/12dKOgyOY9ZTIrAmx7mV_iLSm7hXEwbS1yATBaqnCBtc/edit#gid=2055065649"",""2026-27!z4"")"),0.0)</f>
        <v>0</v>
      </c>
      <c r="BB146" s="59">
        <f>IFERROR(__xludf.DUMMYFUNCTION("importrange(""https://docs.google.com/spreadsheets/d/12dKOgyOY9ZTIrAmx7mV_iLSm7hXEwbS1yATBaqnCBtc/edit#gid=2055065649"",""2026-27!z3"")"),0.0)</f>
        <v>0</v>
      </c>
      <c r="BC146" s="63" t="str">
        <f t="shared" si="137"/>
        <v/>
      </c>
      <c r="BD146" s="59">
        <f>IFERROR(__xludf.DUMMYFUNCTION("importrange(""https://docs.google.com/spreadsheets/d/12dKOgyOY9ZTIrAmx7mV_iLSm7hXEwbS1yATBaqnCBtc/edit#gid=2055065649"",""2026-27!aa4"")"),0.0)</f>
        <v>0</v>
      </c>
      <c r="BE146" s="59">
        <f>IFERROR(__xludf.DUMMYFUNCTION("importrange(""https://docs.google.com/spreadsheets/d/12dKOgyOY9ZTIrAmx7mV_iLSm7hXEwbS1yATBaqnCBtc/edit#gid=2055065649"",""2026-27!aa3"")"),0.0)</f>
        <v>0</v>
      </c>
      <c r="BF146" s="59">
        <f>IFERROR(__xludf.DUMMYFUNCTION("importrange(""https://docs.google.com/spreadsheets/d/12dKOgyOY9ZTIrAmx7mV_iLSm7hXEwbS1yATBaqnCBtc/edit#gid=2055065649"",""2026-27!ab4"")"),0.0)</f>
        <v>0</v>
      </c>
      <c r="BG146" s="59">
        <f>IFERROR(__xludf.DUMMYFUNCTION("importrange(""https://docs.google.com/spreadsheets/d/12dKOgyOY9ZTIrAmx7mV_iLSm7hXEwbS1yATBaqnCBtc/edit#gid=2055065649"",""2026-27!ab3"")"),0.0)</f>
        <v>0</v>
      </c>
      <c r="BH146" s="59">
        <f>IFERROR(__xludf.DUMMYFUNCTION("importrange(""https://docs.google.com/spreadsheets/d/12dKOgyOY9ZTIrAmx7mV_iLSm7hXEwbS1yATBaqnCBtc/edit#gid=2055065649"",""2026-27!ac4"")"),0.0)</f>
        <v>0</v>
      </c>
      <c r="BI146" s="59">
        <f>IFERROR(__xludf.DUMMYFUNCTION("importrange(""https://docs.google.com/spreadsheets/d/12dKOgyOY9ZTIrAmx7mV_iLSm7hXEwbS1yATBaqnCBtc/edit#gid=2055065649"",""2026-27!ac3"")"),0.0)</f>
        <v>0</v>
      </c>
      <c r="BJ146" s="63" t="str">
        <f t="shared" si="138"/>
        <v/>
      </c>
      <c r="BK146" s="59">
        <f>IFERROR(__xludf.DUMMYFUNCTION("importrange(""https://docs.google.com/spreadsheets/d/12dKOgyOY9ZTIrAmx7mV_iLSm7hXEwbS1yATBaqnCBtc/edit#gid=2055065649"",""2026-27!ad4"")"),0.0)</f>
        <v>0</v>
      </c>
      <c r="BL146" s="59">
        <f>IFERROR(__xludf.DUMMYFUNCTION("importrange(""https://docs.google.com/spreadsheets/d/12dKOgyOY9ZTIrAmx7mV_iLSm7hXEwbS1yATBaqnCBtc/edit#gid=2055065649"",""2026-27!ad3"")"),0.0)</f>
        <v>0</v>
      </c>
      <c r="BM146" s="59">
        <f>IFERROR(__xludf.DUMMYFUNCTION("importrange(""https://docs.google.com/spreadsheets/d/12dKOgyOY9ZTIrAmx7mV_iLSm7hXEwbS1yATBaqnCBtc/edit#gid=2055065649"",""2026-27!ae4"")"),0.0)</f>
        <v>0</v>
      </c>
      <c r="BN146" s="59">
        <f>IFERROR(__xludf.DUMMYFUNCTION("importrange(""https://docs.google.com/spreadsheets/d/12dKOgyOY9ZTIrAmx7mV_iLSm7hXEwbS1yATBaqnCBtc/edit#gid=2055065649"",""2026-27!ae3"")"),0.0)</f>
        <v>0</v>
      </c>
      <c r="BO146" s="59">
        <f>IFERROR(__xludf.DUMMYFUNCTION("importrange(""https://docs.google.com/spreadsheets/d/12dKOgyOY9ZTIrAmx7mV_iLSm7hXEwbS1yATBaqnCBtc/edit#gid=2055065649"",""2026-27!af4"")"),0.0)</f>
        <v>0</v>
      </c>
      <c r="BP146" s="59">
        <f>IFERROR(__xludf.DUMMYFUNCTION("importrange(""https://docs.google.com/spreadsheets/d/12dKOgyOY9ZTIrAmx7mV_iLSm7hXEwbS1yATBaqnCBtc/edit#gid=2055065649"",""2026-27!af3"")"),0.0)</f>
        <v>0</v>
      </c>
      <c r="BQ146" s="63" t="str">
        <f t="shared" si="139"/>
        <v/>
      </c>
      <c r="BR146" s="59">
        <f>IFERROR(__xludf.DUMMYFUNCTION("importrange(""https://docs.google.com/spreadsheets/d/12dKOgyOY9ZTIrAmx7mV_iLSm7hXEwbS1yATBaqnCBtc/edit#gid=2055065649"",""2026-27!ag4"")"),0.0)</f>
        <v>0</v>
      </c>
      <c r="BS146" s="59">
        <f>IFERROR(__xludf.DUMMYFUNCTION("importrange(""https://docs.google.com/spreadsheets/d/12dKOgyOY9ZTIrAmx7mV_iLSm7hXEwbS1yATBaqnCBtc/edit#gid=2055065649"",""2026-27!ag3"")"),0.0)</f>
        <v>0</v>
      </c>
      <c r="BT146" s="59">
        <f>IFERROR(__xludf.DUMMYFUNCTION("importrange(""https://docs.google.com/spreadsheets/d/12dKOgyOY9ZTIrAmx7mV_iLSm7hXEwbS1yATBaqnCBtc/edit#gid=2055065649"",""2026-27!ah4"")"),0.0)</f>
        <v>0</v>
      </c>
      <c r="BU146" s="59">
        <f>IFERROR(__xludf.DUMMYFUNCTION("importrange(""https://docs.google.com/spreadsheets/d/12dKOgyOY9ZTIrAmx7mV_iLSm7hXEwbS1yATBaqnCBtc/edit#gid=2055065649"",""2026-27!ah3"")"),0.0)</f>
        <v>0</v>
      </c>
      <c r="BV146" s="59">
        <f>IFERROR(__xludf.DUMMYFUNCTION("importrange(""https://docs.google.com/spreadsheets/d/12dKOgyOY9ZTIrAmx7mV_iLSm7hXEwbS1yATBaqnCBtc/edit#gid=2055065649"",""2026-27!ai4"")"),0.0)</f>
        <v>0</v>
      </c>
      <c r="BW146" s="59">
        <f>IFERROR(__xludf.DUMMYFUNCTION("importrange(""https://docs.google.com/spreadsheets/d/12dKOgyOY9ZTIrAmx7mV_iLSm7hXEwbS1yATBaqnCBtc/edit#gid=2055065649"",""2026-27!ai3"")"),0.0)</f>
        <v>0</v>
      </c>
      <c r="BX146" s="63" t="str">
        <f t="shared" si="140"/>
        <v/>
      </c>
      <c r="BY146" s="59">
        <f>IFERROR(__xludf.DUMMYFUNCTION("importrange(""https://docs.google.com/spreadsheets/d/12dKOgyOY9ZTIrAmx7mV_iLSm7hXEwbS1yATBaqnCBtc/edit#gid=2055065649"",""2026-27!aj4"")"),0.0)</f>
        <v>0</v>
      </c>
      <c r="BZ146" s="59">
        <f>IFERROR(__xludf.DUMMYFUNCTION("importrange(""https://docs.google.com/spreadsheets/d/12dKOgyOY9ZTIrAmx7mV_iLSm7hXEwbS1yATBaqnCBtc/edit#gid=2055065649"",""2026-27!aj3"")"),0.0)</f>
        <v>0</v>
      </c>
      <c r="CA146" s="59">
        <f>IFERROR(__xludf.DUMMYFUNCTION("importrange(""https://docs.google.com/spreadsheets/d/12dKOgyOY9ZTIrAmx7mV_iLSm7hXEwbS1yATBaqnCBtc/edit#gid=2055065649"",""2026-27!ak4"")"),0.0)</f>
        <v>0</v>
      </c>
      <c r="CB146" s="59">
        <f>IFERROR(__xludf.DUMMYFUNCTION("importrange(""https://docs.google.com/spreadsheets/d/12dKOgyOY9ZTIrAmx7mV_iLSm7hXEwbS1yATBaqnCBtc/edit#gid=2055065649"",""2026-27!ak3"")"),0.0)</f>
        <v>0</v>
      </c>
      <c r="CC146" s="59">
        <f>IFERROR(__xludf.DUMMYFUNCTION("importrange(""https://docs.google.com/spreadsheets/d/12dKOgyOY9ZTIrAmx7mV_iLSm7hXEwbS1yATBaqnCBtc/edit#gid=2055065649"",""2026-27!al4"")"),0.0)</f>
        <v>0</v>
      </c>
      <c r="CD146" s="59">
        <f>IFERROR(__xludf.DUMMYFUNCTION("importrange(""https://docs.google.com/spreadsheets/d/12dKOgyOY9ZTIrAmx7mV_iLSm7hXEwbS1yATBaqnCBtc/edit#gid=2055065649"",""2026-27!ai3"")"),0.0)</f>
        <v>0</v>
      </c>
      <c r="CE146" s="63" t="str">
        <f t="shared" si="141"/>
        <v/>
      </c>
      <c r="CF146" s="59">
        <f>IFERROR(__xludf.DUMMYFUNCTION("importrange(""https://docs.google.com/spreadsheets/d/12dKOgyOY9ZTIrAmx7mV_iLSm7hXEwbS1yATBaqnCBtc/edit#gid=2055065649"",""2026-27!am4"")"),0.0)</f>
        <v>0</v>
      </c>
      <c r="CG146" s="59">
        <f>IFERROR(__xludf.DUMMYFUNCTION("importrange(""https://docs.google.com/spreadsheets/d/12dKOgyOY9ZTIrAmx7mV_iLSm7hXEwbS1yATBaqnCBtc/edit#gid=2055065649"",""2026-27!am3"")"),0.0)</f>
        <v>0</v>
      </c>
      <c r="CH146" s="59">
        <f>IFERROR(__xludf.DUMMYFUNCTION("importrange(""https://docs.google.com/spreadsheets/d/12dKOgyOY9ZTIrAmx7mV_iLSm7hXEwbS1yATBaqnCBtc/edit#gid=2055065649"",""2026-27!an4"")"),0.0)</f>
        <v>0</v>
      </c>
      <c r="CI146" s="59">
        <f>IFERROR(__xludf.DUMMYFUNCTION("importrange(""https://docs.google.com/spreadsheets/d/12dKOgyOY9ZTIrAmx7mV_iLSm7hXEwbS1yATBaqnCBtc/edit#gid=2055065649"",""2026-27!an3"")"),0.0)</f>
        <v>0</v>
      </c>
      <c r="CJ146" s="59">
        <f>IFERROR(__xludf.DUMMYFUNCTION("importrange(""https://docs.google.com/spreadsheets/d/12dKOgyOY9ZTIrAmx7mV_iLSm7hXEwbS1yATBaqnCBtc/edit#gid=2055065649"",""2026-27!ao4"")"),0.0)</f>
        <v>0</v>
      </c>
      <c r="CK146" s="59">
        <f>IFERROR(__xludf.DUMMYFUNCTION("importrange(""https://docs.google.com/spreadsheets/d/12dKOgyOY9ZTIrAmx7mV_iLSm7hXEwbS1yATBaqnCBtc/edit#gid=2055065649"",""2026-27!ao3"")"),0.0)</f>
        <v>0</v>
      </c>
      <c r="CL146" s="63" t="str">
        <f t="shared" si="142"/>
        <v/>
      </c>
      <c r="CM146" s="59">
        <f>IFERROR(__xludf.DUMMYFUNCTION("importrange(""https://docs.google.com/spreadsheets/d/12dKOgyOY9ZTIrAmx7mV_iLSm7hXEwbS1yATBaqnCBtc/edit#gid=2055065649"",""2026-27!ap4"")"),0.0)</f>
        <v>0</v>
      </c>
      <c r="CN146" s="59">
        <f>IFERROR(__xludf.DUMMYFUNCTION("importrange(""https://docs.google.com/spreadsheets/d/12dKOgyOY9ZTIrAmx7mV_iLSm7hXEwbS1yATBaqnCBtc/edit#gid=2055065649"",""2026-27!ap3"")"),0.0)</f>
        <v>0</v>
      </c>
      <c r="CO146" s="59">
        <f>IFERROR(__xludf.DUMMYFUNCTION("importrange(""https://docs.google.com/spreadsheets/d/12dKOgyOY9ZTIrAmx7mV_iLSm7hXEwbS1yATBaqnCBtc/edit#gid=2055065649"",""2026-27!aq4"")"),0.0)</f>
        <v>0</v>
      </c>
      <c r="CP146" s="59">
        <f>IFERROR(__xludf.DUMMYFUNCTION("importrange(""https://docs.google.com/spreadsheets/d/12dKOgyOY9ZTIrAmx7mV_iLSm7hXEwbS1yATBaqnCBtc/edit#gid=2055065649"",""2026-27!aq3"")"),0.0)</f>
        <v>0</v>
      </c>
      <c r="CQ146" s="59">
        <f>IFERROR(__xludf.DUMMYFUNCTION("importrange(""https://docs.google.com/spreadsheets/d/12dKOgyOY9ZTIrAmx7mV_iLSm7hXEwbS1yATBaqnCBtc/edit#gid=2055065649"",""2026-27!ar4"")"),0.0)</f>
        <v>0</v>
      </c>
      <c r="CR146" s="59">
        <f>IFERROR(__xludf.DUMMYFUNCTION("importrange(""https://docs.google.com/spreadsheets/d/12dKOgyOY9ZTIrAmx7mV_iLSm7hXEwbS1yATBaqnCBtc/edit#gid=2055065649"",""2026-27!ar3"")"),0.0)</f>
        <v>0</v>
      </c>
      <c r="CS146" s="63" t="str">
        <f t="shared" si="143"/>
        <v/>
      </c>
      <c r="CT146" s="59">
        <f>IFERROR(__xludf.DUMMYFUNCTION("importrange(""https://docs.google.com/spreadsheets/d/12dKOgyOY9ZTIrAmx7mV_iLSm7hXEwbS1yATBaqnCBtc/edit#gid=2055065649"",""2026-27!as4"")"),0.0)</f>
        <v>0</v>
      </c>
      <c r="CU146" s="59">
        <f>IFERROR(__xludf.DUMMYFUNCTION("importrange(""https://docs.google.com/spreadsheets/d/12dKOgyOY9ZTIrAmx7mV_iLSm7hXEwbS1yATBaqnCBtc/edit#gid=2055065649"",""2026-27!as3"")"),0.0)</f>
        <v>0</v>
      </c>
      <c r="CV146" s="64"/>
    </row>
    <row r="147">
      <c r="A147" s="1" t="s">
        <v>273</v>
      </c>
      <c r="B147" s="41"/>
      <c r="C147" s="127" t="s">
        <v>285</v>
      </c>
      <c r="D147" s="128" t="s">
        <v>277</v>
      </c>
      <c r="E147" s="54">
        <v>9.595762727E9</v>
      </c>
      <c r="F147" s="70">
        <v>45446.0</v>
      </c>
      <c r="G147" s="66"/>
      <c r="H147" s="66"/>
      <c r="I147" s="57">
        <v>39840.0</v>
      </c>
      <c r="J147" s="58">
        <v>1400000.0</v>
      </c>
      <c r="K147" s="61">
        <f>IFERROR(__xludf.DUMMYFUNCTION("IMPORTRANGE(""https://docs.google.com/spreadsheets/d/13D9UbXPP75b58DcBlWgLxY0DVWj6aVq2oz2QDzKUZKg/edit?gid=1219811845#gid=1219811845"",""2026-27!A3"")"),60.0)</f>
        <v>60</v>
      </c>
      <c r="L147" s="61">
        <f>IFERROR(__xludf.DUMMYFUNCTION("IMPORTRANGE(""https://docs.google.com/spreadsheets/d/13D9UbXPP75b58DcBlWgLxY0DVWj6aVq2oz2QDzKUZKg/edit?gid=1219811845#gid=1219811845"",""2026-27!G4"")"),1.68E7)</f>
        <v>16800000</v>
      </c>
      <c r="M147" s="61">
        <f t="shared" si="129"/>
        <v>2267165.17</v>
      </c>
      <c r="N147" s="60">
        <f t="shared" si="130"/>
        <v>0.1349502381</v>
      </c>
      <c r="O147" s="61">
        <f t="shared" si="131"/>
        <v>2267164</v>
      </c>
      <c r="P147" s="59">
        <f>IFERROR(__xludf.DUMMYFUNCTION("IMPORTRANGE(""https://docs.google.com/spreadsheets/d/13D9UbXPP75b58DcBlWgLxY0DVWj6aVq2oz2QDzKUZKg/edit?gid=1219811845#gid=1219811845"",""2026-27!J4"")"),1399968.0)</f>
        <v>1399968</v>
      </c>
      <c r="Q147" s="59">
        <f>IFERROR(__xludf.DUMMYFUNCTION("IMPORTRANGE(""https://docs.google.com/spreadsheets/d/13D9UbXPP75b58DcBlWgLxY0DVWj6aVq2oz2QDzKUZKg/edit?gid=1219811845#gid=1219811845"",""2026-27!J3"")"),42.0)</f>
        <v>42</v>
      </c>
      <c r="R147" s="59">
        <f>IFERROR(__xludf.DUMMYFUNCTION("IMPORTRANGE(""https://docs.google.com/spreadsheets/d/13D9UbXPP75b58DcBlWgLxY0DVWj6aVq2oz2QDzKUZKg/edit?gid=1219811845#gid=1219811845"",""2026-27!K4"")"),10912.0)</f>
        <v>10912</v>
      </c>
      <c r="S147" s="59">
        <f>IFERROR(__xludf.DUMMYFUNCTION("IMPORTRANGE(""https://docs.google.com/spreadsheets/d/13D9UbXPP75b58DcBlWgLxY0DVWj6aVq2oz2QDzKUZKg/edit?gid=1219811845#gid=1219811845"",""2026-27!K3"")"),2.0)</f>
        <v>2</v>
      </c>
      <c r="T147" s="62">
        <f t="shared" si="132"/>
        <v>0.007794463873</v>
      </c>
      <c r="U147" s="59">
        <f>IFERROR(__xludf.DUMMYFUNCTION("IMPORTRANGE(""https://docs.google.com/spreadsheets/d/13D9UbXPP75b58DcBlWgLxY0DVWj6aVq2oz2QDzKUZKg/edit?gid=1219811845#gid=1219811845"",""2026-27!L4"")"),10912.0)</f>
        <v>10912</v>
      </c>
      <c r="V147" s="85">
        <f>IFERROR(__xludf.DUMMYFUNCTION("IMPORTRANGE(""https://docs.google.com/spreadsheets/d/13D9UbXPP75b58DcBlWgLxY0DVWj6aVq2oz2QDzKUZKg/edit?gid=1219811845#gid=1219811845"",""2026-27!L3"")"),2.0)</f>
        <v>2</v>
      </c>
      <c r="W147" s="59">
        <f>IFERROR(__xludf.DUMMYFUNCTION("IMPORTRANGE(""https://docs.google.com/spreadsheets/d/13D9UbXPP75b58DcBlWgLxY0DVWj6aVq2oz2QDzKUZKg/edit?gid=1219811845#gid=1219811845"",""2026-27!M4"")"),1399968.0)</f>
        <v>1399968</v>
      </c>
      <c r="X147" s="85">
        <f>IFERROR(__xludf.DUMMYFUNCTION("IMPORTRANGE(""https://docs.google.com/spreadsheets/d/13D9UbXPP75b58DcBlWgLxY0DVWj6aVq2oz2QDzKUZKg/edit?gid=1219811845#gid=1219811845"",""2026-27!M3"")"),42.0)</f>
        <v>42</v>
      </c>
      <c r="Y147" s="59">
        <f>IFERROR(__xludf.DUMMYFUNCTION("importrange(""https://docs.google.com/spreadsheets/d/13D9UbXPP75b58DcBlWgLxY0DVWj6aVq2oz2QDzKUZKg/edit?gid=1219811845#gid=1219811845"",""2026-27!n4"")"),1151054.76)</f>
        <v>1151054.76</v>
      </c>
      <c r="Z147" s="59">
        <f>IFERROR(__xludf.DUMMYFUNCTION("importrange(""https://docs.google.com/spreadsheets/d/13D9UbXPP75b58DcBlWgLxY0DVWj6aVq2oz2QDzKUZKg/edit?gid=1219811845#gid=1219811845"",""2026-27!n3"")"),14.0)</f>
        <v>14</v>
      </c>
      <c r="AA147" s="62">
        <f t="shared" si="133"/>
        <v>0.8221995074</v>
      </c>
      <c r="AB147" s="59">
        <f>IFERROR(__xludf.DUMMYFUNCTION("importrange(""https://docs.google.com/spreadsheets/d/13D9UbXPP75b58DcBlWgLxY0DVWj6aVq2oz2QDzKUZKg/edit?gid=1219811845#gid=1219811845"",""2026-27!o4"")"),1151053.0)</f>
        <v>1151053</v>
      </c>
      <c r="AC147" s="59">
        <f>IFERROR(__xludf.DUMMYFUNCTION("importrange(""https://docs.google.com/spreadsheets/d/13D9UbXPP75b58DcBlWgLxY0DVWj6aVq2oz2QDzKUZKg/edit?gid=1219811845#gid=1219811845"",""2026-27!o3"")"),14.0)</f>
        <v>14</v>
      </c>
      <c r="AD147" s="59">
        <f>IFERROR(__xludf.DUMMYFUNCTION("importrange(""https://docs.google.com/spreadsheets/d/13D9UbXPP75b58DcBlWgLxY0DVWj6aVq2oz2QDzKUZKg/edit?gid=1219811845#gid=1219811845"",""2026-27!p4"")"),1399968.0)</f>
        <v>1399968</v>
      </c>
      <c r="AE147" s="59">
        <f>IFERROR(__xludf.DUMMYFUNCTION("importrange(""https://docs.google.com/spreadsheets/d/13D9UbXPP75b58DcBlWgLxY0DVWj6aVq2oz2QDzKUZKg/edit?gid=1219811845#gid=1219811845"",""2026-27!p3"")"),42.0)</f>
        <v>42</v>
      </c>
      <c r="AF147" s="59">
        <f>IFERROR(__xludf.DUMMYFUNCTION("importrange(""https://docs.google.com/spreadsheets/d/13D9UbXPP75b58DcBlWgLxY0DVWj6aVq2oz2QDzKUZKg/edit?gid=1219811845#gid=1219811845"",""2026-27!q4"")"),1105198.41)</f>
        <v>1105198.41</v>
      </c>
      <c r="AG147" s="59">
        <f>IFERROR(__xludf.DUMMYFUNCTION("importrange(""https://docs.google.com/spreadsheets/d/13D9UbXPP75b58DcBlWgLxY0DVWj6aVq2oz2QDzKUZKg/edit?gid=1219811845#gid=1219811845"",""2026-27!q3"")"),8.0)</f>
        <v>8</v>
      </c>
      <c r="AH147" s="62">
        <f t="shared" si="134"/>
        <v>0.7894459016</v>
      </c>
      <c r="AI147" s="59">
        <f>IFERROR(__xludf.DUMMYFUNCTION("importrange(""https://docs.google.com/spreadsheets/d/13D9UbXPP75b58DcBlWgLxY0DVWj6aVq2oz2QDzKUZKg/edit?gid=1219811845#gid=1219811845"",""2026-27!r4"")"),1105199.0)</f>
        <v>1105199</v>
      </c>
      <c r="AJ147" s="59">
        <f>IFERROR(__xludf.DUMMYFUNCTION("importrange(""https://docs.google.com/spreadsheets/d/13D9UbXPP75b58DcBlWgLxY0DVWj6aVq2oz2QDzKUZKg/edit?gid=1219811845#gid=1219811845"",""2026-27!r3"")"),8.0)</f>
        <v>8</v>
      </c>
      <c r="AK147" s="59">
        <f>IFERROR(__xludf.DUMMYFUNCTION("importrange(""https://docs.google.com/spreadsheets/d/13D9UbXPP75b58DcBlWgLxY0DVWj6aVq2oz2QDzKUZKg/edit?gid=1219811845#gid=1219811845"",""2026-27!s4"")"),1399968.0)</f>
        <v>1399968</v>
      </c>
      <c r="AL147" s="59">
        <f>IFERROR(__xludf.DUMMYFUNCTION("importrange(""https://docs.google.com/spreadsheets/d/13D9UbXPP75b58DcBlWgLxY0DVWj6aVq2oz2QDzKUZKg/edit?gid=1219811845#gid=1219811845"",""2026-27!s3"")"),42.0)</f>
        <v>42</v>
      </c>
      <c r="AM147" s="61">
        <f>IFERROR(__xludf.DUMMYFUNCTION("importrange(""https://docs.google.com/spreadsheets/d/13D9UbXPP75b58DcBlWgLxY0DVWj6aVq2oz2QDzKUZKg/edit?gid=1219811845#gid=1219811845"",""2026-27!t4"")"),0.0)</f>
        <v>0</v>
      </c>
      <c r="AN147" s="59">
        <f>IFERROR(__xludf.DUMMYFUNCTION("importrange(""https://docs.google.com/spreadsheets/d/13D9UbXPP75b58DcBlWgLxY0DVWj6aVq2oz2QDzKUZKg/edit?gid=1219811845#gid=1219811845"",""2026-27!t3"")"),0.0)</f>
        <v>0</v>
      </c>
      <c r="AO147" s="62">
        <f t="shared" si="135"/>
        <v>0</v>
      </c>
      <c r="AP147" s="59">
        <f>IFERROR(__xludf.DUMMYFUNCTION("importrange(""https://docs.google.com/spreadsheets/d/13D9UbXPP75b58DcBlWgLxY0DVWj6aVq2oz2QDzKUZKg/edit?gid=1219811845#gid=1219811845"",""2026-27!u4"")"),0.0)</f>
        <v>0</v>
      </c>
      <c r="AQ147" s="59">
        <f>IFERROR(__xludf.DUMMYFUNCTION("importrange(""https://docs.google.com/spreadsheets/d/13D9UbXPP75b58DcBlWgLxY0DVWj6aVq2oz2QDzKUZKg/edit?gid=1219811845#gid=1219811845"",""2026-27!u3"")"),0.0)</f>
        <v>0</v>
      </c>
      <c r="AR147" s="59">
        <f>IFERROR(__xludf.DUMMYFUNCTION("importrange(""https://docs.google.com/spreadsheets/d/13D9UbXPP75b58DcBlWgLxY0DVWj6aVq2oz2QDzKUZKg/edit?gid=1219811845#gid=1219811845"",""2026-27!v4"")"),1399968.0)</f>
        <v>1399968</v>
      </c>
      <c r="AS147" s="59">
        <f>IFERROR(__xludf.DUMMYFUNCTION("importrange(""https://docs.google.com/spreadsheets/d/13D9UbXPP75b58DcBlWgLxY0DVWj6aVq2oz2QDzKUZKg/edit?gid=1219811845#gid=1219811845"",""2026-27!v3"")"),42.0)</f>
        <v>42</v>
      </c>
      <c r="AT147" s="61">
        <f>IFERROR(__xludf.DUMMYFUNCTION("importrange(""https://docs.google.com/spreadsheets/d/13D9UbXPP75b58DcBlWgLxY0DVWj6aVq2oz2QDzKUZKg/edit?gid=1219811845#gid=1219811845"",""2026-27!w4"")"),0.0)</f>
        <v>0</v>
      </c>
      <c r="AU147" s="59">
        <f>IFERROR(__xludf.DUMMYFUNCTION("importrange(""https://docs.google.com/spreadsheets/d/13D9UbXPP75b58DcBlWgLxY0DVWj6aVq2oz2QDzKUZKg/edit?gid=1219811845#gid=1219811845"",""2026-27!w3"")"),0.0)</f>
        <v>0</v>
      </c>
      <c r="AV147" s="62">
        <f t="shared" si="136"/>
        <v>0</v>
      </c>
      <c r="AW147" s="59">
        <f>IFERROR(__xludf.DUMMYFUNCTION("importrange(""https://docs.google.com/spreadsheets/d/13D9UbXPP75b58DcBlWgLxY0DVWj6aVq2oz2QDzKUZKg/edit?gid=1219811845#gid=1219811845"",""2026-27!x4"")"),0.0)</f>
        <v>0</v>
      </c>
      <c r="AX147" s="59">
        <f>IFERROR(__xludf.DUMMYFUNCTION("importrange(""https://docs.google.com/spreadsheets/d/13D9UbXPP75b58DcBlWgLxY0DVWj6aVq2oz2QDzKUZKg/edit?gid=1219811845#gid=1219811845"",""2026-27!x3"")"),0.0)</f>
        <v>0</v>
      </c>
      <c r="AY147" s="59">
        <f>IFERROR(__xludf.DUMMYFUNCTION("importrange(""https://docs.google.com/spreadsheets/d/13D9UbXPP75b58DcBlWgLxY0DVWj6aVq2oz2QDzKUZKg/edit?gid=1219811845#gid=1219811845"",""2026-27!y4"")"),1399968.0)</f>
        <v>1399968</v>
      </c>
      <c r="AZ147" s="59">
        <f>IFERROR(__xludf.DUMMYFUNCTION("importrange(""https://docs.google.com/spreadsheets/d/13D9UbXPP75b58DcBlWgLxY0DVWj6aVq2oz2QDzKUZKg/edit?gid=1219811845#gid=1219811845"",""2026-27!y3"")"),42.0)</f>
        <v>42</v>
      </c>
      <c r="BA147" s="61">
        <f>IFERROR(__xludf.DUMMYFUNCTION("importrange(""https://docs.google.com/spreadsheets/d/13D9UbXPP75b58DcBlWgLxY0DVWj6aVq2oz2QDzKUZKg/edit?gid=1219811845#gid=1219811845"",""2026-27!z4"")"),0.0)</f>
        <v>0</v>
      </c>
      <c r="BB147" s="59">
        <f>IFERROR(__xludf.DUMMYFUNCTION("importrange(""https://docs.google.com/spreadsheets/d/13D9UbXPP75b58DcBlWgLxY0DVWj6aVq2oz2QDzKUZKg/edit?gid=1219811845#gid=1219811845"",""2026-27!z3"")"),0.0)</f>
        <v>0</v>
      </c>
      <c r="BC147" s="63">
        <f t="shared" si="137"/>
        <v>0</v>
      </c>
      <c r="BD147" s="59">
        <f>IFERROR(__xludf.DUMMYFUNCTION("importrange(""https://docs.google.com/spreadsheets/d/13D9UbXPP75b58DcBlWgLxY0DVWj6aVq2oz2QDzKUZKg/edit?gid=1219811845#gid=1219811845"",""2026-27!aa4"")"),0.0)</f>
        <v>0</v>
      </c>
      <c r="BE147" s="59">
        <f>IFERROR(__xludf.DUMMYFUNCTION("importrange(""https://docs.google.com/spreadsheets/d/13D9UbXPP75b58DcBlWgLxY0DVWj6aVq2oz2QDzKUZKg/edit?gid=1219811845#gid=1219811845"",""2026-27!aa3"")"),0.0)</f>
        <v>0</v>
      </c>
      <c r="BF147" s="59">
        <f>IFERROR(__xludf.DUMMYFUNCTION("importrange(""https://docs.google.com/spreadsheets/d/13D9UbXPP75b58DcBlWgLxY0DVWj6aVq2oz2QDzKUZKg/edit?gid=1219811845#gid=1219811845"",""2026-27!ab4"")"),1399968.0)</f>
        <v>1399968</v>
      </c>
      <c r="BG147" s="59">
        <f>IFERROR(__xludf.DUMMYFUNCTION("importrange(""https://docs.google.com/spreadsheets/d/13D9UbXPP75b58DcBlWgLxY0DVWj6aVq2oz2QDzKUZKg/edit?gid=1219811845#gid=1219811845"",""2026-27!ab3"")"),42.0)</f>
        <v>42</v>
      </c>
      <c r="BH147" s="59">
        <f>IFERROR(__xludf.DUMMYFUNCTION("importrange(""https://docs.google.com/spreadsheets/d/13D9UbXPP75b58DcBlWgLxY0DVWj6aVq2oz2QDzKUZKg/edit?gid=1219811845#gid=1219811845"",""2026-27!ac4"")"),0.0)</f>
        <v>0</v>
      </c>
      <c r="BI147" s="59">
        <f>IFERROR(__xludf.DUMMYFUNCTION("importrange(""https://docs.google.com/spreadsheets/d/13D9UbXPP75b58DcBlWgLxY0DVWj6aVq2oz2QDzKUZKg/edit?gid=1219811845#gid=1219811845"",""2026-27!ac3"")"),0.0)</f>
        <v>0</v>
      </c>
      <c r="BJ147" s="63">
        <f t="shared" si="138"/>
        <v>0</v>
      </c>
      <c r="BK147" s="59">
        <f>IFERROR(__xludf.DUMMYFUNCTION("importrange(""https://docs.google.com/spreadsheets/d/13D9UbXPP75b58DcBlWgLxY0DVWj6aVq2oz2QDzKUZKg/edit?gid=1219811845#gid=1219811845"",""2026-27!ad4"")"),0.0)</f>
        <v>0</v>
      </c>
      <c r="BL147" s="59">
        <f>IFERROR(__xludf.DUMMYFUNCTION("importrange(""https://docs.google.com/spreadsheets/d/13D9UbXPP75b58DcBlWgLxY0DVWj6aVq2oz2QDzKUZKg/edit?gid=1219811845#gid=1219811845"",""2026-27!ad3"")"),0.0)</f>
        <v>0</v>
      </c>
      <c r="BM147" s="59">
        <f>IFERROR(__xludf.DUMMYFUNCTION("importrange(""https://docs.google.com/spreadsheets/d/13D9UbXPP75b58DcBlWgLxY0DVWj6aVq2oz2QDzKUZKg/edit?gid=1219811845#gid=1219811845"",""2026-27!ae4"")"),1399968.0)</f>
        <v>1399968</v>
      </c>
      <c r="BN147" s="59">
        <f>IFERROR(__xludf.DUMMYFUNCTION("importrange(""https://docs.google.com/spreadsheets/d/13D9UbXPP75b58DcBlWgLxY0DVWj6aVq2oz2QDzKUZKg/edit?gid=1219811845#gid=1219811845"",""2026-27!ae3"")"),42.0)</f>
        <v>42</v>
      </c>
      <c r="BO147" s="59">
        <f>IFERROR(__xludf.DUMMYFUNCTION("importrange(""https://docs.google.com/spreadsheets/d/13D9UbXPP75b58DcBlWgLxY0DVWj6aVq2oz2QDzKUZKg/edit?gid=1219811845#gid=1219811845"",""2026-27!af4"")"),0.0)</f>
        <v>0</v>
      </c>
      <c r="BP147" s="59">
        <f>IFERROR(__xludf.DUMMYFUNCTION("importrange(""https://docs.google.com/spreadsheets/d/13D9UbXPP75b58DcBlWgLxY0DVWj6aVq2oz2QDzKUZKg/edit?gid=1219811845#gid=1219811845"",""2026-27!af3"")"),0.0)</f>
        <v>0</v>
      </c>
      <c r="BQ147" s="63">
        <f t="shared" si="139"/>
        <v>0</v>
      </c>
      <c r="BR147" s="59">
        <f>IFERROR(__xludf.DUMMYFUNCTION("importrange(""https://docs.google.com/spreadsheets/d/13D9UbXPP75b58DcBlWgLxY0DVWj6aVq2oz2QDzKUZKg/edit?gid=1219811845#gid=1219811845"",""2026-27!ag4"")"),0.0)</f>
        <v>0</v>
      </c>
      <c r="BS147" s="59">
        <f>IFERROR(__xludf.DUMMYFUNCTION("importrange(""https://docs.google.com/spreadsheets/d/13D9UbXPP75b58DcBlWgLxY0DVWj6aVq2oz2QDzKUZKg/edit?gid=1219811845#gid=1219811845"",""2026-27!ag3"")"),0.0)</f>
        <v>0</v>
      </c>
      <c r="BT147" s="59">
        <f>IFERROR(__xludf.DUMMYFUNCTION("importrange(""https://docs.google.com/spreadsheets/d/13D9UbXPP75b58DcBlWgLxY0DVWj6aVq2oz2QDzKUZKg/edit?gid=1219811845#gid=1219811845"",""2026-27!ah4"")"),1399968.0)</f>
        <v>1399968</v>
      </c>
      <c r="BU147" s="59">
        <f>IFERROR(__xludf.DUMMYFUNCTION("importrange(""https://docs.google.com/spreadsheets/d/13D9UbXPP75b58DcBlWgLxY0DVWj6aVq2oz2QDzKUZKg/edit?gid=1219811845#gid=1219811845"",""2026-27!ah3"")"),42.0)</f>
        <v>42</v>
      </c>
      <c r="BV147" s="59">
        <f>IFERROR(__xludf.DUMMYFUNCTION("importrange(""https://docs.google.com/spreadsheets/d/13D9UbXPP75b58DcBlWgLxY0DVWj6aVq2oz2QDzKUZKg/edit?gid=1219811845#gid=1219811845"",""2026-27!ai4"")"),0.0)</f>
        <v>0</v>
      </c>
      <c r="BW147" s="59">
        <f>IFERROR(__xludf.DUMMYFUNCTION("importrange(""https://docs.google.com/spreadsheets/d/13D9UbXPP75b58DcBlWgLxY0DVWj6aVq2oz2QDzKUZKg/edit?gid=1219811845#gid=1219811845"",""2026-27!ai3"")"),0.0)</f>
        <v>0</v>
      </c>
      <c r="BX147" s="63">
        <f t="shared" si="140"/>
        <v>0</v>
      </c>
      <c r="BY147" s="59">
        <f>IFERROR(__xludf.DUMMYFUNCTION("importrange(""https://docs.google.com/spreadsheets/d/13D9UbXPP75b58DcBlWgLxY0DVWj6aVq2oz2QDzKUZKg/edit?gid=1219811845#gid=1219811845"",""2026-27!aj4"")"),0.0)</f>
        <v>0</v>
      </c>
      <c r="BZ147" s="59">
        <f>IFERROR(__xludf.DUMMYFUNCTION("importrange(""https://docs.google.com/spreadsheets/d/13D9UbXPP75b58DcBlWgLxY0DVWj6aVq2oz2QDzKUZKg/edit?gid=1219811845#gid=1219811845"",""2026-27!aj3"")"),0.0)</f>
        <v>0</v>
      </c>
      <c r="CA147" s="59">
        <f>IFERROR(__xludf.DUMMYFUNCTION("importrange(""https://docs.google.com/spreadsheets/d/13D9UbXPP75b58DcBlWgLxY0DVWj6aVq2oz2QDzKUZKg/edit?gid=1219811845#gid=1219811845"",""2026-27!ak4"")"),1399968.0)</f>
        <v>1399968</v>
      </c>
      <c r="CB147" s="59">
        <f>IFERROR(__xludf.DUMMYFUNCTION("importrange(""https://docs.google.com/spreadsheets/d/13D9UbXPP75b58DcBlWgLxY0DVWj6aVq2oz2QDzKUZKg/edit?gid=1219811845#gid=1219811845"",""2026-27!ak3"")"),42.0)</f>
        <v>42</v>
      </c>
      <c r="CC147" s="59">
        <f>IFERROR(__xludf.DUMMYFUNCTION("importrange(""https://docs.google.com/spreadsheets/d/13D9UbXPP75b58DcBlWgLxY0DVWj6aVq2oz2QDzKUZKg/edit?gid=1219811845#gid=1219811845"",""2026-27!al4"")"),0.0)</f>
        <v>0</v>
      </c>
      <c r="CD147" s="59">
        <f>IFERROR(__xludf.DUMMYFUNCTION("importrange(""https://docs.google.com/spreadsheets/d/13D9UbXPP75b58DcBlWgLxY0DVWj6aVq2oz2QDzKUZKg/edit?gid=1219811845#gid=1219811845"",""2026-27!ai3"")"),0.0)</f>
        <v>0</v>
      </c>
      <c r="CE147" s="63">
        <f t="shared" si="141"/>
        <v>0</v>
      </c>
      <c r="CF147" s="59">
        <f>IFERROR(__xludf.DUMMYFUNCTION("importrange(""https://docs.google.com/spreadsheets/d/13D9UbXPP75b58DcBlWgLxY0DVWj6aVq2oz2QDzKUZKg/edit?gid=1219811845#gid=1219811845"",""2026-27!am4"")"),0.0)</f>
        <v>0</v>
      </c>
      <c r="CG147" s="59">
        <f>IFERROR(__xludf.DUMMYFUNCTION("importrange(""https://docs.google.com/spreadsheets/d/13D9UbXPP75b58DcBlWgLxY0DVWj6aVq2oz2QDzKUZKg/edit?gid=1219811845#gid=1219811845"",""2026-27!am3"")"),0.0)</f>
        <v>0</v>
      </c>
      <c r="CH147" s="59">
        <f>IFERROR(__xludf.DUMMYFUNCTION("importrange(""https://docs.google.com/spreadsheets/d/13D9UbXPP75b58DcBlWgLxY0DVWj6aVq2oz2QDzKUZKg/edit?gid=1219811845#gid=1219811845"",""2026-27!an4"")"),1399968.0)</f>
        <v>1399968</v>
      </c>
      <c r="CI147" s="59">
        <f>IFERROR(__xludf.DUMMYFUNCTION("importrange(""https://docs.google.com/spreadsheets/d/13D9UbXPP75b58DcBlWgLxY0DVWj6aVq2oz2QDzKUZKg/edit?gid=1219811845#gid=1219811845"",""2026-27!an3"")"),42.0)</f>
        <v>42</v>
      </c>
      <c r="CJ147" s="59">
        <f>IFERROR(__xludf.DUMMYFUNCTION("importrange(""https://docs.google.com/spreadsheets/d/13D9UbXPP75b58DcBlWgLxY0DVWj6aVq2oz2QDzKUZKg/edit?gid=1219811845#gid=1219811845"",""2026-27!ao4"")"),0.0)</f>
        <v>0</v>
      </c>
      <c r="CK147" s="59">
        <f>IFERROR(__xludf.DUMMYFUNCTION("importrange(""https://docs.google.com/spreadsheets/d/13D9UbXPP75b58DcBlWgLxY0DVWj6aVq2oz2QDzKUZKg/edit?gid=1219811845#gid=1219811845"",""2026-27!ao3"")"),0.0)</f>
        <v>0</v>
      </c>
      <c r="CL147" s="63">
        <f t="shared" si="142"/>
        <v>0</v>
      </c>
      <c r="CM147" s="59">
        <f>IFERROR(__xludf.DUMMYFUNCTION("importrange(""https://docs.google.com/spreadsheets/d/13D9UbXPP75b58DcBlWgLxY0DVWj6aVq2oz2QDzKUZKg/edit?gid=1219811845#gid=1219811845"",""2026-27!ap4"")"),0.0)</f>
        <v>0</v>
      </c>
      <c r="CN147" s="59">
        <f>IFERROR(__xludf.DUMMYFUNCTION("importrange(""https://docs.google.com/spreadsheets/d/13D9UbXPP75b58DcBlWgLxY0DVWj6aVq2oz2QDzKUZKg/edit?gid=1219811845#gid=1219811845"",""2026-27!ap3"")"),0.0)</f>
        <v>0</v>
      </c>
      <c r="CO147" s="59">
        <f>IFERROR(__xludf.DUMMYFUNCTION("importrange(""https://docs.google.com/spreadsheets/d/13D9UbXPP75b58DcBlWgLxY0DVWj6aVq2oz2QDzKUZKg/edit?gid=1219811845#gid=1219811845"",""2026-27!aq4"")"),1400352.0)</f>
        <v>1400352</v>
      </c>
      <c r="CP147" s="59">
        <f>IFERROR(__xludf.DUMMYFUNCTION("importrange(""https://docs.google.com/spreadsheets/d/13D9UbXPP75b58DcBlWgLxY0DVWj6aVq2oz2QDzKUZKg/edit?gid=1219811845#gid=1219811845"",""2026-27!aq3"")"),42.0)</f>
        <v>42</v>
      </c>
      <c r="CQ147" s="59">
        <f>IFERROR(__xludf.DUMMYFUNCTION("importrange(""https://docs.google.com/spreadsheets/d/13D9UbXPP75b58DcBlWgLxY0DVWj6aVq2oz2QDzKUZKg/edit?gid=1219811845#gid=1219811845"",""2026-27!ar4"")"),0.0)</f>
        <v>0</v>
      </c>
      <c r="CR147" s="59">
        <f>IFERROR(__xludf.DUMMYFUNCTION("importrange(""https://docs.google.com/spreadsheets/d/13D9UbXPP75b58DcBlWgLxY0DVWj6aVq2oz2QDzKUZKg/edit?gid=1219811845#gid=1219811845"",""2026-27!ar3"")"),0.0)</f>
        <v>0</v>
      </c>
      <c r="CS147" s="63">
        <f t="shared" si="143"/>
        <v>0</v>
      </c>
      <c r="CT147" s="59">
        <f>IFERROR(__xludf.DUMMYFUNCTION("importrange(""https://docs.google.com/spreadsheets/d/13D9UbXPP75b58DcBlWgLxY0DVWj6aVq2oz2QDzKUZKg/edit?gid=1219811845#gid=1219811845"",""2026-27!as4"")"),0.0)</f>
        <v>0</v>
      </c>
      <c r="CU147" s="59">
        <f>IFERROR(__xludf.DUMMYFUNCTION("importrange(""https://docs.google.com/spreadsheets/d/13D9UbXPP75b58DcBlWgLxY0DVWj6aVq2oz2QDzKUZKg/edit?gid=1219811845#gid=1219811845"",""2026-27!as3"")"),0.0)</f>
        <v>0</v>
      </c>
      <c r="CV147" s="64"/>
    </row>
    <row r="148">
      <c r="A148" s="1" t="s">
        <v>273</v>
      </c>
      <c r="B148" s="41"/>
      <c r="C148" s="127" t="s">
        <v>286</v>
      </c>
      <c r="D148" s="128" t="s">
        <v>287</v>
      </c>
      <c r="E148" s="54">
        <v>8.421418765E9</v>
      </c>
      <c r="F148" s="70">
        <v>45483.0</v>
      </c>
      <c r="G148" s="66"/>
      <c r="H148" s="66"/>
      <c r="I148" s="57">
        <v>42475.0</v>
      </c>
      <c r="J148" s="58">
        <v>1200000.0</v>
      </c>
      <c r="K148" s="61">
        <f>IFERROR(__xludf.DUMMYFUNCTION("IMPORTRANGE(""https://docs.google.com/spreadsheets/d/1VHlUXvmsF-UUlS75Y_QvlWUXvBPAtAPMWQSoseA9psY/edit?gid=1219811845#gid=1219811845"",""2026-27!A3"")"),95.0)</f>
        <v>95</v>
      </c>
      <c r="L148" s="61">
        <f>IFERROR(__xludf.DUMMYFUNCTION("IMPORTRANGE(""https://docs.google.com/spreadsheets/d/1VHlUXvmsF-UUlS75Y_QvlWUXvBPAtAPMWQSoseA9psY/edit?gid=1219811845#gid=1219811845"",""2026-27!G4"")"),1.44E7)</f>
        <v>14400000</v>
      </c>
      <c r="M148" s="61">
        <f t="shared" si="129"/>
        <v>1860924.38</v>
      </c>
      <c r="N148" s="60">
        <f t="shared" si="130"/>
        <v>0.1220502778</v>
      </c>
      <c r="O148" s="61">
        <f t="shared" si="131"/>
        <v>1757524</v>
      </c>
      <c r="P148" s="59">
        <f>IFERROR(__xludf.DUMMYFUNCTION("IMPORTRANGE(""https://docs.google.com/spreadsheets/d/1VHlUXvmsF-UUlS75Y_QvlWUXvBPAtAPMWQSoseA9psY/edit?gid=1219811845#gid=1219811845"",""2026-27!J4"")"),1274992.0)</f>
        <v>1274992</v>
      </c>
      <c r="Q148" s="59">
        <f>IFERROR(__xludf.DUMMYFUNCTION("IMPORTRANGE(""https://docs.google.com/spreadsheets/d/1VHlUXvmsF-UUlS75Y_QvlWUXvBPAtAPMWQSoseA9psY/edit?gid=1219811845#gid=1219811845"",""2026-27!J3"")"),63.0)</f>
        <v>63</v>
      </c>
      <c r="R148" s="59">
        <f>IFERROR(__xludf.DUMMYFUNCTION("IMPORTRANGE(""https://docs.google.com/spreadsheets/d/1VHlUXvmsF-UUlS75Y_QvlWUXvBPAtAPMWQSoseA9psY/edit?gid=1219811845#gid=1219811845"",""2026-27!K4"")"),497908.59)</f>
        <v>497908.59</v>
      </c>
      <c r="S148" s="59">
        <f>IFERROR(__xludf.DUMMYFUNCTION("IMPORTRANGE(""https://docs.google.com/spreadsheets/d/1VHlUXvmsF-UUlS75Y_QvlWUXvBPAtAPMWQSoseA9psY/edit?gid=1219811845#gid=1219811845"",""2026-27!K3"")"),29.0)</f>
        <v>29</v>
      </c>
      <c r="T148" s="62">
        <f t="shared" si="132"/>
        <v>0.3170098322</v>
      </c>
      <c r="U148" s="59">
        <f>IFERROR(__xludf.DUMMYFUNCTION("IMPORTRANGE(""https://docs.google.com/spreadsheets/d/1VHlUXvmsF-UUlS75Y_QvlWUXvBPAtAPMWQSoseA9psY/edit?gid=1219811845#gid=1219811845"",""2026-27!L4"")"),404185.0)</f>
        <v>404185</v>
      </c>
      <c r="V148" s="85">
        <f>IFERROR(__xludf.DUMMYFUNCTION("IMPORTRANGE(""https://docs.google.com/spreadsheets/d/1VHlUXvmsF-UUlS75Y_QvlWUXvBPAtAPMWQSoseA9psY/edit?gid=1219811845#gid=1219811845"",""2026-27!L3"")"),23.0)</f>
        <v>23</v>
      </c>
      <c r="W148" s="59">
        <f>IFERROR(__xludf.DUMMYFUNCTION("IMPORTRANGE(""https://docs.google.com/spreadsheets/d/1VHlUXvmsF-UUlS75Y_QvlWUXvBPAtAPMWQSoseA9psY/edit?gid=1219811845#gid=1219811845"",""2026-27!M4"")"),1274992.0)</f>
        <v>1274992</v>
      </c>
      <c r="X148" s="85">
        <f>IFERROR(__xludf.DUMMYFUNCTION("IMPORTRANGE(""https://docs.google.com/spreadsheets/d/1VHlUXvmsF-UUlS75Y_QvlWUXvBPAtAPMWQSoseA9psY/edit?gid=1219811845#gid=1219811845"",""2026-27!M3"")"),63.0)</f>
        <v>63</v>
      </c>
      <c r="Y148" s="59">
        <f>IFERROR(__xludf.DUMMYFUNCTION("importrange(""https://docs.google.com/spreadsheets/d/1VHlUXvmsF-UUlS75Y_QvlWUXvBPAtAPMWQSoseA9psY/edit?gid=1219811845#gid=1219811845"",""2026-27!n4"")"),584039.99)</f>
        <v>584039.99</v>
      </c>
      <c r="Z148" s="59">
        <f>IFERROR(__xludf.DUMMYFUNCTION("importrange(""https://docs.google.com/spreadsheets/d/1VHlUXvmsF-UUlS75Y_QvlWUXvBPAtAPMWQSoseA9psY/edit?gid=1219811845#gid=1219811845"",""2026-27!n3"")"),25.0)</f>
        <v>25</v>
      </c>
      <c r="AA148" s="62">
        <f t="shared" si="133"/>
        <v>0.4060190182</v>
      </c>
      <c r="AB148" s="59">
        <f>IFERROR(__xludf.DUMMYFUNCTION("importrange(""https://docs.google.com/spreadsheets/d/1VHlUXvmsF-UUlS75Y_QvlWUXvBPAtAPMWQSoseA9psY/edit?gid=1219811845#gid=1219811845"",""2026-27!o4"")"),517671.0)</f>
        <v>517671</v>
      </c>
      <c r="AC148" s="59">
        <f>IFERROR(__xludf.DUMMYFUNCTION("importrange(""https://docs.google.com/spreadsheets/d/1VHlUXvmsF-UUlS75Y_QvlWUXvBPAtAPMWQSoseA9psY/edit?gid=1219811845#gid=1219811845"",""2026-27!o3"")"),23.0)</f>
        <v>23</v>
      </c>
      <c r="AD148" s="59">
        <f>IFERROR(__xludf.DUMMYFUNCTION("importrange(""https://docs.google.com/spreadsheets/d/1VHlUXvmsF-UUlS75Y_QvlWUXvBPAtAPMWQSoseA9psY/edit?gid=1219811845#gid=1219811845"",""2026-27!p4"")"),1237492.0)</f>
        <v>1237492</v>
      </c>
      <c r="AE148" s="59">
        <f>IFERROR(__xludf.DUMMYFUNCTION("importrange(""https://docs.google.com/spreadsheets/d/1VHlUXvmsF-UUlS75Y_QvlWUXvBPAtAPMWQSoseA9psY/edit?gid=1219811845#gid=1219811845"",""2026-27!p3"")"),63.0)</f>
        <v>63</v>
      </c>
      <c r="AF148" s="59">
        <f>IFERROR(__xludf.DUMMYFUNCTION("importrange(""https://docs.google.com/spreadsheets/d/1VHlUXvmsF-UUlS75Y_QvlWUXvBPAtAPMWQSoseA9psY/edit?gid=1219811845#gid=1219811845"",""2026-27!q4"")"),778975.8)</f>
        <v>778975.8</v>
      </c>
      <c r="AG148" s="59">
        <f>IFERROR(__xludf.DUMMYFUNCTION("importrange(""https://docs.google.com/spreadsheets/d/1VHlUXvmsF-UUlS75Y_QvlWUXvBPAtAPMWQSoseA9psY/edit?gid=1219811845#gid=1219811845"",""2026-27!q3"")"),27.0)</f>
        <v>27</v>
      </c>
      <c r="AH148" s="62">
        <f t="shared" si="134"/>
        <v>0.6308404418</v>
      </c>
      <c r="AI148" s="59">
        <f>IFERROR(__xludf.DUMMYFUNCTION("importrange(""https://docs.google.com/spreadsheets/d/1VHlUXvmsF-UUlS75Y_QvlWUXvBPAtAPMWQSoseA9psY/edit?gid=1219811845#gid=1219811845"",""2026-27!r4"")"),780660.0)</f>
        <v>780660</v>
      </c>
      <c r="AJ148" s="59">
        <f>IFERROR(__xludf.DUMMYFUNCTION("importrange(""https://docs.google.com/spreadsheets/d/1VHlUXvmsF-UUlS75Y_QvlWUXvBPAtAPMWQSoseA9psY/edit?gid=1219811845#gid=1219811845"",""2026-27!r3"")"),29.0)</f>
        <v>29</v>
      </c>
      <c r="AK148" s="59">
        <f>IFERROR(__xludf.DUMMYFUNCTION("importrange(""https://docs.google.com/spreadsheets/d/1VHlUXvmsF-UUlS75Y_QvlWUXvBPAtAPMWQSoseA9psY/edit?gid=1219811845#gid=1219811845"",""2026-27!s4"")"),1237492.0)</f>
        <v>1237492</v>
      </c>
      <c r="AL148" s="59">
        <f>IFERROR(__xludf.DUMMYFUNCTION("importrange(""https://docs.google.com/spreadsheets/d/1VHlUXvmsF-UUlS75Y_QvlWUXvBPAtAPMWQSoseA9psY/edit?gid=1219811845#gid=1219811845"",""2026-27!s3"")"),63.0)</f>
        <v>63</v>
      </c>
      <c r="AM148" s="61">
        <f>IFERROR(__xludf.DUMMYFUNCTION("importrange(""https://docs.google.com/spreadsheets/d/1VHlUXvmsF-UUlS75Y_QvlWUXvBPAtAPMWQSoseA9psY/edit?gid=1219811845#gid=1219811845"",""2026-27!t4"")"),0.0)</f>
        <v>0</v>
      </c>
      <c r="AN148" s="59">
        <f>IFERROR(__xludf.DUMMYFUNCTION("importrange(""https://docs.google.com/spreadsheets/d/1VHlUXvmsF-UUlS75Y_QvlWUXvBPAtAPMWQSoseA9psY/edit?gid=1219811845#gid=1219811845"",""2026-27!t3"")"),0.0)</f>
        <v>0</v>
      </c>
      <c r="AO148" s="62">
        <f t="shared" si="135"/>
        <v>0.04445119645</v>
      </c>
      <c r="AP148" s="59">
        <f>IFERROR(__xludf.DUMMYFUNCTION("importrange(""https://docs.google.com/spreadsheets/d/1VHlUXvmsF-UUlS75Y_QvlWUXvBPAtAPMWQSoseA9psY/edit?gid=1219811845#gid=1219811845"",""2026-27!u4"")"),55008.0)</f>
        <v>55008</v>
      </c>
      <c r="AQ148" s="59">
        <f>IFERROR(__xludf.DUMMYFUNCTION("importrange(""https://docs.google.com/spreadsheets/d/1VHlUXvmsF-UUlS75Y_QvlWUXvBPAtAPMWQSoseA9psY/edit?gid=1219811845#gid=1219811845"",""2026-27!u3"")"),1.0)</f>
        <v>1</v>
      </c>
      <c r="AR148" s="59">
        <f>IFERROR(__xludf.DUMMYFUNCTION("importrange(""https://docs.google.com/spreadsheets/d/1VHlUXvmsF-UUlS75Y_QvlWUXvBPAtAPMWQSoseA9psY/edit?gid=1219811845#gid=1219811845"",""2026-27!v4"")"),1237492.0)</f>
        <v>1237492</v>
      </c>
      <c r="AS148" s="59">
        <f>IFERROR(__xludf.DUMMYFUNCTION("importrange(""https://docs.google.com/spreadsheets/d/1VHlUXvmsF-UUlS75Y_QvlWUXvBPAtAPMWQSoseA9psY/edit?gid=1219811845#gid=1219811845"",""2026-27!v3"")"),63.0)</f>
        <v>63</v>
      </c>
      <c r="AT148" s="61">
        <f>IFERROR(__xludf.DUMMYFUNCTION("importrange(""https://docs.google.com/spreadsheets/d/1VHlUXvmsF-UUlS75Y_QvlWUXvBPAtAPMWQSoseA9psY/edit?gid=1219811845#gid=1219811845"",""2026-27!w4"")"),0.0)</f>
        <v>0</v>
      </c>
      <c r="AU148" s="59">
        <f>IFERROR(__xludf.DUMMYFUNCTION("importrange(""https://docs.google.com/spreadsheets/d/1VHlUXvmsF-UUlS75Y_QvlWUXvBPAtAPMWQSoseA9psY/edit?gid=1219811845#gid=1219811845"",""2026-27!w3"")"),0.0)</f>
        <v>0</v>
      </c>
      <c r="AV148" s="62">
        <f t="shared" si="136"/>
        <v>0</v>
      </c>
      <c r="AW148" s="59">
        <f>IFERROR(__xludf.DUMMYFUNCTION("importrange(""https://docs.google.com/spreadsheets/d/1VHlUXvmsF-UUlS75Y_QvlWUXvBPAtAPMWQSoseA9psY/edit?gid=1219811845#gid=1219811845"",""2026-27!x4"")"),0.0)</f>
        <v>0</v>
      </c>
      <c r="AX148" s="59">
        <f>IFERROR(__xludf.DUMMYFUNCTION("importrange(""https://docs.google.com/spreadsheets/d/1VHlUXvmsF-UUlS75Y_QvlWUXvBPAtAPMWQSoseA9psY/edit?gid=1219811845#gid=1219811845"",""2026-27!x3"")"),0.0)</f>
        <v>0</v>
      </c>
      <c r="AY148" s="59">
        <f>IFERROR(__xludf.DUMMYFUNCTION("importrange(""https://docs.google.com/spreadsheets/d/1VHlUXvmsF-UUlS75Y_QvlWUXvBPAtAPMWQSoseA9psY/edit?gid=1219811845#gid=1219811845"",""2026-27!y4"")"),1237492.0)</f>
        <v>1237492</v>
      </c>
      <c r="AZ148" s="59">
        <f>IFERROR(__xludf.DUMMYFUNCTION("importrange(""https://docs.google.com/spreadsheets/d/1VHlUXvmsF-UUlS75Y_QvlWUXvBPAtAPMWQSoseA9psY/edit?gid=1219811845#gid=1219811845"",""2026-27!y3"")"),63.0)</f>
        <v>63</v>
      </c>
      <c r="BA148" s="61">
        <f>IFERROR(__xludf.DUMMYFUNCTION("importrange(""https://docs.google.com/spreadsheets/d/1VHlUXvmsF-UUlS75Y_QvlWUXvBPAtAPMWQSoseA9psY/edit?gid=1219811845#gid=1219811845"",""2026-27!z4"")"),0.0)</f>
        <v>0</v>
      </c>
      <c r="BB148" s="59">
        <f>IFERROR(__xludf.DUMMYFUNCTION("importrange(""https://docs.google.com/spreadsheets/d/1VHlUXvmsF-UUlS75Y_QvlWUXvBPAtAPMWQSoseA9psY/edit?gid=1219811845#gid=1219811845"",""2026-27!z3"")"),0.0)</f>
        <v>0</v>
      </c>
      <c r="BC148" s="63">
        <f t="shared" si="137"/>
        <v>0</v>
      </c>
      <c r="BD148" s="59">
        <f>IFERROR(__xludf.DUMMYFUNCTION("importrange(""https://docs.google.com/spreadsheets/d/1VHlUXvmsF-UUlS75Y_QvlWUXvBPAtAPMWQSoseA9psY/edit?gid=1219811845#gid=1219811845"",""2026-27!aa4"")"),0.0)</f>
        <v>0</v>
      </c>
      <c r="BE148" s="59">
        <f>IFERROR(__xludf.DUMMYFUNCTION("importrange(""https://docs.google.com/spreadsheets/d/1VHlUXvmsF-UUlS75Y_QvlWUXvBPAtAPMWQSoseA9psY/edit?gid=1219811845#gid=1219811845"",""2026-27!aa3"")"),0.0)</f>
        <v>0</v>
      </c>
      <c r="BF148" s="59">
        <f>IFERROR(__xludf.DUMMYFUNCTION("importrange(""https://docs.google.com/spreadsheets/d/1VHlUXvmsF-UUlS75Y_QvlWUXvBPAtAPMWQSoseA9psY/edit?gid=1219811845#gid=1219811845"",""2026-27!ab4"")"),1237492.0)</f>
        <v>1237492</v>
      </c>
      <c r="BG148" s="59">
        <f>IFERROR(__xludf.DUMMYFUNCTION("importrange(""https://docs.google.com/spreadsheets/d/1VHlUXvmsF-UUlS75Y_QvlWUXvBPAtAPMWQSoseA9psY/edit?gid=1219811845#gid=1219811845"",""2026-27!ab3"")"),63.0)</f>
        <v>63</v>
      </c>
      <c r="BH148" s="59">
        <f>IFERROR(__xludf.DUMMYFUNCTION("importrange(""https://docs.google.com/spreadsheets/d/1VHlUXvmsF-UUlS75Y_QvlWUXvBPAtAPMWQSoseA9psY/edit?gid=1219811845#gid=1219811845"",""2026-27!ac4"")"),0.0)</f>
        <v>0</v>
      </c>
      <c r="BI148" s="59">
        <f>IFERROR(__xludf.DUMMYFUNCTION("importrange(""https://docs.google.com/spreadsheets/d/1VHlUXvmsF-UUlS75Y_QvlWUXvBPAtAPMWQSoseA9psY/edit?gid=1219811845#gid=1219811845"",""2026-27!ac3"")"),0.0)</f>
        <v>0</v>
      </c>
      <c r="BJ148" s="63">
        <f t="shared" si="138"/>
        <v>0</v>
      </c>
      <c r="BK148" s="59">
        <f>IFERROR(__xludf.DUMMYFUNCTION("importrange(""https://docs.google.com/spreadsheets/d/1VHlUXvmsF-UUlS75Y_QvlWUXvBPAtAPMWQSoseA9psY/edit?gid=1219811845#gid=1219811845"",""2026-27!ad4"")"),0.0)</f>
        <v>0</v>
      </c>
      <c r="BL148" s="59">
        <f>IFERROR(__xludf.DUMMYFUNCTION("importrange(""https://docs.google.com/spreadsheets/d/1VHlUXvmsF-UUlS75Y_QvlWUXvBPAtAPMWQSoseA9psY/edit?gid=1219811845#gid=1219811845"",""2026-27!ad3"")"),0.0)</f>
        <v>0</v>
      </c>
      <c r="BM148" s="59">
        <f>IFERROR(__xludf.DUMMYFUNCTION("importrange(""https://docs.google.com/spreadsheets/d/1VHlUXvmsF-UUlS75Y_QvlWUXvBPAtAPMWQSoseA9psY/edit?gid=1219811845#gid=1219811845"",""2026-27!ae4"")"),1237492.0)</f>
        <v>1237492</v>
      </c>
      <c r="BN148" s="59">
        <f>IFERROR(__xludf.DUMMYFUNCTION("importrange(""https://docs.google.com/spreadsheets/d/1VHlUXvmsF-UUlS75Y_QvlWUXvBPAtAPMWQSoseA9psY/edit?gid=1219811845#gid=1219811845"",""2026-27!ae3"")"),63.0)</f>
        <v>63</v>
      </c>
      <c r="BO148" s="59">
        <f>IFERROR(__xludf.DUMMYFUNCTION("importrange(""https://docs.google.com/spreadsheets/d/1VHlUXvmsF-UUlS75Y_QvlWUXvBPAtAPMWQSoseA9psY/edit?gid=1219811845#gid=1219811845"",""2026-27!af4"")"),0.0)</f>
        <v>0</v>
      </c>
      <c r="BP148" s="59">
        <f>IFERROR(__xludf.DUMMYFUNCTION("importrange(""https://docs.google.com/spreadsheets/d/1VHlUXvmsF-UUlS75Y_QvlWUXvBPAtAPMWQSoseA9psY/edit?gid=1219811845#gid=1219811845"",""2026-27!af3"")"),0.0)</f>
        <v>0</v>
      </c>
      <c r="BQ148" s="63">
        <f t="shared" si="139"/>
        <v>0</v>
      </c>
      <c r="BR148" s="59">
        <f>IFERROR(__xludf.DUMMYFUNCTION("importrange(""https://docs.google.com/spreadsheets/d/1VHlUXvmsF-UUlS75Y_QvlWUXvBPAtAPMWQSoseA9psY/edit?gid=1219811845#gid=1219811845"",""2026-27!ag4"")"),0.0)</f>
        <v>0</v>
      </c>
      <c r="BS148" s="59">
        <f>IFERROR(__xludf.DUMMYFUNCTION("importrange(""https://docs.google.com/spreadsheets/d/1VHlUXvmsF-UUlS75Y_QvlWUXvBPAtAPMWQSoseA9psY/edit?gid=1219811845#gid=1219811845"",""2026-27!ag3"")"),0.0)</f>
        <v>0</v>
      </c>
      <c r="BT148" s="59">
        <f>IFERROR(__xludf.DUMMYFUNCTION("importrange(""https://docs.google.com/spreadsheets/d/1VHlUXvmsF-UUlS75Y_QvlWUXvBPAtAPMWQSoseA9psY/edit?gid=1219811845#gid=1219811845"",""2026-27!ah4"")"),1237492.0)</f>
        <v>1237492</v>
      </c>
      <c r="BU148" s="59">
        <f>IFERROR(__xludf.DUMMYFUNCTION("importrange(""https://docs.google.com/spreadsheets/d/1VHlUXvmsF-UUlS75Y_QvlWUXvBPAtAPMWQSoseA9psY/edit?gid=1219811845#gid=1219811845"",""2026-27!ah3"")"),63.0)</f>
        <v>63</v>
      </c>
      <c r="BV148" s="59">
        <f>IFERROR(__xludf.DUMMYFUNCTION("importrange(""https://docs.google.com/spreadsheets/d/1VHlUXvmsF-UUlS75Y_QvlWUXvBPAtAPMWQSoseA9psY/edit?gid=1219811845#gid=1219811845"",""2026-27!ai4"")"),0.0)</f>
        <v>0</v>
      </c>
      <c r="BW148" s="59">
        <f>IFERROR(__xludf.DUMMYFUNCTION("importrange(""https://docs.google.com/spreadsheets/d/1VHlUXvmsF-UUlS75Y_QvlWUXvBPAtAPMWQSoseA9psY/edit?gid=1219811845#gid=1219811845"",""2026-27!ai3"")"),0.0)</f>
        <v>0</v>
      </c>
      <c r="BX148" s="63">
        <f t="shared" si="140"/>
        <v>0</v>
      </c>
      <c r="BY148" s="59">
        <f>IFERROR(__xludf.DUMMYFUNCTION("importrange(""https://docs.google.com/spreadsheets/d/1VHlUXvmsF-UUlS75Y_QvlWUXvBPAtAPMWQSoseA9psY/edit?gid=1219811845#gid=1219811845"",""2026-27!aj4"")"),0.0)</f>
        <v>0</v>
      </c>
      <c r="BZ148" s="59">
        <f>IFERROR(__xludf.DUMMYFUNCTION("importrange(""https://docs.google.com/spreadsheets/d/1VHlUXvmsF-UUlS75Y_QvlWUXvBPAtAPMWQSoseA9psY/edit?gid=1219811845#gid=1219811845"",""2026-27!aj3"")"),0.0)</f>
        <v>0</v>
      </c>
      <c r="CA148" s="59">
        <f>IFERROR(__xludf.DUMMYFUNCTION("importrange(""https://docs.google.com/spreadsheets/d/1VHlUXvmsF-UUlS75Y_QvlWUXvBPAtAPMWQSoseA9psY/edit?gid=1219811845#gid=1219811845"",""2026-27!ak4"")"),1237492.0)</f>
        <v>1237492</v>
      </c>
      <c r="CB148" s="59">
        <f>IFERROR(__xludf.DUMMYFUNCTION("importrange(""https://docs.google.com/spreadsheets/d/1VHlUXvmsF-UUlS75Y_QvlWUXvBPAtAPMWQSoseA9psY/edit?gid=1219811845#gid=1219811845"",""2026-27!ak3"")"),63.0)</f>
        <v>63</v>
      </c>
      <c r="CC148" s="59">
        <f>IFERROR(__xludf.DUMMYFUNCTION("importrange(""https://docs.google.com/spreadsheets/d/1VHlUXvmsF-UUlS75Y_QvlWUXvBPAtAPMWQSoseA9psY/edit?gid=1219811845#gid=1219811845"",""2026-27!al4"")"),0.0)</f>
        <v>0</v>
      </c>
      <c r="CD148" s="59">
        <f>IFERROR(__xludf.DUMMYFUNCTION("importrange(""https://docs.google.com/spreadsheets/d/1VHlUXvmsF-UUlS75Y_QvlWUXvBPAtAPMWQSoseA9psY/edit?gid=1219811845#gid=1219811845"",""2026-27!ai3"")"),0.0)</f>
        <v>0</v>
      </c>
      <c r="CE148" s="63">
        <f t="shared" si="141"/>
        <v>0</v>
      </c>
      <c r="CF148" s="59">
        <f>IFERROR(__xludf.DUMMYFUNCTION("importrange(""https://docs.google.com/spreadsheets/d/1VHlUXvmsF-UUlS75Y_QvlWUXvBPAtAPMWQSoseA9psY/edit?gid=1219811845#gid=1219811845"",""2026-27!am4"")"),0.0)</f>
        <v>0</v>
      </c>
      <c r="CG148" s="59">
        <f>IFERROR(__xludf.DUMMYFUNCTION("importrange(""https://docs.google.com/spreadsheets/d/1VHlUXvmsF-UUlS75Y_QvlWUXvBPAtAPMWQSoseA9psY/edit?gid=1219811845#gid=1219811845"",""2026-27!am3"")"),0.0)</f>
        <v>0</v>
      </c>
      <c r="CH148" s="59">
        <f>IFERROR(__xludf.DUMMYFUNCTION("importrange(""https://docs.google.com/spreadsheets/d/1VHlUXvmsF-UUlS75Y_QvlWUXvBPAtAPMWQSoseA9psY/edit?gid=1219811845#gid=1219811845"",""2026-27!an4"")"),1249992.0)</f>
        <v>1249992</v>
      </c>
      <c r="CI148" s="59">
        <f>IFERROR(__xludf.DUMMYFUNCTION("importrange(""https://docs.google.com/spreadsheets/d/1VHlUXvmsF-UUlS75Y_QvlWUXvBPAtAPMWQSoseA9psY/edit?gid=1219811845#gid=1219811845"",""2026-27!an3"")"),64.0)</f>
        <v>64</v>
      </c>
      <c r="CJ148" s="59">
        <f>IFERROR(__xludf.DUMMYFUNCTION("importrange(""https://docs.google.com/spreadsheets/d/1VHlUXvmsF-UUlS75Y_QvlWUXvBPAtAPMWQSoseA9psY/edit?gid=1219811845#gid=1219811845"",""2026-27!ao4"")"),0.0)</f>
        <v>0</v>
      </c>
      <c r="CK148" s="59">
        <f>IFERROR(__xludf.DUMMYFUNCTION("importrange(""https://docs.google.com/spreadsheets/d/1VHlUXvmsF-UUlS75Y_QvlWUXvBPAtAPMWQSoseA9psY/edit?gid=1219811845#gid=1219811845"",""2026-27!ao3"")"),0.0)</f>
        <v>0</v>
      </c>
      <c r="CL148" s="63">
        <f t="shared" si="142"/>
        <v>0</v>
      </c>
      <c r="CM148" s="59">
        <f>IFERROR(__xludf.DUMMYFUNCTION("importrange(""https://docs.google.com/spreadsheets/d/1VHlUXvmsF-UUlS75Y_QvlWUXvBPAtAPMWQSoseA9psY/edit?gid=1219811845#gid=1219811845"",""2026-27!ap4"")"),0.0)</f>
        <v>0</v>
      </c>
      <c r="CN148" s="59">
        <f>IFERROR(__xludf.DUMMYFUNCTION("importrange(""https://docs.google.com/spreadsheets/d/1VHlUXvmsF-UUlS75Y_QvlWUXvBPAtAPMWQSoseA9psY/edit?gid=1219811845#gid=1219811845"",""2026-27!ap3"")"),0.0)</f>
        <v>0</v>
      </c>
      <c r="CO148" s="59">
        <f>IFERROR(__xludf.DUMMYFUNCTION("importrange(""https://docs.google.com/spreadsheets/d/1VHlUXvmsF-UUlS75Y_QvlWUXvBPAtAPMWQSoseA9psY/edit?gid=1219811845#gid=1219811845"",""2026-27!aq4"")"),1237492.0)</f>
        <v>1237492</v>
      </c>
      <c r="CP148" s="59">
        <f>IFERROR(__xludf.DUMMYFUNCTION("importrange(""https://docs.google.com/spreadsheets/d/1VHlUXvmsF-UUlS75Y_QvlWUXvBPAtAPMWQSoseA9psY/edit?gid=1219811845#gid=1219811845"",""2026-27!aq3"")"),63.0)</f>
        <v>63</v>
      </c>
      <c r="CQ148" s="59">
        <f>IFERROR(__xludf.DUMMYFUNCTION("importrange(""https://docs.google.com/spreadsheets/d/1VHlUXvmsF-UUlS75Y_QvlWUXvBPAtAPMWQSoseA9psY/edit?gid=1219811845#gid=1219811845"",""2026-27!ar4"")"),0.0)</f>
        <v>0</v>
      </c>
      <c r="CR148" s="59">
        <f>IFERROR(__xludf.DUMMYFUNCTION("importrange(""https://docs.google.com/spreadsheets/d/1VHlUXvmsF-UUlS75Y_QvlWUXvBPAtAPMWQSoseA9psY/edit?gid=1219811845#gid=1219811845"",""2026-27!ar3"")"),0.0)</f>
        <v>0</v>
      </c>
      <c r="CS148" s="63">
        <f t="shared" si="143"/>
        <v>0</v>
      </c>
      <c r="CT148" s="59">
        <f>IFERROR(__xludf.DUMMYFUNCTION("importrange(""https://docs.google.com/spreadsheets/d/1VHlUXvmsF-UUlS75Y_QvlWUXvBPAtAPMWQSoseA9psY/edit?gid=1219811845#gid=1219811845"",""2026-27!as4"")"),0.0)</f>
        <v>0</v>
      </c>
      <c r="CU148" s="59">
        <f>IFERROR(__xludf.DUMMYFUNCTION("importrange(""https://docs.google.com/spreadsheets/d/1VHlUXvmsF-UUlS75Y_QvlWUXvBPAtAPMWQSoseA9psY/edit?gid=1219811845#gid=1219811845"",""2026-27!as3"")"),0.0)</f>
        <v>0</v>
      </c>
      <c r="CV148" s="64"/>
    </row>
    <row r="149">
      <c r="A149" s="1" t="s">
        <v>273</v>
      </c>
      <c r="B149" s="41"/>
      <c r="C149" s="68" t="s">
        <v>288</v>
      </c>
      <c r="D149" s="72" t="s">
        <v>289</v>
      </c>
      <c r="E149" s="54">
        <v>9.623488758E9</v>
      </c>
      <c r="F149" s="70">
        <v>45516.0</v>
      </c>
      <c r="G149" s="66"/>
      <c r="H149" s="66"/>
      <c r="I149" s="57">
        <v>27260.0</v>
      </c>
      <c r="J149" s="58">
        <v>1200000.0</v>
      </c>
      <c r="K149" s="61">
        <f>IFERROR(__xludf.DUMMYFUNCTION("IMPORTRANGE(""https://docs.google.com/spreadsheets/d/1RIKtidqK6hOmuK0xqGl8SKK7KjTCUKiagqmfmuzZkFQ/edit?gid=1219811845#gid=1219811845"",""2026-27!A3"")"),106.0)</f>
        <v>106</v>
      </c>
      <c r="L149" s="61">
        <f>IFERROR(__xludf.DUMMYFUNCTION("IMPORTRANGE(""https://docs.google.com/spreadsheets/d/1RIKtidqK6hOmuK0xqGl8SKK7KjTCUKiagqmfmuzZkFQ/edit?gid=1219811845#gid=1219811845"",""2026-27!G4"")"),1.44E7)</f>
        <v>14400000</v>
      </c>
      <c r="M149" s="61">
        <f t="shared" si="129"/>
        <v>2030106.66</v>
      </c>
      <c r="N149" s="60">
        <f t="shared" si="130"/>
        <v>0.1395703472</v>
      </c>
      <c r="O149" s="61">
        <f t="shared" si="131"/>
        <v>2009813</v>
      </c>
      <c r="P149" s="59">
        <f>IFERROR(__xludf.DUMMYFUNCTION("IMPORTRANGE(""https://docs.google.com/spreadsheets/d/1RIKtidqK6hOmuK0xqGl8SKK7KjTCUKiagqmfmuzZkFQ/edit?gid=1219811845#gid=1219811845"",""2026-27!J4"")"),1199981.0)</f>
        <v>1199981</v>
      </c>
      <c r="Q149" s="59">
        <f>IFERROR(__xludf.DUMMYFUNCTION("IMPORTRANGE(""https://docs.google.com/spreadsheets/d/1RIKtidqK6hOmuK0xqGl8SKK7KjTCUKiagqmfmuzZkFQ/edit?gid=1219811845#gid=1219811845"",""2026-27!J3"")"),71.0)</f>
        <v>71</v>
      </c>
      <c r="R149" s="59">
        <f>IFERROR(__xludf.DUMMYFUNCTION("IMPORTRANGE(""https://docs.google.com/spreadsheets/d/1RIKtidqK6hOmuK0xqGl8SKK7KjTCUKiagqmfmuzZkFQ/edit?gid=1219811845#gid=1219811845"",""2026-27!K4"")"),407166.6499999999)</f>
        <v>407166.65</v>
      </c>
      <c r="S149" s="59">
        <f>IFERROR(__xludf.DUMMYFUNCTION("IMPORTRANGE(""https://docs.google.com/spreadsheets/d/1RIKtidqK6hOmuK0xqGl8SKK7KjTCUKiagqmfmuzZkFQ/edit?gid=1219811845#gid=1219811845"",""2026-27!K3"")"),19.0)</f>
        <v>19</v>
      </c>
      <c r="T149" s="62">
        <f t="shared" si="132"/>
        <v>0.3395720432</v>
      </c>
      <c r="U149" s="59">
        <f>IFERROR(__xludf.DUMMYFUNCTION("IMPORTRANGE(""https://docs.google.com/spreadsheets/d/1RIKtidqK6hOmuK0xqGl8SKK7KjTCUKiagqmfmuzZkFQ/edit?gid=1219811845#gid=1219811845"",""2026-27!L4"")"),407480.0)</f>
        <v>407480</v>
      </c>
      <c r="V149" s="85">
        <f>IFERROR(__xludf.DUMMYFUNCTION("IMPORTRANGE(""https://docs.google.com/spreadsheets/d/1RIKtidqK6hOmuK0xqGl8SKK7KjTCUKiagqmfmuzZkFQ/edit?gid=1219811845#gid=1219811845"",""2026-27!L3"")"),19.0)</f>
        <v>19</v>
      </c>
      <c r="W149" s="59">
        <f>IFERROR(__xludf.DUMMYFUNCTION("IMPORTRANGE(""https://docs.google.com/spreadsheets/d/1RIKtidqK6hOmuK0xqGl8SKK7KjTCUKiagqmfmuzZkFQ/edit?gid=1219811845#gid=1219811845"",""2026-27!M4"")"),1199981.0)</f>
        <v>1199981</v>
      </c>
      <c r="X149" s="85">
        <f>IFERROR(__xludf.DUMMYFUNCTION("IMPORTRANGE(""https://docs.google.com/spreadsheets/d/1RIKtidqK6hOmuK0xqGl8SKK7KjTCUKiagqmfmuzZkFQ/edit?gid=1219811845#gid=1219811845"",""2026-27!M3"")"),71.0)</f>
        <v>71</v>
      </c>
      <c r="Y149" s="59">
        <f>IFERROR(__xludf.DUMMYFUNCTION("importrange(""https://docs.google.com/spreadsheets/d/1RIKtidqK6hOmuK0xqGl8SKK7KjTCUKiagqmfmuzZkFQ/edit?gid=1219811845#gid=1219811845"",""2026-27!n4"")"),440374.89999999997)</f>
        <v>440374.9</v>
      </c>
      <c r="Z149" s="59">
        <f>IFERROR(__xludf.DUMMYFUNCTION("importrange(""https://docs.google.com/spreadsheets/d/1RIKtidqK6hOmuK0xqGl8SKK7KjTCUKiagqmfmuzZkFQ/edit?gid=1219811845#gid=1219811845"",""2026-27!n3"")"),22.0)</f>
        <v>22</v>
      </c>
      <c r="AA149" s="62">
        <f t="shared" si="133"/>
        <v>0.3496438694</v>
      </c>
      <c r="AB149" s="59">
        <f>IFERROR(__xludf.DUMMYFUNCTION("importrange(""https://docs.google.com/spreadsheets/d/1RIKtidqK6hOmuK0xqGl8SKK7KjTCUKiagqmfmuzZkFQ/edit?gid=1219811845#gid=1219811845"",""2026-27!o4"")"),419566.0)</f>
        <v>419566</v>
      </c>
      <c r="AC149" s="59">
        <f>IFERROR(__xludf.DUMMYFUNCTION("importrange(""https://docs.google.com/spreadsheets/d/1RIKtidqK6hOmuK0xqGl8SKK7KjTCUKiagqmfmuzZkFQ/edit?gid=1219811845#gid=1219811845"",""2026-27!o3"")"),21.0)</f>
        <v>21</v>
      </c>
      <c r="AD149" s="59">
        <f>IFERROR(__xludf.DUMMYFUNCTION("importrange(""https://docs.google.com/spreadsheets/d/1RIKtidqK6hOmuK0xqGl8SKK7KjTCUKiagqmfmuzZkFQ/edit?gid=1219811845#gid=1219811845"",""2026-27!p4"")"),1199981.0)</f>
        <v>1199981</v>
      </c>
      <c r="AE149" s="59">
        <f>IFERROR(__xludf.DUMMYFUNCTION("importrange(""https://docs.google.com/spreadsheets/d/1RIKtidqK6hOmuK0xqGl8SKK7KjTCUKiagqmfmuzZkFQ/edit?gid=1219811845#gid=1219811845"",""2026-27!p3"")"),71.0)</f>
        <v>71</v>
      </c>
      <c r="AF149" s="59">
        <f>IFERROR(__xludf.DUMMYFUNCTION("importrange(""https://docs.google.com/spreadsheets/d/1RIKtidqK6hOmuK0xqGl8SKK7KjTCUKiagqmfmuzZkFQ/edit?gid=1219811845#gid=1219811845"",""2026-27!q4"")"),1182565.11)</f>
        <v>1182565.11</v>
      </c>
      <c r="AG149" s="59">
        <f>IFERROR(__xludf.DUMMYFUNCTION("importrange(""https://docs.google.com/spreadsheets/d/1RIKtidqK6hOmuK0xqGl8SKK7KjTCUKiagqmfmuzZkFQ/edit?gid=1219811845#gid=1219811845"",""2026-27!q3"")"),35.0)</f>
        <v>35</v>
      </c>
      <c r="AH149" s="62">
        <f t="shared" si="134"/>
        <v>0.9856547729</v>
      </c>
      <c r="AI149" s="59">
        <f>IFERROR(__xludf.DUMMYFUNCTION("importrange(""https://docs.google.com/spreadsheets/d/1RIKtidqK6hOmuK0xqGl8SKK7KjTCUKiagqmfmuzZkFQ/edit?gid=1219811845#gid=1219811845"",""2026-27!r4"")"),1182767.0)</f>
        <v>1182767</v>
      </c>
      <c r="AJ149" s="59">
        <f>IFERROR(__xludf.DUMMYFUNCTION("importrange(""https://docs.google.com/spreadsheets/d/1RIKtidqK6hOmuK0xqGl8SKK7KjTCUKiagqmfmuzZkFQ/edit?gid=1219811845#gid=1219811845"",""2026-27!r3"")"),35.0)</f>
        <v>35</v>
      </c>
      <c r="AK149" s="59">
        <f>IFERROR(__xludf.DUMMYFUNCTION("importrange(""https://docs.google.com/spreadsheets/d/1RIKtidqK6hOmuK0xqGl8SKK7KjTCUKiagqmfmuzZkFQ/edit?gid=1219811845#gid=1219811845"",""2026-27!s4"")"),1199981.0)</f>
        <v>1199981</v>
      </c>
      <c r="AL149" s="59">
        <f>IFERROR(__xludf.DUMMYFUNCTION("importrange(""https://docs.google.com/spreadsheets/d/1RIKtidqK6hOmuK0xqGl8SKK7KjTCUKiagqmfmuzZkFQ/edit?gid=1219811845#gid=1219811845"",""2026-27!s3"")"),71.0)</f>
        <v>71</v>
      </c>
      <c r="AM149" s="61">
        <f>IFERROR(__xludf.DUMMYFUNCTION("importrange(""https://docs.google.com/spreadsheets/d/1RIKtidqK6hOmuK0xqGl8SKK7KjTCUKiagqmfmuzZkFQ/edit?gid=1219811845#gid=1219811845"",""2026-27!t4"")"),0.0)</f>
        <v>0</v>
      </c>
      <c r="AN149" s="59">
        <f>IFERROR(__xludf.DUMMYFUNCTION("importrange(""https://docs.google.com/spreadsheets/d/1RIKtidqK6hOmuK0xqGl8SKK7KjTCUKiagqmfmuzZkFQ/edit?gid=1219811845#gid=1219811845"",""2026-27!t3"")"),0.0)</f>
        <v>0</v>
      </c>
      <c r="AO149" s="62">
        <f t="shared" si="135"/>
        <v>0</v>
      </c>
      <c r="AP149" s="59">
        <f>IFERROR(__xludf.DUMMYFUNCTION("importrange(""https://docs.google.com/spreadsheets/d/1RIKtidqK6hOmuK0xqGl8SKK7KjTCUKiagqmfmuzZkFQ/edit?gid=1219811845#gid=1219811845"",""2026-27!u4"")"),0.0)</f>
        <v>0</v>
      </c>
      <c r="AQ149" s="59">
        <f>IFERROR(__xludf.DUMMYFUNCTION("importrange(""https://docs.google.com/spreadsheets/d/1RIKtidqK6hOmuK0xqGl8SKK7KjTCUKiagqmfmuzZkFQ/edit?gid=1219811845#gid=1219811845"",""2026-27!u3"")"),0.0)</f>
        <v>0</v>
      </c>
      <c r="AR149" s="59">
        <f>IFERROR(__xludf.DUMMYFUNCTION("importrange(""https://docs.google.com/spreadsheets/d/1RIKtidqK6hOmuK0xqGl8SKK7KjTCUKiagqmfmuzZkFQ/edit?gid=1219811845#gid=1219811845"",""2026-27!v4"")"),1199981.0)</f>
        <v>1199981</v>
      </c>
      <c r="AS149" s="59">
        <f>IFERROR(__xludf.DUMMYFUNCTION("importrange(""https://docs.google.com/spreadsheets/d/1RIKtidqK6hOmuK0xqGl8SKK7KjTCUKiagqmfmuzZkFQ/edit?gid=1219811845#gid=1219811845"",""2026-27!v3"")"),71.0)</f>
        <v>71</v>
      </c>
      <c r="AT149" s="61">
        <f>IFERROR(__xludf.DUMMYFUNCTION("importrange(""https://docs.google.com/spreadsheets/d/1RIKtidqK6hOmuK0xqGl8SKK7KjTCUKiagqmfmuzZkFQ/edit?gid=1219811845#gid=1219811845"",""2026-27!w4"")"),0.0)</f>
        <v>0</v>
      </c>
      <c r="AU149" s="59">
        <f>IFERROR(__xludf.DUMMYFUNCTION("importrange(""https://docs.google.com/spreadsheets/d/1RIKtidqK6hOmuK0xqGl8SKK7KjTCUKiagqmfmuzZkFQ/edit?gid=1219811845#gid=1219811845"",""2026-27!w3"")"),0.0)</f>
        <v>0</v>
      </c>
      <c r="AV149" s="62">
        <f t="shared" si="136"/>
        <v>0</v>
      </c>
      <c r="AW149" s="59">
        <f>IFERROR(__xludf.DUMMYFUNCTION("importrange(""https://docs.google.com/spreadsheets/d/1RIKtidqK6hOmuK0xqGl8SKK7KjTCUKiagqmfmuzZkFQ/edit?gid=1219811845#gid=1219811845"",""2026-27!x4"")"),0.0)</f>
        <v>0</v>
      </c>
      <c r="AX149" s="59">
        <f>IFERROR(__xludf.DUMMYFUNCTION("importrange(""https://docs.google.com/spreadsheets/d/1RIKtidqK6hOmuK0xqGl8SKK7KjTCUKiagqmfmuzZkFQ/edit?gid=1219811845#gid=1219811845"",""2026-27!x3"")"),0.0)</f>
        <v>0</v>
      </c>
      <c r="AY149" s="59">
        <f>IFERROR(__xludf.DUMMYFUNCTION("importrange(""https://docs.google.com/spreadsheets/d/1RIKtidqK6hOmuK0xqGl8SKK7KjTCUKiagqmfmuzZkFQ/edit?gid=1219811845#gid=1219811845"",""2026-27!y4"")"),1199981.0)</f>
        <v>1199981</v>
      </c>
      <c r="AZ149" s="59">
        <f>IFERROR(__xludf.DUMMYFUNCTION("importrange(""https://docs.google.com/spreadsheets/d/1RIKtidqK6hOmuK0xqGl8SKK7KjTCUKiagqmfmuzZkFQ/edit?gid=1219811845#gid=1219811845"",""2026-27!y3"")"),71.0)</f>
        <v>71</v>
      </c>
      <c r="BA149" s="61">
        <f>IFERROR(__xludf.DUMMYFUNCTION("importrange(""https://docs.google.com/spreadsheets/d/1RIKtidqK6hOmuK0xqGl8SKK7KjTCUKiagqmfmuzZkFQ/edit?gid=1219811845#gid=1219811845"",""2026-27!z4"")"),0.0)</f>
        <v>0</v>
      </c>
      <c r="BB149" s="59">
        <f>IFERROR(__xludf.DUMMYFUNCTION("importrange(""https://docs.google.com/spreadsheets/d/1RIKtidqK6hOmuK0xqGl8SKK7KjTCUKiagqmfmuzZkFQ/edit?gid=1219811845#gid=1219811845"",""2026-27!z3"")"),0.0)</f>
        <v>0</v>
      </c>
      <c r="BC149" s="63">
        <f t="shared" si="137"/>
        <v>0</v>
      </c>
      <c r="BD149" s="59">
        <f>IFERROR(__xludf.DUMMYFUNCTION("importrange(""https://docs.google.com/spreadsheets/d/1RIKtidqK6hOmuK0xqGl8SKK7KjTCUKiagqmfmuzZkFQ/edit?gid=1219811845#gid=1219811845"",""2026-27!aa4"")"),0.0)</f>
        <v>0</v>
      </c>
      <c r="BE149" s="59">
        <f>IFERROR(__xludf.DUMMYFUNCTION("importrange(""https://docs.google.com/spreadsheets/d/1RIKtidqK6hOmuK0xqGl8SKK7KjTCUKiagqmfmuzZkFQ/edit?gid=1219811845#gid=1219811845"",""2026-27!aa3"")"),0.0)</f>
        <v>0</v>
      </c>
      <c r="BF149" s="59">
        <f>IFERROR(__xludf.DUMMYFUNCTION("importrange(""https://docs.google.com/spreadsheets/d/1RIKtidqK6hOmuK0xqGl8SKK7KjTCUKiagqmfmuzZkFQ/edit?gid=1219811845#gid=1219811845"",""2026-27!ab4"")"),1199981.0)</f>
        <v>1199981</v>
      </c>
      <c r="BG149" s="59">
        <f>IFERROR(__xludf.DUMMYFUNCTION("importrange(""https://docs.google.com/spreadsheets/d/1RIKtidqK6hOmuK0xqGl8SKK7KjTCUKiagqmfmuzZkFQ/edit?gid=1219811845#gid=1219811845"",""2026-27!ab3"")"),71.0)</f>
        <v>71</v>
      </c>
      <c r="BH149" s="59">
        <f>IFERROR(__xludf.DUMMYFUNCTION("importrange(""https://docs.google.com/spreadsheets/d/1RIKtidqK6hOmuK0xqGl8SKK7KjTCUKiagqmfmuzZkFQ/edit?gid=1219811845#gid=1219811845"",""2026-27!ac4"")"),0.0)</f>
        <v>0</v>
      </c>
      <c r="BI149" s="59">
        <f>IFERROR(__xludf.DUMMYFUNCTION("importrange(""https://docs.google.com/spreadsheets/d/1RIKtidqK6hOmuK0xqGl8SKK7KjTCUKiagqmfmuzZkFQ/edit?gid=1219811845#gid=1219811845"",""2026-27!ac3"")"),0.0)</f>
        <v>0</v>
      </c>
      <c r="BJ149" s="63">
        <f t="shared" si="138"/>
        <v>0</v>
      </c>
      <c r="BK149" s="59">
        <f>IFERROR(__xludf.DUMMYFUNCTION("importrange(""https://docs.google.com/spreadsheets/d/1RIKtidqK6hOmuK0xqGl8SKK7KjTCUKiagqmfmuzZkFQ/edit?gid=1219811845#gid=1219811845"",""2026-27!ad4"")"),0.0)</f>
        <v>0</v>
      </c>
      <c r="BL149" s="59">
        <f>IFERROR(__xludf.DUMMYFUNCTION("importrange(""https://docs.google.com/spreadsheets/d/1RIKtidqK6hOmuK0xqGl8SKK7KjTCUKiagqmfmuzZkFQ/edit?gid=1219811845#gid=1219811845"",""2026-27!ad3"")"),0.0)</f>
        <v>0</v>
      </c>
      <c r="BM149" s="59">
        <f>IFERROR(__xludf.DUMMYFUNCTION("importrange(""https://docs.google.com/spreadsheets/d/1RIKtidqK6hOmuK0xqGl8SKK7KjTCUKiagqmfmuzZkFQ/edit?gid=1219811845#gid=1219811845"",""2026-27!ae4"")"),1199981.0)</f>
        <v>1199981</v>
      </c>
      <c r="BN149" s="59">
        <f>IFERROR(__xludf.DUMMYFUNCTION("importrange(""https://docs.google.com/spreadsheets/d/1RIKtidqK6hOmuK0xqGl8SKK7KjTCUKiagqmfmuzZkFQ/edit?gid=1219811845#gid=1219811845"",""2026-27!ae3"")"),71.0)</f>
        <v>71</v>
      </c>
      <c r="BO149" s="59">
        <f>IFERROR(__xludf.DUMMYFUNCTION("importrange(""https://docs.google.com/spreadsheets/d/1RIKtidqK6hOmuK0xqGl8SKK7KjTCUKiagqmfmuzZkFQ/edit?gid=1219811845#gid=1219811845"",""2026-27!af4"")"),0.0)</f>
        <v>0</v>
      </c>
      <c r="BP149" s="59">
        <f>IFERROR(__xludf.DUMMYFUNCTION("importrange(""https://docs.google.com/spreadsheets/d/1RIKtidqK6hOmuK0xqGl8SKK7KjTCUKiagqmfmuzZkFQ/edit?gid=1219811845#gid=1219811845"",""2026-27!af3"")"),0.0)</f>
        <v>0</v>
      </c>
      <c r="BQ149" s="63">
        <f t="shared" si="139"/>
        <v>0</v>
      </c>
      <c r="BR149" s="59">
        <f>IFERROR(__xludf.DUMMYFUNCTION("importrange(""https://docs.google.com/spreadsheets/d/1RIKtidqK6hOmuK0xqGl8SKK7KjTCUKiagqmfmuzZkFQ/edit?gid=1219811845#gid=1219811845"",""2026-27!ag4"")"),0.0)</f>
        <v>0</v>
      </c>
      <c r="BS149" s="59">
        <f>IFERROR(__xludf.DUMMYFUNCTION("importrange(""https://docs.google.com/spreadsheets/d/1RIKtidqK6hOmuK0xqGl8SKK7KjTCUKiagqmfmuzZkFQ/edit?gid=1219811845#gid=1219811845"",""2026-27!ag3"")"),0.0)</f>
        <v>0</v>
      </c>
      <c r="BT149" s="59">
        <f>IFERROR(__xludf.DUMMYFUNCTION("importrange(""https://docs.google.com/spreadsheets/d/1RIKtidqK6hOmuK0xqGl8SKK7KjTCUKiagqmfmuzZkFQ/edit?gid=1219811845#gid=1219811845"",""2026-27!ah4"")"),1199981.0)</f>
        <v>1199981</v>
      </c>
      <c r="BU149" s="59">
        <f>IFERROR(__xludf.DUMMYFUNCTION("importrange(""https://docs.google.com/spreadsheets/d/1RIKtidqK6hOmuK0xqGl8SKK7KjTCUKiagqmfmuzZkFQ/edit?gid=1219811845#gid=1219811845"",""2026-27!ah3"")"),71.0)</f>
        <v>71</v>
      </c>
      <c r="BV149" s="59">
        <f>IFERROR(__xludf.DUMMYFUNCTION("importrange(""https://docs.google.com/spreadsheets/d/1RIKtidqK6hOmuK0xqGl8SKK7KjTCUKiagqmfmuzZkFQ/edit?gid=1219811845#gid=1219811845"",""2026-27!ai4"")"),0.0)</f>
        <v>0</v>
      </c>
      <c r="BW149" s="59">
        <f>IFERROR(__xludf.DUMMYFUNCTION("importrange(""https://docs.google.com/spreadsheets/d/1RIKtidqK6hOmuK0xqGl8SKK7KjTCUKiagqmfmuzZkFQ/edit?gid=1219811845#gid=1219811845"",""2026-27!ai3"")"),0.0)</f>
        <v>0</v>
      </c>
      <c r="BX149" s="63">
        <f t="shared" si="140"/>
        <v>0</v>
      </c>
      <c r="BY149" s="59">
        <f>IFERROR(__xludf.DUMMYFUNCTION("importrange(""https://docs.google.com/spreadsheets/d/1RIKtidqK6hOmuK0xqGl8SKK7KjTCUKiagqmfmuzZkFQ/edit?gid=1219811845#gid=1219811845"",""2026-27!aj4"")"),0.0)</f>
        <v>0</v>
      </c>
      <c r="BZ149" s="59">
        <f>IFERROR(__xludf.DUMMYFUNCTION("importrange(""https://docs.google.com/spreadsheets/d/1RIKtidqK6hOmuK0xqGl8SKK7KjTCUKiagqmfmuzZkFQ/edit?gid=1219811845#gid=1219811845"",""2026-27!aj3"")"),0.0)</f>
        <v>0</v>
      </c>
      <c r="CA149" s="59">
        <f>IFERROR(__xludf.DUMMYFUNCTION("importrange(""https://docs.google.com/spreadsheets/d/1RIKtidqK6hOmuK0xqGl8SKK7KjTCUKiagqmfmuzZkFQ/edit?gid=1219811845#gid=1219811845"",""2026-27!ak4"")"),1199981.0)</f>
        <v>1199981</v>
      </c>
      <c r="CB149" s="59">
        <f>IFERROR(__xludf.DUMMYFUNCTION("importrange(""https://docs.google.com/spreadsheets/d/1RIKtidqK6hOmuK0xqGl8SKK7KjTCUKiagqmfmuzZkFQ/edit?gid=1219811845#gid=1219811845"",""2026-27!ak3"")"),71.0)</f>
        <v>71</v>
      </c>
      <c r="CC149" s="59">
        <f>IFERROR(__xludf.DUMMYFUNCTION("importrange(""https://docs.google.com/spreadsheets/d/1RIKtidqK6hOmuK0xqGl8SKK7KjTCUKiagqmfmuzZkFQ/edit?gid=1219811845#gid=1219811845"",""2026-27!al4"")"),0.0)</f>
        <v>0</v>
      </c>
      <c r="CD149" s="59">
        <f>IFERROR(__xludf.DUMMYFUNCTION("importrange(""https://docs.google.com/spreadsheets/d/1RIKtidqK6hOmuK0xqGl8SKK7KjTCUKiagqmfmuzZkFQ/edit?gid=1219811845#gid=1219811845"",""2026-27!ai3"")"),0.0)</f>
        <v>0</v>
      </c>
      <c r="CE149" s="63">
        <f t="shared" si="141"/>
        <v>0</v>
      </c>
      <c r="CF149" s="59">
        <f>IFERROR(__xludf.DUMMYFUNCTION("importrange(""https://docs.google.com/spreadsheets/d/1RIKtidqK6hOmuK0xqGl8SKK7KjTCUKiagqmfmuzZkFQ/edit?gid=1219811845#gid=1219811845"",""2026-27!am4"")"),0.0)</f>
        <v>0</v>
      </c>
      <c r="CG149" s="59">
        <f>IFERROR(__xludf.DUMMYFUNCTION("importrange(""https://docs.google.com/spreadsheets/d/1RIKtidqK6hOmuK0xqGl8SKK7KjTCUKiagqmfmuzZkFQ/edit?gid=1219811845#gid=1219811845"",""2026-27!am3"")"),0.0)</f>
        <v>0</v>
      </c>
      <c r="CH149" s="59">
        <f>IFERROR(__xludf.DUMMYFUNCTION("importrange(""https://docs.google.com/spreadsheets/d/1RIKtidqK6hOmuK0xqGl8SKK7KjTCUKiagqmfmuzZkFQ/edit?gid=1219811845#gid=1219811845"",""2026-27!an4"")"),1199981.0)</f>
        <v>1199981</v>
      </c>
      <c r="CI149" s="59">
        <f>IFERROR(__xludf.DUMMYFUNCTION("importrange(""https://docs.google.com/spreadsheets/d/1RIKtidqK6hOmuK0xqGl8SKK7KjTCUKiagqmfmuzZkFQ/edit?gid=1219811845#gid=1219811845"",""2026-27!an3"")"),71.0)</f>
        <v>71</v>
      </c>
      <c r="CJ149" s="59">
        <f>IFERROR(__xludf.DUMMYFUNCTION("importrange(""https://docs.google.com/spreadsheets/d/1RIKtidqK6hOmuK0xqGl8SKK7KjTCUKiagqmfmuzZkFQ/edit?gid=1219811845#gid=1219811845"",""2026-27!ao4"")"),0.0)</f>
        <v>0</v>
      </c>
      <c r="CK149" s="59">
        <f>IFERROR(__xludf.DUMMYFUNCTION("importrange(""https://docs.google.com/spreadsheets/d/1RIKtidqK6hOmuK0xqGl8SKK7KjTCUKiagqmfmuzZkFQ/edit?gid=1219811845#gid=1219811845"",""2026-27!ao3"")"),0.0)</f>
        <v>0</v>
      </c>
      <c r="CL149" s="63">
        <f t="shared" si="142"/>
        <v>0</v>
      </c>
      <c r="CM149" s="59">
        <f>IFERROR(__xludf.DUMMYFUNCTION("importrange(""https://docs.google.com/spreadsheets/d/1RIKtidqK6hOmuK0xqGl8SKK7KjTCUKiagqmfmuzZkFQ/edit?gid=1219811845#gid=1219811845"",""2026-27!ap4"")"),0.0)</f>
        <v>0</v>
      </c>
      <c r="CN149" s="59">
        <f>IFERROR(__xludf.DUMMYFUNCTION("importrange(""https://docs.google.com/spreadsheets/d/1RIKtidqK6hOmuK0xqGl8SKK7KjTCUKiagqmfmuzZkFQ/edit?gid=1219811845#gid=1219811845"",""2026-27!ap3"")"),0.0)</f>
        <v>0</v>
      </c>
      <c r="CO149" s="59">
        <f>IFERROR(__xludf.DUMMYFUNCTION("importrange(""https://docs.google.com/spreadsheets/d/1RIKtidqK6hOmuK0xqGl8SKK7KjTCUKiagqmfmuzZkFQ/edit?gid=1219811845#gid=1219811845"",""2026-27!aq4"")"),1187481.0)</f>
        <v>1187481</v>
      </c>
      <c r="CP149" s="59">
        <f>IFERROR(__xludf.DUMMYFUNCTION("importrange(""https://docs.google.com/spreadsheets/d/1RIKtidqK6hOmuK0xqGl8SKK7KjTCUKiagqmfmuzZkFQ/edit?gid=1219811845#gid=1219811845"",""2026-27!aq3"")"),70.0)</f>
        <v>70</v>
      </c>
      <c r="CQ149" s="59">
        <f>IFERROR(__xludf.DUMMYFUNCTION("importrange(""https://docs.google.com/spreadsheets/d/1RIKtidqK6hOmuK0xqGl8SKK7KjTCUKiagqmfmuzZkFQ/edit?gid=1219811845#gid=1219811845"",""2026-27!ar4"")"),0.0)</f>
        <v>0</v>
      </c>
      <c r="CR149" s="59">
        <f>IFERROR(__xludf.DUMMYFUNCTION("importrange(""https://docs.google.com/spreadsheets/d/1RIKtidqK6hOmuK0xqGl8SKK7KjTCUKiagqmfmuzZkFQ/edit?gid=1219811845#gid=1219811845"",""2026-27!ar3"")"),0.0)</f>
        <v>0</v>
      </c>
      <c r="CS149" s="63">
        <f t="shared" si="143"/>
        <v>0</v>
      </c>
      <c r="CT149" s="59">
        <f>IFERROR(__xludf.DUMMYFUNCTION("importrange(""https://docs.google.com/spreadsheets/d/1RIKtidqK6hOmuK0xqGl8SKK7KjTCUKiagqmfmuzZkFQ/edit?gid=1219811845#gid=1219811845"",""2026-27!as4"")"),0.0)</f>
        <v>0</v>
      </c>
      <c r="CU149" s="59">
        <f>IFERROR(__xludf.DUMMYFUNCTION("importrange(""https://docs.google.com/spreadsheets/d/1RIKtidqK6hOmuK0xqGl8SKK7KjTCUKiagqmfmuzZkFQ/edit?gid=1219811845#gid=1219811845"",""2026-27!as3"")"),0.0)</f>
        <v>0</v>
      </c>
      <c r="CV149" s="64"/>
    </row>
    <row r="150">
      <c r="A150" s="1" t="s">
        <v>273</v>
      </c>
      <c r="B150" s="41"/>
      <c r="C150" s="68" t="s">
        <v>290</v>
      </c>
      <c r="D150" s="72" t="s">
        <v>291</v>
      </c>
      <c r="E150" s="72">
        <v>7.757949647E9</v>
      </c>
      <c r="F150" s="84">
        <v>45778.0</v>
      </c>
      <c r="G150" s="66"/>
      <c r="H150" s="66"/>
      <c r="I150" s="57">
        <v>47173.0</v>
      </c>
      <c r="J150" s="58">
        <v>1400000.0</v>
      </c>
      <c r="K150" s="61">
        <f>IFERROR(__xludf.DUMMYFUNCTION("IMPORTRANGE(""https://docs.google.com/spreadsheets/d/1sSd36kbbelgYAPey114fqOQ7PNwz4uYjGlTg07byzOs/edit?gid=2120302259#gid=2120302259"",""2026-27!A3"")"),84.0)</f>
        <v>84</v>
      </c>
      <c r="L150" s="61">
        <f>IFERROR(__xludf.DUMMYFUNCTION("IMPORTRANGE(""https://docs.google.com/spreadsheets/d/1sSd36kbbelgYAPey114fqOQ7PNwz4uYjGlTg07byzOs/edit?gid=2120302259#gid=2120302259"",""2026-27!G4"")"),1.7E7)</f>
        <v>17000000</v>
      </c>
      <c r="M150" s="61">
        <f t="shared" si="129"/>
        <v>3231997.43</v>
      </c>
      <c r="N150" s="60">
        <f t="shared" si="130"/>
        <v>0.1901175882</v>
      </c>
      <c r="O150" s="61">
        <f t="shared" si="131"/>
        <v>3231999</v>
      </c>
      <c r="P150" s="59">
        <f>IFERROR(__xludf.DUMMYFUNCTION("IMPORTRANGE(""https://docs.google.com/spreadsheets/d/1sSd36kbbelgYAPey114fqOQ7PNwz4uYjGlTg07byzOs/edit?gid=2120302259#gid=2120302259"",""2026-27!J4"")"),725000.0)</f>
        <v>725000</v>
      </c>
      <c r="Q150" s="59">
        <f>IFERROR(__xludf.DUMMYFUNCTION("IMPORTRANGE(""https://docs.google.com/spreadsheets/d/1sSd36kbbelgYAPey114fqOQ7PNwz4uYjGlTg07byzOs/edit?gid=2120302259#gid=2120302259"",""2026-27!J3"")"),74.0)</f>
        <v>74</v>
      </c>
      <c r="R150" s="59">
        <f>IFERROR(__xludf.DUMMYFUNCTION("IMPORTRANGE(""https://docs.google.com/spreadsheets/d/1sSd36kbbelgYAPey114fqOQ7PNwz4uYjGlTg07byzOs/edit?gid=2120302259#gid=2120302259"",""2026-27!K4"")"),937243.7399999999)</f>
        <v>937243.74</v>
      </c>
      <c r="S150" s="59">
        <f>IFERROR(__xludf.DUMMYFUNCTION("IMPORTRANGE(""https://docs.google.com/spreadsheets/d/1sSd36kbbelgYAPey114fqOQ7PNwz4uYjGlTg07byzOs/edit?gid=2120302259#gid=2120302259"",""2026-27!K3"")"),20.0)</f>
        <v>20</v>
      </c>
      <c r="T150" s="62">
        <f t="shared" si="132"/>
        <v>1.292751724</v>
      </c>
      <c r="U150" s="59">
        <f>IFERROR(__xludf.DUMMYFUNCTION("IMPORTRANGE(""https://docs.google.com/spreadsheets/d/1sSd36kbbelgYAPey114fqOQ7PNwz4uYjGlTg07byzOs/edit?gid=2120302259#gid=2120302259"",""2026-27!L4"")"),937245.0)</f>
        <v>937245</v>
      </c>
      <c r="V150" s="85">
        <f>IFERROR(__xludf.DUMMYFUNCTION("IMPORTRANGE(""https://docs.google.com/spreadsheets/d/1sSd36kbbelgYAPey114fqOQ7PNwz4uYjGlTg07byzOs/edit?gid=2120302259#gid=2120302259"",""2026-27!L3"")"),20.0)</f>
        <v>20</v>
      </c>
      <c r="W150" s="59">
        <f>IFERROR(__xludf.DUMMYFUNCTION("IMPORTRANGE(""https://docs.google.com/spreadsheets/d/1sSd36kbbelgYAPey114fqOQ7PNwz4uYjGlTg07byzOs/edit?gid=2120302259#gid=2120302259"",""2026-27!M4"")"),755000.0)</f>
        <v>755000</v>
      </c>
      <c r="X150" s="85">
        <f>IFERROR(__xludf.DUMMYFUNCTION("IMPORTRANGE(""https://docs.google.com/spreadsheets/d/1sSd36kbbelgYAPey114fqOQ7PNwz4uYjGlTg07byzOs/edit?gid=2120302259#gid=2120302259"",""2026-27!M3"")"),74.0)</f>
        <v>74</v>
      </c>
      <c r="Y150" s="59">
        <f>IFERROR(__xludf.DUMMYFUNCTION("importrange(""https://docs.google.com/spreadsheets/d/1sSd36kbbelgYAPey114fqOQ7PNwz4uYjGlTg07byzOs/edit?gid=2120302259#gid=2120302259"",""2026-27!n4"")"),1032632.49)</f>
        <v>1032632.49</v>
      </c>
      <c r="Z150" s="59">
        <f>IFERROR(__xludf.DUMMYFUNCTION("importrange(""https://docs.google.com/spreadsheets/d/1sSd36kbbelgYAPey114fqOQ7PNwz4uYjGlTg07byzOs/edit?gid=2120302259#gid=2120302259"",""2026-27!n3"")"),18.0)</f>
        <v>18</v>
      </c>
      <c r="AA150" s="62">
        <f t="shared" si="133"/>
        <v>1.367724503</v>
      </c>
      <c r="AB150" s="59">
        <f>IFERROR(__xludf.DUMMYFUNCTION("importrange(""https://docs.google.com/spreadsheets/d/1sSd36kbbelgYAPey114fqOQ7PNwz4uYjGlTg07byzOs/edit?gid=2120302259#gid=2120302259"",""2026-27!o4"")"),1032632.0)</f>
        <v>1032632</v>
      </c>
      <c r="AC150" s="59">
        <f>IFERROR(__xludf.DUMMYFUNCTION("importrange(""https://docs.google.com/spreadsheets/d/1sSd36kbbelgYAPey114fqOQ7PNwz4uYjGlTg07byzOs/edit?gid=2120302259#gid=2120302259"",""2026-27!o3"")"),17.0)</f>
        <v>17</v>
      </c>
      <c r="AD150" s="59">
        <f>IFERROR(__xludf.DUMMYFUNCTION("importrange(""https://docs.google.com/spreadsheets/d/1sSd36kbbelgYAPey114fqOQ7PNwz4uYjGlTg07byzOs/edit?gid=2120302259#gid=2120302259"",""2026-27!p4"")"),1065000.0)</f>
        <v>1065000</v>
      </c>
      <c r="AE150" s="59">
        <f>IFERROR(__xludf.DUMMYFUNCTION("importrange(""https://docs.google.com/spreadsheets/d/1sSd36kbbelgYAPey114fqOQ7PNwz4uYjGlTg07byzOs/edit?gid=2120302259#gid=2120302259"",""2026-27!p3"")"),74.0)</f>
        <v>74</v>
      </c>
      <c r="AF150" s="59">
        <f>IFERROR(__xludf.DUMMYFUNCTION("importrange(""https://docs.google.com/spreadsheets/d/1sSd36kbbelgYAPey114fqOQ7PNwz4uYjGlTg07byzOs/edit?gid=2120302259#gid=2120302259"",""2026-27!q4"")"),1262121.2)</f>
        <v>1262121.2</v>
      </c>
      <c r="AG150" s="59">
        <f>IFERROR(__xludf.DUMMYFUNCTION("importrange(""https://docs.google.com/spreadsheets/d/1sSd36kbbelgYAPey114fqOQ7PNwz4uYjGlTg07byzOs/edit?gid=2120302259#gid=2120302259"",""2026-27!q3"")"),20.0)</f>
        <v>20</v>
      </c>
      <c r="AH150" s="62">
        <f t="shared" si="134"/>
        <v>1.18509108</v>
      </c>
      <c r="AI150" s="59">
        <f>IFERROR(__xludf.DUMMYFUNCTION("importrange(""https://docs.google.com/spreadsheets/d/1sSd36kbbelgYAPey114fqOQ7PNwz4uYjGlTg07byzOs/edit?gid=2120302259#gid=2120302259"",""2026-27!r4"")"),1262122.0)</f>
        <v>1262122</v>
      </c>
      <c r="AJ150" s="59">
        <f>IFERROR(__xludf.DUMMYFUNCTION("importrange(""https://docs.google.com/spreadsheets/d/1sSd36kbbelgYAPey114fqOQ7PNwz4uYjGlTg07byzOs/edit?gid=2120302259#gid=2120302259"",""2026-27!r3"")"),20.0)</f>
        <v>20</v>
      </c>
      <c r="AK150" s="59">
        <f>IFERROR(__xludf.DUMMYFUNCTION("importrange(""https://docs.google.com/spreadsheets/d/1sSd36kbbelgYAPey114fqOQ7PNwz4uYjGlTg07byzOs/edit?gid=2120302259#gid=2120302259"",""2026-27!s4"")"),915000.0)</f>
        <v>915000</v>
      </c>
      <c r="AL150" s="59">
        <f>IFERROR(__xludf.DUMMYFUNCTION("importrange(""https://docs.google.com/spreadsheets/d/1sSd36kbbelgYAPey114fqOQ7PNwz4uYjGlTg07byzOs/edit?gid=2120302259#gid=2120302259"",""2026-27!s3"")"),74.0)</f>
        <v>74</v>
      </c>
      <c r="AM150" s="61">
        <f>IFERROR(__xludf.DUMMYFUNCTION("importrange(""https://docs.google.com/spreadsheets/d/1sSd36kbbelgYAPey114fqOQ7PNwz4uYjGlTg07byzOs/edit?gid=2120302259#gid=2120302259"",""2026-27!t4"")"),0.0)</f>
        <v>0</v>
      </c>
      <c r="AN150" s="59">
        <f>IFERROR(__xludf.DUMMYFUNCTION("importrange(""https://docs.google.com/spreadsheets/d/1sSd36kbbelgYAPey114fqOQ7PNwz4uYjGlTg07byzOs/edit?gid=2120302259#gid=2120302259"",""2026-27!t3"")"),0.0)</f>
        <v>0</v>
      </c>
      <c r="AO150" s="62">
        <f t="shared" si="135"/>
        <v>0</v>
      </c>
      <c r="AP150" s="59">
        <f>IFERROR(__xludf.DUMMYFUNCTION("importrange(""https://docs.google.com/spreadsheets/d/1sSd36kbbelgYAPey114fqOQ7PNwz4uYjGlTg07byzOs/edit?gid=2120302259#gid=2120302259"",""2026-27!u4"")"),0.0)</f>
        <v>0</v>
      </c>
      <c r="AQ150" s="59">
        <f>IFERROR(__xludf.DUMMYFUNCTION("importrange(""https://docs.google.com/spreadsheets/d/1sSd36kbbelgYAPey114fqOQ7PNwz4uYjGlTg07byzOs/edit?gid=2120302259#gid=2120302259"",""2026-27!u3"")"),0.0)</f>
        <v>0</v>
      </c>
      <c r="AR150" s="59">
        <f>IFERROR(__xludf.DUMMYFUNCTION("importrange(""https://docs.google.com/spreadsheets/d/1sSd36kbbelgYAPey114fqOQ7PNwz4uYjGlTg07byzOs/edit?gid=2120302259#gid=2120302259"",""2026-27!v4"")"),1280000.0)</f>
        <v>1280000</v>
      </c>
      <c r="AS150" s="59">
        <f>IFERROR(__xludf.DUMMYFUNCTION("importrange(""https://docs.google.com/spreadsheets/d/1sSd36kbbelgYAPey114fqOQ7PNwz4uYjGlTg07byzOs/edit?gid=2120302259#gid=2120302259"",""2026-27!v3"")"),74.0)</f>
        <v>74</v>
      </c>
      <c r="AT150" s="61">
        <f>IFERROR(__xludf.DUMMYFUNCTION("importrange(""https://docs.google.com/spreadsheets/d/1sSd36kbbelgYAPey114fqOQ7PNwz4uYjGlTg07byzOs/edit?gid=2120302259#gid=2120302259"",""2026-27!w4"")"),0.0)</f>
        <v>0</v>
      </c>
      <c r="AU150" s="59">
        <f>IFERROR(__xludf.DUMMYFUNCTION("importrange(""https://docs.google.com/spreadsheets/d/1sSd36kbbelgYAPey114fqOQ7PNwz4uYjGlTg07byzOs/edit?gid=2120302259#gid=2120302259"",""2026-27!w3"")"),0.0)</f>
        <v>0</v>
      </c>
      <c r="AV150" s="62">
        <f t="shared" si="136"/>
        <v>0</v>
      </c>
      <c r="AW150" s="59">
        <f>IFERROR(__xludf.DUMMYFUNCTION("importrange(""https://docs.google.com/spreadsheets/d/1sSd36kbbelgYAPey114fqOQ7PNwz4uYjGlTg07byzOs/edit?gid=2120302259#gid=2120302259"",""2026-27!x4"")"),0.0)</f>
        <v>0</v>
      </c>
      <c r="AX150" s="59">
        <f>IFERROR(__xludf.DUMMYFUNCTION("importrange(""https://docs.google.com/spreadsheets/d/1sSd36kbbelgYAPey114fqOQ7PNwz4uYjGlTg07byzOs/edit?gid=2120302259#gid=2120302259"",""2026-27!x3"")"),0.0)</f>
        <v>0</v>
      </c>
      <c r="AY150" s="59">
        <f>IFERROR(__xludf.DUMMYFUNCTION("importrange(""https://docs.google.com/spreadsheets/d/1sSd36kbbelgYAPey114fqOQ7PNwz4uYjGlTg07byzOs/edit?gid=2120302259#gid=2120302259"",""2026-27!y4"")"),1310000.0)</f>
        <v>1310000</v>
      </c>
      <c r="AZ150" s="59">
        <f>IFERROR(__xludf.DUMMYFUNCTION("importrange(""https://docs.google.com/spreadsheets/d/1sSd36kbbelgYAPey114fqOQ7PNwz4uYjGlTg07byzOs/edit?gid=2120302259#gid=2120302259"",""2026-27!y3"")"),74.0)</f>
        <v>74</v>
      </c>
      <c r="BA150" s="61">
        <f>IFERROR(__xludf.DUMMYFUNCTION("importrange(""https://docs.google.com/spreadsheets/d/1sSd36kbbelgYAPey114fqOQ7PNwz4uYjGlTg07byzOs/edit?gid=2120302259#gid=2120302259"",""2026-27!z4"")"),0.0)</f>
        <v>0</v>
      </c>
      <c r="BB150" s="59">
        <f>IFERROR(__xludf.DUMMYFUNCTION("importrange(""https://docs.google.com/spreadsheets/d/1sSd36kbbelgYAPey114fqOQ7PNwz4uYjGlTg07byzOs/edit?gid=2120302259#gid=2120302259"",""2026-27!z3"")"),0.0)</f>
        <v>0</v>
      </c>
      <c r="BC150" s="63">
        <f t="shared" si="137"/>
        <v>0</v>
      </c>
      <c r="BD150" s="59">
        <f>IFERROR(__xludf.DUMMYFUNCTION("importrange(""https://docs.google.com/spreadsheets/d/1sSd36kbbelgYAPey114fqOQ7PNwz4uYjGlTg07byzOs/edit?gid=2120302259#gid=2120302259"",""2026-27!aa4"")"),0.0)</f>
        <v>0</v>
      </c>
      <c r="BE150" s="59">
        <f>IFERROR(__xludf.DUMMYFUNCTION("importrange(""https://docs.google.com/spreadsheets/d/1sSd36kbbelgYAPey114fqOQ7PNwz4uYjGlTg07byzOs/edit?gid=2120302259#gid=2120302259"",""2026-27!aa3"")"),0.0)</f>
        <v>0</v>
      </c>
      <c r="BF150" s="59">
        <f>IFERROR(__xludf.DUMMYFUNCTION("importrange(""https://docs.google.com/spreadsheets/d/1sSd36kbbelgYAPey114fqOQ7PNwz4uYjGlTg07byzOs/edit?gid=2120302259#gid=2120302259"",""2026-27!ab4"")"),1110000.0)</f>
        <v>1110000</v>
      </c>
      <c r="BG150" s="59">
        <f>IFERROR(__xludf.DUMMYFUNCTION("importrange(""https://docs.google.com/spreadsheets/d/1sSd36kbbelgYAPey114fqOQ7PNwz4uYjGlTg07byzOs/edit?gid=2120302259#gid=2120302259"",""2026-27!ab3"")"),74.0)</f>
        <v>74</v>
      </c>
      <c r="BH150" s="59">
        <f>IFERROR(__xludf.DUMMYFUNCTION("importrange(""https://docs.google.com/spreadsheets/d/1sSd36kbbelgYAPey114fqOQ7PNwz4uYjGlTg07byzOs/edit?gid=2120302259#gid=2120302259"",""2026-27!ac4"")"),0.0)</f>
        <v>0</v>
      </c>
      <c r="BI150" s="59">
        <f>IFERROR(__xludf.DUMMYFUNCTION("importrange(""https://docs.google.com/spreadsheets/d/1sSd36kbbelgYAPey114fqOQ7PNwz4uYjGlTg07byzOs/edit?gid=2120302259#gid=2120302259"",""2026-27!ac3"")"),0.0)</f>
        <v>0</v>
      </c>
      <c r="BJ150" s="63">
        <f t="shared" si="138"/>
        <v>0</v>
      </c>
      <c r="BK150" s="59">
        <f>IFERROR(__xludf.DUMMYFUNCTION("importrange(""https://docs.google.com/spreadsheets/d/1sSd36kbbelgYAPey114fqOQ7PNwz4uYjGlTg07byzOs/edit?gid=2120302259#gid=2120302259"",""2026-27!ad4"")"),0.0)</f>
        <v>0</v>
      </c>
      <c r="BL150" s="59">
        <f>IFERROR(__xludf.DUMMYFUNCTION("importrange(""https://docs.google.com/spreadsheets/d/1sSd36kbbelgYAPey114fqOQ7PNwz4uYjGlTg07byzOs/edit?gid=2120302259#gid=2120302259"",""2026-27!ad3"")"),0.0)</f>
        <v>0</v>
      </c>
      <c r="BM150" s="59">
        <f>IFERROR(__xludf.DUMMYFUNCTION("importrange(""https://docs.google.com/spreadsheets/d/1sSd36kbbelgYAPey114fqOQ7PNwz4uYjGlTg07byzOs/edit?gid=2120302259#gid=2120302259"",""2026-27!ae4"")"),1110000.0)</f>
        <v>1110000</v>
      </c>
      <c r="BN150" s="59">
        <f>IFERROR(__xludf.DUMMYFUNCTION("importrange(""https://docs.google.com/spreadsheets/d/1sSd36kbbelgYAPey114fqOQ7PNwz4uYjGlTg07byzOs/edit?gid=2120302259#gid=2120302259"",""2026-27!ae3"")"),74.0)</f>
        <v>74</v>
      </c>
      <c r="BO150" s="59">
        <f>IFERROR(__xludf.DUMMYFUNCTION("importrange(""https://docs.google.com/spreadsheets/d/1sSd36kbbelgYAPey114fqOQ7PNwz4uYjGlTg07byzOs/edit?gid=2120302259#gid=2120302259"",""2026-27!af4"")"),0.0)</f>
        <v>0</v>
      </c>
      <c r="BP150" s="59">
        <f>IFERROR(__xludf.DUMMYFUNCTION("importrange(""https://docs.google.com/spreadsheets/d/1sSd36kbbelgYAPey114fqOQ7PNwz4uYjGlTg07byzOs/edit?gid=2120302259#gid=2120302259"",""2026-27!af3"")"),0.0)</f>
        <v>0</v>
      </c>
      <c r="BQ150" s="63">
        <f t="shared" si="139"/>
        <v>0</v>
      </c>
      <c r="BR150" s="59">
        <f>IFERROR(__xludf.DUMMYFUNCTION("importrange(""https://docs.google.com/spreadsheets/d/1sSd36kbbelgYAPey114fqOQ7PNwz4uYjGlTg07byzOs/edit?gid=2120302259#gid=2120302259"",""2026-27!ag4"")"),0.0)</f>
        <v>0</v>
      </c>
      <c r="BS150" s="59">
        <f>IFERROR(__xludf.DUMMYFUNCTION("importrange(""https://docs.google.com/spreadsheets/d/1sSd36kbbelgYAPey114fqOQ7PNwz4uYjGlTg07byzOs/edit?gid=2120302259#gid=2120302259"",""2026-27!ag3"")"),0.0)</f>
        <v>0</v>
      </c>
      <c r="BT150" s="59">
        <f>IFERROR(__xludf.DUMMYFUNCTION("importrange(""https://docs.google.com/spreadsheets/d/1sSd36kbbelgYAPey114fqOQ7PNwz4uYjGlTg07byzOs/edit?gid=2120302259#gid=2120302259"",""2026-27!ah4"")"),2830000.0)</f>
        <v>2830000</v>
      </c>
      <c r="BU150" s="59">
        <f>IFERROR(__xludf.DUMMYFUNCTION("importrange(""https://docs.google.com/spreadsheets/d/1sSd36kbbelgYAPey114fqOQ7PNwz4uYjGlTg07byzOs/edit?gid=2120302259#gid=2120302259"",""2026-27!ah3"")"),74.0)</f>
        <v>74</v>
      </c>
      <c r="BV150" s="59">
        <f>IFERROR(__xludf.DUMMYFUNCTION("importrange(""https://docs.google.com/spreadsheets/d/1sSd36kbbelgYAPey114fqOQ7PNwz4uYjGlTg07byzOs/edit?gid=2120302259#gid=2120302259"",""2026-27!ai4"")"),0.0)</f>
        <v>0</v>
      </c>
      <c r="BW150" s="59">
        <f>IFERROR(__xludf.DUMMYFUNCTION("importrange(""https://docs.google.com/spreadsheets/d/1sSd36kbbelgYAPey114fqOQ7PNwz4uYjGlTg07byzOs/edit?gid=2120302259#gid=2120302259"",""2026-27!ai3"")"),0.0)</f>
        <v>0</v>
      </c>
      <c r="BX150" s="63">
        <f t="shared" si="140"/>
        <v>0</v>
      </c>
      <c r="BY150" s="59">
        <f>IFERROR(__xludf.DUMMYFUNCTION("importrange(""https://docs.google.com/spreadsheets/d/1sSd36kbbelgYAPey114fqOQ7PNwz4uYjGlTg07byzOs/edit?gid=2120302259#gid=2120302259"",""2026-27!aj4"")"),0.0)</f>
        <v>0</v>
      </c>
      <c r="BZ150" s="59">
        <f>IFERROR(__xludf.DUMMYFUNCTION("importrange(""https://docs.google.com/spreadsheets/d/1sSd36kbbelgYAPey114fqOQ7PNwz4uYjGlTg07byzOs/edit?gid=2120302259#gid=2120302259"",""2026-27!aj3"")"),0.0)</f>
        <v>0</v>
      </c>
      <c r="CA150" s="59">
        <f>IFERROR(__xludf.DUMMYFUNCTION("importrange(""https://docs.google.com/spreadsheets/d/1sSd36kbbelgYAPey114fqOQ7PNwz4uYjGlTg07byzOs/edit?gid=2120302259#gid=2120302259"",""2026-27!ak4"")"),1690000.0)</f>
        <v>1690000</v>
      </c>
      <c r="CB150" s="59">
        <f>IFERROR(__xludf.DUMMYFUNCTION("importrange(""https://docs.google.com/spreadsheets/d/1sSd36kbbelgYAPey114fqOQ7PNwz4uYjGlTg07byzOs/edit?gid=2120302259#gid=2120302259"",""2026-27!ak3"")"),74.0)</f>
        <v>74</v>
      </c>
      <c r="CC150" s="59">
        <f>IFERROR(__xludf.DUMMYFUNCTION("importrange(""https://docs.google.com/spreadsheets/d/1sSd36kbbelgYAPey114fqOQ7PNwz4uYjGlTg07byzOs/edit?gid=2120302259#gid=2120302259"",""2026-27!al4"")"),0.0)</f>
        <v>0</v>
      </c>
      <c r="CD150" s="59">
        <f>IFERROR(__xludf.DUMMYFUNCTION("importrange(""https://docs.google.com/spreadsheets/d/1sSd36kbbelgYAPey114fqOQ7PNwz4uYjGlTg07byzOs/edit?gid=2120302259#gid=2120302259"",""2026-27!ai3"")"),0.0)</f>
        <v>0</v>
      </c>
      <c r="CE150" s="63">
        <f t="shared" si="141"/>
        <v>0</v>
      </c>
      <c r="CF150" s="59">
        <f>IFERROR(__xludf.DUMMYFUNCTION("importrange(""https://docs.google.com/spreadsheets/d/1sSd36kbbelgYAPey114fqOQ7PNwz4uYjGlTg07byzOs/edit?gid=2120302259#gid=2120302259"",""2026-27!am4"")"),0.0)</f>
        <v>0</v>
      </c>
      <c r="CG150" s="59">
        <f>IFERROR(__xludf.DUMMYFUNCTION("importrange(""https://docs.google.com/spreadsheets/d/1sSd36kbbelgYAPey114fqOQ7PNwz4uYjGlTg07byzOs/edit?gid=2120302259#gid=2120302259"",""2026-27!am3"")"),0.0)</f>
        <v>0</v>
      </c>
      <c r="CH150" s="59">
        <f>IFERROR(__xludf.DUMMYFUNCTION("importrange(""https://docs.google.com/spreadsheets/d/1sSd36kbbelgYAPey114fqOQ7PNwz4uYjGlTg07byzOs/edit?gid=2120302259#gid=2120302259"",""2026-27!an4"")"),1905000.0)</f>
        <v>1905000</v>
      </c>
      <c r="CI150" s="59">
        <f>IFERROR(__xludf.DUMMYFUNCTION("importrange(""https://docs.google.com/spreadsheets/d/1sSd36kbbelgYAPey114fqOQ7PNwz4uYjGlTg07byzOs/edit?gid=2120302259#gid=2120302259"",""2026-27!an3"")"),74.0)</f>
        <v>74</v>
      </c>
      <c r="CJ150" s="59">
        <f>IFERROR(__xludf.DUMMYFUNCTION("importrange(""https://docs.google.com/spreadsheets/d/1sSd36kbbelgYAPey114fqOQ7PNwz4uYjGlTg07byzOs/edit?gid=2120302259#gid=2120302259"",""2026-27!ao4"")"),0.0)</f>
        <v>0</v>
      </c>
      <c r="CK150" s="59">
        <f>IFERROR(__xludf.DUMMYFUNCTION("importrange(""https://docs.google.com/spreadsheets/d/1sSd36kbbelgYAPey114fqOQ7PNwz4uYjGlTg07byzOs/edit?gid=2120302259#gid=2120302259"",""2026-27!ao3"")"),0.0)</f>
        <v>0</v>
      </c>
      <c r="CL150" s="63">
        <f t="shared" si="142"/>
        <v>0</v>
      </c>
      <c r="CM150" s="59">
        <f>IFERROR(__xludf.DUMMYFUNCTION("importrange(""https://docs.google.com/spreadsheets/d/1sSd36kbbelgYAPey114fqOQ7PNwz4uYjGlTg07byzOs/edit?gid=2120302259#gid=2120302259"",""2026-27!ap4"")"),0.0)</f>
        <v>0</v>
      </c>
      <c r="CN150" s="59">
        <f>IFERROR(__xludf.DUMMYFUNCTION("importrange(""https://docs.google.com/spreadsheets/d/1sSd36kbbelgYAPey114fqOQ7PNwz4uYjGlTg07byzOs/edit?gid=2120302259#gid=2120302259"",""2026-27!ap3"")"),0.0)</f>
        <v>0</v>
      </c>
      <c r="CO150" s="59">
        <f>IFERROR(__xludf.DUMMYFUNCTION("importrange(""https://docs.google.com/spreadsheets/d/1sSd36kbbelgYAPey114fqOQ7PNwz4uYjGlTg07byzOs/edit?gid=2120302259#gid=2120302259"",""2026-27!aq4"")"),2305000.0)</f>
        <v>2305000</v>
      </c>
      <c r="CP150" s="59">
        <f>IFERROR(__xludf.DUMMYFUNCTION("importrange(""https://docs.google.com/spreadsheets/d/1sSd36kbbelgYAPey114fqOQ7PNwz4uYjGlTg07byzOs/edit?gid=2120302259#gid=2120302259"",""2026-27!aq3"")"),74.0)</f>
        <v>74</v>
      </c>
      <c r="CQ150" s="59">
        <f>IFERROR(__xludf.DUMMYFUNCTION("importrange(""https://docs.google.com/spreadsheets/d/1sSd36kbbelgYAPey114fqOQ7PNwz4uYjGlTg07byzOs/edit?gid=2120302259#gid=2120302259"",""2026-27!ar4"")"),0.0)</f>
        <v>0</v>
      </c>
      <c r="CR150" s="59">
        <f>IFERROR(__xludf.DUMMYFUNCTION("importrange(""https://docs.google.com/spreadsheets/d/1sSd36kbbelgYAPey114fqOQ7PNwz4uYjGlTg07byzOs/edit?gid=2120302259#gid=2120302259"",""2026-27!ar3"")"),0.0)</f>
        <v>0</v>
      </c>
      <c r="CS150" s="63">
        <f t="shared" si="143"/>
        <v>0</v>
      </c>
      <c r="CT150" s="59">
        <f>IFERROR(__xludf.DUMMYFUNCTION("importrange(""https://docs.google.com/spreadsheets/d/1sSd36kbbelgYAPey114fqOQ7PNwz4uYjGlTg07byzOs/edit?gid=2120302259#gid=2120302259"",""2026-27!as4"")"),0.0)</f>
        <v>0</v>
      </c>
      <c r="CU150" s="59">
        <f>IFERROR(__xludf.DUMMYFUNCTION("importrange(""https://docs.google.com/spreadsheets/d/1sSd36kbbelgYAPey114fqOQ7PNwz4uYjGlTg07byzOs/edit?gid=2120302259#gid=2120302259"",""2026-27!as3"")"),0.0)</f>
        <v>0</v>
      </c>
      <c r="CV150" s="64"/>
    </row>
    <row r="151">
      <c r="A151" s="1" t="s">
        <v>273</v>
      </c>
      <c r="B151" s="41"/>
      <c r="C151" s="112" t="s">
        <v>292</v>
      </c>
      <c r="D151" s="53" t="s">
        <v>293</v>
      </c>
      <c r="E151" s="54">
        <v>9.665082509E9</v>
      </c>
      <c r="F151" s="88">
        <v>45887.0</v>
      </c>
      <c r="G151" s="81"/>
      <c r="H151" s="81"/>
      <c r="I151" s="89">
        <v>40885.0</v>
      </c>
      <c r="J151" s="58">
        <v>1300000.0</v>
      </c>
      <c r="K151" s="61">
        <f>IFERROR(__xludf.DUMMYFUNCTION("IMPORTRANGE(""https://docs.google.com/spreadsheets/d/1Q5bLMdU-xURO8V0-x3r5xNyq88vnfkNPCQ3hu_xHIsU/edit?gid=162659938#gid=162659938"",""2026-27!A3"")"),45.0)</f>
        <v>45</v>
      </c>
      <c r="L151" s="61">
        <f>IFERROR(__xludf.DUMMYFUNCTION("IMPORTRANGE(""https://docs.google.com/spreadsheets/d/1Q5bLMdU-xURO8V0-x3r5xNyq88vnfkNPCQ3hu_xHIsU/edit?gid=162659938#gid=162659938"",""2026-27!G4"")"),1.303E7)</f>
        <v>13030000</v>
      </c>
      <c r="M151" s="61">
        <f t="shared" si="129"/>
        <v>1384043.64</v>
      </c>
      <c r="N151" s="60">
        <f t="shared" si="130"/>
        <v>0.1757258634</v>
      </c>
      <c r="O151" s="61">
        <f t="shared" si="131"/>
        <v>2289708</v>
      </c>
      <c r="P151" s="59">
        <f>IFERROR(__xludf.DUMMYFUNCTION("IMPORTRANGE(""https://docs.google.com/spreadsheets/d/1Q5bLMdU-xURO8V0-x3r5xNyq88vnfkNPCQ3hu_xHIsU/edit?gid=162659938#gid=162659938"",""2026-27!J4"")"),1060000.0)</f>
        <v>1060000</v>
      </c>
      <c r="Q151" s="59">
        <f>IFERROR(__xludf.DUMMYFUNCTION("IMPORTRANGE(""https://docs.google.com/spreadsheets/d/1Q5bLMdU-xURO8V0-x3r5xNyq88vnfkNPCQ3hu_xHIsU/edit?gid=162659938#gid=162659938"",""2026-27!J3"")"),29.0)</f>
        <v>29</v>
      </c>
      <c r="R151" s="59">
        <f>IFERROR(__xludf.DUMMYFUNCTION("IMPORTRANGE(""https://docs.google.com/spreadsheets/d/1Q5bLMdU-xURO8V0-x3r5xNyq88vnfkNPCQ3hu_xHIsU/edit?gid=162659938#gid=162659938"",""2026-27!K4"")"),345326.8)</f>
        <v>345326.8</v>
      </c>
      <c r="S151" s="59">
        <f>IFERROR(__xludf.DUMMYFUNCTION("IMPORTRANGE(""https://docs.google.com/spreadsheets/d/1Q5bLMdU-xURO8V0-x3r5xNyq88vnfkNPCQ3hu_xHIsU/edit?gid=162659938#gid=162659938"",""2026-27!K3"")"),11.0)</f>
        <v>11</v>
      </c>
      <c r="T151" s="62">
        <f t="shared" si="132"/>
        <v>0.5825688679</v>
      </c>
      <c r="U151" s="59">
        <f>IFERROR(__xludf.DUMMYFUNCTION("IMPORTRANGE(""https://docs.google.com/spreadsheets/d/1Q5bLMdU-xURO8V0-x3r5xNyq88vnfkNPCQ3hu_xHIsU/edit?gid=162659938#gid=162659938"",""2026-27!L4"")"),617523.0)</f>
        <v>617523</v>
      </c>
      <c r="V151" s="85">
        <f>IFERROR(__xludf.DUMMYFUNCTION("IMPORTRANGE(""https://docs.google.com/spreadsheets/d/1Q5bLMdU-xURO8V0-x3r5xNyq88vnfkNPCQ3hu_xHIsU/edit?gid=162659938#gid=162659938"",""2026-27!L3"")"),20.0)</f>
        <v>20</v>
      </c>
      <c r="W151" s="59">
        <f>IFERROR(__xludf.DUMMYFUNCTION("IMPORTRANGE(""https://docs.google.com/spreadsheets/d/1Q5bLMdU-xURO8V0-x3r5xNyq88vnfkNPCQ3hu_xHIsU/edit?gid=162659938#gid=162659938"",""2026-27!M4"")"),1060000.0)</f>
        <v>1060000</v>
      </c>
      <c r="X151" s="85">
        <f>IFERROR(__xludf.DUMMYFUNCTION("IMPORTRANGE(""https://docs.google.com/spreadsheets/d/1Q5bLMdU-xURO8V0-x3r5xNyq88vnfkNPCQ3hu_xHIsU/edit?gid=162659938#gid=162659938"",""2026-27!M3"")"),29.0)</f>
        <v>29</v>
      </c>
      <c r="Y151" s="59">
        <f>IFERROR(__xludf.DUMMYFUNCTION("importrange(""https://docs.google.com/spreadsheets/d/1Q5bLMdU-xURO8V0-x3r5xNyq88vnfkNPCQ3hu_xHIsU/edit?gid=162659938#gid=162659938"",""2026-27!n4"")"),617094.3)</f>
        <v>617094.3</v>
      </c>
      <c r="Z151" s="59">
        <f>IFERROR(__xludf.DUMMYFUNCTION("importrange(""https://docs.google.com/spreadsheets/d/1Q5bLMdU-xURO8V0-x3r5xNyq88vnfkNPCQ3hu_xHIsU/edit?gid=162659938#gid=162659938"",""2026-27!n3"")"),13.0)</f>
        <v>13</v>
      </c>
      <c r="AA151" s="62">
        <f t="shared" si="133"/>
        <v>0.597840566</v>
      </c>
      <c r="AB151" s="59">
        <f>IFERROR(__xludf.DUMMYFUNCTION("importrange(""https://docs.google.com/spreadsheets/d/1Q5bLMdU-xURO8V0-x3r5xNyq88vnfkNPCQ3hu_xHIsU/edit?gid=162659938#gid=162659938"",""2026-27!o4"")"),633711.0)</f>
        <v>633711</v>
      </c>
      <c r="AC151" s="59">
        <f>IFERROR(__xludf.DUMMYFUNCTION("importrange(""https://docs.google.com/spreadsheets/d/1Q5bLMdU-xURO8V0-x3r5xNyq88vnfkNPCQ3hu_xHIsU/edit?gid=162659938#gid=162659938"",""2026-27!o3"")"),13.0)</f>
        <v>13</v>
      </c>
      <c r="AD151" s="59">
        <f>IFERROR(__xludf.DUMMYFUNCTION("importrange(""https://docs.google.com/spreadsheets/d/1Q5bLMdU-xURO8V0-x3r5xNyq88vnfkNPCQ3hu_xHIsU/edit?gid=162659938#gid=162659938"",""2026-27!p4"")"),1060000.0)</f>
        <v>1060000</v>
      </c>
      <c r="AE151" s="59">
        <f>IFERROR(__xludf.DUMMYFUNCTION("importrange(""https://docs.google.com/spreadsheets/d/1Q5bLMdU-xURO8V0-x3r5xNyq88vnfkNPCQ3hu_xHIsU/edit?gid=162659938#gid=162659938"",""2026-27!p3"")"),29.0)</f>
        <v>29</v>
      </c>
      <c r="AF151" s="59">
        <f>IFERROR(__xludf.DUMMYFUNCTION("importrange(""https://docs.google.com/spreadsheets/d/1Q5bLMdU-xURO8V0-x3r5xNyq88vnfkNPCQ3hu_xHIsU/edit?gid=162659938#gid=162659938"",""2026-27!q4"")"),421622.54)</f>
        <v>421622.54</v>
      </c>
      <c r="AG151" s="59">
        <f>IFERROR(__xludf.DUMMYFUNCTION("importrange(""https://docs.google.com/spreadsheets/d/1Q5bLMdU-xURO8V0-x3r5xNyq88vnfkNPCQ3hu_xHIsU/edit?gid=162659938#gid=162659938"",""2026-27!q3"")"),10.0)</f>
        <v>10</v>
      </c>
      <c r="AH151" s="62">
        <f t="shared" si="134"/>
        <v>0.4898462264</v>
      </c>
      <c r="AI151" s="59">
        <f>IFERROR(__xludf.DUMMYFUNCTION("importrange(""https://docs.google.com/spreadsheets/d/1Q5bLMdU-xURO8V0-x3r5xNyq88vnfkNPCQ3hu_xHIsU/edit?gid=162659938#gid=162659938"",""2026-27!r4"")"),519237.0)</f>
        <v>519237</v>
      </c>
      <c r="AJ151" s="59">
        <f>IFERROR(__xludf.DUMMYFUNCTION("importrange(""https://docs.google.com/spreadsheets/d/1Q5bLMdU-xURO8V0-x3r5xNyq88vnfkNPCQ3hu_xHIsU/edit?gid=162659938#gid=162659938"",""2026-27!r3"")"),13.0)</f>
        <v>13</v>
      </c>
      <c r="AK151" s="59">
        <f>IFERROR(__xludf.DUMMYFUNCTION("importrange(""https://docs.google.com/spreadsheets/d/1Q5bLMdU-xURO8V0-x3r5xNyq88vnfkNPCQ3hu_xHIsU/edit?gid=162659938#gid=162659938"",""2026-27!s4"")"),1310000.0)</f>
        <v>1310000</v>
      </c>
      <c r="AL151" s="59">
        <f>IFERROR(__xludf.DUMMYFUNCTION("importrange(""https://docs.google.com/spreadsheets/d/1Q5bLMdU-xURO8V0-x3r5xNyq88vnfkNPCQ3hu_xHIsU/edit?gid=162659938#gid=162659938"",""2026-27!s3"")"),30.0)</f>
        <v>30</v>
      </c>
      <c r="AM151" s="61">
        <f>IFERROR(__xludf.DUMMYFUNCTION("importrange(""https://docs.google.com/spreadsheets/d/1Q5bLMdU-xURO8V0-x3r5xNyq88vnfkNPCQ3hu_xHIsU/edit?gid=162659938#gid=162659938"",""2026-27!t4"")"),0.0)</f>
        <v>0</v>
      </c>
      <c r="AN151" s="59">
        <f>IFERROR(__xludf.DUMMYFUNCTION("importrange(""https://docs.google.com/spreadsheets/d/1Q5bLMdU-xURO8V0-x3r5xNyq88vnfkNPCQ3hu_xHIsU/edit?gid=162659938#gid=162659938"",""2026-27!t3"")"),0.0)</f>
        <v>0</v>
      </c>
      <c r="AO151" s="62">
        <f t="shared" si="135"/>
        <v>0.3963641221</v>
      </c>
      <c r="AP151" s="59">
        <f>IFERROR(__xludf.DUMMYFUNCTION("importrange(""https://docs.google.com/spreadsheets/d/1Q5bLMdU-xURO8V0-x3r5xNyq88vnfkNPCQ3hu_xHIsU/edit?gid=162659938#gid=162659938"",""2026-27!u4"")"),519237.0)</f>
        <v>519237</v>
      </c>
      <c r="AQ151" s="59">
        <f>IFERROR(__xludf.DUMMYFUNCTION("importrange(""https://docs.google.com/spreadsheets/d/1Q5bLMdU-xURO8V0-x3r5xNyq88vnfkNPCQ3hu_xHIsU/edit?gid=162659938#gid=162659938"",""2026-27!u3"")"),13.0)</f>
        <v>13</v>
      </c>
      <c r="AR151" s="59">
        <f>IFERROR(__xludf.DUMMYFUNCTION("importrange(""https://docs.google.com/spreadsheets/d/1Q5bLMdU-xURO8V0-x3r5xNyq88vnfkNPCQ3hu_xHIsU/edit?gid=162659938#gid=162659938"",""2026-27!v4"")"),0.0)</f>
        <v>0</v>
      </c>
      <c r="AS151" s="59">
        <f>IFERROR(__xludf.DUMMYFUNCTION("importrange(""https://docs.google.com/spreadsheets/d/1Q5bLMdU-xURO8V0-x3r5xNyq88vnfkNPCQ3hu_xHIsU/edit?gid=162659938#gid=162659938"",""2026-27!v3"")"),0.0)</f>
        <v>0</v>
      </c>
      <c r="AT151" s="61">
        <f>IFERROR(__xludf.DUMMYFUNCTION("importrange(""https://docs.google.com/spreadsheets/d/1Q5bLMdU-xURO8V0-x3r5xNyq88vnfkNPCQ3hu_xHIsU/edit?gid=162659938#gid=162659938"",""2026-27!w4"")"),0.0)</f>
        <v>0</v>
      </c>
      <c r="AU151" s="59">
        <f>IFERROR(__xludf.DUMMYFUNCTION("importrange(""https://docs.google.com/spreadsheets/d/1Q5bLMdU-xURO8V0-x3r5xNyq88vnfkNPCQ3hu_xHIsU/edit?gid=162659938#gid=162659938"",""2026-27!w3"")"),0.0)</f>
        <v>0</v>
      </c>
      <c r="AV151" s="62" t="str">
        <f t="shared" si="136"/>
        <v/>
      </c>
      <c r="AW151" s="59">
        <f>IFERROR(__xludf.DUMMYFUNCTION("importrange(""https://docs.google.com/spreadsheets/d/1Q5bLMdU-xURO8V0-x3r5xNyq88vnfkNPCQ3hu_xHIsU/edit?gid=162659938#gid=162659938"",""2026-27!x4"")"),0.0)</f>
        <v>0</v>
      </c>
      <c r="AX151" s="59">
        <f>IFERROR(__xludf.DUMMYFUNCTION("importrange(""https://docs.google.com/spreadsheets/d/1Q5bLMdU-xURO8V0-x3r5xNyq88vnfkNPCQ3hu_xHIsU/edit?gid=162659938#gid=162659938"",""2026-27!x3"")"),0.0)</f>
        <v>0</v>
      </c>
      <c r="AY151" s="59">
        <f>IFERROR(__xludf.DUMMYFUNCTION("importrange(""https://docs.google.com/spreadsheets/d/1Q5bLMdU-xURO8V0-x3r5xNyq88vnfkNPCQ3hu_xHIsU/edit?gid=162659938#gid=162659938"",""2026-27!y4"")"),0.0)</f>
        <v>0</v>
      </c>
      <c r="AZ151" s="59">
        <f>IFERROR(__xludf.DUMMYFUNCTION("importrange(""https://docs.google.com/spreadsheets/d/1Q5bLMdU-xURO8V0-x3r5xNyq88vnfkNPCQ3hu_xHIsU/edit?gid=162659938#gid=162659938"",""2026-27!y3"")"),0.0)</f>
        <v>0</v>
      </c>
      <c r="BA151" s="61">
        <f>IFERROR(__xludf.DUMMYFUNCTION("importrange(""https://docs.google.com/spreadsheets/d/1Q5bLMdU-xURO8V0-x3r5xNyq88vnfkNPCQ3hu_xHIsU/edit?gid=162659938#gid=162659938"",""2026-27!z4"")"),0.0)</f>
        <v>0</v>
      </c>
      <c r="BB151" s="59">
        <f>IFERROR(__xludf.DUMMYFUNCTION("importrange(""https://docs.google.com/spreadsheets/d/1Q5bLMdU-xURO8V0-x3r5xNyq88vnfkNPCQ3hu_xHIsU/edit?gid=162659938#gid=162659938"",""2026-27!z3"")"),0.0)</f>
        <v>0</v>
      </c>
      <c r="BC151" s="63" t="str">
        <f t="shared" si="137"/>
        <v/>
      </c>
      <c r="BD151" s="59">
        <f>IFERROR(__xludf.DUMMYFUNCTION("importrange(""https://docs.google.com/spreadsheets/d/1Q5bLMdU-xURO8V0-x3r5xNyq88vnfkNPCQ3hu_xHIsU/edit?gid=162659938#gid=162659938"",""2026-27!aa4"")"),0.0)</f>
        <v>0</v>
      </c>
      <c r="BE151" s="59">
        <f>IFERROR(__xludf.DUMMYFUNCTION("importrange(""https://docs.google.com/spreadsheets/d/1Q5bLMdU-xURO8V0-x3r5xNyq88vnfkNPCQ3hu_xHIsU/edit?gid=162659938#gid=162659938"",""2026-27!aa3"")"),0.0)</f>
        <v>0</v>
      </c>
      <c r="BF151" s="59">
        <f>IFERROR(__xludf.DUMMYFUNCTION("importrange(""https://docs.google.com/spreadsheets/d/1Q5bLMdU-xURO8V0-x3r5xNyq88vnfkNPCQ3hu_xHIsU/edit?gid=162659938#gid=162659938"",""2026-27!ab4"")"),0.0)</f>
        <v>0</v>
      </c>
      <c r="BG151" s="59">
        <f>IFERROR(__xludf.DUMMYFUNCTION("importrange(""https://docs.google.com/spreadsheets/d/1Q5bLMdU-xURO8V0-x3r5xNyq88vnfkNPCQ3hu_xHIsU/edit?gid=162659938#gid=162659938"",""2026-27!ab3"")"),0.0)</f>
        <v>0</v>
      </c>
      <c r="BH151" s="59">
        <f>IFERROR(__xludf.DUMMYFUNCTION("importrange(""https://docs.google.com/spreadsheets/d/1Q5bLMdU-xURO8V0-x3r5xNyq88vnfkNPCQ3hu_xHIsU/edit?gid=162659938#gid=162659938"",""2026-27!ac4"")"),0.0)</f>
        <v>0</v>
      </c>
      <c r="BI151" s="59">
        <f>IFERROR(__xludf.DUMMYFUNCTION("importrange(""https://docs.google.com/spreadsheets/d/1Q5bLMdU-xURO8V0-x3r5xNyq88vnfkNPCQ3hu_xHIsU/edit?gid=162659938#gid=162659938"",""2026-27!ac3"")"),0.0)</f>
        <v>0</v>
      </c>
      <c r="BJ151" s="63" t="str">
        <f t="shared" si="138"/>
        <v/>
      </c>
      <c r="BK151" s="59">
        <f>IFERROR(__xludf.DUMMYFUNCTION("importrange(""https://docs.google.com/spreadsheets/d/1Q5bLMdU-xURO8V0-x3r5xNyq88vnfkNPCQ3hu_xHIsU/edit?gid=162659938#gid=162659938"",""2026-27!ad4"")"),0.0)</f>
        <v>0</v>
      </c>
      <c r="BL151" s="59">
        <f>IFERROR(__xludf.DUMMYFUNCTION("importrange(""https://docs.google.com/spreadsheets/d/1Q5bLMdU-xURO8V0-x3r5xNyq88vnfkNPCQ3hu_xHIsU/edit?gid=162659938#gid=162659938"",""2026-27!ad3"")"),0.0)</f>
        <v>0</v>
      </c>
      <c r="BM151" s="59">
        <f>IFERROR(__xludf.DUMMYFUNCTION("importrange(""https://docs.google.com/spreadsheets/d/1Q5bLMdU-xURO8V0-x3r5xNyq88vnfkNPCQ3hu_xHIsU/edit?gid=162659938#gid=162659938"",""2026-27!ae4"")"),0.0)</f>
        <v>0</v>
      </c>
      <c r="BN151" s="59">
        <f>IFERROR(__xludf.DUMMYFUNCTION("importrange(""https://docs.google.com/spreadsheets/d/1Q5bLMdU-xURO8V0-x3r5xNyq88vnfkNPCQ3hu_xHIsU/edit?gid=162659938#gid=162659938"",""2026-27!ae3"")"),0.0)</f>
        <v>0</v>
      </c>
      <c r="BO151" s="59">
        <f>IFERROR(__xludf.DUMMYFUNCTION("importrange(""https://docs.google.com/spreadsheets/d/1Q5bLMdU-xURO8V0-x3r5xNyq88vnfkNPCQ3hu_xHIsU/edit?gid=162659938#gid=162659938"",""2026-27!af4"")"),0.0)</f>
        <v>0</v>
      </c>
      <c r="BP151" s="59">
        <f>IFERROR(__xludf.DUMMYFUNCTION("importrange(""https://docs.google.com/spreadsheets/d/1Q5bLMdU-xURO8V0-x3r5xNyq88vnfkNPCQ3hu_xHIsU/edit?gid=162659938#gid=162659938"",""2026-27!af3"")"),0.0)</f>
        <v>0</v>
      </c>
      <c r="BQ151" s="63" t="str">
        <f t="shared" si="139"/>
        <v/>
      </c>
      <c r="BR151" s="59">
        <f>IFERROR(__xludf.DUMMYFUNCTION("importrange(""https://docs.google.com/spreadsheets/d/1Q5bLMdU-xURO8V0-x3r5xNyq88vnfkNPCQ3hu_xHIsU/edit?gid=162659938#gid=162659938"",""2026-27!ag4"")"),0.0)</f>
        <v>0</v>
      </c>
      <c r="BS151" s="59">
        <f>IFERROR(__xludf.DUMMYFUNCTION("importrange(""https://docs.google.com/spreadsheets/d/1Q5bLMdU-xURO8V0-x3r5xNyq88vnfkNPCQ3hu_xHIsU/edit?gid=162659938#gid=162659938"",""2026-27!ag3"")"),0.0)</f>
        <v>0</v>
      </c>
      <c r="BT151" s="59">
        <f>IFERROR(__xludf.DUMMYFUNCTION("importrange(""https://docs.google.com/spreadsheets/d/1Q5bLMdU-xURO8V0-x3r5xNyq88vnfkNPCQ3hu_xHIsU/edit?gid=162659938#gid=162659938"",""2026-27!ah4"")"),0.0)</f>
        <v>0</v>
      </c>
      <c r="BU151" s="59">
        <f>IFERROR(__xludf.DUMMYFUNCTION("importrange(""https://docs.google.com/spreadsheets/d/1Q5bLMdU-xURO8V0-x3r5xNyq88vnfkNPCQ3hu_xHIsU/edit?gid=162659938#gid=162659938"",""2026-27!ah3"")"),0.0)</f>
        <v>0</v>
      </c>
      <c r="BV151" s="59">
        <f>IFERROR(__xludf.DUMMYFUNCTION("importrange(""https://docs.google.com/spreadsheets/d/1Q5bLMdU-xURO8V0-x3r5xNyq88vnfkNPCQ3hu_xHIsU/edit?gid=162659938#gid=162659938"",""2026-27!ai4"")"),0.0)</f>
        <v>0</v>
      </c>
      <c r="BW151" s="59">
        <f>IFERROR(__xludf.DUMMYFUNCTION("importrange(""https://docs.google.com/spreadsheets/d/1Q5bLMdU-xURO8V0-x3r5xNyq88vnfkNPCQ3hu_xHIsU/edit?gid=162659938#gid=162659938"",""2026-27!ai3"")"),0.0)</f>
        <v>0</v>
      </c>
      <c r="BX151" s="63" t="str">
        <f t="shared" si="140"/>
        <v/>
      </c>
      <c r="BY151" s="59">
        <f>IFERROR(__xludf.DUMMYFUNCTION("importrange(""https://docs.google.com/spreadsheets/d/1Q5bLMdU-xURO8V0-x3r5xNyq88vnfkNPCQ3hu_xHIsU/edit?gid=162659938#gid=162659938"",""2026-27!aj4"")"),0.0)</f>
        <v>0</v>
      </c>
      <c r="BZ151" s="59">
        <f>IFERROR(__xludf.DUMMYFUNCTION("importrange(""https://docs.google.com/spreadsheets/d/1Q5bLMdU-xURO8V0-x3r5xNyq88vnfkNPCQ3hu_xHIsU/edit?gid=162659938#gid=162659938"",""2026-27!aj3"")"),0.0)</f>
        <v>0</v>
      </c>
      <c r="CA151" s="59">
        <f>IFERROR(__xludf.DUMMYFUNCTION("importrange(""https://docs.google.com/spreadsheets/d/1Q5bLMdU-xURO8V0-x3r5xNyq88vnfkNPCQ3hu_xHIsU/edit?gid=162659938#gid=162659938"",""2026-27!ak4"")"),0.0)</f>
        <v>0</v>
      </c>
      <c r="CB151" s="59">
        <f>IFERROR(__xludf.DUMMYFUNCTION("importrange(""https://docs.google.com/spreadsheets/d/1Q5bLMdU-xURO8V0-x3r5xNyq88vnfkNPCQ3hu_xHIsU/edit?gid=162659938#gid=162659938"",""2026-27!ak3"")"),0.0)</f>
        <v>0</v>
      </c>
      <c r="CC151" s="59">
        <f>IFERROR(__xludf.DUMMYFUNCTION("importrange(""https://docs.google.com/spreadsheets/d/1Q5bLMdU-xURO8V0-x3r5xNyq88vnfkNPCQ3hu_xHIsU/edit?gid=162659938#gid=162659938"",""2026-27!al4"")"),0.0)</f>
        <v>0</v>
      </c>
      <c r="CD151" s="59">
        <f>IFERROR(__xludf.DUMMYFUNCTION("importrange(""https://docs.google.com/spreadsheets/d/1Q5bLMdU-xURO8V0-x3r5xNyq88vnfkNPCQ3hu_xHIsU/edit?gid=162659938#gid=162659938"",""2026-27!ai3"")"),0.0)</f>
        <v>0</v>
      </c>
      <c r="CE151" s="63" t="str">
        <f t="shared" si="141"/>
        <v/>
      </c>
      <c r="CF151" s="59">
        <f>IFERROR(__xludf.DUMMYFUNCTION("importrange(""https://docs.google.com/spreadsheets/d/1Q5bLMdU-xURO8V0-x3r5xNyq88vnfkNPCQ3hu_xHIsU/edit?gid=162659938#gid=162659938"",""2026-27!am4"")"),0.0)</f>
        <v>0</v>
      </c>
      <c r="CG151" s="59">
        <f>IFERROR(__xludf.DUMMYFUNCTION("importrange(""https://docs.google.com/spreadsheets/d/1Q5bLMdU-xURO8V0-x3r5xNyq88vnfkNPCQ3hu_xHIsU/edit?gid=162659938#gid=162659938"",""2026-27!am3"")"),0.0)</f>
        <v>0</v>
      </c>
      <c r="CH151" s="59">
        <f>IFERROR(__xludf.DUMMYFUNCTION("importrange(""https://docs.google.com/spreadsheets/d/1Q5bLMdU-xURO8V0-x3r5xNyq88vnfkNPCQ3hu_xHIsU/edit?gid=162659938#gid=162659938"",""2026-27!an4"")"),0.0)</f>
        <v>0</v>
      </c>
      <c r="CI151" s="59">
        <f>IFERROR(__xludf.DUMMYFUNCTION("importrange(""https://docs.google.com/spreadsheets/d/1Q5bLMdU-xURO8V0-x3r5xNyq88vnfkNPCQ3hu_xHIsU/edit?gid=162659938#gid=162659938"",""2026-27!an3"")"),0.0)</f>
        <v>0</v>
      </c>
      <c r="CJ151" s="59">
        <f>IFERROR(__xludf.DUMMYFUNCTION("importrange(""https://docs.google.com/spreadsheets/d/1Q5bLMdU-xURO8V0-x3r5xNyq88vnfkNPCQ3hu_xHIsU/edit?gid=162659938#gid=162659938"",""2026-27!ao4"")"),0.0)</f>
        <v>0</v>
      </c>
      <c r="CK151" s="59">
        <f>IFERROR(__xludf.DUMMYFUNCTION("importrange(""https://docs.google.com/spreadsheets/d/1Q5bLMdU-xURO8V0-x3r5xNyq88vnfkNPCQ3hu_xHIsU/edit?gid=162659938#gid=162659938"",""2026-27!ao3"")"),0.0)</f>
        <v>0</v>
      </c>
      <c r="CL151" s="63" t="str">
        <f t="shared" si="142"/>
        <v/>
      </c>
      <c r="CM151" s="59">
        <f>IFERROR(__xludf.DUMMYFUNCTION("importrange(""https://docs.google.com/spreadsheets/d/1Q5bLMdU-xURO8V0-x3r5xNyq88vnfkNPCQ3hu_xHIsU/edit?gid=162659938#gid=162659938"",""2026-27!ap4"")"),0.0)</f>
        <v>0</v>
      </c>
      <c r="CN151" s="59">
        <f>IFERROR(__xludf.DUMMYFUNCTION("importrange(""https://docs.google.com/spreadsheets/d/1Q5bLMdU-xURO8V0-x3r5xNyq88vnfkNPCQ3hu_xHIsU/edit?gid=162659938#gid=162659938"",""2026-27!ap3"")"),0.0)</f>
        <v>0</v>
      </c>
      <c r="CO151" s="59">
        <f>IFERROR(__xludf.DUMMYFUNCTION("importrange(""https://docs.google.com/spreadsheets/d/1Q5bLMdU-xURO8V0-x3r5xNyq88vnfkNPCQ3hu_xHIsU/edit?gid=162659938#gid=162659938"",""2026-27!aq4"")"),0.0)</f>
        <v>0</v>
      </c>
      <c r="CP151" s="59">
        <f>IFERROR(__xludf.DUMMYFUNCTION("importrange(""https://docs.google.com/spreadsheets/d/1Q5bLMdU-xURO8V0-x3r5xNyq88vnfkNPCQ3hu_xHIsU/edit?gid=162659938#gid=162659938"",""2026-27!aq3"")"),0.0)</f>
        <v>0</v>
      </c>
      <c r="CQ151" s="59">
        <f>IFERROR(__xludf.DUMMYFUNCTION("importrange(""https://docs.google.com/spreadsheets/d/1Q5bLMdU-xURO8V0-x3r5xNyq88vnfkNPCQ3hu_xHIsU/edit?gid=162659938#gid=162659938"",""2026-27!ar4"")"),0.0)</f>
        <v>0</v>
      </c>
      <c r="CR151" s="59">
        <f>IFERROR(__xludf.DUMMYFUNCTION("importrange(""https://docs.google.com/spreadsheets/d/1Q5bLMdU-xURO8V0-x3r5xNyq88vnfkNPCQ3hu_xHIsU/edit?gid=162659938#gid=162659938"",""2026-27!ar3"")"),0.0)</f>
        <v>0</v>
      </c>
      <c r="CS151" s="63" t="str">
        <f t="shared" si="143"/>
        <v/>
      </c>
      <c r="CT151" s="59">
        <f>IFERROR(__xludf.DUMMYFUNCTION("importrange(""https://docs.google.com/spreadsheets/d/1Q5bLMdU-xURO8V0-x3r5xNyq88vnfkNPCQ3hu_xHIsU/edit?gid=162659938#gid=162659938"",""2026-27!as4"")"),0.0)</f>
        <v>0</v>
      </c>
      <c r="CU151" s="59">
        <f>IFERROR(__xludf.DUMMYFUNCTION("importrange(""https://docs.google.com/spreadsheets/d/1Q5bLMdU-xURO8V0-x3r5xNyq88vnfkNPCQ3hu_xHIsU/edit?gid=162659938#gid=162659938"",""2026-27!as3"")"),0.0)</f>
        <v>0</v>
      </c>
      <c r="CV151" s="64"/>
    </row>
    <row r="152">
      <c r="A152" s="1" t="s">
        <v>273</v>
      </c>
      <c r="B152" s="41"/>
      <c r="C152" s="112" t="s">
        <v>294</v>
      </c>
      <c r="D152" s="54" t="s">
        <v>295</v>
      </c>
      <c r="E152" s="72">
        <v>9.762346164E9</v>
      </c>
      <c r="F152" s="129">
        <v>45936.0</v>
      </c>
      <c r="G152" s="66"/>
      <c r="H152" s="66"/>
      <c r="I152" s="57">
        <v>27500.0</v>
      </c>
      <c r="J152" s="58">
        <v>1000000.0</v>
      </c>
      <c r="K152" s="61">
        <f>IFERROR(__xludf.DUMMYFUNCTION("IMPORTRANGE(""https://docs.google.com/spreadsheets/d/1SMt1pqYCvGPpiMknRM26ek7JjvdwZJqK-Li4_SyFHEc/edit?gid=1089458672#gid=1089458672"",""2026-27!A3"")"),51.0)</f>
        <v>51</v>
      </c>
      <c r="L152" s="61">
        <f>IFERROR(__xludf.DUMMYFUNCTION("IMPORTRANGE(""https://docs.google.com/spreadsheets/d/1SMt1pqYCvGPpiMknRM26ek7JjvdwZJqK-Li4_SyFHEc/edit?gid=1089458672#gid=1089458672"",""2026-27!G4"")"),1.2E7)</f>
        <v>12000000</v>
      </c>
      <c r="M152" s="61">
        <f t="shared" si="129"/>
        <v>977370.24</v>
      </c>
      <c r="N152" s="60">
        <f t="shared" si="130"/>
        <v>0.07201225</v>
      </c>
      <c r="O152" s="61">
        <f t="shared" si="131"/>
        <v>864147</v>
      </c>
      <c r="P152" s="59">
        <f>IFERROR(__xludf.DUMMYFUNCTION("IMPORTRANGE(""https://docs.google.com/spreadsheets/d/1SMt1pqYCvGPpiMknRM26ek7JjvdwZJqK-Li4_SyFHEc/edit?gid=1089458672#gid=1089458672"",""2026-27!J4"")"),1000000.0)</f>
        <v>1000000</v>
      </c>
      <c r="Q152" s="59">
        <f>IFERROR(__xludf.DUMMYFUNCTION("IMPORTRANGE(""https://docs.google.com/spreadsheets/d/1SMt1pqYCvGPpiMknRM26ek7JjvdwZJqK-Li4_SyFHEc/edit?gid=1089458672#gid=1089458672"",""2026-27!J3"")"),39.0)</f>
        <v>39</v>
      </c>
      <c r="R152" s="59">
        <f>IFERROR(__xludf.DUMMYFUNCTION("IMPORTRANGE(""https://docs.google.com/spreadsheets/d/1SMt1pqYCvGPpiMknRM26ek7JjvdwZJqK-Li4_SyFHEc/edit?gid=1089458672#gid=1089458672"",""2026-27!K4"")"),210271.24)</f>
        <v>210271.24</v>
      </c>
      <c r="S152" s="59">
        <f>IFERROR(__xludf.DUMMYFUNCTION("IMPORTRANGE(""https://docs.google.com/spreadsheets/d/1SMt1pqYCvGPpiMknRM26ek7JjvdwZJqK-Li4_SyFHEc/edit?gid=1089458672#gid=1089458672"",""2026-27!K3"")"),14.0)</f>
        <v>14</v>
      </c>
      <c r="T152" s="62">
        <f t="shared" si="132"/>
        <v>0.210274</v>
      </c>
      <c r="U152" s="59">
        <f>IFERROR(__xludf.DUMMYFUNCTION("IMPORTRANGE(""https://docs.google.com/spreadsheets/d/1SMt1pqYCvGPpiMknRM26ek7JjvdwZJqK-Li4_SyFHEc/edit?gid=1089458672#gid=1089458672"",""2026-27!L4"")"),210274.0)</f>
        <v>210274</v>
      </c>
      <c r="V152" s="85">
        <f>IFERROR(__xludf.DUMMYFUNCTION("IMPORTRANGE(""https://docs.google.com/spreadsheets/d/1SMt1pqYCvGPpiMknRM26ek7JjvdwZJqK-Li4_SyFHEc/edit?gid=1089458672#gid=1089458672"",""2026-27!L3"")"),14.0)</f>
        <v>14</v>
      </c>
      <c r="W152" s="59">
        <f>IFERROR(__xludf.DUMMYFUNCTION("IMPORTRANGE(""https://docs.google.com/spreadsheets/d/1SMt1pqYCvGPpiMknRM26ek7JjvdwZJqK-Li4_SyFHEc/edit?gid=1089458672#gid=1089458672"",""2026-27!M4"")"),1000000.0)</f>
        <v>1000000</v>
      </c>
      <c r="X152" s="85">
        <f>IFERROR(__xludf.DUMMYFUNCTION("IMPORTRANGE(""https://docs.google.com/spreadsheets/d/1SMt1pqYCvGPpiMknRM26ek7JjvdwZJqK-Li4_SyFHEc/edit?gid=1089458672#gid=1089458672"",""2026-27!M3"")"),39.0)</f>
        <v>39</v>
      </c>
      <c r="Y152" s="59">
        <f>IFERROR(__xludf.DUMMYFUNCTION("importrange(""https://docs.google.com/spreadsheets/d/1SMt1pqYCvGPpiMknRM26ek7JjvdwZJqK-Li4_SyFHEc/edit?gid=1089458672#gid=1089458672"",""2026-27!n4"")"),260786.69999999998)</f>
        <v>260786.7</v>
      </c>
      <c r="Z152" s="59">
        <f>IFERROR(__xludf.DUMMYFUNCTION("importrange(""https://docs.google.com/spreadsheets/d/1SMt1pqYCvGPpiMknRM26ek7JjvdwZJqK-Li4_SyFHEc/edit?gid=1089458672#gid=1089458672"",""2026-27!n3"")"),18.0)</f>
        <v>18</v>
      </c>
      <c r="AA152" s="62">
        <f t="shared" si="133"/>
        <v>0.183363</v>
      </c>
      <c r="AB152" s="59">
        <f>IFERROR(__xludf.DUMMYFUNCTION("importrange(""https://docs.google.com/spreadsheets/d/1SMt1pqYCvGPpiMknRM26ek7JjvdwZJqK-Li4_SyFHEc/edit?gid=1089458672#gid=1089458672"",""2026-27!o4"")"),183363.0)</f>
        <v>183363</v>
      </c>
      <c r="AC152" s="59">
        <f>IFERROR(__xludf.DUMMYFUNCTION("importrange(""https://docs.google.com/spreadsheets/d/1SMt1pqYCvGPpiMknRM26ek7JjvdwZJqK-Li4_SyFHEc/edit?gid=1089458672#gid=1089458672"",""2026-27!o3"")"),13.0)</f>
        <v>13</v>
      </c>
      <c r="AD152" s="59">
        <f>IFERROR(__xludf.DUMMYFUNCTION("importrange(""https://docs.google.com/spreadsheets/d/1SMt1pqYCvGPpiMknRM26ek7JjvdwZJqK-Li4_SyFHEc/edit?gid=1089458672#gid=1089458672"",""2026-27!p4"")"),1000000.0)</f>
        <v>1000000</v>
      </c>
      <c r="AE152" s="59">
        <f>IFERROR(__xludf.DUMMYFUNCTION("importrange(""https://docs.google.com/spreadsheets/d/1SMt1pqYCvGPpiMknRM26ek7JjvdwZJqK-Li4_SyFHEc/edit?gid=1089458672#gid=1089458672"",""2026-27!p3"")"),48.0)</f>
        <v>48</v>
      </c>
      <c r="AF152" s="59">
        <f>IFERROR(__xludf.DUMMYFUNCTION("importrange(""https://docs.google.com/spreadsheets/d/1SMt1pqYCvGPpiMknRM26ek7JjvdwZJqK-Li4_SyFHEc/edit?gid=1089458672#gid=1089458672"",""2026-27!q4"")"),506312.3)</f>
        <v>506312.3</v>
      </c>
      <c r="AG152" s="59">
        <f>IFERROR(__xludf.DUMMYFUNCTION("importrange(""https://docs.google.com/spreadsheets/d/1SMt1pqYCvGPpiMknRM26ek7JjvdwZJqK-Li4_SyFHEc/edit?gid=1089458672#gid=1089458672"",""2026-27!q3"")"),17.0)</f>
        <v>17</v>
      </c>
      <c r="AH152" s="62">
        <f t="shared" si="134"/>
        <v>0.47051</v>
      </c>
      <c r="AI152" s="59">
        <f>IFERROR(__xludf.DUMMYFUNCTION("importrange(""https://docs.google.com/spreadsheets/d/1SMt1pqYCvGPpiMknRM26ek7JjvdwZJqK-Li4_SyFHEc/edit?gid=1089458672#gid=1089458672"",""2026-27!r4"")"),470510.0)</f>
        <v>470510</v>
      </c>
      <c r="AJ152" s="59">
        <f>IFERROR(__xludf.DUMMYFUNCTION("importrange(""https://docs.google.com/spreadsheets/d/1SMt1pqYCvGPpiMknRM26ek7JjvdwZJqK-Li4_SyFHEc/edit?gid=1089458672#gid=1089458672"",""2026-27!r3"")"),16.0)</f>
        <v>16</v>
      </c>
      <c r="AK152" s="59">
        <f>IFERROR(__xludf.DUMMYFUNCTION("importrange(""https://docs.google.com/spreadsheets/d/1SMt1pqYCvGPpiMknRM26ek7JjvdwZJqK-Li4_SyFHEc/edit?gid=1089458672#gid=1089458672"",""2026-27!s4"")"),1000000.0)</f>
        <v>1000000</v>
      </c>
      <c r="AL152" s="59">
        <f>IFERROR(__xludf.DUMMYFUNCTION("importrange(""https://docs.google.com/spreadsheets/d/1SMt1pqYCvGPpiMknRM26ek7JjvdwZJqK-Li4_SyFHEc/edit?gid=1089458672#gid=1089458672"",""2026-27!s3"")"),47.0)</f>
        <v>47</v>
      </c>
      <c r="AM152" s="61">
        <f>IFERROR(__xludf.DUMMYFUNCTION("importrange(""https://docs.google.com/spreadsheets/d/1SMt1pqYCvGPpiMknRM26ek7JjvdwZJqK-Li4_SyFHEc/edit?gid=1089458672#gid=1089458672"",""2026-27!t4"")"),0.0)</f>
        <v>0</v>
      </c>
      <c r="AN152" s="59">
        <f>IFERROR(__xludf.DUMMYFUNCTION("importrange(""https://docs.google.com/spreadsheets/d/1SMt1pqYCvGPpiMknRM26ek7JjvdwZJqK-Li4_SyFHEc/edit?gid=1089458672#gid=1089458672"",""2026-27!t3"")"),0.0)</f>
        <v>0</v>
      </c>
      <c r="AO152" s="62">
        <f t="shared" si="135"/>
        <v>0</v>
      </c>
      <c r="AP152" s="59">
        <f>IFERROR(__xludf.DUMMYFUNCTION("importrange(""https://docs.google.com/spreadsheets/d/1SMt1pqYCvGPpiMknRM26ek7JjvdwZJqK-Li4_SyFHEc/edit?gid=1089458672#gid=1089458672"",""2026-27!u4"")"),0.0)</f>
        <v>0</v>
      </c>
      <c r="AQ152" s="59">
        <f>IFERROR(__xludf.DUMMYFUNCTION("importrange(""https://docs.google.com/spreadsheets/d/1SMt1pqYCvGPpiMknRM26ek7JjvdwZJqK-Li4_SyFHEc/edit?gid=1089458672#gid=1089458672"",""2026-27!u3"")"),0.0)</f>
        <v>0</v>
      </c>
      <c r="AR152" s="59">
        <f>IFERROR(__xludf.DUMMYFUNCTION("importrange(""https://docs.google.com/spreadsheets/d/1SMt1pqYCvGPpiMknRM26ek7JjvdwZJqK-Li4_SyFHEc/edit?gid=1089458672#gid=1089458672"",""2026-27!v4"")"),0.0)</f>
        <v>0</v>
      </c>
      <c r="AS152" s="59">
        <f>IFERROR(__xludf.DUMMYFUNCTION("importrange(""https://docs.google.com/spreadsheets/d/1SMt1pqYCvGPpiMknRM26ek7JjvdwZJqK-Li4_SyFHEc/edit?gid=1089458672#gid=1089458672"",""2026-27!v3"")"),0.0)</f>
        <v>0</v>
      </c>
      <c r="AT152" s="61">
        <f>IFERROR(__xludf.DUMMYFUNCTION("importrange(""https://docs.google.com/spreadsheets/d/1SMt1pqYCvGPpiMknRM26ek7JjvdwZJqK-Li4_SyFHEc/edit?gid=1089458672#gid=1089458672"",""2026-27!w4"")"),0.0)</f>
        <v>0</v>
      </c>
      <c r="AU152" s="59">
        <f>IFERROR(__xludf.DUMMYFUNCTION("importrange(""https://docs.google.com/spreadsheets/d/1SMt1pqYCvGPpiMknRM26ek7JjvdwZJqK-Li4_SyFHEc/edit?gid=1089458672#gid=1089458672"",""2026-27!w3"")"),0.0)</f>
        <v>0</v>
      </c>
      <c r="AV152" s="62" t="str">
        <f t="shared" si="136"/>
        <v/>
      </c>
      <c r="AW152" s="59">
        <f>IFERROR(__xludf.DUMMYFUNCTION("importrange(""https://docs.google.com/spreadsheets/d/1SMt1pqYCvGPpiMknRM26ek7JjvdwZJqK-Li4_SyFHEc/edit?gid=1089458672#gid=1089458672"",""2026-27!x4"")"),0.0)</f>
        <v>0</v>
      </c>
      <c r="AX152" s="59">
        <f>IFERROR(__xludf.DUMMYFUNCTION("importrange(""https://docs.google.com/spreadsheets/d/1SMt1pqYCvGPpiMknRM26ek7JjvdwZJqK-Li4_SyFHEc/edit?gid=1089458672#gid=1089458672"",""2026-27!x3"")"),0.0)</f>
        <v>0</v>
      </c>
      <c r="AY152" s="59">
        <f>IFERROR(__xludf.DUMMYFUNCTION("importrange(""https://docs.google.com/spreadsheets/d/1SMt1pqYCvGPpiMknRM26ek7JjvdwZJqK-Li4_SyFHEc/edit?gid=1089458672#gid=1089458672"",""2026-27!y4"")"),0.0)</f>
        <v>0</v>
      </c>
      <c r="AZ152" s="59">
        <f>IFERROR(__xludf.DUMMYFUNCTION("importrange(""https://docs.google.com/spreadsheets/d/1SMt1pqYCvGPpiMknRM26ek7JjvdwZJqK-Li4_SyFHEc/edit?gid=1089458672#gid=1089458672"",""2026-27!y3"")"),0.0)</f>
        <v>0</v>
      </c>
      <c r="BA152" s="61">
        <f>IFERROR(__xludf.DUMMYFUNCTION("importrange(""https://docs.google.com/spreadsheets/d/1SMt1pqYCvGPpiMknRM26ek7JjvdwZJqK-Li4_SyFHEc/edit?gid=1089458672#gid=1089458672"",""2026-27!z4"")"),0.0)</f>
        <v>0</v>
      </c>
      <c r="BB152" s="59">
        <f>IFERROR(__xludf.DUMMYFUNCTION("importrange(""https://docs.google.com/spreadsheets/d/1SMt1pqYCvGPpiMknRM26ek7JjvdwZJqK-Li4_SyFHEc/edit?gid=1089458672#gid=1089458672"",""2026-27!z3"")"),0.0)</f>
        <v>0</v>
      </c>
      <c r="BC152" s="63" t="str">
        <f t="shared" si="137"/>
        <v/>
      </c>
      <c r="BD152" s="59">
        <f>IFERROR(__xludf.DUMMYFUNCTION("importrange(""https://docs.google.com/spreadsheets/d/1SMt1pqYCvGPpiMknRM26ek7JjvdwZJqK-Li4_SyFHEc/edit?gid=1089458672#gid=1089458672"",""2026-27!aa4"")"),0.0)</f>
        <v>0</v>
      </c>
      <c r="BE152" s="59">
        <f>IFERROR(__xludf.DUMMYFUNCTION("importrange(""https://docs.google.com/spreadsheets/d/1SMt1pqYCvGPpiMknRM26ek7JjvdwZJqK-Li4_SyFHEc/edit?gid=1089458672#gid=1089458672"",""2026-27!aa3"")"),0.0)</f>
        <v>0</v>
      </c>
      <c r="BF152" s="59">
        <f>IFERROR(__xludf.DUMMYFUNCTION("importrange(""https://docs.google.com/spreadsheets/d/1SMt1pqYCvGPpiMknRM26ek7JjvdwZJqK-Li4_SyFHEc/edit?gid=1089458672#gid=1089458672"",""2026-27!ab4"")"),0.0)</f>
        <v>0</v>
      </c>
      <c r="BG152" s="59">
        <f>IFERROR(__xludf.DUMMYFUNCTION("importrange(""https://docs.google.com/spreadsheets/d/1SMt1pqYCvGPpiMknRM26ek7JjvdwZJqK-Li4_SyFHEc/edit?gid=1089458672#gid=1089458672"",""2026-27!ab3"")"),0.0)</f>
        <v>0</v>
      </c>
      <c r="BH152" s="59">
        <f>IFERROR(__xludf.DUMMYFUNCTION("importrange(""https://docs.google.com/spreadsheets/d/1SMt1pqYCvGPpiMknRM26ek7JjvdwZJqK-Li4_SyFHEc/edit?gid=1089458672#gid=1089458672"",""2026-27!ac4"")"),0.0)</f>
        <v>0</v>
      </c>
      <c r="BI152" s="59">
        <f>IFERROR(__xludf.DUMMYFUNCTION("importrange(""https://docs.google.com/spreadsheets/d/1SMt1pqYCvGPpiMknRM26ek7JjvdwZJqK-Li4_SyFHEc/edit?gid=1089458672#gid=1089458672"",""2026-27!ac3"")"),0.0)</f>
        <v>0</v>
      </c>
      <c r="BJ152" s="63" t="str">
        <f t="shared" si="138"/>
        <v/>
      </c>
      <c r="BK152" s="59">
        <f>IFERROR(__xludf.DUMMYFUNCTION("importrange(""https://docs.google.com/spreadsheets/d/1SMt1pqYCvGPpiMknRM26ek7JjvdwZJqK-Li4_SyFHEc/edit?gid=1089458672#gid=1089458672"",""2026-27!ad4"")"),0.0)</f>
        <v>0</v>
      </c>
      <c r="BL152" s="59">
        <f>IFERROR(__xludf.DUMMYFUNCTION("importrange(""https://docs.google.com/spreadsheets/d/1SMt1pqYCvGPpiMknRM26ek7JjvdwZJqK-Li4_SyFHEc/edit?gid=1089458672#gid=1089458672"",""2026-27!ad3"")"),0.0)</f>
        <v>0</v>
      </c>
      <c r="BM152" s="59">
        <f>IFERROR(__xludf.DUMMYFUNCTION("importrange(""https://docs.google.com/spreadsheets/d/1SMt1pqYCvGPpiMknRM26ek7JjvdwZJqK-Li4_SyFHEc/edit?gid=1089458672#gid=1089458672"",""2026-27!ae4"")"),0.0)</f>
        <v>0</v>
      </c>
      <c r="BN152" s="59">
        <f>IFERROR(__xludf.DUMMYFUNCTION("importrange(""https://docs.google.com/spreadsheets/d/1SMt1pqYCvGPpiMknRM26ek7JjvdwZJqK-Li4_SyFHEc/edit?gid=1089458672#gid=1089458672"",""2026-27!ae3"")"),0.0)</f>
        <v>0</v>
      </c>
      <c r="BO152" s="59">
        <f>IFERROR(__xludf.DUMMYFUNCTION("importrange(""https://docs.google.com/spreadsheets/d/1SMt1pqYCvGPpiMknRM26ek7JjvdwZJqK-Li4_SyFHEc/edit?gid=1089458672#gid=1089458672"",""2026-27!af4"")"),0.0)</f>
        <v>0</v>
      </c>
      <c r="BP152" s="59">
        <f>IFERROR(__xludf.DUMMYFUNCTION("importrange(""https://docs.google.com/spreadsheets/d/1SMt1pqYCvGPpiMknRM26ek7JjvdwZJqK-Li4_SyFHEc/edit?gid=1089458672#gid=1089458672"",""2026-27!af3"")"),0.0)</f>
        <v>0</v>
      </c>
      <c r="BQ152" s="63" t="str">
        <f t="shared" si="139"/>
        <v/>
      </c>
      <c r="BR152" s="59">
        <f>IFERROR(__xludf.DUMMYFUNCTION("importrange(""https://docs.google.com/spreadsheets/d/1SMt1pqYCvGPpiMknRM26ek7JjvdwZJqK-Li4_SyFHEc/edit?gid=1089458672#gid=1089458672"",""2026-27!ag4"")"),0.0)</f>
        <v>0</v>
      </c>
      <c r="BS152" s="59">
        <f>IFERROR(__xludf.DUMMYFUNCTION("importrange(""https://docs.google.com/spreadsheets/d/1SMt1pqYCvGPpiMknRM26ek7JjvdwZJqK-Li4_SyFHEc/edit?gid=1089458672#gid=1089458672"",""2026-27!ag3"")"),0.0)</f>
        <v>0</v>
      </c>
      <c r="BT152" s="59">
        <f>IFERROR(__xludf.DUMMYFUNCTION("importrange(""https://docs.google.com/spreadsheets/d/1SMt1pqYCvGPpiMknRM26ek7JjvdwZJqK-Li4_SyFHEc/edit?gid=1089458672#gid=1089458672"",""2026-27!ah4"")"),0.0)</f>
        <v>0</v>
      </c>
      <c r="BU152" s="59">
        <f>IFERROR(__xludf.DUMMYFUNCTION("importrange(""https://docs.google.com/spreadsheets/d/1SMt1pqYCvGPpiMknRM26ek7JjvdwZJqK-Li4_SyFHEc/edit?gid=1089458672#gid=1089458672"",""2026-27!ah3"")"),0.0)</f>
        <v>0</v>
      </c>
      <c r="BV152" s="59">
        <f>IFERROR(__xludf.DUMMYFUNCTION("importrange(""https://docs.google.com/spreadsheets/d/1SMt1pqYCvGPpiMknRM26ek7JjvdwZJqK-Li4_SyFHEc/edit?gid=1089458672#gid=1089458672"",""2026-27!ai4"")"),0.0)</f>
        <v>0</v>
      </c>
      <c r="BW152" s="59">
        <f>IFERROR(__xludf.DUMMYFUNCTION("importrange(""https://docs.google.com/spreadsheets/d/1SMt1pqYCvGPpiMknRM26ek7JjvdwZJqK-Li4_SyFHEc/edit?gid=1089458672#gid=1089458672"",""2026-27!ai3"")"),0.0)</f>
        <v>0</v>
      </c>
      <c r="BX152" s="63" t="str">
        <f t="shared" si="140"/>
        <v/>
      </c>
      <c r="BY152" s="59">
        <f>IFERROR(__xludf.DUMMYFUNCTION("importrange(""https://docs.google.com/spreadsheets/d/1SMt1pqYCvGPpiMknRM26ek7JjvdwZJqK-Li4_SyFHEc/edit?gid=1089458672#gid=1089458672"",""2026-27!aj4"")"),0.0)</f>
        <v>0</v>
      </c>
      <c r="BZ152" s="59">
        <f>IFERROR(__xludf.DUMMYFUNCTION("importrange(""https://docs.google.com/spreadsheets/d/1SMt1pqYCvGPpiMknRM26ek7JjvdwZJqK-Li4_SyFHEc/edit?gid=1089458672#gid=1089458672"",""2026-27!aj3"")"),0.0)</f>
        <v>0</v>
      </c>
      <c r="CA152" s="59">
        <f>IFERROR(__xludf.DUMMYFUNCTION("importrange(""https://docs.google.com/spreadsheets/d/1SMt1pqYCvGPpiMknRM26ek7JjvdwZJqK-Li4_SyFHEc/edit?gid=1089458672#gid=1089458672"",""2026-27!ak4"")"),0.0)</f>
        <v>0</v>
      </c>
      <c r="CB152" s="59">
        <f>IFERROR(__xludf.DUMMYFUNCTION("importrange(""https://docs.google.com/spreadsheets/d/1SMt1pqYCvGPpiMknRM26ek7JjvdwZJqK-Li4_SyFHEc/edit?gid=1089458672#gid=1089458672"",""2026-27!ak3"")"),0.0)</f>
        <v>0</v>
      </c>
      <c r="CC152" s="59">
        <f>IFERROR(__xludf.DUMMYFUNCTION("importrange(""https://docs.google.com/spreadsheets/d/1SMt1pqYCvGPpiMknRM26ek7JjvdwZJqK-Li4_SyFHEc/edit?gid=1089458672#gid=1089458672"",""2026-27!al4"")"),0.0)</f>
        <v>0</v>
      </c>
      <c r="CD152" s="59">
        <f>IFERROR(__xludf.DUMMYFUNCTION("importrange(""https://docs.google.com/spreadsheets/d/1SMt1pqYCvGPpiMknRM26ek7JjvdwZJqK-Li4_SyFHEc/edit?gid=1089458672#gid=1089458672"",""2026-27!ai3"")"),0.0)</f>
        <v>0</v>
      </c>
      <c r="CE152" s="63" t="str">
        <f t="shared" si="141"/>
        <v/>
      </c>
      <c r="CF152" s="59">
        <f>IFERROR(__xludf.DUMMYFUNCTION("importrange(""https://docs.google.com/spreadsheets/d/1SMt1pqYCvGPpiMknRM26ek7JjvdwZJqK-Li4_SyFHEc/edit?gid=1089458672#gid=1089458672"",""2026-27!am4"")"),0.0)</f>
        <v>0</v>
      </c>
      <c r="CG152" s="59">
        <f>IFERROR(__xludf.DUMMYFUNCTION("importrange(""https://docs.google.com/spreadsheets/d/1SMt1pqYCvGPpiMknRM26ek7JjvdwZJqK-Li4_SyFHEc/edit?gid=1089458672#gid=1089458672"",""2026-27!am3"")"),0.0)</f>
        <v>0</v>
      </c>
      <c r="CH152" s="59">
        <f>IFERROR(__xludf.DUMMYFUNCTION("importrange(""https://docs.google.com/spreadsheets/d/1SMt1pqYCvGPpiMknRM26ek7JjvdwZJqK-Li4_SyFHEc/edit?gid=1089458672#gid=1089458672"",""2026-27!an4"")"),0.0)</f>
        <v>0</v>
      </c>
      <c r="CI152" s="59">
        <f>IFERROR(__xludf.DUMMYFUNCTION("importrange(""https://docs.google.com/spreadsheets/d/1SMt1pqYCvGPpiMknRM26ek7JjvdwZJqK-Li4_SyFHEc/edit?gid=1089458672#gid=1089458672"",""2026-27!an3"")"),0.0)</f>
        <v>0</v>
      </c>
      <c r="CJ152" s="59">
        <f>IFERROR(__xludf.DUMMYFUNCTION("importrange(""https://docs.google.com/spreadsheets/d/1SMt1pqYCvGPpiMknRM26ek7JjvdwZJqK-Li4_SyFHEc/edit?gid=1089458672#gid=1089458672"",""2026-27!ao4"")"),0.0)</f>
        <v>0</v>
      </c>
      <c r="CK152" s="59">
        <f>IFERROR(__xludf.DUMMYFUNCTION("importrange(""https://docs.google.com/spreadsheets/d/1SMt1pqYCvGPpiMknRM26ek7JjvdwZJqK-Li4_SyFHEc/edit?gid=1089458672#gid=1089458672"",""2026-27!ao3"")"),0.0)</f>
        <v>0</v>
      </c>
      <c r="CL152" s="63" t="str">
        <f t="shared" si="142"/>
        <v/>
      </c>
      <c r="CM152" s="59">
        <f>IFERROR(__xludf.DUMMYFUNCTION("importrange(""https://docs.google.com/spreadsheets/d/1SMt1pqYCvGPpiMknRM26ek7JjvdwZJqK-Li4_SyFHEc/edit?gid=1089458672#gid=1089458672"",""2026-27!ap4"")"),0.0)</f>
        <v>0</v>
      </c>
      <c r="CN152" s="59">
        <f>IFERROR(__xludf.DUMMYFUNCTION("importrange(""https://docs.google.com/spreadsheets/d/1SMt1pqYCvGPpiMknRM26ek7JjvdwZJqK-Li4_SyFHEc/edit?gid=1089458672#gid=1089458672"",""2026-27!ap3"")"),0.0)</f>
        <v>0</v>
      </c>
      <c r="CO152" s="59">
        <f>IFERROR(__xludf.DUMMYFUNCTION("importrange(""https://docs.google.com/spreadsheets/d/1SMt1pqYCvGPpiMknRM26ek7JjvdwZJqK-Li4_SyFHEc/edit?gid=1089458672#gid=1089458672"",""2026-27!aq4"")"),0.0)</f>
        <v>0</v>
      </c>
      <c r="CP152" s="59">
        <f>IFERROR(__xludf.DUMMYFUNCTION("importrange(""https://docs.google.com/spreadsheets/d/1SMt1pqYCvGPpiMknRM26ek7JjvdwZJqK-Li4_SyFHEc/edit?gid=1089458672#gid=1089458672"",""2026-27!aq3"")"),0.0)</f>
        <v>0</v>
      </c>
      <c r="CQ152" s="59">
        <f>IFERROR(__xludf.DUMMYFUNCTION("importrange(""https://docs.google.com/spreadsheets/d/1SMt1pqYCvGPpiMknRM26ek7JjvdwZJqK-Li4_SyFHEc/edit?gid=1089458672#gid=1089458672"",""2026-27!ar4"")"),0.0)</f>
        <v>0</v>
      </c>
      <c r="CR152" s="59">
        <f>IFERROR(__xludf.DUMMYFUNCTION("importrange(""https://docs.google.com/spreadsheets/d/1SMt1pqYCvGPpiMknRM26ek7JjvdwZJqK-Li4_SyFHEc/edit?gid=1089458672#gid=1089458672"",""2026-27!ar3"")"),0.0)</f>
        <v>0</v>
      </c>
      <c r="CS152" s="63" t="str">
        <f t="shared" si="143"/>
        <v/>
      </c>
      <c r="CT152" s="59">
        <f>IFERROR(__xludf.DUMMYFUNCTION("importrange(""https://docs.google.com/spreadsheets/d/1SMt1pqYCvGPpiMknRM26ek7JjvdwZJqK-Li4_SyFHEc/edit?gid=1089458672#gid=1089458672"",""2026-27!as4"")"),0.0)</f>
        <v>0</v>
      </c>
      <c r="CU152" s="59">
        <f>IFERROR(__xludf.DUMMYFUNCTION("importrange(""https://docs.google.com/spreadsheets/d/1SMt1pqYCvGPpiMknRM26ek7JjvdwZJqK-Li4_SyFHEc/edit?gid=1089458672#gid=1089458672"",""2026-27!as3"")"),0.0)</f>
        <v>0</v>
      </c>
      <c r="CV152" s="64"/>
    </row>
    <row r="153">
      <c r="A153" s="76"/>
      <c r="B153" s="41"/>
      <c r="C153" s="119" t="s">
        <v>296</v>
      </c>
      <c r="D153" s="120" t="s">
        <v>291</v>
      </c>
      <c r="E153" s="130">
        <v>8.454860402E9</v>
      </c>
      <c r="F153" s="122">
        <v>46146.0</v>
      </c>
      <c r="G153" s="66"/>
      <c r="H153" s="66"/>
      <c r="I153" s="57"/>
      <c r="J153" s="58"/>
      <c r="K153" s="61">
        <f>IFERROR(__xludf.DUMMYFUNCTION("IMPORTRANGE(""https://docs.google.com/spreadsheets/d/1aJSsNfLs2vSa44AxxODE13x_FesRGxlv96d6TPn5VaI/edit?gid=0#gid=0"",""2026-27!A3"")"),65.0)</f>
        <v>65</v>
      </c>
      <c r="L153" s="61">
        <f>IFERROR(__xludf.DUMMYFUNCTION("IMPORTRANGE(""https://docs.google.com/spreadsheets/d/1aJSsNfLs2vSa44AxxODE13x_FesRGxlv96d6TPn5VaI/edit?gid=0#gid=0"",""2026-27!G4"")"),2900000.0)</f>
        <v>2900000</v>
      </c>
      <c r="M153" s="61">
        <f t="shared" si="129"/>
        <v>696573.6</v>
      </c>
      <c r="N153" s="60">
        <f t="shared" si="130"/>
        <v>0.2141289655</v>
      </c>
      <c r="O153" s="61">
        <f t="shared" si="131"/>
        <v>620974</v>
      </c>
      <c r="P153" s="59">
        <f>IFERROR(__xludf.DUMMYFUNCTION("IMPORTRANGE(""https://docs.google.com/spreadsheets/d/1aJSsNfLs2vSa44AxxODE13x_FesRGxlv96d6TPn5VaI/edit?gid=0#gid=0"",""2026-27!J4"")"),0.0)</f>
        <v>0</v>
      </c>
      <c r="Q153" s="59">
        <f>IFERROR(__xludf.DUMMYFUNCTION("IMPORTRANGE(""https://docs.google.com/spreadsheets/d/1aJSsNfLs2vSa44AxxODE13x_FesRGxlv96d6TPn5VaI/edit?gid=0#gid=0"",""2026-27!J3"")"),0.0)</f>
        <v>0</v>
      </c>
      <c r="R153" s="59">
        <f>IFERROR(__xludf.DUMMYFUNCTION("IMPORTRANGE(""https://docs.google.com/spreadsheets/d/1aJSsNfLs2vSa44AxxODE13x_FesRGxlv96d6TPn5VaI/edit?gid=0#gid=0"",""2026-27!K4"")"),0.0)</f>
        <v>0</v>
      </c>
      <c r="S153" s="59">
        <f>IFERROR(__xludf.DUMMYFUNCTION("IMPORTRANGE(""https://docs.google.com/spreadsheets/d/1aJSsNfLs2vSa44AxxODE13x_FesRGxlv96d6TPn5VaI/edit?gid=0#gid=0"",""2026-27!K3"")"),0.0)</f>
        <v>0</v>
      </c>
      <c r="T153" s="62" t="str">
        <f t="shared" si="132"/>
        <v/>
      </c>
      <c r="U153" s="59">
        <f>IFERROR(__xludf.DUMMYFUNCTION("IMPORTRANGE(""https://docs.google.com/spreadsheets/d/1aJSsNfLs2vSa44AxxODE13x_FesRGxlv96d6TPn5VaI/edit?gid=0#gid=0"",""2026-27!L4"")"),0.0)</f>
        <v>0</v>
      </c>
      <c r="V153" s="85">
        <f>IFERROR(__xludf.DUMMYFUNCTION("IMPORTRANGE(""https://docs.google.com/spreadsheets/d/1aJSsNfLs2vSa44AxxODE13x_FesRGxlv96d6TPn5VaI/edit?gid=0#gid=0"",""2026-27!L3"")"),0.0)</f>
        <v>0</v>
      </c>
      <c r="W153" s="59">
        <f>IFERROR(__xludf.DUMMYFUNCTION("IMPORTRANGE(""https://docs.google.com/spreadsheets/d/1aJSsNfLs2vSa44AxxODE13x_FesRGxlv96d6TPn5VaI/edit?gid=0#gid=0"",""2026-27!M4"")"),150000.0)</f>
        <v>150000</v>
      </c>
      <c r="X153" s="85">
        <f>IFERROR(__xludf.DUMMYFUNCTION("IMPORTRANGE(""https://docs.google.com/spreadsheets/d/1aJSsNfLs2vSa44AxxODE13x_FesRGxlv96d6TPn5VaI/edit?gid=0#gid=0"",""2026-27!M3"")"),30.0)</f>
        <v>30</v>
      </c>
      <c r="Y153" s="59">
        <f>IFERROR(__xludf.DUMMYFUNCTION("importrange(""https://docs.google.com/spreadsheets/d/1aJSsNfLs2vSa44AxxODE13x_FesRGxlv96d6TPn5VaI/edit?gid=0#gid=0"",""2026-27!n4"")"),311411.24000000005)</f>
        <v>311411.24</v>
      </c>
      <c r="Z153" s="59">
        <f>IFERROR(__xludf.DUMMYFUNCTION("importrange(""https://docs.google.com/spreadsheets/d/1aJSsNfLs2vSa44AxxODE13x_FesRGxlv96d6TPn5VaI/edit?gid=0#gid=0"",""2026-27!n3"")"),16.0)</f>
        <v>16</v>
      </c>
      <c r="AA153" s="62">
        <f t="shared" si="133"/>
        <v>2.04704</v>
      </c>
      <c r="AB153" s="59">
        <f>IFERROR(__xludf.DUMMYFUNCTION("importrange(""https://docs.google.com/spreadsheets/d/1aJSsNfLs2vSa44AxxODE13x_FesRGxlv96d6TPn5VaI/edit?gid=0#gid=0"",""2026-27!o4"")"),307056.0)</f>
        <v>307056</v>
      </c>
      <c r="AC153" s="59">
        <f>IFERROR(__xludf.DUMMYFUNCTION("importrange(""https://docs.google.com/spreadsheets/d/1aJSsNfLs2vSa44AxxODE13x_FesRGxlv96d6TPn5VaI/edit?gid=0#gid=0"",""2026-27!o3"")"),15.0)</f>
        <v>15</v>
      </c>
      <c r="AD153" s="59">
        <f>IFERROR(__xludf.DUMMYFUNCTION("importrange(""https://docs.google.com/spreadsheets/d/1aJSsNfLs2vSa44AxxODE13x_FesRGxlv96d6TPn5VaI/edit?gid=0#gid=0"",""2026-27!p4"")"),150000.0)</f>
        <v>150000</v>
      </c>
      <c r="AE153" s="59">
        <f>IFERROR(__xludf.DUMMYFUNCTION("importrange(""https://docs.google.com/spreadsheets/d/1aJSsNfLs2vSa44AxxODE13x_FesRGxlv96d6TPn5VaI/edit?gid=0#gid=0"",""2026-27!p3"")"),30.0)</f>
        <v>30</v>
      </c>
      <c r="AF153" s="59">
        <f>IFERROR(__xludf.DUMMYFUNCTION("importrange(""https://docs.google.com/spreadsheets/d/1aJSsNfLs2vSa44AxxODE13x_FesRGxlv96d6TPn5VaI/edit?gid=0#gid=0"",""2026-27!q4"")"),385162.36000000004)</f>
        <v>385162.36</v>
      </c>
      <c r="AG153" s="59">
        <f>IFERROR(__xludf.DUMMYFUNCTION("importrange(""https://docs.google.com/spreadsheets/d/1aJSsNfLs2vSa44AxxODE13x_FesRGxlv96d6TPn5VaI/edit?gid=0#gid=0"",""2026-27!q3"")"),15.0)</f>
        <v>15</v>
      </c>
      <c r="AH153" s="62">
        <f t="shared" si="134"/>
        <v>2.092786667</v>
      </c>
      <c r="AI153" s="59">
        <f>IFERROR(__xludf.DUMMYFUNCTION("importrange(""https://docs.google.com/spreadsheets/d/1aJSsNfLs2vSa44AxxODE13x_FesRGxlv96d6TPn5VaI/edit?gid=0#gid=0"",""2026-27!r4"")"),313918.0)</f>
        <v>313918</v>
      </c>
      <c r="AJ153" s="59">
        <f>IFERROR(__xludf.DUMMYFUNCTION("importrange(""https://docs.google.com/spreadsheets/d/1aJSsNfLs2vSa44AxxODE13x_FesRGxlv96d6TPn5VaI/edit?gid=0#gid=0"",""2026-27!r3"")"),14.0)</f>
        <v>14</v>
      </c>
      <c r="AK153" s="59">
        <f>IFERROR(__xludf.DUMMYFUNCTION("importrange(""https://docs.google.com/spreadsheets/d/1aJSsNfLs2vSa44AxxODE13x_FesRGxlv96d6TPn5VaI/edit?gid=0#gid=0"",""2026-27!s4"")"),300000.0)</f>
        <v>300000</v>
      </c>
      <c r="AL153" s="59">
        <f>IFERROR(__xludf.DUMMYFUNCTION("importrange(""https://docs.google.com/spreadsheets/d/1aJSsNfLs2vSa44AxxODE13x_FesRGxlv96d6TPn5VaI/edit?gid=0#gid=0"",""2026-27!s3"")"),30.0)</f>
        <v>30</v>
      </c>
      <c r="AM153" s="61">
        <f>IFERROR(__xludf.DUMMYFUNCTION("importrange(""https://docs.google.com/spreadsheets/d/1aJSsNfLs2vSa44AxxODE13x_FesRGxlv96d6TPn5VaI/edit?gid=0#gid=0"",""2026-27!t4"")"),0.0)</f>
        <v>0</v>
      </c>
      <c r="AN153" s="59">
        <f>IFERROR(__xludf.DUMMYFUNCTION("importrange(""https://docs.google.com/spreadsheets/d/1aJSsNfLs2vSa44AxxODE13x_FesRGxlv96d6TPn5VaI/edit?gid=0#gid=0"",""2026-27!t3"")"),0.0)</f>
        <v>0</v>
      </c>
      <c r="AO153" s="62">
        <f t="shared" si="135"/>
        <v>0</v>
      </c>
      <c r="AP153" s="59">
        <f>IFERROR(__xludf.DUMMYFUNCTION("importrange(""https://docs.google.com/spreadsheets/d/1aJSsNfLs2vSa44AxxODE13x_FesRGxlv96d6TPn5VaI/edit?gid=0#gid=0"",""2026-27!u4"")"),0.0)</f>
        <v>0</v>
      </c>
      <c r="AQ153" s="59">
        <f>IFERROR(__xludf.DUMMYFUNCTION("importrange(""https://docs.google.com/spreadsheets/d/1aJSsNfLs2vSa44AxxODE13x_FesRGxlv96d6TPn5VaI/edit?gid=0#gid=0"",""2026-27!u3"")"),0.0)</f>
        <v>0</v>
      </c>
      <c r="AR153" s="59">
        <f>IFERROR(__xludf.DUMMYFUNCTION("importrange(""https://docs.google.com/spreadsheets/d/1aJSsNfLs2vSa44AxxODE13x_FesRGxlv96d6TPn5VaI/edit?gid=0#gid=0"",""2026-27!v4"")"),300000.0)</f>
        <v>300000</v>
      </c>
      <c r="AS153" s="59">
        <f>IFERROR(__xludf.DUMMYFUNCTION("importrange(""https://docs.google.com/spreadsheets/d/1aJSsNfLs2vSa44AxxODE13x_FesRGxlv96d6TPn5VaI/edit?gid=0#gid=0"",""2026-27!v3"")"),30.0)</f>
        <v>30</v>
      </c>
      <c r="AT153" s="61">
        <f>IFERROR(__xludf.DUMMYFUNCTION("importrange(""https://docs.google.com/spreadsheets/d/1aJSsNfLs2vSa44AxxODE13x_FesRGxlv96d6TPn5VaI/edit?gid=0#gid=0"",""2026-27!w4"")"),0.0)</f>
        <v>0</v>
      </c>
      <c r="AU153" s="59">
        <f>IFERROR(__xludf.DUMMYFUNCTION("importrange(""https://docs.google.com/spreadsheets/d/1aJSsNfLs2vSa44AxxODE13x_FesRGxlv96d6TPn5VaI/edit?gid=0#gid=0"",""2026-27!w3"")"),0.0)</f>
        <v>0</v>
      </c>
      <c r="AV153" s="62">
        <f t="shared" si="136"/>
        <v>0</v>
      </c>
      <c r="AW153" s="59">
        <f>IFERROR(__xludf.DUMMYFUNCTION("importrange(""https://docs.google.com/spreadsheets/d/1aJSsNfLs2vSa44AxxODE13x_FesRGxlv96d6TPn5VaI/edit?gid=0#gid=0"",""2026-27!x4"")"),0.0)</f>
        <v>0</v>
      </c>
      <c r="AX153" s="59">
        <f>IFERROR(__xludf.DUMMYFUNCTION("importrange(""https://docs.google.com/spreadsheets/d/1aJSsNfLs2vSa44AxxODE13x_FesRGxlv96d6TPn5VaI/edit?gid=0#gid=0"",""2026-27!x3"")"),0.0)</f>
        <v>0</v>
      </c>
      <c r="AY153" s="59">
        <f>IFERROR(__xludf.DUMMYFUNCTION("importrange(""https://docs.google.com/spreadsheets/d/1aJSsNfLs2vSa44AxxODE13x_FesRGxlv96d6TPn5VaI/edit?gid=0#gid=0"",""2026-27!y4"")"),300000.0)</f>
        <v>300000</v>
      </c>
      <c r="AZ153" s="59">
        <f>IFERROR(__xludf.DUMMYFUNCTION("importrange(""https://docs.google.com/spreadsheets/d/1aJSsNfLs2vSa44AxxODE13x_FesRGxlv96d6TPn5VaI/edit?gid=0#gid=0"",""2026-27!y3"")"),30.0)</f>
        <v>30</v>
      </c>
      <c r="BA153" s="61">
        <f>IFERROR(__xludf.DUMMYFUNCTION("importrange(""https://docs.google.com/spreadsheets/d/1aJSsNfLs2vSa44AxxODE13x_FesRGxlv96d6TPn5VaI/edit?gid=0#gid=0"",""2026-27!z4"")"),0.0)</f>
        <v>0</v>
      </c>
      <c r="BB153" s="59">
        <f>IFERROR(__xludf.DUMMYFUNCTION("importrange(""https://docs.google.com/spreadsheets/d/1aJSsNfLs2vSa44AxxODE13x_FesRGxlv96d6TPn5VaI/edit?gid=0#gid=0"",""2026-27!z3"")"),0.0)</f>
        <v>0</v>
      </c>
      <c r="BC153" s="63">
        <f t="shared" si="137"/>
        <v>0</v>
      </c>
      <c r="BD153" s="59">
        <f>IFERROR(__xludf.DUMMYFUNCTION("importrange(""https://docs.google.com/spreadsheets/d/1aJSsNfLs2vSa44AxxODE13x_FesRGxlv96d6TPn5VaI/edit?gid=0#gid=0"",""2026-27!aa4"")"),0.0)</f>
        <v>0</v>
      </c>
      <c r="BE153" s="59">
        <f>IFERROR(__xludf.DUMMYFUNCTION("importrange(""https://docs.google.com/spreadsheets/d/1aJSsNfLs2vSa44AxxODE13x_FesRGxlv96d6TPn5VaI/edit?gid=0#gid=0"",""2026-27!aa3"")"),0.0)</f>
        <v>0</v>
      </c>
      <c r="BF153" s="59">
        <f>IFERROR(__xludf.DUMMYFUNCTION("importrange(""https://docs.google.com/spreadsheets/d/1aJSsNfLs2vSa44AxxODE13x_FesRGxlv96d6TPn5VaI/edit?gid=0#gid=0"",""2026-27!ab4"")"),300000.0)</f>
        <v>300000</v>
      </c>
      <c r="BG153" s="59">
        <f>IFERROR(__xludf.DUMMYFUNCTION("importrange(""https://docs.google.com/spreadsheets/d/1aJSsNfLs2vSa44AxxODE13x_FesRGxlv96d6TPn5VaI/edit?gid=0#gid=0"",""2026-27!ab3"")"),30.0)</f>
        <v>30</v>
      </c>
      <c r="BH153" s="59">
        <f>IFERROR(__xludf.DUMMYFUNCTION("importrange(""https://docs.google.com/spreadsheets/d/1aJSsNfLs2vSa44AxxODE13x_FesRGxlv96d6TPn5VaI/edit?gid=0#gid=0"",""2026-27!ac4"")"),0.0)</f>
        <v>0</v>
      </c>
      <c r="BI153" s="59">
        <f>IFERROR(__xludf.DUMMYFUNCTION("importrange(""https://docs.google.com/spreadsheets/d/1aJSsNfLs2vSa44AxxODE13x_FesRGxlv96d6TPn5VaI/edit?gid=0#gid=0"",""2026-27!ac3"")"),0.0)</f>
        <v>0</v>
      </c>
      <c r="BJ153" s="63">
        <f t="shared" si="138"/>
        <v>0</v>
      </c>
      <c r="BK153" s="59">
        <f>IFERROR(__xludf.DUMMYFUNCTION("importrange(""https://docs.google.com/spreadsheets/d/1aJSsNfLs2vSa44AxxODE13x_FesRGxlv96d6TPn5VaI/edit?gid=0#gid=0"",""2026-27!ad4"")"),0.0)</f>
        <v>0</v>
      </c>
      <c r="BL153" s="59">
        <f>IFERROR(__xludf.DUMMYFUNCTION("importrange(""https://docs.google.com/spreadsheets/d/1aJSsNfLs2vSa44AxxODE13x_FesRGxlv96d6TPn5VaI/edit?gid=0#gid=0"",""2026-27!ad3"")"),0.0)</f>
        <v>0</v>
      </c>
      <c r="BM153" s="59">
        <f>IFERROR(__xludf.DUMMYFUNCTION("importrange(""https://docs.google.com/spreadsheets/d/1aJSsNfLs2vSa44AxxODE13x_FesRGxlv96d6TPn5VaI/edit?gid=0#gid=0"",""2026-27!ae4"")"),300000.0)</f>
        <v>300000</v>
      </c>
      <c r="BN153" s="59">
        <f>IFERROR(__xludf.DUMMYFUNCTION("importrange(""https://docs.google.com/spreadsheets/d/1aJSsNfLs2vSa44AxxODE13x_FesRGxlv96d6TPn5VaI/edit?gid=0#gid=0"",""2026-27!ae3"")"),30.0)</f>
        <v>30</v>
      </c>
      <c r="BO153" s="59">
        <f>IFERROR(__xludf.DUMMYFUNCTION("importrange(""https://docs.google.com/spreadsheets/d/1aJSsNfLs2vSa44AxxODE13x_FesRGxlv96d6TPn5VaI/edit?gid=0#gid=0"",""2026-27!af4"")"),0.0)</f>
        <v>0</v>
      </c>
      <c r="BP153" s="59">
        <f>IFERROR(__xludf.DUMMYFUNCTION("importrange(""https://docs.google.com/spreadsheets/d/1aJSsNfLs2vSa44AxxODE13x_FesRGxlv96d6TPn5VaI/edit?gid=0#gid=0"",""2026-27!af3"")"),0.0)</f>
        <v>0</v>
      </c>
      <c r="BQ153" s="63">
        <f t="shared" si="139"/>
        <v>0</v>
      </c>
      <c r="BR153" s="59">
        <f>IFERROR(__xludf.DUMMYFUNCTION("importrange(""https://docs.google.com/spreadsheets/d/1aJSsNfLs2vSa44AxxODE13x_FesRGxlv96d6TPn5VaI/edit?gid=0#gid=0"",""2026-27!ag4"")"),0.0)</f>
        <v>0</v>
      </c>
      <c r="BS153" s="59">
        <f>IFERROR(__xludf.DUMMYFUNCTION("importrange(""https://docs.google.com/spreadsheets/d/1aJSsNfLs2vSa44AxxODE13x_FesRGxlv96d6TPn5VaI/edit?gid=0#gid=0"",""2026-27!ag3"")"),0.0)</f>
        <v>0</v>
      </c>
      <c r="BT153" s="59">
        <f>IFERROR(__xludf.DUMMYFUNCTION("importrange(""https://docs.google.com/spreadsheets/d/1aJSsNfLs2vSa44AxxODE13x_FesRGxlv96d6TPn5VaI/edit?gid=0#gid=0"",""2026-27!ah4"")"),300000.0)</f>
        <v>300000</v>
      </c>
      <c r="BU153" s="59">
        <f>IFERROR(__xludf.DUMMYFUNCTION("importrange(""https://docs.google.com/spreadsheets/d/1aJSsNfLs2vSa44AxxODE13x_FesRGxlv96d6TPn5VaI/edit?gid=0#gid=0"",""2026-27!ah3"")"),30.0)</f>
        <v>30</v>
      </c>
      <c r="BV153" s="59">
        <f>IFERROR(__xludf.DUMMYFUNCTION("importrange(""https://docs.google.com/spreadsheets/d/1aJSsNfLs2vSa44AxxODE13x_FesRGxlv96d6TPn5VaI/edit?gid=0#gid=0"",""2026-27!ai4"")"),0.0)</f>
        <v>0</v>
      </c>
      <c r="BW153" s="59">
        <f>IFERROR(__xludf.DUMMYFUNCTION("importrange(""https://docs.google.com/spreadsheets/d/1aJSsNfLs2vSa44AxxODE13x_FesRGxlv96d6TPn5VaI/edit?gid=0#gid=0"",""2026-27!ai3"")"),0.0)</f>
        <v>0</v>
      </c>
      <c r="BX153" s="63">
        <f t="shared" si="140"/>
        <v>0</v>
      </c>
      <c r="BY153" s="59">
        <f>IFERROR(__xludf.DUMMYFUNCTION("importrange(""https://docs.google.com/spreadsheets/d/1aJSsNfLs2vSa44AxxODE13x_FesRGxlv96d6TPn5VaI/edit?gid=0#gid=0"",""2026-27!aj4"")"),0.0)</f>
        <v>0</v>
      </c>
      <c r="BZ153" s="59">
        <f>IFERROR(__xludf.DUMMYFUNCTION("importrange(""https://docs.google.com/spreadsheets/d/1aJSsNfLs2vSa44AxxODE13x_FesRGxlv96d6TPn5VaI/edit?gid=0#gid=0"",""2026-27!aj3"")"),0.0)</f>
        <v>0</v>
      </c>
      <c r="CA153" s="59">
        <f>IFERROR(__xludf.DUMMYFUNCTION("importrange(""https://docs.google.com/spreadsheets/d/1aJSsNfLs2vSa44AxxODE13x_FesRGxlv96d6TPn5VaI/edit?gid=0#gid=0"",""2026-27!ak4"")"),300000.0)</f>
        <v>300000</v>
      </c>
      <c r="CB153" s="59">
        <f>IFERROR(__xludf.DUMMYFUNCTION("importrange(""https://docs.google.com/spreadsheets/d/1aJSsNfLs2vSa44AxxODE13x_FesRGxlv96d6TPn5VaI/edit?gid=0#gid=0"",""2026-27!ak3"")"),30.0)</f>
        <v>30</v>
      </c>
      <c r="CC153" s="59">
        <f>IFERROR(__xludf.DUMMYFUNCTION("importrange(""https://docs.google.com/spreadsheets/d/1aJSsNfLs2vSa44AxxODE13x_FesRGxlv96d6TPn5VaI/edit?gid=0#gid=0"",""2026-27!al4"")"),0.0)</f>
        <v>0</v>
      </c>
      <c r="CD153" s="59">
        <f>IFERROR(__xludf.DUMMYFUNCTION("importrange(""https://docs.google.com/spreadsheets/d/1aJSsNfLs2vSa44AxxODE13x_FesRGxlv96d6TPn5VaI/edit?gid=0#gid=0"",""2026-27!ai3"")"),0.0)</f>
        <v>0</v>
      </c>
      <c r="CE153" s="63">
        <f t="shared" si="141"/>
        <v>0</v>
      </c>
      <c r="CF153" s="59">
        <f>IFERROR(__xludf.DUMMYFUNCTION("importrange(""https://docs.google.com/spreadsheets/d/1aJSsNfLs2vSa44AxxODE13x_FesRGxlv96d6TPn5VaI/edit?gid=0#gid=0"",""2026-27!am4"")"),0.0)</f>
        <v>0</v>
      </c>
      <c r="CG153" s="59">
        <f>IFERROR(__xludf.DUMMYFUNCTION("importrange(""https://docs.google.com/spreadsheets/d/1aJSsNfLs2vSa44AxxODE13x_FesRGxlv96d6TPn5VaI/edit?gid=0#gid=0"",""2026-27!am3"")"),0.0)</f>
        <v>0</v>
      </c>
      <c r="CH153" s="59">
        <f>IFERROR(__xludf.DUMMYFUNCTION("importrange(""https://docs.google.com/spreadsheets/d/1aJSsNfLs2vSa44AxxODE13x_FesRGxlv96d6TPn5VaI/edit?gid=0#gid=0"",""2026-27!an4"")"),300000.0)</f>
        <v>300000</v>
      </c>
      <c r="CI153" s="59">
        <f>IFERROR(__xludf.DUMMYFUNCTION("importrange(""https://docs.google.com/spreadsheets/d/1aJSsNfLs2vSa44AxxODE13x_FesRGxlv96d6TPn5VaI/edit?gid=0#gid=0"",""2026-27!an3"")"),30.0)</f>
        <v>30</v>
      </c>
      <c r="CJ153" s="59">
        <f>IFERROR(__xludf.DUMMYFUNCTION("importrange(""https://docs.google.com/spreadsheets/d/1aJSsNfLs2vSa44AxxODE13x_FesRGxlv96d6TPn5VaI/edit?gid=0#gid=0"",""2026-27!ao4"")"),0.0)</f>
        <v>0</v>
      </c>
      <c r="CK153" s="59">
        <f>IFERROR(__xludf.DUMMYFUNCTION("importrange(""https://docs.google.com/spreadsheets/d/1aJSsNfLs2vSa44AxxODE13x_FesRGxlv96d6TPn5VaI/edit?gid=0#gid=0"",""2026-27!ao3"")"),0.0)</f>
        <v>0</v>
      </c>
      <c r="CL153" s="63">
        <f t="shared" si="142"/>
        <v>0</v>
      </c>
      <c r="CM153" s="59">
        <f>IFERROR(__xludf.DUMMYFUNCTION("importrange(""https://docs.google.com/spreadsheets/d/1aJSsNfLs2vSa44AxxODE13x_FesRGxlv96d6TPn5VaI/edit?gid=0#gid=0"",""2026-27!ap4"")"),0.0)</f>
        <v>0</v>
      </c>
      <c r="CN153" s="59">
        <f>IFERROR(__xludf.DUMMYFUNCTION("importrange(""https://docs.google.com/spreadsheets/d/1aJSsNfLs2vSa44AxxODE13x_FesRGxlv96d6TPn5VaI/edit?gid=0#gid=0"",""2026-27!ap3"")"),0.0)</f>
        <v>0</v>
      </c>
      <c r="CO153" s="59">
        <f>IFERROR(__xludf.DUMMYFUNCTION("importrange(""https://docs.google.com/spreadsheets/d/1aJSsNfLs2vSa44AxxODE13x_FesRGxlv96d6TPn5VaI/edit?gid=0#gid=0"",""2026-27!aq4"")"),300000.0)</f>
        <v>300000</v>
      </c>
      <c r="CP153" s="59">
        <f>IFERROR(__xludf.DUMMYFUNCTION("importrange(""https://docs.google.com/spreadsheets/d/1aJSsNfLs2vSa44AxxODE13x_FesRGxlv96d6TPn5VaI/edit?gid=0#gid=0"",""2026-27!aq3"")"),30.0)</f>
        <v>30</v>
      </c>
      <c r="CQ153" s="59">
        <f>IFERROR(__xludf.DUMMYFUNCTION("importrange(""https://docs.google.com/spreadsheets/d/1aJSsNfLs2vSa44AxxODE13x_FesRGxlv96d6TPn5VaI/edit?gid=0#gid=0"",""2026-27!ar4"")"),0.0)</f>
        <v>0</v>
      </c>
      <c r="CR153" s="59">
        <f>IFERROR(__xludf.DUMMYFUNCTION("importrange(""https://docs.google.com/spreadsheets/d/1aJSsNfLs2vSa44AxxODE13x_FesRGxlv96d6TPn5VaI/edit?gid=0#gid=0"",""2026-27!ar3"")"),0.0)</f>
        <v>0</v>
      </c>
      <c r="CS153" s="63">
        <f t="shared" si="143"/>
        <v>0</v>
      </c>
      <c r="CT153" s="59">
        <f>IFERROR(__xludf.DUMMYFUNCTION("importrange(""https://docs.google.com/spreadsheets/d/1aJSsNfLs2vSa44AxxODE13x_FesRGxlv96d6TPn5VaI/edit?gid=0#gid=0"",""2026-27!as4"")"),0.0)</f>
        <v>0</v>
      </c>
      <c r="CU153" s="59">
        <f>IFERROR(__xludf.DUMMYFUNCTION("importrange(""https://docs.google.com/spreadsheets/d/1aJSsNfLs2vSa44AxxODE13x_FesRGxlv96d6TPn5VaI/edit?gid=0#gid=0"",""2026-27!as3"")"),0.0)</f>
        <v>0</v>
      </c>
      <c r="CV153" s="64"/>
    </row>
    <row r="154">
      <c r="A154" s="76"/>
      <c r="B154" s="41"/>
      <c r="C154" s="119" t="s">
        <v>297</v>
      </c>
      <c r="D154" s="120" t="s">
        <v>298</v>
      </c>
      <c r="E154" s="121">
        <v>9.370007441E9</v>
      </c>
      <c r="F154" s="122">
        <v>46147.0</v>
      </c>
      <c r="G154" s="66"/>
      <c r="H154" s="66"/>
      <c r="I154" s="57"/>
      <c r="J154" s="58"/>
      <c r="K154" s="61">
        <f>IFERROR(__xludf.DUMMYFUNCTION("IMPORTRANGE(""https://docs.google.com/spreadsheets/d/1VeRiww_FU3hSWDH7KCJh6BgQ0zzOQ2pRPjdbNLvkRm0/edit?gid=0#gid=0"",""2026-27!A3"")"),54.0)</f>
        <v>54</v>
      </c>
      <c r="L154" s="61">
        <f>IFERROR(__xludf.DUMMYFUNCTION("IMPORTRANGE(""https://docs.google.com/spreadsheets/d/1VeRiww_FU3hSWDH7KCJh6BgQ0zzOQ2pRPjdbNLvkRm0/edit?gid=0#gid=0"",""2026-27!G4"")"),4150000.0)</f>
        <v>4150000</v>
      </c>
      <c r="M154" s="61">
        <f t="shared" si="129"/>
        <v>924877.19</v>
      </c>
      <c r="N154" s="60">
        <f t="shared" si="130"/>
        <v>0.1747559036</v>
      </c>
      <c r="O154" s="61">
        <f t="shared" si="131"/>
        <v>725237</v>
      </c>
      <c r="P154" s="59">
        <f>IFERROR(__xludf.DUMMYFUNCTION("IMPORTRANGE(""https://docs.google.com/spreadsheets/d/1VeRiww_FU3hSWDH7KCJh6BgQ0zzOQ2pRPjdbNLvkRm0/edit?gid=0#gid=0"",""2026-27!J4"")"),0.0)</f>
        <v>0</v>
      </c>
      <c r="Q154" s="59">
        <f>IFERROR(__xludf.DUMMYFUNCTION("IMPORTRANGE(""https://docs.google.com/spreadsheets/d/1VeRiww_FU3hSWDH7KCJh6BgQ0zzOQ2pRPjdbNLvkRm0/edit?gid=0#gid=0"",""2026-27!J3"")"),0.0)</f>
        <v>0</v>
      </c>
      <c r="R154" s="59">
        <f>IFERROR(__xludf.DUMMYFUNCTION("IMPORTRANGE(""https://docs.google.com/spreadsheets/d/1VeRiww_FU3hSWDH7KCJh6BgQ0zzOQ2pRPjdbNLvkRm0/edit?gid=0#gid=0"",""2026-27!K4"")"),0.0)</f>
        <v>0</v>
      </c>
      <c r="S154" s="59">
        <f>IFERROR(__xludf.DUMMYFUNCTION("IMPORTRANGE(""https://docs.google.com/spreadsheets/d/1VeRiww_FU3hSWDH7KCJh6BgQ0zzOQ2pRPjdbNLvkRm0/edit?gid=0#gid=0"",""2026-27!K3"")"),0.0)</f>
        <v>0</v>
      </c>
      <c r="T154" s="62" t="str">
        <f t="shared" si="132"/>
        <v/>
      </c>
      <c r="U154" s="59">
        <f>IFERROR(__xludf.DUMMYFUNCTION("IMPORTRANGE(""https://docs.google.com/spreadsheets/d/1VeRiww_FU3hSWDH7KCJh6BgQ0zzOQ2pRPjdbNLvkRm0/edit?gid=0#gid=0"",""2026-27!L4"")"),0.0)</f>
        <v>0</v>
      </c>
      <c r="V154" s="85">
        <f>IFERROR(__xludf.DUMMYFUNCTION("IMPORTRANGE(""https://docs.google.com/spreadsheets/d/1VeRiww_FU3hSWDH7KCJh6BgQ0zzOQ2pRPjdbNLvkRm0/edit?gid=0#gid=0"",""2026-27!L3"")"),0.0)</f>
        <v>0</v>
      </c>
      <c r="W154" s="59">
        <f>IFERROR(__xludf.DUMMYFUNCTION("IMPORTRANGE(""https://docs.google.com/spreadsheets/d/1VeRiww_FU3hSWDH7KCJh6BgQ0zzOQ2pRPjdbNLvkRm0/edit?gid=0#gid=0"",""2026-27!M4"")"),0.0)</f>
        <v>0</v>
      </c>
      <c r="X154" s="85">
        <f>IFERROR(__xludf.DUMMYFUNCTION("IMPORTRANGE(""https://docs.google.com/spreadsheets/d/1VeRiww_FU3hSWDH7KCJh6BgQ0zzOQ2pRPjdbNLvkRm0/edit?gid=0#gid=0"",""2026-27!M3"")"),0.0)</f>
        <v>0</v>
      </c>
      <c r="Y154" s="59">
        <f>IFERROR(__xludf.DUMMYFUNCTION("importrange(""https://docs.google.com/spreadsheets/d/1VeRiww_FU3hSWDH7KCJh6BgQ0zzOQ2pRPjdbNLvkRm0/edit?gid=0#gid=0"",""2026-27!n4"")"),303863.68999999994)</f>
        <v>303863.69</v>
      </c>
      <c r="Z154" s="59">
        <f>IFERROR(__xludf.DUMMYFUNCTION("importrange(""https://docs.google.com/spreadsheets/d/1VeRiww_FU3hSWDH7KCJh6BgQ0zzOQ2pRPjdbNLvkRm0/edit?gid=0#gid=0"",""2026-27!n3"")"),10.0)</f>
        <v>10</v>
      </c>
      <c r="AA154" s="62" t="str">
        <f t="shared" si="133"/>
        <v/>
      </c>
      <c r="AB154" s="59">
        <f>IFERROR(__xludf.DUMMYFUNCTION("importrange(""https://docs.google.com/spreadsheets/d/1VeRiww_FU3hSWDH7KCJh6BgQ0zzOQ2pRPjdbNLvkRm0/edit?gid=0#gid=0"",""2026-27!o4"")"),303866.0)</f>
        <v>303866</v>
      </c>
      <c r="AC154" s="59">
        <f>IFERROR(__xludf.DUMMYFUNCTION("importrange(""https://docs.google.com/spreadsheets/d/1VeRiww_FU3hSWDH7KCJh6BgQ0zzOQ2pRPjdbNLvkRm0/edit?gid=0#gid=0"",""2026-27!o3"")"),10.0)</f>
        <v>10</v>
      </c>
      <c r="AD154" s="59">
        <f>IFERROR(__xludf.DUMMYFUNCTION("importrange(""https://docs.google.com/spreadsheets/d/1VeRiww_FU3hSWDH7KCJh6BgQ0zzOQ2pRPjdbNLvkRm0/edit?gid=0#gid=0"",""2026-27!p4"")"),0.0)</f>
        <v>0</v>
      </c>
      <c r="AE154" s="59">
        <f>IFERROR(__xludf.DUMMYFUNCTION("importrange(""https://docs.google.com/spreadsheets/d/1VeRiww_FU3hSWDH7KCJh6BgQ0zzOQ2pRPjdbNLvkRm0/edit?gid=0#gid=0"",""2026-27!p3"")"),0.0)</f>
        <v>0</v>
      </c>
      <c r="AF154" s="59">
        <f>IFERROR(__xludf.DUMMYFUNCTION("importrange(""https://docs.google.com/spreadsheets/d/1VeRiww_FU3hSWDH7KCJh6BgQ0zzOQ2pRPjdbNLvkRm0/edit?gid=0#gid=0"",""2026-27!q4"")"),621013.5000000001)</f>
        <v>621013.5</v>
      </c>
      <c r="AG154" s="59">
        <f>IFERROR(__xludf.DUMMYFUNCTION("importrange(""https://docs.google.com/spreadsheets/d/1VeRiww_FU3hSWDH7KCJh6BgQ0zzOQ2pRPjdbNLvkRm0/edit?gid=0#gid=0"",""2026-27!q3"")"),36.0)</f>
        <v>36</v>
      </c>
      <c r="AH154" s="62" t="str">
        <f t="shared" si="134"/>
        <v/>
      </c>
      <c r="AI154" s="59">
        <f>IFERROR(__xludf.DUMMYFUNCTION("importrange(""https://docs.google.com/spreadsheets/d/1VeRiww_FU3hSWDH7KCJh6BgQ0zzOQ2pRPjdbNLvkRm0/edit?gid=0#gid=0"",""2026-27!r4"")"),421371.0)</f>
        <v>421371</v>
      </c>
      <c r="AJ154" s="59">
        <f>IFERROR(__xludf.DUMMYFUNCTION("importrange(""https://docs.google.com/spreadsheets/d/1VeRiww_FU3hSWDH7KCJh6BgQ0zzOQ2pRPjdbNLvkRm0/edit?gid=0#gid=0"",""2026-27!r3"")"),18.0)</f>
        <v>18</v>
      </c>
      <c r="AK154" s="59">
        <f>IFERROR(__xludf.DUMMYFUNCTION("importrange(""https://docs.google.com/spreadsheets/d/1VeRiww_FU3hSWDH7KCJh6BgQ0zzOQ2pRPjdbNLvkRm0/edit?gid=0#gid=0"",""2026-27!s4"")"),0.0)</f>
        <v>0</v>
      </c>
      <c r="AL154" s="59">
        <f>IFERROR(__xludf.DUMMYFUNCTION("importrange(""https://docs.google.com/spreadsheets/d/1VeRiww_FU3hSWDH7KCJh6BgQ0zzOQ2pRPjdbNLvkRm0/edit?gid=0#gid=0"",""2026-27!s3"")"),0.0)</f>
        <v>0</v>
      </c>
      <c r="AM154" s="61">
        <f>IFERROR(__xludf.DUMMYFUNCTION("importrange(""https://docs.google.com/spreadsheets/d/1VeRiww_FU3hSWDH7KCJh6BgQ0zzOQ2pRPjdbNLvkRm0/edit?gid=0#gid=0"",""2026-27!t4"")"),0.0)</f>
        <v>0</v>
      </c>
      <c r="AN154" s="59">
        <f>IFERROR(__xludf.DUMMYFUNCTION("importrange(""https://docs.google.com/spreadsheets/d/1VeRiww_FU3hSWDH7KCJh6BgQ0zzOQ2pRPjdbNLvkRm0/edit?gid=0#gid=0"",""2026-27!t3"")"),0.0)</f>
        <v>0</v>
      </c>
      <c r="AO154" s="62" t="str">
        <f t="shared" si="135"/>
        <v/>
      </c>
      <c r="AP154" s="59">
        <f>IFERROR(__xludf.DUMMYFUNCTION("importrange(""https://docs.google.com/spreadsheets/d/1VeRiww_FU3hSWDH7KCJh6BgQ0zzOQ2pRPjdbNLvkRm0/edit?gid=0#gid=0"",""2026-27!u4"")"),0.0)</f>
        <v>0</v>
      </c>
      <c r="AQ154" s="59">
        <f>IFERROR(__xludf.DUMMYFUNCTION("importrange(""https://docs.google.com/spreadsheets/d/1VeRiww_FU3hSWDH7KCJh6BgQ0zzOQ2pRPjdbNLvkRm0/edit?gid=0#gid=0"",""2026-27!u3"")"),0.0)</f>
        <v>0</v>
      </c>
      <c r="AR154" s="59">
        <f>IFERROR(__xludf.DUMMYFUNCTION("importrange(""https://docs.google.com/spreadsheets/d/1VeRiww_FU3hSWDH7KCJh6BgQ0zzOQ2pRPjdbNLvkRm0/edit?gid=0#gid=0"",""2026-27!v4"")"),0.0)</f>
        <v>0</v>
      </c>
      <c r="AS154" s="59">
        <f>IFERROR(__xludf.DUMMYFUNCTION("importrange(""https://docs.google.com/spreadsheets/d/1VeRiww_FU3hSWDH7KCJh6BgQ0zzOQ2pRPjdbNLvkRm0/edit?gid=0#gid=0"",""2026-27!v3"")"),0.0)</f>
        <v>0</v>
      </c>
      <c r="AT154" s="61">
        <f>IFERROR(__xludf.DUMMYFUNCTION("importrange(""https://docs.google.com/spreadsheets/d/1VeRiww_FU3hSWDH7KCJh6BgQ0zzOQ2pRPjdbNLvkRm0/edit?gid=0#gid=0"",""2026-27!w4"")"),0.0)</f>
        <v>0</v>
      </c>
      <c r="AU154" s="59">
        <f>IFERROR(__xludf.DUMMYFUNCTION("importrange(""https://docs.google.com/spreadsheets/d/1VeRiww_FU3hSWDH7KCJh6BgQ0zzOQ2pRPjdbNLvkRm0/edit?gid=0#gid=0"",""2026-27!w3"")"),0.0)</f>
        <v>0</v>
      </c>
      <c r="AV154" s="62" t="str">
        <f t="shared" si="136"/>
        <v/>
      </c>
      <c r="AW154" s="59">
        <f>IFERROR(__xludf.DUMMYFUNCTION("importrange(""https://docs.google.com/spreadsheets/d/1VeRiww_FU3hSWDH7KCJh6BgQ0zzOQ2pRPjdbNLvkRm0/edit?gid=0#gid=0"",""2026-27!x4"")"),0.0)</f>
        <v>0</v>
      </c>
      <c r="AX154" s="59">
        <f>IFERROR(__xludf.DUMMYFUNCTION("importrange(""https://docs.google.com/spreadsheets/d/1VeRiww_FU3hSWDH7KCJh6BgQ0zzOQ2pRPjdbNLvkRm0/edit?gid=0#gid=0"",""2026-27!x3"")"),0.0)</f>
        <v>0</v>
      </c>
      <c r="AY154" s="59">
        <f>IFERROR(__xludf.DUMMYFUNCTION("importrange(""https://docs.google.com/spreadsheets/d/1VeRiww_FU3hSWDH7KCJh6BgQ0zzOQ2pRPjdbNLvkRm0/edit?gid=0#gid=0"",""2026-27!y4"")"),0.0)</f>
        <v>0</v>
      </c>
      <c r="AZ154" s="59">
        <f>IFERROR(__xludf.DUMMYFUNCTION("importrange(""https://docs.google.com/spreadsheets/d/1VeRiww_FU3hSWDH7KCJh6BgQ0zzOQ2pRPjdbNLvkRm0/edit?gid=0#gid=0"",""2026-27!y3"")"),0.0)</f>
        <v>0</v>
      </c>
      <c r="BA154" s="61">
        <f>IFERROR(__xludf.DUMMYFUNCTION("importrange(""https://docs.google.com/spreadsheets/d/1VeRiww_FU3hSWDH7KCJh6BgQ0zzOQ2pRPjdbNLvkRm0/edit?gid=0#gid=0"",""2026-27!z4"")"),0.0)</f>
        <v>0</v>
      </c>
      <c r="BB154" s="59">
        <f>IFERROR(__xludf.DUMMYFUNCTION("importrange(""https://docs.google.com/spreadsheets/d/1VeRiww_FU3hSWDH7KCJh6BgQ0zzOQ2pRPjdbNLvkRm0/edit?gid=0#gid=0"",""2026-27!z3"")"),0.0)</f>
        <v>0</v>
      </c>
      <c r="BC154" s="63" t="str">
        <f t="shared" si="137"/>
        <v/>
      </c>
      <c r="BD154" s="59">
        <f>IFERROR(__xludf.DUMMYFUNCTION("importrange(""https://docs.google.com/spreadsheets/d/1VeRiww_FU3hSWDH7KCJh6BgQ0zzOQ2pRPjdbNLvkRm0/edit?gid=0#gid=0"",""2026-27!aa4"")"),0.0)</f>
        <v>0</v>
      </c>
      <c r="BE154" s="59">
        <f>IFERROR(__xludf.DUMMYFUNCTION("importrange(""https://docs.google.com/spreadsheets/d/1VeRiww_FU3hSWDH7KCJh6BgQ0zzOQ2pRPjdbNLvkRm0/edit?gid=0#gid=0"",""2026-27!aa3"")"),0.0)</f>
        <v>0</v>
      </c>
      <c r="BF154" s="59">
        <f>IFERROR(__xludf.DUMMYFUNCTION("importrange(""https://docs.google.com/spreadsheets/d/1VeRiww_FU3hSWDH7KCJh6BgQ0zzOQ2pRPjdbNLvkRm0/edit?gid=0#gid=0"",""2026-27!ab4"")"),0.0)</f>
        <v>0</v>
      </c>
      <c r="BG154" s="59">
        <f>IFERROR(__xludf.DUMMYFUNCTION("importrange(""https://docs.google.com/spreadsheets/d/1VeRiww_FU3hSWDH7KCJh6BgQ0zzOQ2pRPjdbNLvkRm0/edit?gid=0#gid=0"",""2026-27!ab3"")"),0.0)</f>
        <v>0</v>
      </c>
      <c r="BH154" s="59">
        <f>IFERROR(__xludf.DUMMYFUNCTION("importrange(""https://docs.google.com/spreadsheets/d/1VeRiww_FU3hSWDH7KCJh6BgQ0zzOQ2pRPjdbNLvkRm0/edit?gid=0#gid=0"",""2026-27!ac4"")"),0.0)</f>
        <v>0</v>
      </c>
      <c r="BI154" s="59">
        <f>IFERROR(__xludf.DUMMYFUNCTION("importrange(""https://docs.google.com/spreadsheets/d/1VeRiww_FU3hSWDH7KCJh6BgQ0zzOQ2pRPjdbNLvkRm0/edit?gid=0#gid=0"",""2026-27!ac3"")"),0.0)</f>
        <v>0</v>
      </c>
      <c r="BJ154" s="63" t="str">
        <f t="shared" si="138"/>
        <v/>
      </c>
      <c r="BK154" s="59">
        <f>IFERROR(__xludf.DUMMYFUNCTION("importrange(""https://docs.google.com/spreadsheets/d/1VeRiww_FU3hSWDH7KCJh6BgQ0zzOQ2pRPjdbNLvkRm0/edit?gid=0#gid=0"",""2026-27!ad4"")"),0.0)</f>
        <v>0</v>
      </c>
      <c r="BL154" s="59">
        <f>IFERROR(__xludf.DUMMYFUNCTION("importrange(""https://docs.google.com/spreadsheets/d/1VeRiww_FU3hSWDH7KCJh6BgQ0zzOQ2pRPjdbNLvkRm0/edit?gid=0#gid=0"",""2026-27!ad3"")"),0.0)</f>
        <v>0</v>
      </c>
      <c r="BM154" s="59">
        <f>IFERROR(__xludf.DUMMYFUNCTION("importrange(""https://docs.google.com/spreadsheets/d/1VeRiww_FU3hSWDH7KCJh6BgQ0zzOQ2pRPjdbNLvkRm0/edit?gid=0#gid=0"",""2026-27!ae4"")"),0.0)</f>
        <v>0</v>
      </c>
      <c r="BN154" s="59">
        <f>IFERROR(__xludf.DUMMYFUNCTION("importrange(""https://docs.google.com/spreadsheets/d/1VeRiww_FU3hSWDH7KCJh6BgQ0zzOQ2pRPjdbNLvkRm0/edit?gid=0#gid=0"",""2026-27!ae3"")"),0.0)</f>
        <v>0</v>
      </c>
      <c r="BO154" s="59">
        <f>IFERROR(__xludf.DUMMYFUNCTION("importrange(""https://docs.google.com/spreadsheets/d/1VeRiww_FU3hSWDH7KCJh6BgQ0zzOQ2pRPjdbNLvkRm0/edit?gid=0#gid=0"",""2026-27!af4"")"),0.0)</f>
        <v>0</v>
      </c>
      <c r="BP154" s="59">
        <f>IFERROR(__xludf.DUMMYFUNCTION("importrange(""https://docs.google.com/spreadsheets/d/1VeRiww_FU3hSWDH7KCJh6BgQ0zzOQ2pRPjdbNLvkRm0/edit?gid=0#gid=0"",""2026-27!af3"")"),0.0)</f>
        <v>0</v>
      </c>
      <c r="BQ154" s="63" t="str">
        <f t="shared" si="139"/>
        <v/>
      </c>
      <c r="BR154" s="59">
        <f>IFERROR(__xludf.DUMMYFUNCTION("importrange(""https://docs.google.com/spreadsheets/d/1VeRiww_FU3hSWDH7KCJh6BgQ0zzOQ2pRPjdbNLvkRm0/edit?gid=0#gid=0"",""2026-27!ag4"")"),0.0)</f>
        <v>0</v>
      </c>
      <c r="BS154" s="59">
        <f>IFERROR(__xludf.DUMMYFUNCTION("importrange(""https://docs.google.com/spreadsheets/d/1VeRiww_FU3hSWDH7KCJh6BgQ0zzOQ2pRPjdbNLvkRm0/edit?gid=0#gid=0"",""2026-27!ag3"")"),0.0)</f>
        <v>0</v>
      </c>
      <c r="BT154" s="59">
        <f>IFERROR(__xludf.DUMMYFUNCTION("importrange(""https://docs.google.com/spreadsheets/d/1VeRiww_FU3hSWDH7KCJh6BgQ0zzOQ2pRPjdbNLvkRm0/edit?gid=0#gid=0"",""2026-27!ah4"")"),0.0)</f>
        <v>0</v>
      </c>
      <c r="BU154" s="59">
        <f>IFERROR(__xludf.DUMMYFUNCTION("importrange(""https://docs.google.com/spreadsheets/d/1VeRiww_FU3hSWDH7KCJh6BgQ0zzOQ2pRPjdbNLvkRm0/edit?gid=0#gid=0"",""2026-27!ah3"")"),0.0)</f>
        <v>0</v>
      </c>
      <c r="BV154" s="59">
        <f>IFERROR(__xludf.DUMMYFUNCTION("importrange(""https://docs.google.com/spreadsheets/d/1VeRiww_FU3hSWDH7KCJh6BgQ0zzOQ2pRPjdbNLvkRm0/edit?gid=0#gid=0"",""2026-27!ai4"")"),0.0)</f>
        <v>0</v>
      </c>
      <c r="BW154" s="59">
        <f>IFERROR(__xludf.DUMMYFUNCTION("importrange(""https://docs.google.com/spreadsheets/d/1VeRiww_FU3hSWDH7KCJh6BgQ0zzOQ2pRPjdbNLvkRm0/edit?gid=0#gid=0"",""2026-27!ai3"")"),0.0)</f>
        <v>0</v>
      </c>
      <c r="BX154" s="63" t="str">
        <f t="shared" si="140"/>
        <v/>
      </c>
      <c r="BY154" s="59">
        <f>IFERROR(__xludf.DUMMYFUNCTION("importrange(""https://docs.google.com/spreadsheets/d/1VeRiww_FU3hSWDH7KCJh6BgQ0zzOQ2pRPjdbNLvkRm0/edit?gid=0#gid=0"",""2026-27!aj4"")"),0.0)</f>
        <v>0</v>
      </c>
      <c r="BZ154" s="59">
        <f>IFERROR(__xludf.DUMMYFUNCTION("importrange(""https://docs.google.com/spreadsheets/d/1VeRiww_FU3hSWDH7KCJh6BgQ0zzOQ2pRPjdbNLvkRm0/edit?gid=0#gid=0"",""2026-27!aj3"")"),0.0)</f>
        <v>0</v>
      </c>
      <c r="CA154" s="59">
        <f>IFERROR(__xludf.DUMMYFUNCTION("importrange(""https://docs.google.com/spreadsheets/d/1VeRiww_FU3hSWDH7KCJh6BgQ0zzOQ2pRPjdbNLvkRm0/edit?gid=0#gid=0"",""2026-27!ak4"")"),0.0)</f>
        <v>0</v>
      </c>
      <c r="CB154" s="59">
        <f>IFERROR(__xludf.DUMMYFUNCTION("importrange(""https://docs.google.com/spreadsheets/d/1VeRiww_FU3hSWDH7KCJh6BgQ0zzOQ2pRPjdbNLvkRm0/edit?gid=0#gid=0"",""2026-27!ak3"")"),0.0)</f>
        <v>0</v>
      </c>
      <c r="CC154" s="59">
        <f>IFERROR(__xludf.DUMMYFUNCTION("importrange(""https://docs.google.com/spreadsheets/d/1VeRiww_FU3hSWDH7KCJh6BgQ0zzOQ2pRPjdbNLvkRm0/edit?gid=0#gid=0"",""2026-27!al4"")"),0.0)</f>
        <v>0</v>
      </c>
      <c r="CD154" s="59">
        <f>IFERROR(__xludf.DUMMYFUNCTION("importrange(""https://docs.google.com/spreadsheets/d/1VeRiww_FU3hSWDH7KCJh6BgQ0zzOQ2pRPjdbNLvkRm0/edit?gid=0#gid=0"",""2026-27!ai3"")"),0.0)</f>
        <v>0</v>
      </c>
      <c r="CE154" s="63" t="str">
        <f t="shared" si="141"/>
        <v/>
      </c>
      <c r="CF154" s="59">
        <f>IFERROR(__xludf.DUMMYFUNCTION("importrange(""https://docs.google.com/spreadsheets/d/1VeRiww_FU3hSWDH7KCJh6BgQ0zzOQ2pRPjdbNLvkRm0/edit?gid=0#gid=0"",""2026-27!am4"")"),0.0)</f>
        <v>0</v>
      </c>
      <c r="CG154" s="59">
        <f>IFERROR(__xludf.DUMMYFUNCTION("importrange(""https://docs.google.com/spreadsheets/d/1VeRiww_FU3hSWDH7KCJh6BgQ0zzOQ2pRPjdbNLvkRm0/edit?gid=0#gid=0"",""2026-27!am3"")"),0.0)</f>
        <v>0</v>
      </c>
      <c r="CH154" s="59">
        <f>IFERROR(__xludf.DUMMYFUNCTION("importrange(""https://docs.google.com/spreadsheets/d/1VeRiww_FU3hSWDH7KCJh6BgQ0zzOQ2pRPjdbNLvkRm0/edit?gid=0#gid=0"",""2026-27!an4"")"),0.0)</f>
        <v>0</v>
      </c>
      <c r="CI154" s="59">
        <f>IFERROR(__xludf.DUMMYFUNCTION("importrange(""https://docs.google.com/spreadsheets/d/1VeRiww_FU3hSWDH7KCJh6BgQ0zzOQ2pRPjdbNLvkRm0/edit?gid=0#gid=0"",""2026-27!an3"")"),0.0)</f>
        <v>0</v>
      </c>
      <c r="CJ154" s="59">
        <f>IFERROR(__xludf.DUMMYFUNCTION("importrange(""https://docs.google.com/spreadsheets/d/1VeRiww_FU3hSWDH7KCJh6BgQ0zzOQ2pRPjdbNLvkRm0/edit?gid=0#gid=0"",""2026-27!ao4"")"),0.0)</f>
        <v>0</v>
      </c>
      <c r="CK154" s="59">
        <f>IFERROR(__xludf.DUMMYFUNCTION("importrange(""https://docs.google.com/spreadsheets/d/1VeRiww_FU3hSWDH7KCJh6BgQ0zzOQ2pRPjdbNLvkRm0/edit?gid=0#gid=0"",""2026-27!ao3"")"),0.0)</f>
        <v>0</v>
      </c>
      <c r="CL154" s="63" t="str">
        <f t="shared" si="142"/>
        <v/>
      </c>
      <c r="CM154" s="59">
        <f>IFERROR(__xludf.DUMMYFUNCTION("importrange(""https://docs.google.com/spreadsheets/d/1VeRiww_FU3hSWDH7KCJh6BgQ0zzOQ2pRPjdbNLvkRm0/edit?gid=0#gid=0"",""2026-27!ap4"")"),0.0)</f>
        <v>0</v>
      </c>
      <c r="CN154" s="59">
        <f>IFERROR(__xludf.DUMMYFUNCTION("importrange(""https://docs.google.com/spreadsheets/d/1VeRiww_FU3hSWDH7KCJh6BgQ0zzOQ2pRPjdbNLvkRm0/edit?gid=0#gid=0"",""2026-27!ap3"")"),0.0)</f>
        <v>0</v>
      </c>
      <c r="CO154" s="59">
        <f>IFERROR(__xludf.DUMMYFUNCTION("importrange(""https://docs.google.com/spreadsheets/d/1VeRiww_FU3hSWDH7KCJh6BgQ0zzOQ2pRPjdbNLvkRm0/edit?gid=0#gid=0"",""2026-27!aq4"")"),0.0)</f>
        <v>0</v>
      </c>
      <c r="CP154" s="59">
        <f>IFERROR(__xludf.DUMMYFUNCTION("importrange(""https://docs.google.com/spreadsheets/d/1VeRiww_FU3hSWDH7KCJh6BgQ0zzOQ2pRPjdbNLvkRm0/edit?gid=0#gid=0"",""2026-27!aq3"")"),0.0)</f>
        <v>0</v>
      </c>
      <c r="CQ154" s="59">
        <f>IFERROR(__xludf.DUMMYFUNCTION("importrange(""https://docs.google.com/spreadsheets/d/1VeRiww_FU3hSWDH7KCJh6BgQ0zzOQ2pRPjdbNLvkRm0/edit?gid=0#gid=0"",""2026-27!ar4"")"),0.0)</f>
        <v>0</v>
      </c>
      <c r="CR154" s="59">
        <f>IFERROR(__xludf.DUMMYFUNCTION("importrange(""https://docs.google.com/spreadsheets/d/1VeRiww_FU3hSWDH7KCJh6BgQ0zzOQ2pRPjdbNLvkRm0/edit?gid=0#gid=0"",""2026-27!ar3"")"),0.0)</f>
        <v>0</v>
      </c>
      <c r="CS154" s="63" t="str">
        <f t="shared" si="143"/>
        <v/>
      </c>
      <c r="CT154" s="59">
        <f>IFERROR(__xludf.DUMMYFUNCTION("importrange(""https://docs.google.com/spreadsheets/d/1VeRiww_FU3hSWDH7KCJh6BgQ0zzOQ2pRPjdbNLvkRm0/edit?gid=0#gid=0"",""2026-27!as4"")"),0.0)</f>
        <v>0</v>
      </c>
      <c r="CU154" s="59">
        <f>IFERROR(__xludf.DUMMYFUNCTION("importrange(""https://docs.google.com/spreadsheets/d/1VeRiww_FU3hSWDH7KCJh6BgQ0zzOQ2pRPjdbNLvkRm0/edit?gid=0#gid=0"",""2026-27!as3"")"),0.0)</f>
        <v>0</v>
      </c>
      <c r="CV154" s="64"/>
    </row>
    <row r="155">
      <c r="A155" s="76"/>
      <c r="B155" s="41"/>
      <c r="C155" s="119" t="s">
        <v>299</v>
      </c>
      <c r="D155" s="120" t="s">
        <v>300</v>
      </c>
      <c r="E155" s="121">
        <v>7.264969678E9</v>
      </c>
      <c r="F155" s="122">
        <v>46167.0</v>
      </c>
      <c r="G155" s="66"/>
      <c r="H155" s="66"/>
      <c r="I155" s="57"/>
      <c r="J155" s="58"/>
      <c r="K155" s="61">
        <f>IFERROR(__xludf.DUMMYFUNCTION("IMPORTRANGE(""https://docs.google.com/spreadsheets/d/1L6Qot-tX0BahjoHFRtp7rqwsomNzqMNnwPIEbNZIte0/edit?gid=0#gid=0"",""2026-27!A3"")"),47.0)</f>
        <v>47</v>
      </c>
      <c r="L155" s="61">
        <f>IFERROR(__xludf.DUMMYFUNCTION("IMPORTRANGE(""https://docs.google.com/spreadsheets/d/1L6Qot-tX0BahjoHFRtp7rqwsomNzqMNnwPIEbNZIte0/edit?gid=0#gid=0"",""2026-27!G4"")"),2255000.0)</f>
        <v>2255000</v>
      </c>
      <c r="M155" s="61">
        <f t="shared" si="129"/>
        <v>696800.6</v>
      </c>
      <c r="N155" s="60">
        <f t="shared" si="130"/>
        <v>0.06664301552</v>
      </c>
      <c r="O155" s="61">
        <f t="shared" si="131"/>
        <v>150280</v>
      </c>
      <c r="P155" s="59">
        <f>IFERROR(__xludf.DUMMYFUNCTION("IMPORTRANGE(""https://docs.google.com/spreadsheets/d/1L6Qot-tX0BahjoHFRtp7rqwsomNzqMNnwPIEbNZIte0/edit?gid=0#gid=0"",""2026-27!J4"")"),0.0)</f>
        <v>0</v>
      </c>
      <c r="Q155" s="59">
        <f>IFERROR(__xludf.DUMMYFUNCTION("IMPORTRANGE(""https://docs.google.com/spreadsheets/d/1L6Qot-tX0BahjoHFRtp7rqwsomNzqMNnwPIEbNZIte0/edit?gid=0#gid=0"",""2026-27!J3"")"),0.0)</f>
        <v>0</v>
      </c>
      <c r="R155" s="59">
        <f>IFERROR(__xludf.DUMMYFUNCTION("IMPORTRANGE(""https://docs.google.com/spreadsheets/d/1L6Qot-tX0BahjoHFRtp7rqwsomNzqMNnwPIEbNZIte0/edit?gid=0#gid=0"",""2026-27!K4"")"),0.0)</f>
        <v>0</v>
      </c>
      <c r="S155" s="59">
        <f>IFERROR(__xludf.DUMMYFUNCTION("IMPORTRANGE(""https://docs.google.com/spreadsheets/d/1L6Qot-tX0BahjoHFRtp7rqwsomNzqMNnwPIEbNZIte0/edit?gid=0#gid=0"",""2026-27!K3"")"),0.0)</f>
        <v>0</v>
      </c>
      <c r="T155" s="62" t="str">
        <f t="shared" si="132"/>
        <v/>
      </c>
      <c r="U155" s="59">
        <f>IFERROR(__xludf.DUMMYFUNCTION("IMPORTRANGE(""https://docs.google.com/spreadsheets/d/1L6Qot-tX0BahjoHFRtp7rqwsomNzqMNnwPIEbNZIte0/edit?gid=0#gid=0"",""2026-27!L4"")"),0.0)</f>
        <v>0</v>
      </c>
      <c r="V155" s="85">
        <f>IFERROR(__xludf.DUMMYFUNCTION("IMPORTRANGE(""https://docs.google.com/spreadsheets/d/1L6Qot-tX0BahjoHFRtp7rqwsomNzqMNnwPIEbNZIte0/edit?gid=0#gid=0"",""2026-27!L3"")"),0.0)</f>
        <v>0</v>
      </c>
      <c r="W155" s="59">
        <f>IFERROR(__xludf.DUMMYFUNCTION("IMPORTRANGE(""https://docs.google.com/spreadsheets/d/1L6Qot-tX0BahjoHFRtp7rqwsomNzqMNnwPIEbNZIte0/edit?gid=0#gid=0"",""2026-27!M4"")"),0.0)</f>
        <v>0</v>
      </c>
      <c r="X155" s="85">
        <f>IFERROR(__xludf.DUMMYFUNCTION("IMPORTRANGE(""https://docs.google.com/spreadsheets/d/1L6Qot-tX0BahjoHFRtp7rqwsomNzqMNnwPIEbNZIte0/edit?gid=0#gid=0"",""2026-27!M3"")"),0.0)</f>
        <v>0</v>
      </c>
      <c r="Y155" s="59">
        <f>IFERROR(__xludf.DUMMYFUNCTION("importrange(""https://docs.google.com/spreadsheets/d/1L6Qot-tX0BahjoHFRtp7rqwsomNzqMNnwPIEbNZIte0/edit?gid=0#gid=0"",""2026-27!n4"")"),123981.1)</f>
        <v>123981.1</v>
      </c>
      <c r="Z155" s="59">
        <f>IFERROR(__xludf.DUMMYFUNCTION("importrange(""https://docs.google.com/spreadsheets/d/1L6Qot-tX0BahjoHFRtp7rqwsomNzqMNnwPIEbNZIte0/edit?gid=0#gid=0"",""2026-27!n3"")"),5.0)</f>
        <v>5</v>
      </c>
      <c r="AA155" s="62" t="str">
        <f t="shared" si="133"/>
        <v/>
      </c>
      <c r="AB155" s="59">
        <f>IFERROR(__xludf.DUMMYFUNCTION("importrange(""https://docs.google.com/spreadsheets/d/1L6Qot-tX0BahjoHFRtp7rqwsomNzqMNnwPIEbNZIte0/edit?gid=0#gid=0"",""2026-27!o4"")"),0.0)</f>
        <v>0</v>
      </c>
      <c r="AC155" s="59">
        <f>IFERROR(__xludf.DUMMYFUNCTION("importrange(""https://docs.google.com/spreadsheets/d/1L6Qot-tX0BahjoHFRtp7rqwsomNzqMNnwPIEbNZIte0/edit?gid=0#gid=0"",""2026-27!o3"")"),0.0)</f>
        <v>0</v>
      </c>
      <c r="AD155" s="59">
        <f>IFERROR(__xludf.DUMMYFUNCTION("importrange(""https://docs.google.com/spreadsheets/d/1L6Qot-tX0BahjoHFRtp7rqwsomNzqMNnwPIEbNZIte0/edit?gid=0#gid=0"",""2026-27!p4"")"),0.0)</f>
        <v>0</v>
      </c>
      <c r="AE155" s="59">
        <f>IFERROR(__xludf.DUMMYFUNCTION("importrange(""https://docs.google.com/spreadsheets/d/1L6Qot-tX0BahjoHFRtp7rqwsomNzqMNnwPIEbNZIte0/edit?gid=0#gid=0"",""2026-27!p3"")"),0.0)</f>
        <v>0</v>
      </c>
      <c r="AF155" s="59">
        <f>IFERROR(__xludf.DUMMYFUNCTION("importrange(""https://docs.google.com/spreadsheets/d/1L6Qot-tX0BahjoHFRtp7rqwsomNzqMNnwPIEbNZIte0/edit?gid=0#gid=0"",""2026-27!q4"")"),572819.4999999999)</f>
        <v>572819.5</v>
      </c>
      <c r="AG155" s="59">
        <f>IFERROR(__xludf.DUMMYFUNCTION("importrange(""https://docs.google.com/spreadsheets/d/1L6Qot-tX0BahjoHFRtp7rqwsomNzqMNnwPIEbNZIte0/edit?gid=0#gid=0"",""2026-27!q3"")"),24.0)</f>
        <v>24</v>
      </c>
      <c r="AH155" s="62" t="str">
        <f t="shared" si="134"/>
        <v/>
      </c>
      <c r="AI155" s="59">
        <f>IFERROR(__xludf.DUMMYFUNCTION("importrange(""https://docs.google.com/spreadsheets/d/1L6Qot-tX0BahjoHFRtp7rqwsomNzqMNnwPIEbNZIte0/edit?gid=0#gid=0"",""2026-27!r4"")"),150280.0)</f>
        <v>150280</v>
      </c>
      <c r="AJ155" s="59">
        <f>IFERROR(__xludf.DUMMYFUNCTION("importrange(""https://docs.google.com/spreadsheets/d/1L6Qot-tX0BahjoHFRtp7rqwsomNzqMNnwPIEbNZIte0/edit?gid=0#gid=0"",""2026-27!r3"")"),16.0)</f>
        <v>16</v>
      </c>
      <c r="AK155" s="59">
        <f>IFERROR(__xludf.DUMMYFUNCTION("importrange(""https://docs.google.com/spreadsheets/d/1L6Qot-tX0BahjoHFRtp7rqwsomNzqMNnwPIEbNZIte0/edit?gid=0#gid=0"",""2026-27!s4"")"),210000.0)</f>
        <v>210000</v>
      </c>
      <c r="AL155" s="59">
        <f>IFERROR(__xludf.DUMMYFUNCTION("importrange(""https://docs.google.com/spreadsheets/d/1L6Qot-tX0BahjoHFRtp7rqwsomNzqMNnwPIEbNZIte0/edit?gid=0#gid=0"",""2026-27!s3"")"),6.0)</f>
        <v>6</v>
      </c>
      <c r="AM155" s="61">
        <f>IFERROR(__xludf.DUMMYFUNCTION("importrange(""https://docs.google.com/spreadsheets/d/1L6Qot-tX0BahjoHFRtp7rqwsomNzqMNnwPIEbNZIte0/edit?gid=0#gid=0"",""2026-27!t4"")"),0.0)</f>
        <v>0</v>
      </c>
      <c r="AN155" s="59">
        <f>IFERROR(__xludf.DUMMYFUNCTION("importrange(""https://docs.google.com/spreadsheets/d/1L6Qot-tX0BahjoHFRtp7rqwsomNzqMNnwPIEbNZIte0/edit?gid=0#gid=0"",""2026-27!t3"")"),0.0)</f>
        <v>0</v>
      </c>
      <c r="AO155" s="62">
        <f t="shared" si="135"/>
        <v>0</v>
      </c>
      <c r="AP155" s="59">
        <f>IFERROR(__xludf.DUMMYFUNCTION("importrange(""https://docs.google.com/spreadsheets/d/1L6Qot-tX0BahjoHFRtp7rqwsomNzqMNnwPIEbNZIte0/edit?gid=0#gid=0"",""2026-27!u4"")"),0.0)</f>
        <v>0</v>
      </c>
      <c r="AQ155" s="59">
        <f>IFERROR(__xludf.DUMMYFUNCTION("importrange(""https://docs.google.com/spreadsheets/d/1L6Qot-tX0BahjoHFRtp7rqwsomNzqMNnwPIEbNZIte0/edit?gid=0#gid=0"",""2026-27!u3"")"),0.0)</f>
        <v>0</v>
      </c>
      <c r="AR155" s="59">
        <f>IFERROR(__xludf.DUMMYFUNCTION("importrange(""https://docs.google.com/spreadsheets/d/1L6Qot-tX0BahjoHFRtp7rqwsomNzqMNnwPIEbNZIte0/edit?gid=0#gid=0"",""2026-27!v4"")"),205000.0)</f>
        <v>205000</v>
      </c>
      <c r="AS155" s="59">
        <f>IFERROR(__xludf.DUMMYFUNCTION("importrange(""https://docs.google.com/spreadsheets/d/1L6Qot-tX0BahjoHFRtp7rqwsomNzqMNnwPIEbNZIte0/edit?gid=0#gid=0"",""2026-27!v3"")"),6.0)</f>
        <v>6</v>
      </c>
      <c r="AT155" s="61">
        <f>IFERROR(__xludf.DUMMYFUNCTION("importrange(""https://docs.google.com/spreadsheets/d/1L6Qot-tX0BahjoHFRtp7rqwsomNzqMNnwPIEbNZIte0/edit?gid=0#gid=0"",""2026-27!w4"")"),0.0)</f>
        <v>0</v>
      </c>
      <c r="AU155" s="59">
        <f>IFERROR(__xludf.DUMMYFUNCTION("importrange(""https://docs.google.com/spreadsheets/d/1L6Qot-tX0BahjoHFRtp7rqwsomNzqMNnwPIEbNZIte0/edit?gid=0#gid=0"",""2026-27!w3"")"),0.0)</f>
        <v>0</v>
      </c>
      <c r="AV155" s="62">
        <f t="shared" si="136"/>
        <v>0</v>
      </c>
      <c r="AW155" s="59">
        <f>IFERROR(__xludf.DUMMYFUNCTION("importrange(""https://docs.google.com/spreadsheets/d/1L6Qot-tX0BahjoHFRtp7rqwsomNzqMNnwPIEbNZIte0/edit?gid=0#gid=0"",""2026-27!x4"")"),0.0)</f>
        <v>0</v>
      </c>
      <c r="AX155" s="59">
        <f>IFERROR(__xludf.DUMMYFUNCTION("importrange(""https://docs.google.com/spreadsheets/d/1L6Qot-tX0BahjoHFRtp7rqwsomNzqMNnwPIEbNZIte0/edit?gid=0#gid=0"",""2026-27!x3"")"),0.0)</f>
        <v>0</v>
      </c>
      <c r="AY155" s="59">
        <f>IFERROR(__xludf.DUMMYFUNCTION("importrange(""https://docs.google.com/spreadsheets/d/1L6Qot-tX0BahjoHFRtp7rqwsomNzqMNnwPIEbNZIte0/edit?gid=0#gid=0"",""2026-27!y4"")"),200000.0)</f>
        <v>200000</v>
      </c>
      <c r="AZ155" s="59">
        <f>IFERROR(__xludf.DUMMYFUNCTION("importrange(""https://docs.google.com/spreadsheets/d/1L6Qot-tX0BahjoHFRtp7rqwsomNzqMNnwPIEbNZIte0/edit?gid=0#gid=0"",""2026-27!y3"")"),6.0)</f>
        <v>6</v>
      </c>
      <c r="BA155" s="61">
        <f>IFERROR(__xludf.DUMMYFUNCTION("importrange(""https://docs.google.com/spreadsheets/d/1L6Qot-tX0BahjoHFRtp7rqwsomNzqMNnwPIEbNZIte0/edit?gid=0#gid=0"",""2026-27!z4"")"),0.0)</f>
        <v>0</v>
      </c>
      <c r="BB155" s="59">
        <f>IFERROR(__xludf.DUMMYFUNCTION("importrange(""https://docs.google.com/spreadsheets/d/1L6Qot-tX0BahjoHFRtp7rqwsomNzqMNnwPIEbNZIte0/edit?gid=0#gid=0"",""2026-27!z3"")"),0.0)</f>
        <v>0</v>
      </c>
      <c r="BC155" s="63">
        <f t="shared" si="137"/>
        <v>0</v>
      </c>
      <c r="BD155" s="59">
        <f>IFERROR(__xludf.DUMMYFUNCTION("importrange(""https://docs.google.com/spreadsheets/d/1L6Qot-tX0BahjoHFRtp7rqwsomNzqMNnwPIEbNZIte0/edit?gid=0#gid=0"",""2026-27!aa4"")"),0.0)</f>
        <v>0</v>
      </c>
      <c r="BE155" s="59">
        <f>IFERROR(__xludf.DUMMYFUNCTION("importrange(""https://docs.google.com/spreadsheets/d/1L6Qot-tX0BahjoHFRtp7rqwsomNzqMNnwPIEbNZIte0/edit?gid=0#gid=0"",""2026-27!aa3"")"),0.0)</f>
        <v>0</v>
      </c>
      <c r="BF155" s="59">
        <f>IFERROR(__xludf.DUMMYFUNCTION("importrange(""https://docs.google.com/spreadsheets/d/1L6Qot-tX0BahjoHFRtp7rqwsomNzqMNnwPIEbNZIte0/edit?gid=0#gid=0"",""2026-27!ab4"")"),185000.0)</f>
        <v>185000</v>
      </c>
      <c r="BG155" s="59">
        <f>IFERROR(__xludf.DUMMYFUNCTION("importrange(""https://docs.google.com/spreadsheets/d/1L6Qot-tX0BahjoHFRtp7rqwsomNzqMNnwPIEbNZIte0/edit?gid=0#gid=0"",""2026-27!ab3"")"),6.0)</f>
        <v>6</v>
      </c>
      <c r="BH155" s="59">
        <f>IFERROR(__xludf.DUMMYFUNCTION("importrange(""https://docs.google.com/spreadsheets/d/1L6Qot-tX0BahjoHFRtp7rqwsomNzqMNnwPIEbNZIte0/edit?gid=0#gid=0"",""2026-27!ac4"")"),0.0)</f>
        <v>0</v>
      </c>
      <c r="BI155" s="59">
        <f>IFERROR(__xludf.DUMMYFUNCTION("importrange(""https://docs.google.com/spreadsheets/d/1L6Qot-tX0BahjoHFRtp7rqwsomNzqMNnwPIEbNZIte0/edit?gid=0#gid=0"",""2026-27!ac3"")"),0.0)</f>
        <v>0</v>
      </c>
      <c r="BJ155" s="63">
        <f t="shared" si="138"/>
        <v>0</v>
      </c>
      <c r="BK155" s="59">
        <f>IFERROR(__xludf.DUMMYFUNCTION("importrange(""https://docs.google.com/spreadsheets/d/1L6Qot-tX0BahjoHFRtp7rqwsomNzqMNnwPIEbNZIte0/edit?gid=0#gid=0"",""2026-27!ad4"")"),0.0)</f>
        <v>0</v>
      </c>
      <c r="BL155" s="59">
        <f>IFERROR(__xludf.DUMMYFUNCTION("importrange(""https://docs.google.com/spreadsheets/d/1L6Qot-tX0BahjoHFRtp7rqwsomNzqMNnwPIEbNZIte0/edit?gid=0#gid=0"",""2026-27!ad3"")"),0.0)</f>
        <v>0</v>
      </c>
      <c r="BM155" s="59">
        <f>IFERROR(__xludf.DUMMYFUNCTION("importrange(""https://docs.google.com/spreadsheets/d/1L6Qot-tX0BahjoHFRtp7rqwsomNzqMNnwPIEbNZIte0/edit?gid=0#gid=0"",""2026-27!ae4"")"),180000.0)</f>
        <v>180000</v>
      </c>
      <c r="BN155" s="59">
        <f>IFERROR(__xludf.DUMMYFUNCTION("importrange(""https://docs.google.com/spreadsheets/d/1L6Qot-tX0BahjoHFRtp7rqwsomNzqMNnwPIEbNZIte0/edit?gid=0#gid=0"",""2026-27!ae3"")"),6.0)</f>
        <v>6</v>
      </c>
      <c r="BO155" s="59">
        <f>IFERROR(__xludf.DUMMYFUNCTION("importrange(""https://docs.google.com/spreadsheets/d/1L6Qot-tX0BahjoHFRtp7rqwsomNzqMNnwPIEbNZIte0/edit?gid=0#gid=0"",""2026-27!af4"")"),0.0)</f>
        <v>0</v>
      </c>
      <c r="BP155" s="59">
        <f>IFERROR(__xludf.DUMMYFUNCTION("importrange(""https://docs.google.com/spreadsheets/d/1L6Qot-tX0BahjoHFRtp7rqwsomNzqMNnwPIEbNZIte0/edit?gid=0#gid=0"",""2026-27!af3"")"),0.0)</f>
        <v>0</v>
      </c>
      <c r="BQ155" s="63">
        <f t="shared" si="139"/>
        <v>0</v>
      </c>
      <c r="BR155" s="59">
        <f>IFERROR(__xludf.DUMMYFUNCTION("importrange(""https://docs.google.com/spreadsheets/d/1L6Qot-tX0BahjoHFRtp7rqwsomNzqMNnwPIEbNZIte0/edit?gid=0#gid=0"",""2026-27!ag4"")"),0.0)</f>
        <v>0</v>
      </c>
      <c r="BS155" s="59">
        <f>IFERROR(__xludf.DUMMYFUNCTION("importrange(""https://docs.google.com/spreadsheets/d/1L6Qot-tX0BahjoHFRtp7rqwsomNzqMNnwPIEbNZIte0/edit?gid=0#gid=0"",""2026-27!ag3"")"),0.0)</f>
        <v>0</v>
      </c>
      <c r="BT155" s="59">
        <f>IFERROR(__xludf.DUMMYFUNCTION("importrange(""https://docs.google.com/spreadsheets/d/1L6Qot-tX0BahjoHFRtp7rqwsomNzqMNnwPIEbNZIte0/edit?gid=0#gid=0"",""2026-27!ah4"")"),205000.0)</f>
        <v>205000</v>
      </c>
      <c r="BU155" s="59">
        <f>IFERROR(__xludf.DUMMYFUNCTION("importrange(""https://docs.google.com/spreadsheets/d/1L6Qot-tX0BahjoHFRtp7rqwsomNzqMNnwPIEbNZIte0/edit?gid=0#gid=0"",""2026-27!ah3"")"),6.0)</f>
        <v>6</v>
      </c>
      <c r="BV155" s="59">
        <f>IFERROR(__xludf.DUMMYFUNCTION("importrange(""https://docs.google.com/spreadsheets/d/1L6Qot-tX0BahjoHFRtp7rqwsomNzqMNnwPIEbNZIte0/edit?gid=0#gid=0"",""2026-27!ai4"")"),0.0)</f>
        <v>0</v>
      </c>
      <c r="BW155" s="59">
        <f>IFERROR(__xludf.DUMMYFUNCTION("importrange(""https://docs.google.com/spreadsheets/d/1L6Qot-tX0BahjoHFRtp7rqwsomNzqMNnwPIEbNZIte0/edit?gid=0#gid=0"",""2026-27!ai3"")"),0.0)</f>
        <v>0</v>
      </c>
      <c r="BX155" s="63">
        <f t="shared" si="140"/>
        <v>0</v>
      </c>
      <c r="BY155" s="59">
        <f>IFERROR(__xludf.DUMMYFUNCTION("importrange(""https://docs.google.com/spreadsheets/d/1L6Qot-tX0BahjoHFRtp7rqwsomNzqMNnwPIEbNZIte0/edit?gid=0#gid=0"",""2026-27!aj4"")"),0.0)</f>
        <v>0</v>
      </c>
      <c r="BZ155" s="59">
        <f>IFERROR(__xludf.DUMMYFUNCTION("importrange(""https://docs.google.com/spreadsheets/d/1L6Qot-tX0BahjoHFRtp7rqwsomNzqMNnwPIEbNZIte0/edit?gid=0#gid=0"",""2026-27!aj3"")"),0.0)</f>
        <v>0</v>
      </c>
      <c r="CA155" s="59">
        <f>IFERROR(__xludf.DUMMYFUNCTION("importrange(""https://docs.google.com/spreadsheets/d/1L6Qot-tX0BahjoHFRtp7rqwsomNzqMNnwPIEbNZIte0/edit?gid=0#gid=0"",""2026-27!ak4"")"),190000.0)</f>
        <v>190000</v>
      </c>
      <c r="CB155" s="59">
        <f>IFERROR(__xludf.DUMMYFUNCTION("importrange(""https://docs.google.com/spreadsheets/d/1L6Qot-tX0BahjoHFRtp7rqwsomNzqMNnwPIEbNZIte0/edit?gid=0#gid=0"",""2026-27!ak3"")"),6.0)</f>
        <v>6</v>
      </c>
      <c r="CC155" s="59">
        <f>IFERROR(__xludf.DUMMYFUNCTION("importrange(""https://docs.google.com/spreadsheets/d/1L6Qot-tX0BahjoHFRtp7rqwsomNzqMNnwPIEbNZIte0/edit?gid=0#gid=0"",""2026-27!al4"")"),0.0)</f>
        <v>0</v>
      </c>
      <c r="CD155" s="59">
        <f>IFERROR(__xludf.DUMMYFUNCTION("importrange(""https://docs.google.com/spreadsheets/d/1L6Qot-tX0BahjoHFRtp7rqwsomNzqMNnwPIEbNZIte0/edit?gid=0#gid=0"",""2026-27!ai3"")"),0.0)</f>
        <v>0</v>
      </c>
      <c r="CE155" s="63">
        <f t="shared" si="141"/>
        <v>0</v>
      </c>
      <c r="CF155" s="59">
        <f>IFERROR(__xludf.DUMMYFUNCTION("importrange(""https://docs.google.com/spreadsheets/d/1L6Qot-tX0BahjoHFRtp7rqwsomNzqMNnwPIEbNZIte0/edit?gid=0#gid=0"",""2026-27!am4"")"),0.0)</f>
        <v>0</v>
      </c>
      <c r="CG155" s="59">
        <f>IFERROR(__xludf.DUMMYFUNCTION("importrange(""https://docs.google.com/spreadsheets/d/1L6Qot-tX0BahjoHFRtp7rqwsomNzqMNnwPIEbNZIte0/edit?gid=0#gid=0"",""2026-27!am3"")"),0.0)</f>
        <v>0</v>
      </c>
      <c r="CH155" s="59">
        <f>IFERROR(__xludf.DUMMYFUNCTION("importrange(""https://docs.google.com/spreadsheets/d/1L6Qot-tX0BahjoHFRtp7rqwsomNzqMNnwPIEbNZIte0/edit?gid=0#gid=0"",""2026-27!an4"")"),210000.0)</f>
        <v>210000</v>
      </c>
      <c r="CI155" s="59">
        <f>IFERROR(__xludf.DUMMYFUNCTION("importrange(""https://docs.google.com/spreadsheets/d/1L6Qot-tX0BahjoHFRtp7rqwsomNzqMNnwPIEbNZIte0/edit?gid=0#gid=0"",""2026-27!an3"")"),6.0)</f>
        <v>6</v>
      </c>
      <c r="CJ155" s="59">
        <f>IFERROR(__xludf.DUMMYFUNCTION("importrange(""https://docs.google.com/spreadsheets/d/1L6Qot-tX0BahjoHFRtp7rqwsomNzqMNnwPIEbNZIte0/edit?gid=0#gid=0"",""2026-27!ao4"")"),0.0)</f>
        <v>0</v>
      </c>
      <c r="CK155" s="59">
        <f>IFERROR(__xludf.DUMMYFUNCTION("importrange(""https://docs.google.com/spreadsheets/d/1L6Qot-tX0BahjoHFRtp7rqwsomNzqMNnwPIEbNZIte0/edit?gid=0#gid=0"",""2026-27!ao3"")"),0.0)</f>
        <v>0</v>
      </c>
      <c r="CL155" s="63">
        <f t="shared" si="142"/>
        <v>0</v>
      </c>
      <c r="CM155" s="59">
        <f>IFERROR(__xludf.DUMMYFUNCTION("importrange(""https://docs.google.com/spreadsheets/d/1L6Qot-tX0BahjoHFRtp7rqwsomNzqMNnwPIEbNZIte0/edit?gid=0#gid=0"",""2026-27!ap4"")"),0.0)</f>
        <v>0</v>
      </c>
      <c r="CN155" s="59">
        <f>IFERROR(__xludf.DUMMYFUNCTION("importrange(""https://docs.google.com/spreadsheets/d/1L6Qot-tX0BahjoHFRtp7rqwsomNzqMNnwPIEbNZIte0/edit?gid=0#gid=0"",""2026-27!ap3"")"),0.0)</f>
        <v>0</v>
      </c>
      <c r="CO155" s="59">
        <f>IFERROR(__xludf.DUMMYFUNCTION("importrange(""https://docs.google.com/spreadsheets/d/1L6Qot-tX0BahjoHFRtp7rqwsomNzqMNnwPIEbNZIte0/edit?gid=0#gid=0"",""2026-27!aq4"")"),250000.0)</f>
        <v>250000</v>
      </c>
      <c r="CP155" s="59">
        <f>IFERROR(__xludf.DUMMYFUNCTION("importrange(""https://docs.google.com/spreadsheets/d/1L6Qot-tX0BahjoHFRtp7rqwsomNzqMNnwPIEbNZIte0/edit?gid=0#gid=0"",""2026-27!aq3"")"),6.0)</f>
        <v>6</v>
      </c>
      <c r="CQ155" s="59">
        <f>IFERROR(__xludf.DUMMYFUNCTION("importrange(""https://docs.google.com/spreadsheets/d/1L6Qot-tX0BahjoHFRtp7rqwsomNzqMNnwPIEbNZIte0/edit?gid=0#gid=0"",""2026-27!ar4"")"),0.0)</f>
        <v>0</v>
      </c>
      <c r="CR155" s="59">
        <f>IFERROR(__xludf.DUMMYFUNCTION("importrange(""https://docs.google.com/spreadsheets/d/1L6Qot-tX0BahjoHFRtp7rqwsomNzqMNnwPIEbNZIte0/edit?gid=0#gid=0"",""2026-27!ar3"")"),0.0)</f>
        <v>0</v>
      </c>
      <c r="CS155" s="63">
        <f t="shared" si="143"/>
        <v>0</v>
      </c>
      <c r="CT155" s="59">
        <f>IFERROR(__xludf.DUMMYFUNCTION("importrange(""https://docs.google.com/spreadsheets/d/1L6Qot-tX0BahjoHFRtp7rqwsomNzqMNnwPIEbNZIte0/edit?gid=0#gid=0"",""2026-27!as4"")"),0.0)</f>
        <v>0</v>
      </c>
      <c r="CU155" s="59">
        <f>IFERROR(__xludf.DUMMYFUNCTION("importrange(""https://docs.google.com/spreadsheets/d/1L6Qot-tX0BahjoHFRtp7rqwsomNzqMNnwPIEbNZIte0/edit?gid=0#gid=0"",""2026-27!as3"")"),0.0)</f>
        <v>0</v>
      </c>
      <c r="CV155" s="64"/>
    </row>
    <row r="156">
      <c r="A156" s="1" t="s">
        <v>301</v>
      </c>
      <c r="B156" s="51" t="s">
        <v>301</v>
      </c>
      <c r="C156" s="112" t="s">
        <v>302</v>
      </c>
      <c r="D156" s="54" t="s">
        <v>303</v>
      </c>
      <c r="E156" s="54">
        <v>8.448199551E9</v>
      </c>
      <c r="F156" s="80">
        <v>42992.0</v>
      </c>
      <c r="G156" s="66"/>
      <c r="H156" s="66"/>
      <c r="I156" s="57">
        <v>46667.0</v>
      </c>
      <c r="J156" s="58">
        <v>1250000.0</v>
      </c>
      <c r="K156" s="61">
        <f>IFERROR(__xludf.DUMMYFUNCTION("IMPORTRANGE(""https://docs.google.com/spreadsheets/d/1TtPg-FlLO1jhwMXHbfK3fOdebITZM3SHDdYgDdsun-o/edit#gid=1753586248"",""2026-27!A3"")"),106.0)</f>
        <v>106</v>
      </c>
      <c r="L156" s="61">
        <f>IFERROR(__xludf.DUMMYFUNCTION("IMPORTRANGE(""https://docs.google.com/spreadsheets/d/1TtPg-FlLO1jhwMXHbfK3fOdebITZM3SHDdYgDdsun-o/edit#gid=1753586248"",""2026-27!G4"")"),1.845E7)</f>
        <v>18450000</v>
      </c>
      <c r="M156" s="61">
        <f t="shared" si="129"/>
        <v>3495534.16</v>
      </c>
      <c r="N156" s="60">
        <f t="shared" si="130"/>
        <v>0.1844569106</v>
      </c>
      <c r="O156" s="61">
        <f t="shared" si="131"/>
        <v>3403230</v>
      </c>
      <c r="P156" s="59">
        <f>IFERROR(__xludf.DUMMYFUNCTION("IMPORTRANGE(""https://docs.google.com/spreadsheets/d/1TtPg-FlLO1jhwMXHbfK3fOdebITZM3SHDdYgDdsun-o/edit#gid=1753586248"",""2026-27!J4"")"),1000000.0)</f>
        <v>1000000</v>
      </c>
      <c r="Q156" s="59">
        <f>IFERROR(__xludf.DUMMYFUNCTION("IMPORTRANGE(""https://docs.google.com/spreadsheets/d/1TtPg-FlLO1jhwMXHbfK3fOdebITZM3SHDdYgDdsun-o/edit#gid=1753586248"",""2026-27!J3"")"),104.0)</f>
        <v>104</v>
      </c>
      <c r="R156" s="59">
        <f>IFERROR(__xludf.DUMMYFUNCTION("IMPORTRANGE(""https://docs.google.com/spreadsheets/d/1TtPg-FlLO1jhwMXHbfK3fOdebITZM3SHDdYgDdsun-o/edit#gid=1753586248"",""2026-27!K4"")"),1489617.58)</f>
        <v>1489617.58</v>
      </c>
      <c r="S156" s="59">
        <f>IFERROR(__xludf.DUMMYFUNCTION("IMPORTRANGE(""https://docs.google.com/spreadsheets/d/1TtPg-FlLO1jhwMXHbfK3fOdebITZM3SHDdYgDdsun-o/edit#gid=1753586248"",""2026-27!K3"")"),33.0)</f>
        <v>33</v>
      </c>
      <c r="T156" s="62">
        <f t="shared" si="132"/>
        <v>1.440633</v>
      </c>
      <c r="U156" s="59">
        <f>IFERROR(__xludf.DUMMYFUNCTION("IMPORTRANGE(""https://docs.google.com/spreadsheets/d/1TtPg-FlLO1jhwMXHbfK3fOdebITZM3SHDdYgDdsun-o/edit#gid=1753586248"",""2026-27!L4"")"),1440633.0)</f>
        <v>1440633</v>
      </c>
      <c r="V156" s="85">
        <f>IFERROR(__xludf.DUMMYFUNCTION("IMPORTRANGE(""https://docs.google.com/spreadsheets/d/1TtPg-FlLO1jhwMXHbfK3fOdebITZM3SHDdYgDdsun-o/edit#gid=1753586248"",""2026-27!L3"")"),32.0)</f>
        <v>32</v>
      </c>
      <c r="W156" s="59">
        <f>IFERROR(__xludf.DUMMYFUNCTION("IMPORTRANGE(""https://docs.google.com/spreadsheets/d/1TtPg-FlLO1jhwMXHbfK3fOdebITZM3SHDdYgDdsun-o/edit#gid=1753586248"",""2026-27!M4"")"),1100000.0)</f>
        <v>1100000</v>
      </c>
      <c r="X156" s="85">
        <f>IFERROR(__xludf.DUMMYFUNCTION("IMPORTRANGE(""https://docs.google.com/spreadsheets/d/1TtPg-FlLO1jhwMXHbfK3fOdebITZM3SHDdYgDdsun-o/edit#gid=1753586248"",""2026-27!M3"")"),104.0)</f>
        <v>104</v>
      </c>
      <c r="Y156" s="59">
        <f>IFERROR(__xludf.DUMMYFUNCTION("importrange(""https://docs.google.com/spreadsheets/d/1TtPg-FlLO1jhwMXHbfK3fOdebITZM3SHDdYgDdsun-o/edit#gid=1753586248"",""2026-27!n4"")"),750214.3400000001)</f>
        <v>750214.34</v>
      </c>
      <c r="Z156" s="59">
        <f>IFERROR(__xludf.DUMMYFUNCTION("importrange(""https://docs.google.com/spreadsheets/d/1TtPg-FlLO1jhwMXHbfK3fOdebITZM3SHDdYgDdsun-o/edit#gid=1753586248"",""2026-27!n3"")"),46.0)</f>
        <v>46</v>
      </c>
      <c r="AA156" s="62">
        <f t="shared" si="133"/>
        <v>0.6820136364</v>
      </c>
      <c r="AB156" s="59">
        <f>IFERROR(__xludf.DUMMYFUNCTION("importrange(""https://docs.google.com/spreadsheets/d/1TtPg-FlLO1jhwMXHbfK3fOdebITZM3SHDdYgDdsun-o/edit#gid=1753586248"",""2026-27!o4"")"),750215.0)</f>
        <v>750215</v>
      </c>
      <c r="AC156" s="59">
        <f>IFERROR(__xludf.DUMMYFUNCTION("importrange(""https://docs.google.com/spreadsheets/d/1TtPg-FlLO1jhwMXHbfK3fOdebITZM3SHDdYgDdsun-o/edit#gid=1753586248"",""2026-27!o3"")"),46.0)</f>
        <v>46</v>
      </c>
      <c r="AD156" s="59">
        <f>IFERROR(__xludf.DUMMYFUNCTION("importrange(""https://docs.google.com/spreadsheets/d/1TtPg-FlLO1jhwMXHbfK3fOdebITZM3SHDdYgDdsun-o/edit#gid=1753586248"",""2026-27!p4"")"),1100000.0)</f>
        <v>1100000</v>
      </c>
      <c r="AE156" s="59">
        <f>IFERROR(__xludf.DUMMYFUNCTION("importrange(""https://docs.google.com/spreadsheets/d/1TtPg-FlLO1jhwMXHbfK3fOdebITZM3SHDdYgDdsun-o/edit#gid=1753586248"",""2026-27!p3"")"),104.0)</f>
        <v>104</v>
      </c>
      <c r="AF156" s="59">
        <f>IFERROR(__xludf.DUMMYFUNCTION("importrange(""https://docs.google.com/spreadsheets/d/1TtPg-FlLO1jhwMXHbfK3fOdebITZM3SHDdYgDdsun-o/edit#gid=1753586248"",""2026-27!q4"")"),1255702.24)</f>
        <v>1255702.24</v>
      </c>
      <c r="AG156" s="59">
        <f>IFERROR(__xludf.DUMMYFUNCTION("importrange(""https://docs.google.com/spreadsheets/d/1TtPg-FlLO1jhwMXHbfK3fOdebITZM3SHDdYgDdsun-o/edit#gid=1753586248"",""2026-27!q3"")"),46.0)</f>
        <v>46</v>
      </c>
      <c r="AH156" s="62">
        <f t="shared" si="134"/>
        <v>0</v>
      </c>
      <c r="AI156" s="59">
        <f>IFERROR(__xludf.DUMMYFUNCTION("importrange(""https://docs.google.com/spreadsheets/d/1TtPg-FlLO1jhwMXHbfK3fOdebITZM3SHDdYgDdsun-o/edit#gid=1753586248"",""2026-27!r4"")"),0.0)</f>
        <v>0</v>
      </c>
      <c r="AJ156" s="59">
        <f>IFERROR(__xludf.DUMMYFUNCTION("importrange(""https://docs.google.com/spreadsheets/d/1TtPg-FlLO1jhwMXHbfK3fOdebITZM3SHDdYgDdsun-o/edit#gid=1753586248"",""2026-27!r3"")"),0.0)</f>
        <v>0</v>
      </c>
      <c r="AK156" s="59">
        <f>IFERROR(__xludf.DUMMYFUNCTION("importrange(""https://docs.google.com/spreadsheets/d/1TtPg-FlLO1jhwMXHbfK3fOdebITZM3SHDdYgDdsun-o/edit#gid=1753586248"",""2026-27!s4"")"),1100000.0)</f>
        <v>1100000</v>
      </c>
      <c r="AL156" s="59">
        <f>IFERROR(__xludf.DUMMYFUNCTION("importrange(""https://docs.google.com/spreadsheets/d/1TtPg-FlLO1jhwMXHbfK3fOdebITZM3SHDdYgDdsun-o/edit#gid=1753586248"",""2026-27!s3"")"),106.0)</f>
        <v>106</v>
      </c>
      <c r="AM156" s="61">
        <f>IFERROR(__xludf.DUMMYFUNCTION("importrange(""https://docs.google.com/spreadsheets/d/1TtPg-FlLO1jhwMXHbfK3fOdebITZM3SHDdYgDdsun-o/edit#gid=1753586248"",""2026-27!t4"")"),0.0)</f>
        <v>0</v>
      </c>
      <c r="AN156" s="59">
        <f>IFERROR(__xludf.DUMMYFUNCTION("importrange(""https://docs.google.com/spreadsheets/d/1TtPg-FlLO1jhwMXHbfK3fOdebITZM3SHDdYgDdsun-o/edit#gid=1753586248"",""2026-27!t3"")"),0.0)</f>
        <v>0</v>
      </c>
      <c r="AO156" s="62">
        <f t="shared" si="135"/>
        <v>1.102165455</v>
      </c>
      <c r="AP156" s="59">
        <f>IFERROR(__xludf.DUMMYFUNCTION("importrange(""https://docs.google.com/spreadsheets/d/1TtPg-FlLO1jhwMXHbfK3fOdebITZM3SHDdYgDdsun-o/edit#gid=1753586248"",""2026-27!u4"")"),1212382.0)</f>
        <v>1212382</v>
      </c>
      <c r="AQ156" s="59">
        <f>IFERROR(__xludf.DUMMYFUNCTION("importrange(""https://docs.google.com/spreadsheets/d/1TtPg-FlLO1jhwMXHbfK3fOdebITZM3SHDdYgDdsun-o/edit#gid=1753586248"",""2026-27!u3"")"),43.0)</f>
        <v>43</v>
      </c>
      <c r="AR156" s="59">
        <f>IFERROR(__xludf.DUMMYFUNCTION("importrange(""https://docs.google.com/spreadsheets/d/1TtPg-FlLO1jhwMXHbfK3fOdebITZM3SHDdYgDdsun-o/edit#gid=1753586248"",""2026-27!v4"")"),0.0)</f>
        <v>0</v>
      </c>
      <c r="AS156" s="59">
        <f>IFERROR(__xludf.DUMMYFUNCTION("importrange(""https://docs.google.com/spreadsheets/d/1TtPg-FlLO1jhwMXHbfK3fOdebITZM3SHDdYgDdsun-o/edit#gid=1753586248"",""2026-27!v3"")"),0.0)</f>
        <v>0</v>
      </c>
      <c r="AT156" s="61">
        <f>IFERROR(__xludf.DUMMYFUNCTION("importrange(""https://docs.google.com/spreadsheets/d/1TtPg-FlLO1jhwMXHbfK3fOdebITZM3SHDdYgDdsun-o/edit#gid=1753586248"",""2026-27!w4"")"),0.0)</f>
        <v>0</v>
      </c>
      <c r="AU156" s="59">
        <f>IFERROR(__xludf.DUMMYFUNCTION("importrange(""https://docs.google.com/spreadsheets/d/1TtPg-FlLO1jhwMXHbfK3fOdebITZM3SHDdYgDdsun-o/edit#gid=1753586248"",""2026-27!w3"")"),0.0)</f>
        <v>0</v>
      </c>
      <c r="AV156" s="62" t="str">
        <f t="shared" si="136"/>
        <v/>
      </c>
      <c r="AW156" s="59">
        <f>IFERROR(__xludf.DUMMYFUNCTION("importrange(""https://docs.google.com/spreadsheets/d/1TtPg-FlLO1jhwMXHbfK3fOdebITZM3SHDdYgDdsun-o/edit#gid=1753586248"",""2026-27!x4"")"),0.0)</f>
        <v>0</v>
      </c>
      <c r="AX156" s="59">
        <f>IFERROR(__xludf.DUMMYFUNCTION("importrange(""https://docs.google.com/spreadsheets/d/1TtPg-FlLO1jhwMXHbfK3fOdebITZM3SHDdYgDdsun-o/edit#gid=1753586248"",""2026-27!x3"")"),0.0)</f>
        <v>0</v>
      </c>
      <c r="AY156" s="59">
        <f>IFERROR(__xludf.DUMMYFUNCTION("importrange(""https://docs.google.com/spreadsheets/d/1TtPg-FlLO1jhwMXHbfK3fOdebITZM3SHDdYgDdsun-o/edit#gid=1753586248"",""2026-27!y4"")"),0.0)</f>
        <v>0</v>
      </c>
      <c r="AZ156" s="59">
        <f>IFERROR(__xludf.DUMMYFUNCTION("importrange(""https://docs.google.com/spreadsheets/d/1TtPg-FlLO1jhwMXHbfK3fOdebITZM3SHDdYgDdsun-o/edit#gid=1753586248"",""2026-27!y3"")"),0.0)</f>
        <v>0</v>
      </c>
      <c r="BA156" s="61">
        <f>IFERROR(__xludf.DUMMYFUNCTION("importrange(""https://docs.google.com/spreadsheets/d/1TtPg-FlLO1jhwMXHbfK3fOdebITZM3SHDdYgDdsun-o/edit#gid=1753586248"",""2026-27!z4"")"),0.0)</f>
        <v>0</v>
      </c>
      <c r="BB156" s="59">
        <f>IFERROR(__xludf.DUMMYFUNCTION("importrange(""https://docs.google.com/spreadsheets/d/1TtPg-FlLO1jhwMXHbfK3fOdebITZM3SHDdYgDdsun-o/edit#gid=1753586248"",""2026-27!z3"")"),0.0)</f>
        <v>0</v>
      </c>
      <c r="BC156" s="63" t="str">
        <f t="shared" si="137"/>
        <v/>
      </c>
      <c r="BD156" s="59">
        <f>IFERROR(__xludf.DUMMYFUNCTION("importrange(""https://docs.google.com/spreadsheets/d/1TtPg-FlLO1jhwMXHbfK3fOdebITZM3SHDdYgDdsun-o/edit#gid=1753586248"",""2026-27!aa4"")"),0.0)</f>
        <v>0</v>
      </c>
      <c r="BE156" s="59">
        <f>IFERROR(__xludf.DUMMYFUNCTION("importrange(""https://docs.google.com/spreadsheets/d/1TtPg-FlLO1jhwMXHbfK3fOdebITZM3SHDdYgDdsun-o/edit#gid=1753586248"",""2026-27!aa3"")"),0.0)</f>
        <v>0</v>
      </c>
      <c r="BF156" s="59">
        <f>IFERROR(__xludf.DUMMYFUNCTION("importrange(""https://docs.google.com/spreadsheets/d/1TtPg-FlLO1jhwMXHbfK3fOdebITZM3SHDdYgDdsun-o/edit#gid=1753586248"",""2026-27!ab4"")"),0.0)</f>
        <v>0</v>
      </c>
      <c r="BG156" s="59">
        <f>IFERROR(__xludf.DUMMYFUNCTION("importrange(""https://docs.google.com/spreadsheets/d/1TtPg-FlLO1jhwMXHbfK3fOdebITZM3SHDdYgDdsun-o/edit#gid=1753586248"",""2026-27!ab3"")"),0.0)</f>
        <v>0</v>
      </c>
      <c r="BH156" s="59">
        <f>IFERROR(__xludf.DUMMYFUNCTION("importrange(""https://docs.google.com/spreadsheets/d/1TtPg-FlLO1jhwMXHbfK3fOdebITZM3SHDdYgDdsun-o/edit#gid=1753586248"",""2026-27!ac4"")"),0.0)</f>
        <v>0</v>
      </c>
      <c r="BI156" s="59">
        <f>IFERROR(__xludf.DUMMYFUNCTION("importrange(""https://docs.google.com/spreadsheets/d/1TtPg-FlLO1jhwMXHbfK3fOdebITZM3SHDdYgDdsun-o/edit#gid=1753586248"",""2026-27!ac3"")"),0.0)</f>
        <v>0</v>
      </c>
      <c r="BJ156" s="63" t="str">
        <f t="shared" si="138"/>
        <v/>
      </c>
      <c r="BK156" s="59">
        <f>IFERROR(__xludf.DUMMYFUNCTION("importrange(""https://docs.google.com/spreadsheets/d/1TtPg-FlLO1jhwMXHbfK3fOdebITZM3SHDdYgDdsun-o/edit#gid=1753586248"",""2026-27!ad4"")"),0.0)</f>
        <v>0</v>
      </c>
      <c r="BL156" s="59">
        <f>IFERROR(__xludf.DUMMYFUNCTION("importrange(""https://docs.google.com/spreadsheets/d/1TtPg-FlLO1jhwMXHbfK3fOdebITZM3SHDdYgDdsun-o/edit#gid=1753586248"",""2026-27!ad3"")"),0.0)</f>
        <v>0</v>
      </c>
      <c r="BM156" s="59">
        <f>IFERROR(__xludf.DUMMYFUNCTION("importrange(""https://docs.google.com/spreadsheets/d/1TtPg-FlLO1jhwMXHbfK3fOdebITZM3SHDdYgDdsun-o/edit#gid=1753586248"",""2026-27!ae4"")"),0.0)</f>
        <v>0</v>
      </c>
      <c r="BN156" s="59">
        <f>IFERROR(__xludf.DUMMYFUNCTION("importrange(""https://docs.google.com/spreadsheets/d/1TtPg-FlLO1jhwMXHbfK3fOdebITZM3SHDdYgDdsun-o/edit#gid=1753586248"",""2026-27!ae3"")"),0.0)</f>
        <v>0</v>
      </c>
      <c r="BO156" s="59">
        <f>IFERROR(__xludf.DUMMYFUNCTION("importrange(""https://docs.google.com/spreadsheets/d/1TtPg-FlLO1jhwMXHbfK3fOdebITZM3SHDdYgDdsun-o/edit#gid=1753586248"",""2026-27!af4"")"),0.0)</f>
        <v>0</v>
      </c>
      <c r="BP156" s="59">
        <f>IFERROR(__xludf.DUMMYFUNCTION("importrange(""https://docs.google.com/spreadsheets/d/1TtPg-FlLO1jhwMXHbfK3fOdebITZM3SHDdYgDdsun-o/edit#gid=1753586248"",""2026-27!af3"")"),0.0)</f>
        <v>0</v>
      </c>
      <c r="BQ156" s="63" t="str">
        <f t="shared" si="139"/>
        <v/>
      </c>
      <c r="BR156" s="59">
        <f>IFERROR(__xludf.DUMMYFUNCTION("importrange(""https://docs.google.com/spreadsheets/d/1TtPg-FlLO1jhwMXHbfK3fOdebITZM3SHDdYgDdsun-o/edit#gid=1753586248"",""2026-27!ag4"")"),0.0)</f>
        <v>0</v>
      </c>
      <c r="BS156" s="59">
        <f>IFERROR(__xludf.DUMMYFUNCTION("importrange(""https://docs.google.com/spreadsheets/d/1TtPg-FlLO1jhwMXHbfK3fOdebITZM3SHDdYgDdsun-o/edit#gid=1753586248"",""2026-27!ag3"")"),0.0)</f>
        <v>0</v>
      </c>
      <c r="BT156" s="59">
        <f>IFERROR(__xludf.DUMMYFUNCTION("importrange(""https://docs.google.com/spreadsheets/d/1TtPg-FlLO1jhwMXHbfK3fOdebITZM3SHDdYgDdsun-o/edit#gid=1753586248"",""2026-27!ah4"")"),0.0)</f>
        <v>0</v>
      </c>
      <c r="BU156" s="59">
        <f>IFERROR(__xludf.DUMMYFUNCTION("importrange(""https://docs.google.com/spreadsheets/d/1TtPg-FlLO1jhwMXHbfK3fOdebITZM3SHDdYgDdsun-o/edit#gid=1753586248"",""2026-27!ah3"")"),0.0)</f>
        <v>0</v>
      </c>
      <c r="BV156" s="59">
        <f>IFERROR(__xludf.DUMMYFUNCTION("importrange(""https://docs.google.com/spreadsheets/d/1TtPg-FlLO1jhwMXHbfK3fOdebITZM3SHDdYgDdsun-o/edit#gid=1753586248"",""2026-27!ai4"")"),0.0)</f>
        <v>0</v>
      </c>
      <c r="BW156" s="59">
        <f>IFERROR(__xludf.DUMMYFUNCTION("importrange(""https://docs.google.com/spreadsheets/d/1TtPg-FlLO1jhwMXHbfK3fOdebITZM3SHDdYgDdsun-o/edit#gid=1753586248"",""2026-27!ai3"")"),0.0)</f>
        <v>0</v>
      </c>
      <c r="BX156" s="63" t="str">
        <f t="shared" si="140"/>
        <v/>
      </c>
      <c r="BY156" s="59">
        <f>IFERROR(__xludf.DUMMYFUNCTION("importrange(""https://docs.google.com/spreadsheets/d/1TtPg-FlLO1jhwMXHbfK3fOdebITZM3SHDdYgDdsun-o/edit#gid=1753586248"",""2026-27!aj4"")"),0.0)</f>
        <v>0</v>
      </c>
      <c r="BZ156" s="59">
        <f>IFERROR(__xludf.DUMMYFUNCTION("importrange(""https://docs.google.com/spreadsheets/d/1TtPg-FlLO1jhwMXHbfK3fOdebITZM3SHDdYgDdsun-o/edit#gid=1753586248"",""2026-27!aj3"")"),0.0)</f>
        <v>0</v>
      </c>
      <c r="CA156" s="59">
        <f>IFERROR(__xludf.DUMMYFUNCTION("importrange(""https://docs.google.com/spreadsheets/d/1TtPg-FlLO1jhwMXHbfK3fOdebITZM3SHDdYgDdsun-o/edit#gid=1753586248"",""2026-27!ak4"")"),0.0)</f>
        <v>0</v>
      </c>
      <c r="CB156" s="59">
        <f>IFERROR(__xludf.DUMMYFUNCTION("importrange(""https://docs.google.com/spreadsheets/d/1TtPg-FlLO1jhwMXHbfK3fOdebITZM3SHDdYgDdsun-o/edit#gid=1753586248"",""2026-27!ak3"")"),0.0)</f>
        <v>0</v>
      </c>
      <c r="CC156" s="59">
        <f>IFERROR(__xludf.DUMMYFUNCTION("importrange(""https://docs.google.com/spreadsheets/d/1TtPg-FlLO1jhwMXHbfK3fOdebITZM3SHDdYgDdsun-o/edit#gid=1753586248"",""2026-27!al4"")"),0.0)</f>
        <v>0</v>
      </c>
      <c r="CD156" s="59">
        <f>IFERROR(__xludf.DUMMYFUNCTION("importrange(""https://docs.google.com/spreadsheets/d/1TtPg-FlLO1jhwMXHbfK3fOdebITZM3SHDdYgDdsun-o/edit#gid=1753586248"",""2026-27!ai3"")"),0.0)</f>
        <v>0</v>
      </c>
      <c r="CE156" s="63" t="str">
        <f t="shared" si="141"/>
        <v/>
      </c>
      <c r="CF156" s="59">
        <f>IFERROR(__xludf.DUMMYFUNCTION("importrange(""https://docs.google.com/spreadsheets/d/1TtPg-FlLO1jhwMXHbfK3fOdebITZM3SHDdYgDdsun-o/edit#gid=1753586248"",""2026-27!am4"")"),0.0)</f>
        <v>0</v>
      </c>
      <c r="CG156" s="59">
        <f>IFERROR(__xludf.DUMMYFUNCTION("importrange(""https://docs.google.com/spreadsheets/d/1TtPg-FlLO1jhwMXHbfK3fOdebITZM3SHDdYgDdsun-o/edit#gid=1753586248"",""2026-27!am3"")"),0.0)</f>
        <v>0</v>
      </c>
      <c r="CH156" s="59">
        <f>IFERROR(__xludf.DUMMYFUNCTION("importrange(""https://docs.google.com/spreadsheets/d/1TtPg-FlLO1jhwMXHbfK3fOdebITZM3SHDdYgDdsun-o/edit#gid=1753586248"",""2026-27!an4"")"),0.0)</f>
        <v>0</v>
      </c>
      <c r="CI156" s="59">
        <f>IFERROR(__xludf.DUMMYFUNCTION("importrange(""https://docs.google.com/spreadsheets/d/1TtPg-FlLO1jhwMXHbfK3fOdebITZM3SHDdYgDdsun-o/edit#gid=1753586248"",""2026-27!an3"")"),0.0)</f>
        <v>0</v>
      </c>
      <c r="CJ156" s="59">
        <f>IFERROR(__xludf.DUMMYFUNCTION("importrange(""https://docs.google.com/spreadsheets/d/1TtPg-FlLO1jhwMXHbfK3fOdebITZM3SHDdYgDdsun-o/edit#gid=1753586248"",""2026-27!ao4"")"),0.0)</f>
        <v>0</v>
      </c>
      <c r="CK156" s="59">
        <f>IFERROR(__xludf.DUMMYFUNCTION("importrange(""https://docs.google.com/spreadsheets/d/1TtPg-FlLO1jhwMXHbfK3fOdebITZM3SHDdYgDdsun-o/edit#gid=1753586248"",""2026-27!ao3"")"),0.0)</f>
        <v>0</v>
      </c>
      <c r="CL156" s="63" t="str">
        <f t="shared" si="142"/>
        <v/>
      </c>
      <c r="CM156" s="59">
        <f>IFERROR(__xludf.DUMMYFUNCTION("importrange(""https://docs.google.com/spreadsheets/d/1TtPg-FlLO1jhwMXHbfK3fOdebITZM3SHDdYgDdsun-o/edit#gid=1753586248"",""2026-27!ap4"")"),0.0)</f>
        <v>0</v>
      </c>
      <c r="CN156" s="59">
        <f>IFERROR(__xludf.DUMMYFUNCTION("importrange(""https://docs.google.com/spreadsheets/d/1TtPg-FlLO1jhwMXHbfK3fOdebITZM3SHDdYgDdsun-o/edit#gid=1753586248"",""2026-27!ap3"")"),0.0)</f>
        <v>0</v>
      </c>
      <c r="CO156" s="59">
        <f>IFERROR(__xludf.DUMMYFUNCTION("importrange(""https://docs.google.com/spreadsheets/d/1TtPg-FlLO1jhwMXHbfK3fOdebITZM3SHDdYgDdsun-o/edit#gid=1753586248"",""2026-27!aq4"")"),0.0)</f>
        <v>0</v>
      </c>
      <c r="CP156" s="59">
        <f>IFERROR(__xludf.DUMMYFUNCTION("importrange(""https://docs.google.com/spreadsheets/d/1TtPg-FlLO1jhwMXHbfK3fOdebITZM3SHDdYgDdsun-o/edit#gid=1753586248"",""2026-27!aq3"")"),0.0)</f>
        <v>0</v>
      </c>
      <c r="CQ156" s="59">
        <f>IFERROR(__xludf.DUMMYFUNCTION("importrange(""https://docs.google.com/spreadsheets/d/1TtPg-FlLO1jhwMXHbfK3fOdebITZM3SHDdYgDdsun-o/edit#gid=1753586248"",""2026-27!ar4"")"),0.0)</f>
        <v>0</v>
      </c>
      <c r="CR156" s="59">
        <f>IFERROR(__xludf.DUMMYFUNCTION("importrange(""https://docs.google.com/spreadsheets/d/1TtPg-FlLO1jhwMXHbfK3fOdebITZM3SHDdYgDdsun-o/edit#gid=1753586248"",""2026-27!ar3"")"),0.0)</f>
        <v>0</v>
      </c>
      <c r="CS156" s="63" t="str">
        <f t="shared" si="143"/>
        <v/>
      </c>
      <c r="CT156" s="59">
        <f>IFERROR(__xludf.DUMMYFUNCTION("importrange(""https://docs.google.com/spreadsheets/d/1TtPg-FlLO1jhwMXHbfK3fOdebITZM3SHDdYgDdsun-o/edit#gid=1753586248"",""2026-27!as4"")"),0.0)</f>
        <v>0</v>
      </c>
      <c r="CU156" s="59">
        <f>IFERROR(__xludf.DUMMYFUNCTION("importrange(""https://docs.google.com/spreadsheets/d/1TtPg-FlLO1jhwMXHbfK3fOdebITZM3SHDdYgDdsun-o/edit#gid=1753586248"",""2026-27!as3"")"),0.0)</f>
        <v>0</v>
      </c>
      <c r="CV156" s="64"/>
    </row>
    <row r="157">
      <c r="A157" s="1" t="s">
        <v>301</v>
      </c>
      <c r="B157" s="41"/>
      <c r="C157" s="112" t="s">
        <v>304</v>
      </c>
      <c r="D157" s="115" t="s">
        <v>305</v>
      </c>
      <c r="E157" s="115">
        <v>9.879922199E9</v>
      </c>
      <c r="F157" s="131">
        <v>45810.0</v>
      </c>
      <c r="G157" s="81"/>
      <c r="H157" s="81"/>
      <c r="I157" s="57">
        <v>38285.0</v>
      </c>
      <c r="J157" s="58">
        <v>1250000.0</v>
      </c>
      <c r="K157" s="61">
        <f>IFERROR(__xludf.DUMMYFUNCTION("IMPORTRANGE(""https://docs.google.com/spreadsheets/d/1-ogoWjnzIVLNWtmtxffbKqxjIGfK2GUBdU2m2vHuN1s/edit?gid=0#gid=0"",""2026-27!A3"")"),52.0)</f>
        <v>52</v>
      </c>
      <c r="L157" s="61">
        <f>IFERROR(__xludf.DUMMYFUNCTION("IMPORTRANGE(""https://docs.google.com/spreadsheets/d/1-ogoWjnzIVLNWtmtxffbKqxjIGfK2GUBdU2m2vHuN1s/edit?gid=0#gid=0"",""2026-27!G4"")"),5475000.0)</f>
        <v>5475000</v>
      </c>
      <c r="M157" s="61">
        <f t="shared" si="129"/>
        <v>1081844.7</v>
      </c>
      <c r="N157" s="60">
        <f t="shared" si="130"/>
        <v>0</v>
      </c>
      <c r="O157" s="61">
        <f t="shared" si="131"/>
        <v>0</v>
      </c>
      <c r="P157" s="59">
        <f>IFERROR(__xludf.DUMMYFUNCTION("IMPORTRANGE(""https://docs.google.com/spreadsheets/d/1-ogoWjnzIVLNWtmtxffbKqxjIGfK2GUBdU2m2vHuN1s/edit?gid=0#gid=0"",""2026-27!J4"")"),450400.0)</f>
        <v>450400</v>
      </c>
      <c r="Q157" s="59">
        <f>IFERROR(__xludf.DUMMYFUNCTION("IMPORTRANGE(""https://docs.google.com/spreadsheets/d/1-ogoWjnzIVLNWtmtxffbKqxjIGfK2GUBdU2m2vHuN1s/edit?gid=0#gid=0"",""2026-27!J3"")"),29.0)</f>
        <v>29</v>
      </c>
      <c r="R157" s="59">
        <f>IFERROR(__xludf.DUMMYFUNCTION("IMPORTRANGE(""https://docs.google.com/spreadsheets/d/1-ogoWjnzIVLNWtmtxffbKqxjIGfK2GUBdU2m2vHuN1s/edit?gid=0#gid=0"",""2026-27!K4"")"),130779.78000000001)</f>
        <v>130779.78</v>
      </c>
      <c r="S157" s="59">
        <f>IFERROR(__xludf.DUMMYFUNCTION("IMPORTRANGE(""https://docs.google.com/spreadsheets/d/1-ogoWjnzIVLNWtmtxffbKqxjIGfK2GUBdU2m2vHuN1s/edit?gid=0#gid=0"",""2026-27!K3"")"),9.0)</f>
        <v>9</v>
      </c>
      <c r="T157" s="62">
        <f t="shared" si="132"/>
        <v>0</v>
      </c>
      <c r="U157" s="59">
        <f>IFERROR(__xludf.DUMMYFUNCTION("IMPORTRANGE(""https://docs.google.com/spreadsheets/d/1-ogoWjnzIVLNWtmtxffbKqxjIGfK2GUBdU2m2vHuN1s/edit?gid=0#gid=0"",""2026-27!L4"")"),0.0)</f>
        <v>0</v>
      </c>
      <c r="V157" s="85">
        <f>IFERROR(__xludf.DUMMYFUNCTION("IMPORTRANGE(""https://docs.google.com/spreadsheets/d/1-ogoWjnzIVLNWtmtxffbKqxjIGfK2GUBdU2m2vHuN1s/edit?gid=0#gid=0"",""2026-27!L3"")"),0.0)</f>
        <v>0</v>
      </c>
      <c r="W157" s="59">
        <f>IFERROR(__xludf.DUMMYFUNCTION("IMPORTRANGE(""https://docs.google.com/spreadsheets/d/1-ogoWjnzIVLNWtmtxffbKqxjIGfK2GUBdU2m2vHuN1s/edit?gid=0#gid=0"",""2026-27!M4"")"),450400.0)</f>
        <v>450400</v>
      </c>
      <c r="X157" s="85">
        <f>IFERROR(__xludf.DUMMYFUNCTION("IMPORTRANGE(""https://docs.google.com/spreadsheets/d/1-ogoWjnzIVLNWtmtxffbKqxjIGfK2GUBdU2m2vHuN1s/edit?gid=0#gid=0"",""2026-27!M3"")"),29.0)</f>
        <v>29</v>
      </c>
      <c r="Y157" s="59">
        <f>IFERROR(__xludf.DUMMYFUNCTION("importrange(""https://docs.google.com/spreadsheets/d/1-ogoWjnzIVLNWtmtxffbKqxjIGfK2GUBdU2m2vHuN1s/edit?gid=0#gid=0"",""2026-27!n4"")"),494079.62)</f>
        <v>494079.62</v>
      </c>
      <c r="Z157" s="59">
        <f>IFERROR(__xludf.DUMMYFUNCTION("importrange(""https://docs.google.com/spreadsheets/d/1-ogoWjnzIVLNWtmtxffbKqxjIGfK2GUBdU2m2vHuN1s/edit?gid=0#gid=0"",""2026-27!n3"")"),17.0)</f>
        <v>17</v>
      </c>
      <c r="AA157" s="62">
        <f t="shared" si="133"/>
        <v>0</v>
      </c>
      <c r="AB157" s="59">
        <f>IFERROR(__xludf.DUMMYFUNCTION("importrange(""https://docs.google.com/spreadsheets/d/1-ogoWjnzIVLNWtmtxffbKqxjIGfK2GUBdU2m2vHuN1s/edit?gid=0#gid=0"",""2026-27!o4"")"),0.0)</f>
        <v>0</v>
      </c>
      <c r="AC157" s="59">
        <f>IFERROR(__xludf.DUMMYFUNCTION("importrange(""https://docs.google.com/spreadsheets/d/1-ogoWjnzIVLNWtmtxffbKqxjIGfK2GUBdU2m2vHuN1s/edit?gid=0#gid=0"",""2026-27!o3"")"),0.0)</f>
        <v>0</v>
      </c>
      <c r="AD157" s="59">
        <f>IFERROR(__xludf.DUMMYFUNCTION("importrange(""https://docs.google.com/spreadsheets/d/1-ogoWjnzIVLNWtmtxffbKqxjIGfK2GUBdU2m2vHuN1s/edit?gid=0#gid=0"",""2026-27!p4"")"),450400.0)</f>
        <v>450400</v>
      </c>
      <c r="AE157" s="59">
        <f>IFERROR(__xludf.DUMMYFUNCTION("importrange(""https://docs.google.com/spreadsheets/d/1-ogoWjnzIVLNWtmtxffbKqxjIGfK2GUBdU2m2vHuN1s/edit?gid=0#gid=0"",""2026-27!p3"")"),29.0)</f>
        <v>29</v>
      </c>
      <c r="AF157" s="59">
        <f>IFERROR(__xludf.DUMMYFUNCTION("importrange(""https://docs.google.com/spreadsheets/d/1-ogoWjnzIVLNWtmtxffbKqxjIGfK2GUBdU2m2vHuN1s/edit?gid=0#gid=0"",""2026-27!q4"")"),456985.29999999993)</f>
        <v>456985.3</v>
      </c>
      <c r="AG157" s="59">
        <f>IFERROR(__xludf.DUMMYFUNCTION("importrange(""https://docs.google.com/spreadsheets/d/1-ogoWjnzIVLNWtmtxffbKqxjIGfK2GUBdU2m2vHuN1s/edit?gid=0#gid=0"",""2026-27!q3"")"),20.0)</f>
        <v>20</v>
      </c>
      <c r="AH157" s="62">
        <f t="shared" si="134"/>
        <v>0</v>
      </c>
      <c r="AI157" s="59">
        <f>IFERROR(__xludf.DUMMYFUNCTION("importrange(""https://docs.google.com/spreadsheets/d/1-ogoWjnzIVLNWtmtxffbKqxjIGfK2GUBdU2m2vHuN1s/edit?gid=0#gid=0"",""2026-27!r4"")"),0.0)</f>
        <v>0</v>
      </c>
      <c r="AJ157" s="59">
        <f>IFERROR(__xludf.DUMMYFUNCTION("importrange(""https://docs.google.com/spreadsheets/d/1-ogoWjnzIVLNWtmtxffbKqxjIGfK2GUBdU2m2vHuN1s/edit?gid=0#gid=0"",""2026-27!r3"")"),0.0)</f>
        <v>0</v>
      </c>
      <c r="AK157" s="59">
        <f>IFERROR(__xludf.DUMMYFUNCTION("importrange(""https://docs.google.com/spreadsheets/d/1-ogoWjnzIVLNWtmtxffbKqxjIGfK2GUBdU2m2vHuN1s/edit?gid=0#gid=0"",""2026-27!s4"")"),450400.0)</f>
        <v>450400</v>
      </c>
      <c r="AL157" s="59">
        <f>IFERROR(__xludf.DUMMYFUNCTION("importrange(""https://docs.google.com/spreadsheets/d/1-ogoWjnzIVLNWtmtxffbKqxjIGfK2GUBdU2m2vHuN1s/edit?gid=0#gid=0"",""2026-27!s3"")"),29.0)</f>
        <v>29</v>
      </c>
      <c r="AM157" s="61">
        <f>IFERROR(__xludf.DUMMYFUNCTION("importrange(""https://docs.google.com/spreadsheets/d/1-ogoWjnzIVLNWtmtxffbKqxjIGfK2GUBdU2m2vHuN1s/edit?gid=0#gid=0"",""2026-27!t4"")"),0.0)</f>
        <v>0</v>
      </c>
      <c r="AN157" s="59">
        <f>IFERROR(__xludf.DUMMYFUNCTION("importrange(""https://docs.google.com/spreadsheets/d/1-ogoWjnzIVLNWtmtxffbKqxjIGfK2GUBdU2m2vHuN1s/edit?gid=0#gid=0"",""2026-27!t3"")"),0.0)</f>
        <v>0</v>
      </c>
      <c r="AO157" s="62">
        <f t="shared" si="135"/>
        <v>0</v>
      </c>
      <c r="AP157" s="59">
        <f>IFERROR(__xludf.DUMMYFUNCTION("importrange(""https://docs.google.com/spreadsheets/d/1-ogoWjnzIVLNWtmtxffbKqxjIGfK2GUBdU2m2vHuN1s/edit?gid=0#gid=0"",""2026-27!u4"")"),0.0)</f>
        <v>0</v>
      </c>
      <c r="AQ157" s="59">
        <f>IFERROR(__xludf.DUMMYFUNCTION("importrange(""https://docs.google.com/spreadsheets/d/1-ogoWjnzIVLNWtmtxffbKqxjIGfK2GUBdU2m2vHuN1s/edit?gid=0#gid=0"",""2026-27!u3"")"),0.0)</f>
        <v>0</v>
      </c>
      <c r="AR157" s="59">
        <f>IFERROR(__xludf.DUMMYFUNCTION("importrange(""https://docs.google.com/spreadsheets/d/1-ogoWjnzIVLNWtmtxffbKqxjIGfK2GUBdU2m2vHuN1s/edit?gid=0#gid=0"",""2026-27!v4"")"),465400.0)</f>
        <v>465400</v>
      </c>
      <c r="AS157" s="59">
        <f>IFERROR(__xludf.DUMMYFUNCTION("importrange(""https://docs.google.com/spreadsheets/d/1-ogoWjnzIVLNWtmtxffbKqxjIGfK2GUBdU2m2vHuN1s/edit?gid=0#gid=0"",""2026-27!v3"")"),30.0)</f>
        <v>30</v>
      </c>
      <c r="AT157" s="61">
        <f>IFERROR(__xludf.DUMMYFUNCTION("importrange(""https://docs.google.com/spreadsheets/d/1-ogoWjnzIVLNWtmtxffbKqxjIGfK2GUBdU2m2vHuN1s/edit?gid=0#gid=0"",""2026-27!w4"")"),0.0)</f>
        <v>0</v>
      </c>
      <c r="AU157" s="59">
        <f>IFERROR(__xludf.DUMMYFUNCTION("importrange(""https://docs.google.com/spreadsheets/d/1-ogoWjnzIVLNWtmtxffbKqxjIGfK2GUBdU2m2vHuN1s/edit?gid=0#gid=0"",""2026-27!w3"")"),0.0)</f>
        <v>0</v>
      </c>
      <c r="AV157" s="62">
        <f t="shared" si="136"/>
        <v>0</v>
      </c>
      <c r="AW157" s="59">
        <f>IFERROR(__xludf.DUMMYFUNCTION("importrange(""https://docs.google.com/spreadsheets/d/1-ogoWjnzIVLNWtmtxffbKqxjIGfK2GUBdU2m2vHuN1s/edit?gid=0#gid=0"",""2026-27!x4"")"),0.0)</f>
        <v>0</v>
      </c>
      <c r="AX157" s="59">
        <f>IFERROR(__xludf.DUMMYFUNCTION("importrange(""https://docs.google.com/spreadsheets/d/1-ogoWjnzIVLNWtmtxffbKqxjIGfK2GUBdU2m2vHuN1s/edit?gid=0#gid=0"",""2026-27!x3"")"),0.0)</f>
        <v>0</v>
      </c>
      <c r="AY157" s="59">
        <f>IFERROR(__xludf.DUMMYFUNCTION("importrange(""https://docs.google.com/spreadsheets/d/1-ogoWjnzIVLNWtmtxffbKqxjIGfK2GUBdU2m2vHuN1s/edit?gid=0#gid=0"",""2026-27!y4"")"),450400.0)</f>
        <v>450400</v>
      </c>
      <c r="AZ157" s="59">
        <f>IFERROR(__xludf.DUMMYFUNCTION("importrange(""https://docs.google.com/spreadsheets/d/1-ogoWjnzIVLNWtmtxffbKqxjIGfK2GUBdU2m2vHuN1s/edit?gid=0#gid=0"",""2026-27!y3"")"),29.0)</f>
        <v>29</v>
      </c>
      <c r="BA157" s="61">
        <f>IFERROR(__xludf.DUMMYFUNCTION("importrange(""https://docs.google.com/spreadsheets/d/1-ogoWjnzIVLNWtmtxffbKqxjIGfK2GUBdU2m2vHuN1s/edit?gid=0#gid=0"",""2026-27!z4"")"),0.0)</f>
        <v>0</v>
      </c>
      <c r="BB157" s="59">
        <f>IFERROR(__xludf.DUMMYFUNCTION("importrange(""https://docs.google.com/spreadsheets/d/1-ogoWjnzIVLNWtmtxffbKqxjIGfK2GUBdU2m2vHuN1s/edit?gid=0#gid=0"",""2026-27!z3"")"),0.0)</f>
        <v>0</v>
      </c>
      <c r="BC157" s="63">
        <f t="shared" si="137"/>
        <v>0</v>
      </c>
      <c r="BD157" s="59">
        <f>IFERROR(__xludf.DUMMYFUNCTION("importrange(""https://docs.google.com/spreadsheets/d/1-ogoWjnzIVLNWtmtxffbKqxjIGfK2GUBdU2m2vHuN1s/edit?gid=0#gid=0"",""2026-27!aa4"")"),0.0)</f>
        <v>0</v>
      </c>
      <c r="BE157" s="59">
        <f>IFERROR(__xludf.DUMMYFUNCTION("importrange(""https://docs.google.com/spreadsheets/d/1-ogoWjnzIVLNWtmtxffbKqxjIGfK2GUBdU2m2vHuN1s/edit?gid=0#gid=0"",""2026-27!aa3"")"),0.0)</f>
        <v>0</v>
      </c>
      <c r="BF157" s="59">
        <f>IFERROR(__xludf.DUMMYFUNCTION("importrange(""https://docs.google.com/spreadsheets/d/1-ogoWjnzIVLNWtmtxffbKqxjIGfK2GUBdU2m2vHuN1s/edit?gid=0#gid=0"",""2026-27!ab4"")"),450400.0)</f>
        <v>450400</v>
      </c>
      <c r="BG157" s="59">
        <f>IFERROR(__xludf.DUMMYFUNCTION("importrange(""https://docs.google.com/spreadsheets/d/1-ogoWjnzIVLNWtmtxffbKqxjIGfK2GUBdU2m2vHuN1s/edit?gid=0#gid=0"",""2026-27!ab3"")"),29.0)</f>
        <v>29</v>
      </c>
      <c r="BH157" s="59">
        <f>IFERROR(__xludf.DUMMYFUNCTION("importrange(""https://docs.google.com/spreadsheets/d/1-ogoWjnzIVLNWtmtxffbKqxjIGfK2GUBdU2m2vHuN1s/edit?gid=0#gid=0"",""2026-27!ac4"")"),0.0)</f>
        <v>0</v>
      </c>
      <c r="BI157" s="59">
        <f>IFERROR(__xludf.DUMMYFUNCTION("importrange(""https://docs.google.com/spreadsheets/d/1-ogoWjnzIVLNWtmtxffbKqxjIGfK2GUBdU2m2vHuN1s/edit?gid=0#gid=0"",""2026-27!ac3"")"),0.0)</f>
        <v>0</v>
      </c>
      <c r="BJ157" s="63">
        <f t="shared" si="138"/>
        <v>0</v>
      </c>
      <c r="BK157" s="59">
        <f>IFERROR(__xludf.DUMMYFUNCTION("importrange(""https://docs.google.com/spreadsheets/d/1-ogoWjnzIVLNWtmtxffbKqxjIGfK2GUBdU2m2vHuN1s/edit?gid=0#gid=0"",""2026-27!ad4"")"),0.0)</f>
        <v>0</v>
      </c>
      <c r="BL157" s="59">
        <f>IFERROR(__xludf.DUMMYFUNCTION("importrange(""https://docs.google.com/spreadsheets/d/1-ogoWjnzIVLNWtmtxffbKqxjIGfK2GUBdU2m2vHuN1s/edit?gid=0#gid=0"",""2026-27!ad3"")"),0.0)</f>
        <v>0</v>
      </c>
      <c r="BM157" s="59">
        <f>IFERROR(__xludf.DUMMYFUNCTION("importrange(""https://docs.google.com/spreadsheets/d/1-ogoWjnzIVLNWtmtxffbKqxjIGfK2GUBdU2m2vHuN1s/edit?gid=0#gid=0"",""2026-27!ae4"")"),450400.0)</f>
        <v>450400</v>
      </c>
      <c r="BN157" s="59">
        <f>IFERROR(__xludf.DUMMYFUNCTION("importrange(""https://docs.google.com/spreadsheets/d/1-ogoWjnzIVLNWtmtxffbKqxjIGfK2GUBdU2m2vHuN1s/edit?gid=0#gid=0"",""2026-27!ae3"")"),29.0)</f>
        <v>29</v>
      </c>
      <c r="BO157" s="59">
        <f>IFERROR(__xludf.DUMMYFUNCTION("importrange(""https://docs.google.com/spreadsheets/d/1-ogoWjnzIVLNWtmtxffbKqxjIGfK2GUBdU2m2vHuN1s/edit?gid=0#gid=0"",""2026-27!af4"")"),0.0)</f>
        <v>0</v>
      </c>
      <c r="BP157" s="59">
        <f>IFERROR(__xludf.DUMMYFUNCTION("importrange(""https://docs.google.com/spreadsheets/d/1-ogoWjnzIVLNWtmtxffbKqxjIGfK2GUBdU2m2vHuN1s/edit?gid=0#gid=0"",""2026-27!af3"")"),0.0)</f>
        <v>0</v>
      </c>
      <c r="BQ157" s="63">
        <f t="shared" si="139"/>
        <v>0</v>
      </c>
      <c r="BR157" s="59">
        <f>IFERROR(__xludf.DUMMYFUNCTION("importrange(""https://docs.google.com/spreadsheets/d/1-ogoWjnzIVLNWtmtxffbKqxjIGfK2GUBdU2m2vHuN1s/edit?gid=0#gid=0"",""2026-27!ag4"")"),0.0)</f>
        <v>0</v>
      </c>
      <c r="BS157" s="59">
        <f>IFERROR(__xludf.DUMMYFUNCTION("importrange(""https://docs.google.com/spreadsheets/d/1-ogoWjnzIVLNWtmtxffbKqxjIGfK2GUBdU2m2vHuN1s/edit?gid=0#gid=0"",""2026-27!ag3"")"),0.0)</f>
        <v>0</v>
      </c>
      <c r="BT157" s="59">
        <f>IFERROR(__xludf.DUMMYFUNCTION("importrange(""https://docs.google.com/spreadsheets/d/1-ogoWjnzIVLNWtmtxffbKqxjIGfK2GUBdU2m2vHuN1s/edit?gid=0#gid=0"",""2026-27!ah4"")"),450400.0)</f>
        <v>450400</v>
      </c>
      <c r="BU157" s="59">
        <f>IFERROR(__xludf.DUMMYFUNCTION("importrange(""https://docs.google.com/spreadsheets/d/1-ogoWjnzIVLNWtmtxffbKqxjIGfK2GUBdU2m2vHuN1s/edit?gid=0#gid=0"",""2026-27!ah3"")"),29.0)</f>
        <v>29</v>
      </c>
      <c r="BV157" s="59">
        <f>IFERROR(__xludf.DUMMYFUNCTION("importrange(""https://docs.google.com/spreadsheets/d/1-ogoWjnzIVLNWtmtxffbKqxjIGfK2GUBdU2m2vHuN1s/edit?gid=0#gid=0"",""2026-27!ai4"")"),0.0)</f>
        <v>0</v>
      </c>
      <c r="BW157" s="59">
        <f>IFERROR(__xludf.DUMMYFUNCTION("importrange(""https://docs.google.com/spreadsheets/d/1-ogoWjnzIVLNWtmtxffbKqxjIGfK2GUBdU2m2vHuN1s/edit?gid=0#gid=0"",""2026-27!ai3"")"),0.0)</f>
        <v>0</v>
      </c>
      <c r="BX157" s="63">
        <f t="shared" si="140"/>
        <v>0</v>
      </c>
      <c r="BY157" s="59">
        <f>IFERROR(__xludf.DUMMYFUNCTION("importrange(""https://docs.google.com/spreadsheets/d/1-ogoWjnzIVLNWtmtxffbKqxjIGfK2GUBdU2m2vHuN1s/edit?gid=0#gid=0"",""2026-27!aj4"")"),0.0)</f>
        <v>0</v>
      </c>
      <c r="BZ157" s="59">
        <f>IFERROR(__xludf.DUMMYFUNCTION("importrange(""https://docs.google.com/spreadsheets/d/1-ogoWjnzIVLNWtmtxffbKqxjIGfK2GUBdU2m2vHuN1s/edit?gid=0#gid=0"",""2026-27!aj3"")"),0.0)</f>
        <v>0</v>
      </c>
      <c r="CA157" s="59">
        <f>IFERROR(__xludf.DUMMYFUNCTION("importrange(""https://docs.google.com/spreadsheets/d/1-ogoWjnzIVLNWtmtxffbKqxjIGfK2GUBdU2m2vHuN1s/edit?gid=0#gid=0"",""2026-27!ak4"")"),450400.0)</f>
        <v>450400</v>
      </c>
      <c r="CB157" s="59">
        <f>IFERROR(__xludf.DUMMYFUNCTION("importrange(""https://docs.google.com/spreadsheets/d/1-ogoWjnzIVLNWtmtxffbKqxjIGfK2GUBdU2m2vHuN1s/edit?gid=0#gid=0"",""2026-27!ak3"")"),29.0)</f>
        <v>29</v>
      </c>
      <c r="CC157" s="59">
        <f>IFERROR(__xludf.DUMMYFUNCTION("importrange(""https://docs.google.com/spreadsheets/d/1-ogoWjnzIVLNWtmtxffbKqxjIGfK2GUBdU2m2vHuN1s/edit?gid=0#gid=0"",""2026-27!al4"")"),0.0)</f>
        <v>0</v>
      </c>
      <c r="CD157" s="59">
        <f>IFERROR(__xludf.DUMMYFUNCTION("importrange(""https://docs.google.com/spreadsheets/d/1-ogoWjnzIVLNWtmtxffbKqxjIGfK2GUBdU2m2vHuN1s/edit?gid=0#gid=0"",""2026-27!ai3"")"),0.0)</f>
        <v>0</v>
      </c>
      <c r="CE157" s="63">
        <f t="shared" si="141"/>
        <v>0</v>
      </c>
      <c r="CF157" s="59">
        <f>IFERROR(__xludf.DUMMYFUNCTION("importrange(""https://docs.google.com/spreadsheets/d/1-ogoWjnzIVLNWtmtxffbKqxjIGfK2GUBdU2m2vHuN1s/edit?gid=0#gid=0"",""2026-27!am4"")"),0.0)</f>
        <v>0</v>
      </c>
      <c r="CG157" s="59">
        <f>IFERROR(__xludf.DUMMYFUNCTION("importrange(""https://docs.google.com/spreadsheets/d/1-ogoWjnzIVLNWtmtxffbKqxjIGfK2GUBdU2m2vHuN1s/edit?gid=0#gid=0"",""2026-27!am3"")"),0.0)</f>
        <v>0</v>
      </c>
      <c r="CH157" s="59">
        <f>IFERROR(__xludf.DUMMYFUNCTION("importrange(""https://docs.google.com/spreadsheets/d/1-ogoWjnzIVLNWtmtxffbKqxjIGfK2GUBdU2m2vHuN1s/edit?gid=0#gid=0"",""2026-27!an4"")"),477000.0)</f>
        <v>477000</v>
      </c>
      <c r="CI157" s="59">
        <f>IFERROR(__xludf.DUMMYFUNCTION("importrange(""https://docs.google.com/spreadsheets/d/1-ogoWjnzIVLNWtmtxffbKqxjIGfK2GUBdU2m2vHuN1s/edit?gid=0#gid=0"",""2026-27!an3"")"),29.0)</f>
        <v>29</v>
      </c>
      <c r="CJ157" s="59">
        <f>IFERROR(__xludf.DUMMYFUNCTION("importrange(""https://docs.google.com/spreadsheets/d/1-ogoWjnzIVLNWtmtxffbKqxjIGfK2GUBdU2m2vHuN1s/edit?gid=0#gid=0"",""2026-27!ao4"")"),0.0)</f>
        <v>0</v>
      </c>
      <c r="CK157" s="59">
        <f>IFERROR(__xludf.DUMMYFUNCTION("importrange(""https://docs.google.com/spreadsheets/d/1-ogoWjnzIVLNWtmtxffbKqxjIGfK2GUBdU2m2vHuN1s/edit?gid=0#gid=0"",""2026-27!ao3"")"),0.0)</f>
        <v>0</v>
      </c>
      <c r="CL157" s="63">
        <f t="shared" si="142"/>
        <v>0</v>
      </c>
      <c r="CM157" s="59">
        <f>IFERROR(__xludf.DUMMYFUNCTION("importrange(""https://docs.google.com/spreadsheets/d/1-ogoWjnzIVLNWtmtxffbKqxjIGfK2GUBdU2m2vHuN1s/edit?gid=0#gid=0"",""2026-27!ap4"")"),0.0)</f>
        <v>0</v>
      </c>
      <c r="CN157" s="59">
        <f>IFERROR(__xludf.DUMMYFUNCTION("importrange(""https://docs.google.com/spreadsheets/d/1-ogoWjnzIVLNWtmtxffbKqxjIGfK2GUBdU2m2vHuN1s/edit?gid=0#gid=0"",""2026-27!ap3"")"),0.0)</f>
        <v>0</v>
      </c>
      <c r="CO157" s="59">
        <f>IFERROR(__xludf.DUMMYFUNCTION("importrange(""https://docs.google.com/spreadsheets/d/1-ogoWjnzIVLNWtmtxffbKqxjIGfK2GUBdU2m2vHuN1s/edit?gid=0#gid=0"",""2026-27!aq4"")"),477000.0)</f>
        <v>477000</v>
      </c>
      <c r="CP157" s="59">
        <f>IFERROR(__xludf.DUMMYFUNCTION("importrange(""https://docs.google.com/spreadsheets/d/1-ogoWjnzIVLNWtmtxffbKqxjIGfK2GUBdU2m2vHuN1s/edit?gid=0#gid=0"",""2026-27!aq3"")"),29.0)</f>
        <v>29</v>
      </c>
      <c r="CQ157" s="59">
        <f>IFERROR(__xludf.DUMMYFUNCTION("importrange(""https://docs.google.com/spreadsheets/d/1-ogoWjnzIVLNWtmtxffbKqxjIGfK2GUBdU2m2vHuN1s/edit?gid=0#gid=0"",""2026-27!ar4"")"),0.0)</f>
        <v>0</v>
      </c>
      <c r="CR157" s="59">
        <f>IFERROR(__xludf.DUMMYFUNCTION("importrange(""https://docs.google.com/spreadsheets/d/1-ogoWjnzIVLNWtmtxffbKqxjIGfK2GUBdU2m2vHuN1s/edit?gid=0#gid=0"",""2026-27!ar3"")"),0.0)</f>
        <v>0</v>
      </c>
      <c r="CS157" s="63">
        <f t="shared" si="143"/>
        <v>0</v>
      </c>
      <c r="CT157" s="59">
        <f>IFERROR(__xludf.DUMMYFUNCTION("importrange(""https://docs.google.com/spreadsheets/d/1-ogoWjnzIVLNWtmtxffbKqxjIGfK2GUBdU2m2vHuN1s/edit?gid=0#gid=0"",""2026-27!as4"")"),0.0)</f>
        <v>0</v>
      </c>
      <c r="CU157" s="59">
        <f>IFERROR(__xludf.DUMMYFUNCTION("importrange(""https://docs.google.com/spreadsheets/d/1-ogoWjnzIVLNWtmtxffbKqxjIGfK2GUBdU2m2vHuN1s/edit?gid=0#gid=0"",""2026-27!as3"")"),0.0)</f>
        <v>0</v>
      </c>
      <c r="CV157" s="64"/>
    </row>
    <row r="158">
      <c r="A158" s="1" t="s">
        <v>301</v>
      </c>
      <c r="B158" s="41"/>
      <c r="C158" s="112" t="s">
        <v>306</v>
      </c>
      <c r="D158" s="115" t="s">
        <v>307</v>
      </c>
      <c r="E158" s="115">
        <v>9.978490826E9</v>
      </c>
      <c r="F158" s="132">
        <v>46027.0</v>
      </c>
      <c r="G158" s="81"/>
      <c r="H158" s="81"/>
      <c r="I158" s="57">
        <v>26215.0</v>
      </c>
      <c r="J158" s="58">
        <v>800000.0</v>
      </c>
      <c r="K158" s="61">
        <f>IFERROR(__xludf.DUMMYFUNCTION("IMPORTRANGE(""https://docs.google.com/spreadsheets/d/1n5sVpozdF8VHwo-uFhrw_AnVhMcO3o9pnhcPjkIP1nQ/edit?gid=350932188#gid=350932188"",""2026-27!A3"")"),3.0)</f>
        <v>3</v>
      </c>
      <c r="L158" s="61">
        <f>IFERROR(__xludf.DUMMYFUNCTION("IMPORTRANGE(""https://docs.google.com/spreadsheets/d/1n5sVpozdF8VHwo-uFhrw_AnVhMcO3o9pnhcPjkIP1nQ/edit?gid=350932188#gid=350932188"",""2026-27!G4"")"),0.0)</f>
        <v>0</v>
      </c>
      <c r="M158" s="61">
        <f t="shared" si="129"/>
        <v>0</v>
      </c>
      <c r="N158" s="60" t="str">
        <f t="shared" si="130"/>
        <v/>
      </c>
      <c r="O158" s="61">
        <f t="shared" si="131"/>
        <v>0</v>
      </c>
      <c r="P158" s="59">
        <f>IFERROR(__xludf.DUMMYFUNCTION("IMPORTRANGE(""https://docs.google.com/spreadsheets/d/1n5sVpozdF8VHwo-uFhrw_AnVhMcO3o9pnhcPjkIP1nQ/edit?gid=350932188#gid=350932188"",""2026-27!J4"")"),0.0)</f>
        <v>0</v>
      </c>
      <c r="Q158" s="59">
        <f>IFERROR(__xludf.DUMMYFUNCTION("IMPORTRANGE(""https://docs.google.com/spreadsheets/d/1n5sVpozdF8VHwo-uFhrw_AnVhMcO3o9pnhcPjkIP1nQ/edit?gid=350932188#gid=350932188"",""2026-27!J3"")"),0.0)</f>
        <v>0</v>
      </c>
      <c r="R158" s="59">
        <f>IFERROR(__xludf.DUMMYFUNCTION("IMPORTRANGE(""https://docs.google.com/spreadsheets/d/1n5sVpozdF8VHwo-uFhrw_AnVhMcO3o9pnhcPjkIP1nQ/edit?gid=350932188#gid=350932188"",""2026-27!K4"")"),0.0)</f>
        <v>0</v>
      </c>
      <c r="S158" s="59">
        <f>IFERROR(__xludf.DUMMYFUNCTION("IMPORTRANGE(""https://docs.google.com/spreadsheets/d/1n5sVpozdF8VHwo-uFhrw_AnVhMcO3o9pnhcPjkIP1nQ/edit?gid=350932188#gid=350932188"",""2026-27!K3"")"),0.0)</f>
        <v>0</v>
      </c>
      <c r="T158" s="62" t="str">
        <f t="shared" si="132"/>
        <v/>
      </c>
      <c r="U158" s="59">
        <f>IFERROR(__xludf.DUMMYFUNCTION("IMPORTRANGE(""https://docs.google.com/spreadsheets/d/1n5sVpozdF8VHwo-uFhrw_AnVhMcO3o9pnhcPjkIP1nQ/edit?gid=350932188#gid=350932188"",""2026-27!L4"")"),0.0)</f>
        <v>0</v>
      </c>
      <c r="V158" s="85">
        <f>IFERROR(__xludf.DUMMYFUNCTION("IMPORTRANGE(""https://docs.google.com/spreadsheets/d/1n5sVpozdF8VHwo-uFhrw_AnVhMcO3o9pnhcPjkIP1nQ/edit?gid=350932188#gid=350932188"",""2026-27!L3"")"),0.0)</f>
        <v>0</v>
      </c>
      <c r="W158" s="59">
        <f>IFERROR(__xludf.DUMMYFUNCTION("IMPORTRANGE(""https://docs.google.com/spreadsheets/d/1n5sVpozdF8VHwo-uFhrw_AnVhMcO3o9pnhcPjkIP1nQ/edit?gid=350932188#gid=350932188"",""2026-27!M4"")"),0.0)</f>
        <v>0</v>
      </c>
      <c r="X158" s="85">
        <f>IFERROR(__xludf.DUMMYFUNCTION("IMPORTRANGE(""https://docs.google.com/spreadsheets/d/1n5sVpozdF8VHwo-uFhrw_AnVhMcO3o9pnhcPjkIP1nQ/edit?gid=350932188#gid=350932188"",""2026-27!M3"")"),0.0)</f>
        <v>0</v>
      </c>
      <c r="Y158" s="59">
        <f>IFERROR(__xludf.DUMMYFUNCTION("importrange(""https://docs.google.com/spreadsheets/d/1n5sVpozdF8VHwo-uFhrw_AnVhMcO3o9pnhcPjkIP1nQ/edit?gid=350932188#gid=350932188"",""2026-27!n4"")"),0.0)</f>
        <v>0</v>
      </c>
      <c r="Z158" s="59">
        <f>IFERROR(__xludf.DUMMYFUNCTION("importrange(""https://docs.google.com/spreadsheets/d/1n5sVpozdF8VHwo-uFhrw_AnVhMcO3o9pnhcPjkIP1nQ/edit?gid=350932188#gid=350932188"",""2026-27!n3"")"),0.0)</f>
        <v>0</v>
      </c>
      <c r="AA158" s="62" t="str">
        <f t="shared" si="133"/>
        <v/>
      </c>
      <c r="AB158" s="59">
        <f>IFERROR(__xludf.DUMMYFUNCTION("importrange(""https://docs.google.com/spreadsheets/d/1n5sVpozdF8VHwo-uFhrw_AnVhMcO3o9pnhcPjkIP1nQ/edit?gid=350932188#gid=350932188"",""2026-27!o4"")"),0.0)</f>
        <v>0</v>
      </c>
      <c r="AC158" s="59">
        <f>IFERROR(__xludf.DUMMYFUNCTION("importrange(""https://docs.google.com/spreadsheets/d/1n5sVpozdF8VHwo-uFhrw_AnVhMcO3o9pnhcPjkIP1nQ/edit?gid=350932188#gid=350932188"",""2026-27!o3"")"),0.0)</f>
        <v>0</v>
      </c>
      <c r="AD158" s="59">
        <f>IFERROR(__xludf.DUMMYFUNCTION("importrange(""https://docs.google.com/spreadsheets/d/1n5sVpozdF8VHwo-uFhrw_AnVhMcO3o9pnhcPjkIP1nQ/edit?gid=350932188#gid=350932188"",""2026-27!p4"")"),0.0)</f>
        <v>0</v>
      </c>
      <c r="AE158" s="59">
        <f>IFERROR(__xludf.DUMMYFUNCTION("importrange(""https://docs.google.com/spreadsheets/d/1n5sVpozdF8VHwo-uFhrw_AnVhMcO3o9pnhcPjkIP1nQ/edit?gid=350932188#gid=350932188"",""2026-27!p3"")"),0.0)</f>
        <v>0</v>
      </c>
      <c r="AF158" s="59">
        <f>IFERROR(__xludf.DUMMYFUNCTION("importrange(""https://docs.google.com/spreadsheets/d/1n5sVpozdF8VHwo-uFhrw_AnVhMcO3o9pnhcPjkIP1nQ/edit?gid=350932188#gid=350932188"",""2026-27!q4"")"),0.0)</f>
        <v>0</v>
      </c>
      <c r="AG158" s="59">
        <f>IFERROR(__xludf.DUMMYFUNCTION("importrange(""https://docs.google.com/spreadsheets/d/1n5sVpozdF8VHwo-uFhrw_AnVhMcO3o9pnhcPjkIP1nQ/edit?gid=350932188#gid=350932188"",""2026-27!q3"")"),0.0)</f>
        <v>0</v>
      </c>
      <c r="AH158" s="62" t="str">
        <f t="shared" si="134"/>
        <v/>
      </c>
      <c r="AI158" s="59">
        <f>IFERROR(__xludf.DUMMYFUNCTION("importrange(""https://docs.google.com/spreadsheets/d/1n5sVpozdF8VHwo-uFhrw_AnVhMcO3o9pnhcPjkIP1nQ/edit?gid=350932188#gid=350932188"",""2026-27!r4"")"),0.0)</f>
        <v>0</v>
      </c>
      <c r="AJ158" s="59">
        <f>IFERROR(__xludf.DUMMYFUNCTION("importrange(""https://docs.google.com/spreadsheets/d/1n5sVpozdF8VHwo-uFhrw_AnVhMcO3o9pnhcPjkIP1nQ/edit?gid=350932188#gid=350932188"",""2026-27!r3"")"),0.0)</f>
        <v>0</v>
      </c>
      <c r="AK158" s="59">
        <f>IFERROR(__xludf.DUMMYFUNCTION("importrange(""https://docs.google.com/spreadsheets/d/1n5sVpozdF8VHwo-uFhrw_AnVhMcO3o9pnhcPjkIP1nQ/edit?gid=350932188#gid=350932188"",""2026-27!s4"")"),0.0)</f>
        <v>0</v>
      </c>
      <c r="AL158" s="59">
        <f>IFERROR(__xludf.DUMMYFUNCTION("importrange(""https://docs.google.com/spreadsheets/d/1n5sVpozdF8VHwo-uFhrw_AnVhMcO3o9pnhcPjkIP1nQ/edit?gid=350932188#gid=350932188"",""2026-27!s3"")"),0.0)</f>
        <v>0</v>
      </c>
      <c r="AM158" s="61">
        <f>IFERROR(__xludf.DUMMYFUNCTION("importrange(""https://docs.google.com/spreadsheets/d/1n5sVpozdF8VHwo-uFhrw_AnVhMcO3o9pnhcPjkIP1nQ/edit?gid=350932188#gid=350932188"",""2026-27!t4"")"),0.0)</f>
        <v>0</v>
      </c>
      <c r="AN158" s="59">
        <f>IFERROR(__xludf.DUMMYFUNCTION("importrange(""https://docs.google.com/spreadsheets/d/1n5sVpozdF8VHwo-uFhrw_AnVhMcO3o9pnhcPjkIP1nQ/edit?gid=350932188#gid=350932188"",""2026-27!t3"")"),0.0)</f>
        <v>0</v>
      </c>
      <c r="AO158" s="62" t="str">
        <f t="shared" si="135"/>
        <v/>
      </c>
      <c r="AP158" s="59">
        <f>IFERROR(__xludf.DUMMYFUNCTION("importrange(""https://docs.google.com/spreadsheets/d/1n5sVpozdF8VHwo-uFhrw_AnVhMcO3o9pnhcPjkIP1nQ/edit?gid=350932188#gid=350932188"",""2026-27!u4"")"),0.0)</f>
        <v>0</v>
      </c>
      <c r="AQ158" s="59">
        <f>IFERROR(__xludf.DUMMYFUNCTION("importrange(""https://docs.google.com/spreadsheets/d/1n5sVpozdF8VHwo-uFhrw_AnVhMcO3o9pnhcPjkIP1nQ/edit?gid=350932188#gid=350932188"",""2026-27!u3"")"),0.0)</f>
        <v>0</v>
      </c>
      <c r="AR158" s="59">
        <f>IFERROR(__xludf.DUMMYFUNCTION("importrange(""https://docs.google.com/spreadsheets/d/1n5sVpozdF8VHwo-uFhrw_AnVhMcO3o9pnhcPjkIP1nQ/edit?gid=350932188#gid=350932188"",""2026-27!v4"")"),0.0)</f>
        <v>0</v>
      </c>
      <c r="AS158" s="59">
        <f>IFERROR(__xludf.DUMMYFUNCTION("importrange(""https://docs.google.com/spreadsheets/d/1n5sVpozdF8VHwo-uFhrw_AnVhMcO3o9pnhcPjkIP1nQ/edit?gid=350932188#gid=350932188"",""2026-27!v3"")"),0.0)</f>
        <v>0</v>
      </c>
      <c r="AT158" s="61">
        <f>IFERROR(__xludf.DUMMYFUNCTION("importrange(""https://docs.google.com/spreadsheets/d/1n5sVpozdF8VHwo-uFhrw_AnVhMcO3o9pnhcPjkIP1nQ/edit?gid=350932188#gid=350932188"",""2026-27!w4"")"),0.0)</f>
        <v>0</v>
      </c>
      <c r="AU158" s="59">
        <f>IFERROR(__xludf.DUMMYFUNCTION("importrange(""https://docs.google.com/spreadsheets/d/1n5sVpozdF8VHwo-uFhrw_AnVhMcO3o9pnhcPjkIP1nQ/edit?gid=350932188#gid=350932188"",""2026-27!w3"")"),0.0)</f>
        <v>0</v>
      </c>
      <c r="AV158" s="62" t="str">
        <f t="shared" si="136"/>
        <v/>
      </c>
      <c r="AW158" s="59">
        <f>IFERROR(__xludf.DUMMYFUNCTION("importrange(""https://docs.google.com/spreadsheets/d/1n5sVpozdF8VHwo-uFhrw_AnVhMcO3o9pnhcPjkIP1nQ/edit?gid=350932188#gid=350932188"",""2026-27!x4"")"),0.0)</f>
        <v>0</v>
      </c>
      <c r="AX158" s="59">
        <f>IFERROR(__xludf.DUMMYFUNCTION("importrange(""https://docs.google.com/spreadsheets/d/1n5sVpozdF8VHwo-uFhrw_AnVhMcO3o9pnhcPjkIP1nQ/edit?gid=350932188#gid=350932188"",""2026-27!x3"")"),0.0)</f>
        <v>0</v>
      </c>
      <c r="AY158" s="59">
        <f>IFERROR(__xludf.DUMMYFUNCTION("importrange(""https://docs.google.com/spreadsheets/d/1n5sVpozdF8VHwo-uFhrw_AnVhMcO3o9pnhcPjkIP1nQ/edit?gid=350932188#gid=350932188"",""2026-27!y4"")"),0.0)</f>
        <v>0</v>
      </c>
      <c r="AZ158" s="59">
        <f>IFERROR(__xludf.DUMMYFUNCTION("importrange(""https://docs.google.com/spreadsheets/d/1n5sVpozdF8VHwo-uFhrw_AnVhMcO3o9pnhcPjkIP1nQ/edit?gid=350932188#gid=350932188"",""2026-27!y3"")"),0.0)</f>
        <v>0</v>
      </c>
      <c r="BA158" s="61">
        <f>IFERROR(__xludf.DUMMYFUNCTION("importrange(""https://docs.google.com/spreadsheets/d/1n5sVpozdF8VHwo-uFhrw_AnVhMcO3o9pnhcPjkIP1nQ/edit?gid=350932188#gid=350932188"",""2026-27!z4"")"),0.0)</f>
        <v>0</v>
      </c>
      <c r="BB158" s="59">
        <f>IFERROR(__xludf.DUMMYFUNCTION("importrange(""https://docs.google.com/spreadsheets/d/1n5sVpozdF8VHwo-uFhrw_AnVhMcO3o9pnhcPjkIP1nQ/edit?gid=350932188#gid=350932188"",""2026-27!z3"")"),0.0)</f>
        <v>0</v>
      </c>
      <c r="BC158" s="63" t="str">
        <f t="shared" si="137"/>
        <v/>
      </c>
      <c r="BD158" s="59">
        <f>IFERROR(__xludf.DUMMYFUNCTION("importrange(""https://docs.google.com/spreadsheets/d/1n5sVpozdF8VHwo-uFhrw_AnVhMcO3o9pnhcPjkIP1nQ/edit?gid=350932188#gid=350932188"",""2026-27!aa4"")"),0.0)</f>
        <v>0</v>
      </c>
      <c r="BE158" s="59">
        <f>IFERROR(__xludf.DUMMYFUNCTION("importrange(""https://docs.google.com/spreadsheets/d/1n5sVpozdF8VHwo-uFhrw_AnVhMcO3o9pnhcPjkIP1nQ/edit?gid=350932188#gid=350932188"",""2026-27!aa3"")"),0.0)</f>
        <v>0</v>
      </c>
      <c r="BF158" s="59">
        <f>IFERROR(__xludf.DUMMYFUNCTION("importrange(""https://docs.google.com/spreadsheets/d/1n5sVpozdF8VHwo-uFhrw_AnVhMcO3o9pnhcPjkIP1nQ/edit?gid=350932188#gid=350932188"",""2026-27!ab4"")"),0.0)</f>
        <v>0</v>
      </c>
      <c r="BG158" s="59">
        <f>IFERROR(__xludf.DUMMYFUNCTION("importrange(""https://docs.google.com/spreadsheets/d/1n5sVpozdF8VHwo-uFhrw_AnVhMcO3o9pnhcPjkIP1nQ/edit?gid=350932188#gid=350932188"",""2026-27!ab3"")"),0.0)</f>
        <v>0</v>
      </c>
      <c r="BH158" s="59">
        <f>IFERROR(__xludf.DUMMYFUNCTION("importrange(""https://docs.google.com/spreadsheets/d/1n5sVpozdF8VHwo-uFhrw_AnVhMcO3o9pnhcPjkIP1nQ/edit?gid=350932188#gid=350932188"",""2026-27!ac4"")"),0.0)</f>
        <v>0</v>
      </c>
      <c r="BI158" s="59">
        <f>IFERROR(__xludf.DUMMYFUNCTION("importrange(""https://docs.google.com/spreadsheets/d/1n5sVpozdF8VHwo-uFhrw_AnVhMcO3o9pnhcPjkIP1nQ/edit?gid=350932188#gid=350932188"",""2026-27!ac3"")"),0.0)</f>
        <v>0</v>
      </c>
      <c r="BJ158" s="63" t="str">
        <f t="shared" si="138"/>
        <v/>
      </c>
      <c r="BK158" s="59">
        <f>IFERROR(__xludf.DUMMYFUNCTION("importrange(""https://docs.google.com/spreadsheets/d/1n5sVpozdF8VHwo-uFhrw_AnVhMcO3o9pnhcPjkIP1nQ/edit?gid=350932188#gid=350932188"",""2026-27!ad4"")"),0.0)</f>
        <v>0</v>
      </c>
      <c r="BL158" s="59">
        <f>IFERROR(__xludf.DUMMYFUNCTION("importrange(""https://docs.google.com/spreadsheets/d/1n5sVpozdF8VHwo-uFhrw_AnVhMcO3o9pnhcPjkIP1nQ/edit?gid=350932188#gid=350932188"",""2026-27!ad3"")"),0.0)</f>
        <v>0</v>
      </c>
      <c r="BM158" s="59">
        <f>IFERROR(__xludf.DUMMYFUNCTION("importrange(""https://docs.google.com/spreadsheets/d/1n5sVpozdF8VHwo-uFhrw_AnVhMcO3o9pnhcPjkIP1nQ/edit?gid=350932188#gid=350932188"",""2026-27!ae4"")"),0.0)</f>
        <v>0</v>
      </c>
      <c r="BN158" s="59">
        <f>IFERROR(__xludf.DUMMYFUNCTION("importrange(""https://docs.google.com/spreadsheets/d/1n5sVpozdF8VHwo-uFhrw_AnVhMcO3o9pnhcPjkIP1nQ/edit?gid=350932188#gid=350932188"",""2026-27!ae3"")"),0.0)</f>
        <v>0</v>
      </c>
      <c r="BO158" s="59">
        <f>IFERROR(__xludf.DUMMYFUNCTION("importrange(""https://docs.google.com/spreadsheets/d/1n5sVpozdF8VHwo-uFhrw_AnVhMcO3o9pnhcPjkIP1nQ/edit?gid=350932188#gid=350932188"",""2026-27!af4"")"),0.0)</f>
        <v>0</v>
      </c>
      <c r="BP158" s="59">
        <f>IFERROR(__xludf.DUMMYFUNCTION("importrange(""https://docs.google.com/spreadsheets/d/1n5sVpozdF8VHwo-uFhrw_AnVhMcO3o9pnhcPjkIP1nQ/edit?gid=350932188#gid=350932188"",""2026-27!af3"")"),0.0)</f>
        <v>0</v>
      </c>
      <c r="BQ158" s="63" t="str">
        <f t="shared" si="139"/>
        <v/>
      </c>
      <c r="BR158" s="59">
        <f>IFERROR(__xludf.DUMMYFUNCTION("importrange(""https://docs.google.com/spreadsheets/d/1n5sVpozdF8VHwo-uFhrw_AnVhMcO3o9pnhcPjkIP1nQ/edit?gid=350932188#gid=350932188"",""2026-27!ag4"")"),0.0)</f>
        <v>0</v>
      </c>
      <c r="BS158" s="59">
        <f>IFERROR(__xludf.DUMMYFUNCTION("importrange(""https://docs.google.com/spreadsheets/d/1n5sVpozdF8VHwo-uFhrw_AnVhMcO3o9pnhcPjkIP1nQ/edit?gid=350932188#gid=350932188"",""2026-27!ag3"")"),0.0)</f>
        <v>0</v>
      </c>
      <c r="BT158" s="59">
        <f>IFERROR(__xludf.DUMMYFUNCTION("importrange(""https://docs.google.com/spreadsheets/d/1n5sVpozdF8VHwo-uFhrw_AnVhMcO3o9pnhcPjkIP1nQ/edit?gid=350932188#gid=350932188"",""2026-27!ah4"")"),0.0)</f>
        <v>0</v>
      </c>
      <c r="BU158" s="59">
        <f>IFERROR(__xludf.DUMMYFUNCTION("importrange(""https://docs.google.com/spreadsheets/d/1n5sVpozdF8VHwo-uFhrw_AnVhMcO3o9pnhcPjkIP1nQ/edit?gid=350932188#gid=350932188"",""2026-27!ah3"")"),0.0)</f>
        <v>0</v>
      </c>
      <c r="BV158" s="59">
        <f>IFERROR(__xludf.DUMMYFUNCTION("importrange(""https://docs.google.com/spreadsheets/d/1n5sVpozdF8VHwo-uFhrw_AnVhMcO3o9pnhcPjkIP1nQ/edit?gid=350932188#gid=350932188"",""2026-27!ai4"")"),0.0)</f>
        <v>0</v>
      </c>
      <c r="BW158" s="59">
        <f>IFERROR(__xludf.DUMMYFUNCTION("importrange(""https://docs.google.com/spreadsheets/d/1n5sVpozdF8VHwo-uFhrw_AnVhMcO3o9pnhcPjkIP1nQ/edit?gid=350932188#gid=350932188"",""2026-27!ai3"")"),0.0)</f>
        <v>0</v>
      </c>
      <c r="BX158" s="63" t="str">
        <f t="shared" si="140"/>
        <v/>
      </c>
      <c r="BY158" s="59">
        <f>IFERROR(__xludf.DUMMYFUNCTION("importrange(""https://docs.google.com/spreadsheets/d/1n5sVpozdF8VHwo-uFhrw_AnVhMcO3o9pnhcPjkIP1nQ/edit?gid=350932188#gid=350932188"",""2026-27!aj4"")"),0.0)</f>
        <v>0</v>
      </c>
      <c r="BZ158" s="59">
        <f>IFERROR(__xludf.DUMMYFUNCTION("importrange(""https://docs.google.com/spreadsheets/d/1n5sVpozdF8VHwo-uFhrw_AnVhMcO3o9pnhcPjkIP1nQ/edit?gid=350932188#gid=350932188"",""2026-27!aj3"")"),0.0)</f>
        <v>0</v>
      </c>
      <c r="CA158" s="59">
        <f>IFERROR(__xludf.DUMMYFUNCTION("importrange(""https://docs.google.com/spreadsheets/d/1n5sVpozdF8VHwo-uFhrw_AnVhMcO3o9pnhcPjkIP1nQ/edit?gid=350932188#gid=350932188"",""2026-27!ak4"")"),0.0)</f>
        <v>0</v>
      </c>
      <c r="CB158" s="59">
        <f>IFERROR(__xludf.DUMMYFUNCTION("importrange(""https://docs.google.com/spreadsheets/d/1n5sVpozdF8VHwo-uFhrw_AnVhMcO3o9pnhcPjkIP1nQ/edit?gid=350932188#gid=350932188"",""2026-27!ak3"")"),0.0)</f>
        <v>0</v>
      </c>
      <c r="CC158" s="59">
        <f>IFERROR(__xludf.DUMMYFUNCTION("importrange(""https://docs.google.com/spreadsheets/d/1n5sVpozdF8VHwo-uFhrw_AnVhMcO3o9pnhcPjkIP1nQ/edit?gid=350932188#gid=350932188"",""2026-27!al4"")"),0.0)</f>
        <v>0</v>
      </c>
      <c r="CD158" s="59">
        <f>IFERROR(__xludf.DUMMYFUNCTION("importrange(""https://docs.google.com/spreadsheets/d/1n5sVpozdF8VHwo-uFhrw_AnVhMcO3o9pnhcPjkIP1nQ/edit?gid=350932188#gid=350932188"",""2026-27!ai3"")"),0.0)</f>
        <v>0</v>
      </c>
      <c r="CE158" s="63" t="str">
        <f t="shared" si="141"/>
        <v/>
      </c>
      <c r="CF158" s="59">
        <f>IFERROR(__xludf.DUMMYFUNCTION("importrange(""https://docs.google.com/spreadsheets/d/1n5sVpozdF8VHwo-uFhrw_AnVhMcO3o9pnhcPjkIP1nQ/edit?gid=350932188#gid=350932188"",""2026-27!am4"")"),0.0)</f>
        <v>0</v>
      </c>
      <c r="CG158" s="59">
        <f>IFERROR(__xludf.DUMMYFUNCTION("importrange(""https://docs.google.com/spreadsheets/d/1n5sVpozdF8VHwo-uFhrw_AnVhMcO3o9pnhcPjkIP1nQ/edit?gid=350932188#gid=350932188"",""2026-27!am3"")"),0.0)</f>
        <v>0</v>
      </c>
      <c r="CH158" s="59">
        <f>IFERROR(__xludf.DUMMYFUNCTION("importrange(""https://docs.google.com/spreadsheets/d/1n5sVpozdF8VHwo-uFhrw_AnVhMcO3o9pnhcPjkIP1nQ/edit?gid=350932188#gid=350932188"",""2026-27!an4"")"),0.0)</f>
        <v>0</v>
      </c>
      <c r="CI158" s="59">
        <f>IFERROR(__xludf.DUMMYFUNCTION("importrange(""https://docs.google.com/spreadsheets/d/1n5sVpozdF8VHwo-uFhrw_AnVhMcO3o9pnhcPjkIP1nQ/edit?gid=350932188#gid=350932188"",""2026-27!an3"")"),0.0)</f>
        <v>0</v>
      </c>
      <c r="CJ158" s="59">
        <f>IFERROR(__xludf.DUMMYFUNCTION("importrange(""https://docs.google.com/spreadsheets/d/1n5sVpozdF8VHwo-uFhrw_AnVhMcO3o9pnhcPjkIP1nQ/edit?gid=350932188#gid=350932188"",""2026-27!ao4"")"),0.0)</f>
        <v>0</v>
      </c>
      <c r="CK158" s="59">
        <f>IFERROR(__xludf.DUMMYFUNCTION("importrange(""https://docs.google.com/spreadsheets/d/1n5sVpozdF8VHwo-uFhrw_AnVhMcO3o9pnhcPjkIP1nQ/edit?gid=350932188#gid=350932188"",""2026-27!ao3"")"),0.0)</f>
        <v>0</v>
      </c>
      <c r="CL158" s="63" t="str">
        <f t="shared" si="142"/>
        <v/>
      </c>
      <c r="CM158" s="59">
        <f>IFERROR(__xludf.DUMMYFUNCTION("importrange(""https://docs.google.com/spreadsheets/d/1n5sVpozdF8VHwo-uFhrw_AnVhMcO3o9pnhcPjkIP1nQ/edit?gid=350932188#gid=350932188"",""2026-27!ap4"")"),0.0)</f>
        <v>0</v>
      </c>
      <c r="CN158" s="59">
        <f>IFERROR(__xludf.DUMMYFUNCTION("importrange(""https://docs.google.com/spreadsheets/d/1n5sVpozdF8VHwo-uFhrw_AnVhMcO3o9pnhcPjkIP1nQ/edit?gid=350932188#gid=350932188"",""2026-27!ap3"")"),0.0)</f>
        <v>0</v>
      </c>
      <c r="CO158" s="59">
        <f>IFERROR(__xludf.DUMMYFUNCTION("importrange(""https://docs.google.com/spreadsheets/d/1n5sVpozdF8VHwo-uFhrw_AnVhMcO3o9pnhcPjkIP1nQ/edit?gid=350932188#gid=350932188"",""2026-27!aq4"")"),0.0)</f>
        <v>0</v>
      </c>
      <c r="CP158" s="59">
        <f>IFERROR(__xludf.DUMMYFUNCTION("importrange(""https://docs.google.com/spreadsheets/d/1n5sVpozdF8VHwo-uFhrw_AnVhMcO3o9pnhcPjkIP1nQ/edit?gid=350932188#gid=350932188"",""2026-27!aq3"")"),0.0)</f>
        <v>0</v>
      </c>
      <c r="CQ158" s="59">
        <f>IFERROR(__xludf.DUMMYFUNCTION("importrange(""https://docs.google.com/spreadsheets/d/1n5sVpozdF8VHwo-uFhrw_AnVhMcO3o9pnhcPjkIP1nQ/edit?gid=350932188#gid=350932188"",""2026-27!ar4"")"),0.0)</f>
        <v>0</v>
      </c>
      <c r="CR158" s="59">
        <f>IFERROR(__xludf.DUMMYFUNCTION("importrange(""https://docs.google.com/spreadsheets/d/1n5sVpozdF8VHwo-uFhrw_AnVhMcO3o9pnhcPjkIP1nQ/edit?gid=350932188#gid=350932188"",""2026-27!ar3"")"),0.0)</f>
        <v>0</v>
      </c>
      <c r="CS158" s="63" t="str">
        <f t="shared" si="143"/>
        <v/>
      </c>
      <c r="CT158" s="59">
        <f>IFERROR(__xludf.DUMMYFUNCTION("importrange(""https://docs.google.com/spreadsheets/d/1n5sVpozdF8VHwo-uFhrw_AnVhMcO3o9pnhcPjkIP1nQ/edit?gid=350932188#gid=350932188"",""2026-27!as4"")"),0.0)</f>
        <v>0</v>
      </c>
      <c r="CU158" s="59">
        <f>IFERROR(__xludf.DUMMYFUNCTION("importrange(""https://docs.google.com/spreadsheets/d/1n5sVpozdF8VHwo-uFhrw_AnVhMcO3o9pnhcPjkIP1nQ/edit?gid=350932188#gid=350932188"",""2026-27!as3"")"),0.0)</f>
        <v>0</v>
      </c>
      <c r="CV158" s="64"/>
    </row>
    <row r="159">
      <c r="A159" s="1" t="s">
        <v>301</v>
      </c>
      <c r="B159" s="47"/>
      <c r="C159" s="112" t="s">
        <v>308</v>
      </c>
      <c r="D159" s="115" t="s">
        <v>309</v>
      </c>
      <c r="E159" s="115">
        <v>9.173698944E9</v>
      </c>
      <c r="F159" s="132">
        <v>46027.0</v>
      </c>
      <c r="G159" s="81"/>
      <c r="H159" s="81"/>
      <c r="I159" s="57">
        <v>46670.0</v>
      </c>
      <c r="J159" s="58">
        <v>1250000.0</v>
      </c>
      <c r="K159" s="61">
        <f>IFERROR(__xludf.DUMMYFUNCTION("IMPORTRANGE(""https://docs.google.com/spreadsheets/u/0/d/1YvSh2rjgF0T-h2qLpMJUtjvUSYxrh1i61z24Ydm9_tI/edit"",""2026-27!A3"")"),63.0)</f>
        <v>63</v>
      </c>
      <c r="L159" s="61">
        <f>IFERROR(__xludf.DUMMYFUNCTION("IMPORTRANGE(""https://docs.google.com/spreadsheets/u/0/d/1YvSh2rjgF0T-h2qLpMJUtjvUSYxrh1i61z24Ydm9_tI/edit"",""2026-27!G4"")"),8500000.0)</f>
        <v>8500000</v>
      </c>
      <c r="M159" s="61">
        <f t="shared" si="129"/>
        <v>1060292.9</v>
      </c>
      <c r="N159" s="60">
        <f t="shared" si="130"/>
        <v>0.050492</v>
      </c>
      <c r="O159" s="61">
        <f t="shared" si="131"/>
        <v>429182</v>
      </c>
      <c r="P159" s="59">
        <f>IFERROR(__xludf.DUMMYFUNCTION("IMPORTRANGE(""https://docs.google.com/spreadsheets/u/0/d/1YvSh2rjgF0T-h2qLpMJUtjvUSYxrh1i61z24Ydm9_tI/edit"",""2026-27!J4"")"),290000.0)</f>
        <v>290000</v>
      </c>
      <c r="Q159" s="59">
        <f>IFERROR(__xludf.DUMMYFUNCTION("IMPORTRANGE(""https://docs.google.com/spreadsheets/u/0/d/1YvSh2rjgF0T-h2qLpMJUtjvUSYxrh1i61z24Ydm9_tI/edit"",""2026-27!J3"")"),51.0)</f>
        <v>51</v>
      </c>
      <c r="R159" s="59">
        <f>IFERROR(__xludf.DUMMYFUNCTION("IMPORTRANGE(""https://docs.google.com/spreadsheets/u/0/d/1YvSh2rjgF0T-h2qLpMJUtjvUSYxrh1i61z24Ydm9_tI/edit"",""2026-27!K4"")"),201508.62999999998)</f>
        <v>201508.63</v>
      </c>
      <c r="S159" s="59">
        <f>IFERROR(__xludf.DUMMYFUNCTION("IMPORTRANGE(""https://docs.google.com/spreadsheets/u/0/d/1YvSh2rjgF0T-h2qLpMJUtjvUSYxrh1i61z24Ydm9_tI/edit"",""2026-27!K3"")"),17.0)</f>
        <v>17</v>
      </c>
      <c r="T159" s="62">
        <f t="shared" si="132"/>
        <v>0.5748448276</v>
      </c>
      <c r="U159" s="59">
        <f>IFERROR(__xludf.DUMMYFUNCTION("IMPORTRANGE(""https://docs.google.com/spreadsheets/u/0/d/1YvSh2rjgF0T-h2qLpMJUtjvUSYxrh1i61z24Ydm9_tI/edit"",""2026-27!L4"")"),166705.0)</f>
        <v>166705</v>
      </c>
      <c r="V159" s="85">
        <f>IFERROR(__xludf.DUMMYFUNCTION("IMPORTRANGE(""https://docs.google.com/spreadsheets/u/0/d/1YvSh2rjgF0T-h2qLpMJUtjvUSYxrh1i61z24Ydm9_tI/edit"",""2026-27!L3"")"),18.0)</f>
        <v>18</v>
      </c>
      <c r="W159" s="59">
        <f>IFERROR(__xludf.DUMMYFUNCTION("IMPORTRANGE(""https://docs.google.com/spreadsheets/u/0/d/1YvSh2rjgF0T-h2qLpMJUtjvUSYxrh1i61z24Ydm9_tI/edit"",""2026-27!M4"")"),318500.0)</f>
        <v>318500</v>
      </c>
      <c r="X159" s="85">
        <f>IFERROR(__xludf.DUMMYFUNCTION("IMPORTRANGE(""https://docs.google.com/spreadsheets/u/0/d/1YvSh2rjgF0T-h2qLpMJUtjvUSYxrh1i61z24Ydm9_tI/edit"",""2026-27!M3"")"),52.0)</f>
        <v>52</v>
      </c>
      <c r="Y159" s="59">
        <f>IFERROR(__xludf.DUMMYFUNCTION("importrange(""https://docs.google.com/spreadsheets/u/0/d/1YvSh2rjgF0T-h2qLpMJUtjvUSYxrh1i61z24Ydm9_tI/edit"",""2026-27!n4"")"),247665.86000000002)</f>
        <v>247665.86</v>
      </c>
      <c r="Z159" s="59">
        <f>IFERROR(__xludf.DUMMYFUNCTION("importrange(""https://docs.google.com/spreadsheets/u/0/d/1YvSh2rjgF0T-h2qLpMJUtjvUSYxrh1i61z24Ydm9_tI/edit"",""2026-27!n3"")"),19.0)</f>
        <v>19</v>
      </c>
      <c r="AA159" s="62">
        <f t="shared" si="133"/>
        <v>0.8241036107</v>
      </c>
      <c r="AB159" s="59">
        <f>IFERROR(__xludf.DUMMYFUNCTION("importrange(""https://docs.google.com/spreadsheets/u/0/d/1YvSh2rjgF0T-h2qLpMJUtjvUSYxrh1i61z24Ydm9_tI/edit"",""2026-27!o4"")"),262477.0)</f>
        <v>262477</v>
      </c>
      <c r="AC159" s="59">
        <f>IFERROR(__xludf.DUMMYFUNCTION("importrange(""https://docs.google.com/spreadsheets/u/0/d/1YvSh2rjgF0T-h2qLpMJUtjvUSYxrh1i61z24Ydm9_tI/edit"",""2026-27!o3"")"),20.0)</f>
        <v>20</v>
      </c>
      <c r="AD159" s="59">
        <f>IFERROR(__xludf.DUMMYFUNCTION("importrange(""https://docs.google.com/spreadsheets/u/0/d/1YvSh2rjgF0T-h2qLpMJUtjvUSYxrh1i61z24Ydm9_tI/edit"",""2026-27!p4"")"),572000.0)</f>
        <v>572000</v>
      </c>
      <c r="AE159" s="59">
        <f>IFERROR(__xludf.DUMMYFUNCTION("importrange(""https://docs.google.com/spreadsheets/u/0/d/1YvSh2rjgF0T-h2qLpMJUtjvUSYxrh1i61z24Ydm9_tI/edit"",""2026-27!p3"")"),55.0)</f>
        <v>55</v>
      </c>
      <c r="AF159" s="59">
        <f>IFERROR(__xludf.DUMMYFUNCTION("importrange(""https://docs.google.com/spreadsheets/u/0/d/1YvSh2rjgF0T-h2qLpMJUtjvUSYxrh1i61z24Ydm9_tI/edit"",""2026-27!q4"")"),611118.4100000003)</f>
        <v>611118.41</v>
      </c>
      <c r="AG159" s="59">
        <f>IFERROR(__xludf.DUMMYFUNCTION("importrange(""https://docs.google.com/spreadsheets/u/0/d/1YvSh2rjgF0T-h2qLpMJUtjvUSYxrh1i61z24Ydm9_tI/edit"",""2026-27!q3"")"),37.0)</f>
        <v>37</v>
      </c>
      <c r="AH159" s="62">
        <f t="shared" si="134"/>
        <v>0</v>
      </c>
      <c r="AI159" s="59">
        <f>IFERROR(__xludf.DUMMYFUNCTION("importrange(""https://docs.google.com/spreadsheets/u/0/d/1YvSh2rjgF0T-h2qLpMJUtjvUSYxrh1i61z24Ydm9_tI/edit"",""2026-27!r4"")"),0.0)</f>
        <v>0</v>
      </c>
      <c r="AJ159" s="59">
        <f>IFERROR(__xludf.DUMMYFUNCTION("importrange(""https://docs.google.com/spreadsheets/u/0/d/1YvSh2rjgF0T-h2qLpMJUtjvUSYxrh1i61z24Ydm9_tI/edit"",""2026-27!r3"")"),0.0)</f>
        <v>0</v>
      </c>
      <c r="AK159" s="59">
        <f>IFERROR(__xludf.DUMMYFUNCTION("importrange(""https://docs.google.com/spreadsheets/u/0/d/1YvSh2rjgF0T-h2qLpMJUtjvUSYxrh1i61z24Ydm9_tI/edit"",""2026-27!s4"")"),425000.0)</f>
        <v>425000</v>
      </c>
      <c r="AL159" s="59">
        <f>IFERROR(__xludf.DUMMYFUNCTION("importrange(""https://docs.google.com/spreadsheets/u/0/d/1YvSh2rjgF0T-h2qLpMJUtjvUSYxrh1i61z24Ydm9_tI/edit"",""2026-27!s3"")"),48.0)</f>
        <v>48</v>
      </c>
      <c r="AM159" s="61">
        <f>IFERROR(__xludf.DUMMYFUNCTION("importrange(""https://docs.google.com/spreadsheets/u/0/d/1YvSh2rjgF0T-h2qLpMJUtjvUSYxrh1i61z24Ydm9_tI/edit"",""2026-27!t4"")"),0.0)</f>
        <v>0</v>
      </c>
      <c r="AN159" s="59">
        <f>IFERROR(__xludf.DUMMYFUNCTION("importrange(""https://docs.google.com/spreadsheets/u/0/d/1YvSh2rjgF0T-h2qLpMJUtjvUSYxrh1i61z24Ydm9_tI/edit"",""2026-27!t3"")"),0.0)</f>
        <v>0</v>
      </c>
      <c r="AO159" s="62">
        <f t="shared" si="135"/>
        <v>0</v>
      </c>
      <c r="AP159" s="59">
        <f>IFERROR(__xludf.DUMMYFUNCTION("importrange(""https://docs.google.com/spreadsheets/u/0/d/1YvSh2rjgF0T-h2qLpMJUtjvUSYxrh1i61z24Ydm9_tI/edit"",""2026-27!u4"")"),0.0)</f>
        <v>0</v>
      </c>
      <c r="AQ159" s="59">
        <f>IFERROR(__xludf.DUMMYFUNCTION("importrange(""https://docs.google.com/spreadsheets/u/0/d/1YvSh2rjgF0T-h2qLpMJUtjvUSYxrh1i61z24Ydm9_tI/edit"",""2026-27!u3"")"),0.0)</f>
        <v>0</v>
      </c>
      <c r="AR159" s="59">
        <f>IFERROR(__xludf.DUMMYFUNCTION("importrange(""https://docs.google.com/spreadsheets/u/0/d/1YvSh2rjgF0T-h2qLpMJUtjvUSYxrh1i61z24Ydm9_tI/edit"",""2026-27!v4"")"),0.0)</f>
        <v>0</v>
      </c>
      <c r="AS159" s="59">
        <f>IFERROR(__xludf.DUMMYFUNCTION("importrange(""https://docs.google.com/spreadsheets/u/0/d/1YvSh2rjgF0T-h2qLpMJUtjvUSYxrh1i61z24Ydm9_tI/edit"",""2026-27!v3"")"),0.0)</f>
        <v>0</v>
      </c>
      <c r="AT159" s="61">
        <f>IFERROR(__xludf.DUMMYFUNCTION("importrange(""https://docs.google.com/spreadsheets/u/0/d/1YvSh2rjgF0T-h2qLpMJUtjvUSYxrh1i61z24Ydm9_tI/edit"",""2026-27!w4"")"),0.0)</f>
        <v>0</v>
      </c>
      <c r="AU159" s="59">
        <f>IFERROR(__xludf.DUMMYFUNCTION("importrange(""https://docs.google.com/spreadsheets/u/0/d/1YvSh2rjgF0T-h2qLpMJUtjvUSYxrh1i61z24Ydm9_tI/edit"",""2026-27!w3"")"),0.0)</f>
        <v>0</v>
      </c>
      <c r="AV159" s="62" t="str">
        <f t="shared" si="136"/>
        <v/>
      </c>
      <c r="AW159" s="59">
        <f>IFERROR(__xludf.DUMMYFUNCTION("importrange(""https://docs.google.com/spreadsheets/u/0/d/1YvSh2rjgF0T-h2qLpMJUtjvUSYxrh1i61z24Ydm9_tI/edit"",""2026-27!x4"")"),0.0)</f>
        <v>0</v>
      </c>
      <c r="AX159" s="59">
        <f>IFERROR(__xludf.DUMMYFUNCTION("importrange(""https://docs.google.com/spreadsheets/u/0/d/1YvSh2rjgF0T-h2qLpMJUtjvUSYxrh1i61z24Ydm9_tI/edit"",""2026-27!x3"")"),0.0)</f>
        <v>0</v>
      </c>
      <c r="AY159" s="59">
        <f>IFERROR(__xludf.DUMMYFUNCTION("importrange(""https://docs.google.com/spreadsheets/u/0/d/1YvSh2rjgF0T-h2qLpMJUtjvUSYxrh1i61z24Ydm9_tI/edit"",""2026-27!y4"")"),0.0)</f>
        <v>0</v>
      </c>
      <c r="AZ159" s="59">
        <f>IFERROR(__xludf.DUMMYFUNCTION("importrange(""https://docs.google.com/spreadsheets/u/0/d/1YvSh2rjgF0T-h2qLpMJUtjvUSYxrh1i61z24Ydm9_tI/edit"",""2026-27!y3"")"),0.0)</f>
        <v>0</v>
      </c>
      <c r="BA159" s="61">
        <f>IFERROR(__xludf.DUMMYFUNCTION("importrange(""https://docs.google.com/spreadsheets/u/0/d/1YvSh2rjgF0T-h2qLpMJUtjvUSYxrh1i61z24Ydm9_tI/edit"",""2026-27!z4"")"),0.0)</f>
        <v>0</v>
      </c>
      <c r="BB159" s="59">
        <f>IFERROR(__xludf.DUMMYFUNCTION("importrange(""https://docs.google.com/spreadsheets/u/0/d/1YvSh2rjgF0T-h2qLpMJUtjvUSYxrh1i61z24Ydm9_tI/edit"",""2026-27!z3"")"),0.0)</f>
        <v>0</v>
      </c>
      <c r="BC159" s="63" t="str">
        <f t="shared" si="137"/>
        <v/>
      </c>
      <c r="BD159" s="59">
        <f>IFERROR(__xludf.DUMMYFUNCTION("importrange(""https://docs.google.com/spreadsheets/u/0/d/1YvSh2rjgF0T-h2qLpMJUtjvUSYxrh1i61z24Ydm9_tI/edit"",""2026-27!aa4"")"),0.0)</f>
        <v>0</v>
      </c>
      <c r="BE159" s="59">
        <f>IFERROR(__xludf.DUMMYFUNCTION("importrange(""https://docs.google.com/spreadsheets/u/0/d/1YvSh2rjgF0T-h2qLpMJUtjvUSYxrh1i61z24Ydm9_tI/edit"",""2026-27!aa3"")"),0.0)</f>
        <v>0</v>
      </c>
      <c r="BF159" s="59">
        <f>IFERROR(__xludf.DUMMYFUNCTION("importrange(""https://docs.google.com/spreadsheets/u/0/d/1YvSh2rjgF0T-h2qLpMJUtjvUSYxrh1i61z24Ydm9_tI/edit"",""2026-27!ab4"")"),0.0)</f>
        <v>0</v>
      </c>
      <c r="BG159" s="59">
        <f>IFERROR(__xludf.DUMMYFUNCTION("importrange(""https://docs.google.com/spreadsheets/u/0/d/1YvSh2rjgF0T-h2qLpMJUtjvUSYxrh1i61z24Ydm9_tI/edit"",""2026-27!ab3"")"),0.0)</f>
        <v>0</v>
      </c>
      <c r="BH159" s="59">
        <f>IFERROR(__xludf.DUMMYFUNCTION("importrange(""https://docs.google.com/spreadsheets/u/0/d/1YvSh2rjgF0T-h2qLpMJUtjvUSYxrh1i61z24Ydm9_tI/edit"",""2026-27!ac4"")"),0.0)</f>
        <v>0</v>
      </c>
      <c r="BI159" s="59">
        <f>IFERROR(__xludf.DUMMYFUNCTION("importrange(""https://docs.google.com/spreadsheets/u/0/d/1YvSh2rjgF0T-h2qLpMJUtjvUSYxrh1i61z24Ydm9_tI/edit"",""2026-27!ac3"")"),0.0)</f>
        <v>0</v>
      </c>
      <c r="BJ159" s="63" t="str">
        <f t="shared" si="138"/>
        <v/>
      </c>
      <c r="BK159" s="59">
        <f>IFERROR(__xludf.DUMMYFUNCTION("importrange(""https://docs.google.com/spreadsheets/u/0/d/1YvSh2rjgF0T-h2qLpMJUtjvUSYxrh1i61z24Ydm9_tI/edit"",""2026-27!ad4"")"),0.0)</f>
        <v>0</v>
      </c>
      <c r="BL159" s="59">
        <f>IFERROR(__xludf.DUMMYFUNCTION("importrange(""https://docs.google.com/spreadsheets/u/0/d/1YvSh2rjgF0T-h2qLpMJUtjvUSYxrh1i61z24Ydm9_tI/edit"",""2026-27!ad3"")"),0.0)</f>
        <v>0</v>
      </c>
      <c r="BM159" s="59">
        <f>IFERROR(__xludf.DUMMYFUNCTION("importrange(""https://docs.google.com/spreadsheets/u/0/d/1YvSh2rjgF0T-h2qLpMJUtjvUSYxrh1i61z24Ydm9_tI/edit"",""2026-27!ae4"")"),0.0)</f>
        <v>0</v>
      </c>
      <c r="BN159" s="59">
        <f>IFERROR(__xludf.DUMMYFUNCTION("importrange(""https://docs.google.com/spreadsheets/u/0/d/1YvSh2rjgF0T-h2qLpMJUtjvUSYxrh1i61z24Ydm9_tI/edit"",""2026-27!ae3"")"),0.0)</f>
        <v>0</v>
      </c>
      <c r="BO159" s="59">
        <f>IFERROR(__xludf.DUMMYFUNCTION("importrange(""https://docs.google.com/spreadsheets/u/0/d/1YvSh2rjgF0T-h2qLpMJUtjvUSYxrh1i61z24Ydm9_tI/edit"",""2026-27!af4"")"),0.0)</f>
        <v>0</v>
      </c>
      <c r="BP159" s="59">
        <f>IFERROR(__xludf.DUMMYFUNCTION("importrange(""https://docs.google.com/spreadsheets/u/0/d/1YvSh2rjgF0T-h2qLpMJUtjvUSYxrh1i61z24Ydm9_tI/edit"",""2026-27!af3"")"),0.0)</f>
        <v>0</v>
      </c>
      <c r="BQ159" s="63" t="str">
        <f t="shared" si="139"/>
        <v/>
      </c>
      <c r="BR159" s="59">
        <f>IFERROR(__xludf.DUMMYFUNCTION("importrange(""https://docs.google.com/spreadsheets/u/0/d/1YvSh2rjgF0T-h2qLpMJUtjvUSYxrh1i61z24Ydm9_tI/edit"",""2026-27!ag4"")"),0.0)</f>
        <v>0</v>
      </c>
      <c r="BS159" s="59">
        <f>IFERROR(__xludf.DUMMYFUNCTION("importrange(""https://docs.google.com/spreadsheets/u/0/d/1YvSh2rjgF0T-h2qLpMJUtjvUSYxrh1i61z24Ydm9_tI/edit"",""2026-27!ag3"")"),0.0)</f>
        <v>0</v>
      </c>
      <c r="BT159" s="59">
        <f>IFERROR(__xludf.DUMMYFUNCTION("importrange(""https://docs.google.com/spreadsheets/u/0/d/1YvSh2rjgF0T-h2qLpMJUtjvUSYxrh1i61z24Ydm9_tI/edit"",""2026-27!ah4"")"),0.0)</f>
        <v>0</v>
      </c>
      <c r="BU159" s="59">
        <f>IFERROR(__xludf.DUMMYFUNCTION("importrange(""https://docs.google.com/spreadsheets/u/0/d/1YvSh2rjgF0T-h2qLpMJUtjvUSYxrh1i61z24Ydm9_tI/edit"",""2026-27!ah3"")"),0.0)</f>
        <v>0</v>
      </c>
      <c r="BV159" s="59">
        <f>IFERROR(__xludf.DUMMYFUNCTION("importrange(""https://docs.google.com/spreadsheets/u/0/d/1YvSh2rjgF0T-h2qLpMJUtjvUSYxrh1i61z24Ydm9_tI/edit"",""2026-27!ai4"")"),0.0)</f>
        <v>0</v>
      </c>
      <c r="BW159" s="59">
        <f>IFERROR(__xludf.DUMMYFUNCTION("importrange(""https://docs.google.com/spreadsheets/u/0/d/1YvSh2rjgF0T-h2qLpMJUtjvUSYxrh1i61z24Ydm9_tI/edit"",""2026-27!ai3"")"),0.0)</f>
        <v>0</v>
      </c>
      <c r="BX159" s="63" t="str">
        <f t="shared" si="140"/>
        <v/>
      </c>
      <c r="BY159" s="59">
        <f>IFERROR(__xludf.DUMMYFUNCTION("importrange(""https://docs.google.com/spreadsheets/u/0/d/1YvSh2rjgF0T-h2qLpMJUtjvUSYxrh1i61z24Ydm9_tI/edit"",""2026-27!aj4"")"),0.0)</f>
        <v>0</v>
      </c>
      <c r="BZ159" s="59">
        <f>IFERROR(__xludf.DUMMYFUNCTION("importrange(""https://docs.google.com/spreadsheets/u/0/d/1YvSh2rjgF0T-h2qLpMJUtjvUSYxrh1i61z24Ydm9_tI/edit"",""2026-27!aj3"")"),0.0)</f>
        <v>0</v>
      </c>
      <c r="CA159" s="59">
        <f>IFERROR(__xludf.DUMMYFUNCTION("importrange(""https://docs.google.com/spreadsheets/u/0/d/1YvSh2rjgF0T-h2qLpMJUtjvUSYxrh1i61z24Ydm9_tI/edit"",""2026-27!ak4"")"),0.0)</f>
        <v>0</v>
      </c>
      <c r="CB159" s="59">
        <f>IFERROR(__xludf.DUMMYFUNCTION("importrange(""https://docs.google.com/spreadsheets/u/0/d/1YvSh2rjgF0T-h2qLpMJUtjvUSYxrh1i61z24Ydm9_tI/edit"",""2026-27!ak3"")"),0.0)</f>
        <v>0</v>
      </c>
      <c r="CC159" s="59">
        <f>IFERROR(__xludf.DUMMYFUNCTION("importrange(""https://docs.google.com/spreadsheets/u/0/d/1YvSh2rjgF0T-h2qLpMJUtjvUSYxrh1i61z24Ydm9_tI/edit"",""2026-27!al4"")"),0.0)</f>
        <v>0</v>
      </c>
      <c r="CD159" s="59">
        <f>IFERROR(__xludf.DUMMYFUNCTION("importrange(""https://docs.google.com/spreadsheets/u/0/d/1YvSh2rjgF0T-h2qLpMJUtjvUSYxrh1i61z24Ydm9_tI/edit"",""2026-27!ai3"")"),0.0)</f>
        <v>0</v>
      </c>
      <c r="CE159" s="63" t="str">
        <f t="shared" si="141"/>
        <v/>
      </c>
      <c r="CF159" s="59">
        <f>IFERROR(__xludf.DUMMYFUNCTION("importrange(""https://docs.google.com/spreadsheets/u/0/d/1YvSh2rjgF0T-h2qLpMJUtjvUSYxrh1i61z24Ydm9_tI/edit"",""2026-27!am4"")"),0.0)</f>
        <v>0</v>
      </c>
      <c r="CG159" s="59">
        <f>IFERROR(__xludf.DUMMYFUNCTION("importrange(""https://docs.google.com/spreadsheets/u/0/d/1YvSh2rjgF0T-h2qLpMJUtjvUSYxrh1i61z24Ydm9_tI/edit"",""2026-27!am3"")"),0.0)</f>
        <v>0</v>
      </c>
      <c r="CH159" s="59">
        <f>IFERROR(__xludf.DUMMYFUNCTION("importrange(""https://docs.google.com/spreadsheets/u/0/d/1YvSh2rjgF0T-h2qLpMJUtjvUSYxrh1i61z24Ydm9_tI/edit"",""2026-27!an4"")"),0.0)</f>
        <v>0</v>
      </c>
      <c r="CI159" s="59">
        <f>IFERROR(__xludf.DUMMYFUNCTION("importrange(""https://docs.google.com/spreadsheets/u/0/d/1YvSh2rjgF0T-h2qLpMJUtjvUSYxrh1i61z24Ydm9_tI/edit"",""2026-27!an3"")"),0.0)</f>
        <v>0</v>
      </c>
      <c r="CJ159" s="59">
        <f>IFERROR(__xludf.DUMMYFUNCTION("importrange(""https://docs.google.com/spreadsheets/u/0/d/1YvSh2rjgF0T-h2qLpMJUtjvUSYxrh1i61z24Ydm9_tI/edit"",""2026-27!ao4"")"),0.0)</f>
        <v>0</v>
      </c>
      <c r="CK159" s="59">
        <f>IFERROR(__xludf.DUMMYFUNCTION("importrange(""https://docs.google.com/spreadsheets/u/0/d/1YvSh2rjgF0T-h2qLpMJUtjvUSYxrh1i61z24Ydm9_tI/edit"",""2026-27!ao3"")"),0.0)</f>
        <v>0</v>
      </c>
      <c r="CL159" s="63" t="str">
        <f t="shared" si="142"/>
        <v/>
      </c>
      <c r="CM159" s="59">
        <f>IFERROR(__xludf.DUMMYFUNCTION("importrange(""https://docs.google.com/spreadsheets/u/0/d/1YvSh2rjgF0T-h2qLpMJUtjvUSYxrh1i61z24Ydm9_tI/edit"",""2026-27!ap4"")"),0.0)</f>
        <v>0</v>
      </c>
      <c r="CN159" s="59">
        <f>IFERROR(__xludf.DUMMYFUNCTION("importrange(""https://docs.google.com/spreadsheets/u/0/d/1YvSh2rjgF0T-h2qLpMJUtjvUSYxrh1i61z24Ydm9_tI/edit"",""2026-27!ap3"")"),0.0)</f>
        <v>0</v>
      </c>
      <c r="CO159" s="59">
        <f>IFERROR(__xludf.DUMMYFUNCTION("importrange(""https://docs.google.com/spreadsheets/u/0/d/1YvSh2rjgF0T-h2qLpMJUtjvUSYxrh1i61z24Ydm9_tI/edit"",""2026-27!aq4"")"),0.0)</f>
        <v>0</v>
      </c>
      <c r="CP159" s="59">
        <f>IFERROR(__xludf.DUMMYFUNCTION("importrange(""https://docs.google.com/spreadsheets/u/0/d/1YvSh2rjgF0T-h2qLpMJUtjvUSYxrh1i61z24Ydm9_tI/edit"",""2026-27!aq3"")"),0.0)</f>
        <v>0</v>
      </c>
      <c r="CQ159" s="59">
        <f>IFERROR(__xludf.DUMMYFUNCTION("importrange(""https://docs.google.com/spreadsheets/u/0/d/1YvSh2rjgF0T-h2qLpMJUtjvUSYxrh1i61z24Ydm9_tI/edit"",""2026-27!ar4"")"),0.0)</f>
        <v>0</v>
      </c>
      <c r="CR159" s="59">
        <f>IFERROR(__xludf.DUMMYFUNCTION("importrange(""https://docs.google.com/spreadsheets/u/0/d/1YvSh2rjgF0T-h2qLpMJUtjvUSYxrh1i61z24Ydm9_tI/edit"",""2026-27!ar3"")"),0.0)</f>
        <v>0</v>
      </c>
      <c r="CS159" s="63" t="str">
        <f t="shared" si="143"/>
        <v/>
      </c>
      <c r="CT159" s="59">
        <f>IFERROR(__xludf.DUMMYFUNCTION("importrange(""https://docs.google.com/spreadsheets/u/0/d/1YvSh2rjgF0T-h2qLpMJUtjvUSYxrh1i61z24Ydm9_tI/edit"",""2026-27!as4"")"),0.0)</f>
        <v>0</v>
      </c>
      <c r="CU159" s="59">
        <f>IFERROR(__xludf.DUMMYFUNCTION("importrange(""https://docs.google.com/spreadsheets/u/0/d/1YvSh2rjgF0T-h2qLpMJUtjvUSYxrh1i61z24Ydm9_tI/edit"",""2026-27!as3"")"),0.0)</f>
        <v>0</v>
      </c>
      <c r="CV159" s="64"/>
    </row>
    <row r="160">
      <c r="A160" s="133"/>
      <c r="B160" s="134"/>
      <c r="C160" s="135"/>
      <c r="D160" s="136"/>
      <c r="E160" s="136"/>
      <c r="F160" s="136"/>
      <c r="I160" s="137"/>
      <c r="N160" s="138"/>
      <c r="R160" s="139"/>
    </row>
    <row r="161">
      <c r="A161" s="133"/>
      <c r="B161" s="134"/>
      <c r="C161" s="135"/>
      <c r="D161" s="136"/>
      <c r="E161" s="136"/>
      <c r="F161" s="136"/>
      <c r="I161" s="137"/>
      <c r="N161" s="138"/>
      <c r="R161" s="139"/>
    </row>
    <row r="162">
      <c r="A162" s="133"/>
      <c r="B162" s="140" t="s">
        <v>310</v>
      </c>
      <c r="I162" s="137"/>
      <c r="J162" s="141"/>
      <c r="K162" s="141"/>
      <c r="L162" s="141"/>
      <c r="M162" s="141"/>
      <c r="N162" s="142"/>
      <c r="O162" s="141"/>
      <c r="P162" s="141"/>
      <c r="Q162" s="141"/>
      <c r="R162" s="143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41"/>
      <c r="AJ162" s="141"/>
      <c r="AK162" s="141"/>
      <c r="AL162" s="141"/>
      <c r="AM162" s="141"/>
      <c r="AN162" s="141"/>
      <c r="AO162" s="141"/>
      <c r="AP162" s="141"/>
      <c r="AQ162" s="141"/>
      <c r="AR162" s="141"/>
      <c r="AS162" s="141"/>
      <c r="AT162" s="141"/>
      <c r="AU162" s="141"/>
      <c r="AV162" s="141"/>
      <c r="AW162" s="141"/>
      <c r="AX162" s="141"/>
      <c r="AY162" s="141"/>
      <c r="AZ162" s="141"/>
      <c r="BA162" s="141"/>
      <c r="BB162" s="141"/>
      <c r="BC162" s="141"/>
      <c r="BD162" s="141"/>
      <c r="BE162" s="141"/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41"/>
      <c r="BW162" s="141"/>
      <c r="BX162" s="141"/>
      <c r="BY162" s="141"/>
      <c r="BZ162" s="141"/>
      <c r="CA162" s="141"/>
      <c r="CB162" s="141"/>
      <c r="CC162" s="141"/>
      <c r="CD162" s="141"/>
      <c r="CE162" s="141"/>
      <c r="CF162" s="141"/>
      <c r="CG162" s="141"/>
      <c r="CH162" s="141"/>
      <c r="CI162" s="141"/>
      <c r="CJ162" s="141"/>
      <c r="CK162" s="141"/>
      <c r="CL162" s="141"/>
      <c r="CM162" s="141"/>
      <c r="CN162" s="141"/>
      <c r="CO162" s="141"/>
      <c r="CP162" s="141"/>
      <c r="CQ162" s="141"/>
      <c r="CR162" s="141"/>
      <c r="CS162" s="141"/>
      <c r="CT162" s="141"/>
      <c r="CU162" s="141"/>
      <c r="CV162" s="141"/>
    </row>
    <row r="163">
      <c r="A163" s="76"/>
      <c r="B163" s="144"/>
      <c r="C163" s="145"/>
      <c r="D163" s="146"/>
      <c r="E163" s="147"/>
      <c r="F163" s="148"/>
      <c r="G163" s="5"/>
      <c r="H163" s="5"/>
      <c r="I163" s="149"/>
      <c r="J163" s="8"/>
      <c r="K163" s="150"/>
      <c r="L163" s="150"/>
      <c r="M163" s="150"/>
      <c r="N163" s="151"/>
      <c r="O163" s="150"/>
      <c r="P163" s="64"/>
      <c r="Q163" s="64"/>
      <c r="R163" s="64"/>
      <c r="S163" s="64"/>
      <c r="T163" s="152"/>
      <c r="U163" s="64"/>
      <c r="V163" s="153"/>
      <c r="W163" s="64"/>
      <c r="X163" s="153"/>
      <c r="Y163" s="64"/>
      <c r="Z163" s="64"/>
      <c r="AA163" s="152"/>
      <c r="AB163" s="64"/>
      <c r="AC163" s="64"/>
      <c r="AD163" s="64"/>
      <c r="AE163" s="64"/>
      <c r="AF163" s="64"/>
      <c r="AG163" s="64"/>
      <c r="AH163" s="152"/>
      <c r="AI163" s="64"/>
      <c r="AJ163" s="64"/>
      <c r="AK163" s="64"/>
      <c r="AL163" s="64"/>
      <c r="AM163" s="150"/>
      <c r="AN163" s="64"/>
      <c r="AO163" s="152"/>
      <c r="AP163" s="64"/>
      <c r="AQ163" s="64"/>
      <c r="AR163" s="64"/>
      <c r="AS163" s="64"/>
      <c r="AT163" s="150"/>
      <c r="AU163" s="64"/>
      <c r="AV163" s="152"/>
      <c r="AW163" s="64"/>
      <c r="AX163" s="64"/>
      <c r="AY163" s="64"/>
      <c r="AZ163" s="64"/>
      <c r="BA163" s="150"/>
      <c r="BB163" s="64"/>
      <c r="BC163" s="154"/>
      <c r="BD163" s="64"/>
      <c r="BE163" s="64"/>
      <c r="BF163" s="64"/>
      <c r="BG163" s="64"/>
      <c r="BH163" s="64"/>
      <c r="BI163" s="64"/>
      <c r="BJ163" s="154"/>
      <c r="BK163" s="64"/>
      <c r="BL163" s="64"/>
      <c r="BM163" s="64"/>
      <c r="BN163" s="64"/>
      <c r="BO163" s="64"/>
      <c r="BP163" s="64"/>
      <c r="BQ163" s="154"/>
      <c r="BR163" s="64"/>
      <c r="BS163" s="64"/>
      <c r="BT163" s="64"/>
      <c r="BU163" s="64"/>
      <c r="BV163" s="64"/>
      <c r="BW163" s="64"/>
      <c r="BX163" s="154"/>
      <c r="BY163" s="64"/>
      <c r="BZ163" s="64"/>
      <c r="CA163" s="64"/>
      <c r="CB163" s="64"/>
      <c r="CC163" s="64"/>
      <c r="CD163" s="64"/>
      <c r="CE163" s="154"/>
      <c r="CF163" s="64"/>
      <c r="CG163" s="64"/>
      <c r="CH163" s="64"/>
      <c r="CI163" s="64"/>
      <c r="CJ163" s="64"/>
      <c r="CK163" s="64"/>
      <c r="CL163" s="154"/>
      <c r="CM163" s="64"/>
      <c r="CN163" s="64"/>
      <c r="CO163" s="64"/>
      <c r="CP163" s="64"/>
      <c r="CQ163" s="64"/>
      <c r="CR163" s="64"/>
      <c r="CS163" s="154"/>
      <c r="CT163" s="64"/>
      <c r="CU163" s="64"/>
      <c r="CV163" s="64"/>
    </row>
    <row r="164">
      <c r="A164" s="1" t="s">
        <v>160</v>
      </c>
      <c r="B164" s="155" t="s">
        <v>160</v>
      </c>
      <c r="C164" s="156" t="s">
        <v>311</v>
      </c>
      <c r="D164" s="54" t="s">
        <v>312</v>
      </c>
      <c r="E164" s="54">
        <v>6.00078699E9</v>
      </c>
      <c r="F164" s="80">
        <v>45292.0</v>
      </c>
      <c r="G164" s="66"/>
      <c r="H164" s="66"/>
      <c r="I164" s="57">
        <v>26755.0</v>
      </c>
      <c r="J164" s="58">
        <v>1333333.0</v>
      </c>
      <c r="K164" s="61">
        <f>IFERROR(__xludf.DUMMYFUNCTION("IMPORTRANGE(""https://docs.google.com/spreadsheets/d/1e8jkTtwi2aXiYRx1t-DdbLhvJgj08Uq9ZOXPl2yK5AY/edit#gid=867855662"",""2026-27!A3"")"),42.0)</f>
        <v>42</v>
      </c>
      <c r="L164" s="61">
        <f>IFERROR(__xludf.DUMMYFUNCTION("IMPORTRANGE(""https://docs.google.com/spreadsheets/d/1e8jkTtwi2aXiYRx1t-DdbLhvJgj08Uq9ZOXPl2yK5AY/edit#gid=867855662"",""2026-27!G4"")"),1.282E7)</f>
        <v>12820000</v>
      </c>
      <c r="M164" s="61">
        <f t="shared" ref="M164:M166" si="144">SUM(R164+Y164+AF164+AM164+AT164+BA164+BH164+BO164+BV164+CC164+CJ164+CQ164)</f>
        <v>468138.52</v>
      </c>
      <c r="N164" s="60">
        <f t="shared" ref="N164:N171" si="145">iferror(O164/L164,"")</f>
        <v>0.03183853354</v>
      </c>
      <c r="O164" s="61">
        <f t="shared" ref="O164:O166" si="146">SUM(U164,AB164,AI164,AP164,AW164,BD164,BK164,BR164,BY164,CF164,CM164,CT164)</f>
        <v>408170</v>
      </c>
      <c r="P164" s="59">
        <f>IFERROR(__xludf.DUMMYFUNCTION("IMPORTRANGE(""https://docs.google.com/spreadsheets/d/1e8jkTtwi2aXiYRx1t-DdbLhvJgj08Uq9ZOXPl2yK5AY/edit#gid=867855662"",""2026-27!J4"")"),1068333.0)</f>
        <v>1068333</v>
      </c>
      <c r="Q164" s="59">
        <f>IFERROR(__xludf.DUMMYFUNCTION("IMPORTRANGE(""https://docs.google.com/spreadsheets/d/1e8jkTtwi2aXiYRx1t-DdbLhvJgj08Uq9ZOXPl2yK5AY/edit#gid=867855662"",""2026-27!J3"")"),42.0)</f>
        <v>42</v>
      </c>
      <c r="R164" s="59">
        <f>IFERROR(__xludf.DUMMYFUNCTION("IMPORTRANGE(""https://docs.google.com/spreadsheets/d/1e8jkTtwi2aXiYRx1t-DdbLhvJgj08Uq9ZOXPl2yK5AY/edit#gid=867855662"",""2026-27!K4"")"),447442.52)</f>
        <v>447442.52</v>
      </c>
      <c r="S164" s="59">
        <f>IFERROR(__xludf.DUMMYFUNCTION("IMPORTRANGE(""https://docs.google.com/spreadsheets/d/1e8jkTtwi2aXiYRx1t-DdbLhvJgj08Uq9ZOXPl2yK5AY/edit#gid=867855662"",""2026-27!K3"")"),5.0)</f>
        <v>5</v>
      </c>
      <c r="T164" s="62">
        <f t="shared" ref="T164:T171" si="147">IFERROR((U164/P164),"")</f>
        <v>0.3820625217</v>
      </c>
      <c r="U164" s="59">
        <f>IFERROR(__xludf.DUMMYFUNCTION("IMPORTRANGE(""https://docs.google.com/spreadsheets/d/1e8jkTtwi2aXiYRx1t-DdbLhvJgj08Uq9ZOXPl2yK5AY/edit#gid=867855662"",""2026-27!L4"")"),408170.0)</f>
        <v>408170</v>
      </c>
      <c r="V164" s="85">
        <f>IFERROR(__xludf.DUMMYFUNCTION("IMPORTRANGE(""https://docs.google.com/spreadsheets/d/1e8jkTtwi2aXiYRx1t-DdbLhvJgj08Uq9ZOXPl2yK5AY/edit#gid=867855662"",""2026-27!L3"")"),4.0)</f>
        <v>4</v>
      </c>
      <c r="W164" s="59">
        <f>IFERROR(__xludf.DUMMYFUNCTION("IMPORTRANGE(""https://docs.google.com/spreadsheets/d/1e8jkTtwi2aXiYRx1t-DdbLhvJgj08Uq9ZOXPl2yK5AY/edit#gid=867855662"",""2026-27!M4"")"),1068333.0)</f>
        <v>1068333</v>
      </c>
      <c r="X164" s="85">
        <f>IFERROR(__xludf.DUMMYFUNCTION("IMPORTRANGE(""https://docs.google.com/spreadsheets/d/1e8jkTtwi2aXiYRx1t-DdbLhvJgj08Uq9ZOXPl2yK5AY/edit#gid=867855662"",""2026-27!M3"")"),42.0)</f>
        <v>42</v>
      </c>
      <c r="Y164" s="59">
        <f>IFERROR(__xludf.DUMMYFUNCTION("importrange(""https://docs.google.com/spreadsheets/d/1e8jkTtwi2aXiYRx1t-DdbLhvJgj08Uq9ZOXPl2yK5AY/edit#gid=867855662"",""2026-27!n4"")"),20696.0)</f>
        <v>20696</v>
      </c>
      <c r="Z164" s="59">
        <f>IFERROR(__xludf.DUMMYFUNCTION("importrange(""https://docs.google.com/spreadsheets/d/1e8jkTtwi2aXiYRx1t-DdbLhvJgj08Uq9ZOXPl2yK5AY/edit#gid=867855662"",""2026-27!n3"")"),1.0)</f>
        <v>1</v>
      </c>
      <c r="AA164" s="62">
        <f t="shared" ref="AA164:AA171" si="148">IFERROR((AB164/W164),"")</f>
        <v>0</v>
      </c>
      <c r="AB164" s="59">
        <f>IFERROR(__xludf.DUMMYFUNCTION("importrange(""https://docs.google.com/spreadsheets/d/1e8jkTtwi2aXiYRx1t-DdbLhvJgj08Uq9ZOXPl2yK5AY/edit#gid=867855662"",""2026-27!o4"")"),0.0)</f>
        <v>0</v>
      </c>
      <c r="AC164" s="59">
        <f>IFERROR(__xludf.DUMMYFUNCTION("importrange(""https://docs.google.com/spreadsheets/d/1e8jkTtwi2aXiYRx1t-DdbLhvJgj08Uq9ZOXPl2yK5AY/edit#gid=867855662"",""2026-27!o3"")"),0.0)</f>
        <v>0</v>
      </c>
      <c r="AD164" s="59">
        <f>IFERROR(__xludf.DUMMYFUNCTION("importrange(""https://docs.google.com/spreadsheets/d/1e8jkTtwi2aXiYRx1t-DdbLhvJgj08Uq9ZOXPl2yK5AY/edit#gid=867855662"",""2026-27!p4"")"),1068333.0)</f>
        <v>1068333</v>
      </c>
      <c r="AE164" s="59">
        <f>IFERROR(__xludf.DUMMYFUNCTION("importrange(""https://docs.google.com/spreadsheets/d/1e8jkTtwi2aXiYRx1t-DdbLhvJgj08Uq9ZOXPl2yK5AY/edit#gid=867855662"",""2026-27!p3"")"),42.0)</f>
        <v>42</v>
      </c>
      <c r="AF164" s="59">
        <f>IFERROR(__xludf.DUMMYFUNCTION("importrange(""https://docs.google.com/spreadsheets/d/1e8jkTtwi2aXiYRx1t-DdbLhvJgj08Uq9ZOXPl2yK5AY/edit#gid=867855662"",""2026-27!q4"")"),0.0)</f>
        <v>0</v>
      </c>
      <c r="AG164" s="59">
        <f>IFERROR(__xludf.DUMMYFUNCTION("importrange(""https://docs.google.com/spreadsheets/d/1e8jkTtwi2aXiYRx1t-DdbLhvJgj08Uq9ZOXPl2yK5AY/edit#gid=867855662"",""2026-27!q3"")"),0.0)</f>
        <v>0</v>
      </c>
      <c r="AH164" s="62">
        <f t="shared" ref="AH164:AH171" si="149">IFERROR((AI164/AD164),"")</f>
        <v>0</v>
      </c>
      <c r="AI164" s="59">
        <f>IFERROR(__xludf.DUMMYFUNCTION("importrange(""https://docs.google.com/spreadsheets/d/1e8jkTtwi2aXiYRx1t-DdbLhvJgj08Uq9ZOXPl2yK5AY/edit#gid=867855662"",""2026-27!r4"")"),0.0)</f>
        <v>0</v>
      </c>
      <c r="AJ164" s="59">
        <f>IFERROR(__xludf.DUMMYFUNCTION("importrange(""https://docs.google.com/spreadsheets/d/1e8jkTtwi2aXiYRx1t-DdbLhvJgj08Uq9ZOXPl2yK5AY/edit#gid=867855662"",""2026-27!r3"")"),0.0)</f>
        <v>0</v>
      </c>
      <c r="AK164" s="59">
        <f>IFERROR(__xludf.DUMMYFUNCTION("importrange(""https://docs.google.com/spreadsheets/d/1e8jkTtwi2aXiYRx1t-DdbLhvJgj08Uq9ZOXPl2yK5AY/edit#gid=867855662"",""2026-27!s4"")"),1068333.0)</f>
        <v>1068333</v>
      </c>
      <c r="AL164" s="59">
        <f>IFERROR(__xludf.DUMMYFUNCTION("importrange(""https://docs.google.com/spreadsheets/d/1e8jkTtwi2aXiYRx1t-DdbLhvJgj08Uq9ZOXPl2yK5AY/edit#gid=867855662"",""2026-27!s3"")"),42.0)</f>
        <v>42</v>
      </c>
      <c r="AM164" s="61">
        <f>IFERROR(__xludf.DUMMYFUNCTION("importrange(""https://docs.google.com/spreadsheets/d/1e8jkTtwi2aXiYRx1t-DdbLhvJgj08Uq9ZOXPl2yK5AY/edit#gid=867855662"",""2026-27!t4"")"),0.0)</f>
        <v>0</v>
      </c>
      <c r="AN164" s="59">
        <f>IFERROR(__xludf.DUMMYFUNCTION("importrange(""https://docs.google.com/spreadsheets/d/1e8jkTtwi2aXiYRx1t-DdbLhvJgj08Uq9ZOXPl2yK5AY/edit#gid=867855662"",""2026-27!t3"")"),0.0)</f>
        <v>0</v>
      </c>
      <c r="AO164" s="62">
        <f t="shared" ref="AO164:AO171" si="150">IFERROR((AP164/AK164),"")</f>
        <v>0</v>
      </c>
      <c r="AP164" s="59">
        <f>IFERROR(__xludf.DUMMYFUNCTION("importrange(""https://docs.google.com/spreadsheets/d/1e8jkTtwi2aXiYRx1t-DdbLhvJgj08Uq9ZOXPl2yK5AY/edit#gid=867855662"",""2026-27!u4"")"),0.0)</f>
        <v>0</v>
      </c>
      <c r="AQ164" s="59">
        <f>IFERROR(__xludf.DUMMYFUNCTION("importrange(""https://docs.google.com/spreadsheets/d/1e8jkTtwi2aXiYRx1t-DdbLhvJgj08Uq9ZOXPl2yK5AY/edit#gid=867855662"",""2026-27!u3"")"),0.0)</f>
        <v>0</v>
      </c>
      <c r="AR164" s="59">
        <f>IFERROR(__xludf.DUMMYFUNCTION("importrange(""https://docs.google.com/spreadsheets/d/1e8jkTtwi2aXiYRx1t-DdbLhvJgj08Uq9ZOXPl2yK5AY/edit#gid=867855662"",""2026-27!v4"")"),1068333.0)</f>
        <v>1068333</v>
      </c>
      <c r="AS164" s="59">
        <f>IFERROR(__xludf.DUMMYFUNCTION("importrange(""https://docs.google.com/spreadsheets/d/1e8jkTtwi2aXiYRx1t-DdbLhvJgj08Uq9ZOXPl2yK5AY/edit#gid=867855662"",""2026-27!v3"")"),42.0)</f>
        <v>42</v>
      </c>
      <c r="AT164" s="61">
        <f>IFERROR(__xludf.DUMMYFUNCTION("importrange(""https://docs.google.com/spreadsheets/d/1e8jkTtwi2aXiYRx1t-DdbLhvJgj08Uq9ZOXPl2yK5AY/edit#gid=867855662"",""2026-27!w4"")"),0.0)</f>
        <v>0</v>
      </c>
      <c r="AU164" s="59">
        <f>IFERROR(__xludf.DUMMYFUNCTION("importrange(""https://docs.google.com/spreadsheets/d/1e8jkTtwi2aXiYRx1t-DdbLhvJgj08Uq9ZOXPl2yK5AY/edit#gid=867855662"",""2026-27!w3"")"),0.0)</f>
        <v>0</v>
      </c>
      <c r="AV164" s="62">
        <f t="shared" ref="AV164:AV171" si="151">IFERROR((AW164/AR164),"")</f>
        <v>0</v>
      </c>
      <c r="AW164" s="59">
        <f>IFERROR(__xludf.DUMMYFUNCTION("importrange(""https://docs.google.com/spreadsheets/d/1e8jkTtwi2aXiYRx1t-DdbLhvJgj08Uq9ZOXPl2yK5AY/edit#gid=867855662"",""2026-27!x4"")"),0.0)</f>
        <v>0</v>
      </c>
      <c r="AX164" s="59">
        <f>IFERROR(__xludf.DUMMYFUNCTION("importrange(""https://docs.google.com/spreadsheets/d/1e8jkTtwi2aXiYRx1t-DdbLhvJgj08Uq9ZOXPl2yK5AY/edit#gid=867855662"",""2026-27!x3"")"),0.0)</f>
        <v>0</v>
      </c>
      <c r="AY164" s="59">
        <f>IFERROR(__xludf.DUMMYFUNCTION("importrange(""https://docs.google.com/spreadsheets/d/1e8jkTtwi2aXiYRx1t-DdbLhvJgj08Uq9ZOXPl2yK5AY/edit#gid=867855662"",""2026-27!y4"")"),1068333.0)</f>
        <v>1068333</v>
      </c>
      <c r="AZ164" s="59">
        <f>IFERROR(__xludf.DUMMYFUNCTION("importrange(""https://docs.google.com/spreadsheets/d/1e8jkTtwi2aXiYRx1t-DdbLhvJgj08Uq9ZOXPl2yK5AY/edit#gid=867855662"",""2026-27!y3"")"),42.0)</f>
        <v>42</v>
      </c>
      <c r="BA164" s="61">
        <f>IFERROR(__xludf.DUMMYFUNCTION("importrange(""https://docs.google.com/spreadsheets/d/1e8jkTtwi2aXiYRx1t-DdbLhvJgj08Uq9ZOXPl2yK5AY/edit#gid=867855662"",""2026-27!z4"")"),0.0)</f>
        <v>0</v>
      </c>
      <c r="BB164" s="59">
        <f>IFERROR(__xludf.DUMMYFUNCTION("importrange(""https://docs.google.com/spreadsheets/d/1e8jkTtwi2aXiYRx1t-DdbLhvJgj08Uq9ZOXPl2yK5AY/edit#gid=867855662"",""2026-27!z3"")"),0.0)</f>
        <v>0</v>
      </c>
      <c r="BC164" s="63">
        <f t="shared" ref="BC164:BC171" si="152">IFERROR((BD164/AY164),"")</f>
        <v>0</v>
      </c>
      <c r="BD164" s="59">
        <f>IFERROR(__xludf.DUMMYFUNCTION("importrange(""https://docs.google.com/spreadsheets/d/1e8jkTtwi2aXiYRx1t-DdbLhvJgj08Uq9ZOXPl2yK5AY/edit#gid=867855662"",""2026-27!aa4"")"),0.0)</f>
        <v>0</v>
      </c>
      <c r="BE164" s="59">
        <f>IFERROR(__xludf.DUMMYFUNCTION("importrange(""https://docs.google.com/spreadsheets/d/1e8jkTtwi2aXiYRx1t-DdbLhvJgj08Uq9ZOXPl2yK5AY/edit#gid=867855662"",""2026-27!aa3"")"),0.0)</f>
        <v>0</v>
      </c>
      <c r="BF164" s="59">
        <f>IFERROR(__xludf.DUMMYFUNCTION("importrange(""https://docs.google.com/spreadsheets/d/1e8jkTtwi2aXiYRx1t-DdbLhvJgj08Uq9ZOXPl2yK5AY/edit#gid=867855662"",""2026-27!ab4"")"),1068333.0)</f>
        <v>1068333</v>
      </c>
      <c r="BG164" s="59">
        <f>IFERROR(__xludf.DUMMYFUNCTION("importrange(""https://docs.google.com/spreadsheets/d/1e8jkTtwi2aXiYRx1t-DdbLhvJgj08Uq9ZOXPl2yK5AY/edit#gid=867855662"",""2026-27!ab3"")"),42.0)</f>
        <v>42</v>
      </c>
      <c r="BH164" s="59">
        <f>IFERROR(__xludf.DUMMYFUNCTION("importrange(""https://docs.google.com/spreadsheets/d/1e8jkTtwi2aXiYRx1t-DdbLhvJgj08Uq9ZOXPl2yK5AY/edit#gid=867855662"",""2026-27!ac4"")"),0.0)</f>
        <v>0</v>
      </c>
      <c r="BI164" s="59">
        <f>IFERROR(__xludf.DUMMYFUNCTION("importrange(""https://docs.google.com/spreadsheets/d/1e8jkTtwi2aXiYRx1t-DdbLhvJgj08Uq9ZOXPl2yK5AY/edit#gid=867855662"",""2026-27!ac3"")"),0.0)</f>
        <v>0</v>
      </c>
      <c r="BJ164" s="63">
        <f t="shared" ref="BJ164:BJ171" si="153">IFERROR((BK164/BF164),"")</f>
        <v>0</v>
      </c>
      <c r="BK164" s="59">
        <f>IFERROR(__xludf.DUMMYFUNCTION("importrange(""https://docs.google.com/spreadsheets/d/1e8jkTtwi2aXiYRx1t-DdbLhvJgj08Uq9ZOXPl2yK5AY/edit#gid=867855662"",""2026-27!ad4"")"),0.0)</f>
        <v>0</v>
      </c>
      <c r="BL164" s="59">
        <f>IFERROR(__xludf.DUMMYFUNCTION("importrange(""https://docs.google.com/spreadsheets/d/1e8jkTtwi2aXiYRx1t-DdbLhvJgj08Uq9ZOXPl2yK5AY/edit#gid=867855662"",""2026-27!ad3"")"),0.0)</f>
        <v>0</v>
      </c>
      <c r="BM164" s="59">
        <f>IFERROR(__xludf.DUMMYFUNCTION("importrange(""https://docs.google.com/spreadsheets/d/1e8jkTtwi2aXiYRx1t-DdbLhvJgj08Uq9ZOXPl2yK5AY/edit#gid=867855662"",""2026-27!ae4"")"),1068333.0)</f>
        <v>1068333</v>
      </c>
      <c r="BN164" s="59">
        <f>IFERROR(__xludf.DUMMYFUNCTION("importrange(""https://docs.google.com/spreadsheets/d/1e8jkTtwi2aXiYRx1t-DdbLhvJgj08Uq9ZOXPl2yK5AY/edit#gid=867855662"",""2026-27!ae3"")"),42.0)</f>
        <v>42</v>
      </c>
      <c r="BO164" s="59">
        <f>IFERROR(__xludf.DUMMYFUNCTION("importrange(""https://docs.google.com/spreadsheets/d/1e8jkTtwi2aXiYRx1t-DdbLhvJgj08Uq9ZOXPl2yK5AY/edit#gid=867855662"",""2026-27!af4"")"),0.0)</f>
        <v>0</v>
      </c>
      <c r="BP164" s="59">
        <f>IFERROR(__xludf.DUMMYFUNCTION("importrange(""https://docs.google.com/spreadsheets/d/1e8jkTtwi2aXiYRx1t-DdbLhvJgj08Uq9ZOXPl2yK5AY/edit#gid=867855662"",""2026-27!af3"")"),0.0)</f>
        <v>0</v>
      </c>
      <c r="BQ164" s="63">
        <f t="shared" ref="BQ164:BQ171" si="154">IFERROR((BR164/BM164),"")</f>
        <v>0</v>
      </c>
      <c r="BR164" s="59">
        <f>IFERROR(__xludf.DUMMYFUNCTION("importrange(""https://docs.google.com/spreadsheets/d/1e8jkTtwi2aXiYRx1t-DdbLhvJgj08Uq9ZOXPl2yK5AY/edit#gid=867855662"",""2026-27!ag4"")"),0.0)</f>
        <v>0</v>
      </c>
      <c r="BS164" s="59">
        <f>IFERROR(__xludf.DUMMYFUNCTION("importrange(""https://docs.google.com/spreadsheets/d/1e8jkTtwi2aXiYRx1t-DdbLhvJgj08Uq9ZOXPl2yK5AY/edit#gid=867855662"",""2026-27!ag3"")"),0.0)</f>
        <v>0</v>
      </c>
      <c r="BT164" s="59">
        <f>IFERROR(__xludf.DUMMYFUNCTION("importrange(""https://docs.google.com/spreadsheets/d/1e8jkTtwi2aXiYRx1t-DdbLhvJgj08Uq9ZOXPl2yK5AY/edit#gid=867855662"",""2026-27!ah4"")"),1068333.0)</f>
        <v>1068333</v>
      </c>
      <c r="BU164" s="59">
        <f>IFERROR(__xludf.DUMMYFUNCTION("importrange(""https://docs.google.com/spreadsheets/d/1e8jkTtwi2aXiYRx1t-DdbLhvJgj08Uq9ZOXPl2yK5AY/edit#gid=867855662"",""2026-27!ah3"")"),42.0)</f>
        <v>42</v>
      </c>
      <c r="BV164" s="59">
        <f>IFERROR(__xludf.DUMMYFUNCTION("importrange(""https://docs.google.com/spreadsheets/d/1e8jkTtwi2aXiYRx1t-DdbLhvJgj08Uq9ZOXPl2yK5AY/edit#gid=867855662"",""2026-27!ai4"")"),0.0)</f>
        <v>0</v>
      </c>
      <c r="BW164" s="59">
        <f>IFERROR(__xludf.DUMMYFUNCTION("importrange(""https://docs.google.com/spreadsheets/d/1e8jkTtwi2aXiYRx1t-DdbLhvJgj08Uq9ZOXPl2yK5AY/edit#gid=867855662"",""2026-27!ai3"")"),0.0)</f>
        <v>0</v>
      </c>
      <c r="BX164" s="63">
        <f t="shared" ref="BX164:BX171" si="155">IFERROR((BY164/BT164),"")</f>
        <v>0</v>
      </c>
      <c r="BY164" s="59">
        <f>IFERROR(__xludf.DUMMYFUNCTION("importrange(""https://docs.google.com/spreadsheets/d/1e8jkTtwi2aXiYRx1t-DdbLhvJgj08Uq9ZOXPl2yK5AY/edit#gid=867855662"",""2026-27!aj4"")"),0.0)</f>
        <v>0</v>
      </c>
      <c r="BZ164" s="59">
        <f>IFERROR(__xludf.DUMMYFUNCTION("importrange(""https://docs.google.com/spreadsheets/d/1e8jkTtwi2aXiYRx1t-DdbLhvJgj08Uq9ZOXPl2yK5AY/edit#gid=867855662"",""2026-27!aj3"")"),0.0)</f>
        <v>0</v>
      </c>
      <c r="CA164" s="59">
        <f>IFERROR(__xludf.DUMMYFUNCTION("importrange(""https://docs.google.com/spreadsheets/d/1e8jkTtwi2aXiYRx1t-DdbLhvJgj08Uq9ZOXPl2yK5AY/edit#gid=867855662"",""2026-27!ak4"")"),1068333.0)</f>
        <v>1068333</v>
      </c>
      <c r="CB164" s="59">
        <f>IFERROR(__xludf.DUMMYFUNCTION("importrange(""https://docs.google.com/spreadsheets/d/1e8jkTtwi2aXiYRx1t-DdbLhvJgj08Uq9ZOXPl2yK5AY/edit#gid=867855662"",""2026-27!ak3"")"),42.0)</f>
        <v>42</v>
      </c>
      <c r="CC164" s="59">
        <f>IFERROR(__xludf.DUMMYFUNCTION("importrange(""https://docs.google.com/spreadsheets/d/1e8jkTtwi2aXiYRx1t-DdbLhvJgj08Uq9ZOXPl2yK5AY/edit#gid=867855662"",""2026-27!al4"")"),0.0)</f>
        <v>0</v>
      </c>
      <c r="CD164" s="59">
        <f>IFERROR(__xludf.DUMMYFUNCTION("importrange(""https://docs.google.com/spreadsheets/d/1e8jkTtwi2aXiYRx1t-DdbLhvJgj08Uq9ZOXPl2yK5AY/edit#gid=867855662"",""2026-27!ai3"")"),0.0)</f>
        <v>0</v>
      </c>
      <c r="CE164" s="63">
        <f t="shared" ref="CE164:CE171" si="156">IFERROR((CF164/CA164),"")</f>
        <v>0</v>
      </c>
      <c r="CF164" s="59">
        <f>IFERROR(__xludf.DUMMYFUNCTION("importrange(""https://docs.google.com/spreadsheets/d/1e8jkTtwi2aXiYRx1t-DdbLhvJgj08Uq9ZOXPl2yK5AY/edit#gid=867855662"",""2026-27!am4"")"),0.0)</f>
        <v>0</v>
      </c>
      <c r="CG164" s="59">
        <f>IFERROR(__xludf.DUMMYFUNCTION("importrange(""https://docs.google.com/spreadsheets/d/1e8jkTtwi2aXiYRx1t-DdbLhvJgj08Uq9ZOXPl2yK5AY/edit#gid=867855662"",""2026-27!am3"")"),0.0)</f>
        <v>0</v>
      </c>
      <c r="CH164" s="59">
        <f>IFERROR(__xludf.DUMMYFUNCTION("importrange(""https://docs.google.com/spreadsheets/d/1e8jkTtwi2aXiYRx1t-DdbLhvJgj08Uq9ZOXPl2yK5AY/edit#gid=867855662"",""2026-27!an4"")"),1068333.0)</f>
        <v>1068333</v>
      </c>
      <c r="CI164" s="59">
        <f>IFERROR(__xludf.DUMMYFUNCTION("importrange(""https://docs.google.com/spreadsheets/d/1e8jkTtwi2aXiYRx1t-DdbLhvJgj08Uq9ZOXPl2yK5AY/edit#gid=867855662"",""2026-27!an3"")"),42.0)</f>
        <v>42</v>
      </c>
      <c r="CJ164" s="59">
        <f>IFERROR(__xludf.DUMMYFUNCTION("importrange(""https://docs.google.com/spreadsheets/d/1e8jkTtwi2aXiYRx1t-DdbLhvJgj08Uq9ZOXPl2yK5AY/edit#gid=867855662"",""2026-27!ao4"")"),0.0)</f>
        <v>0</v>
      </c>
      <c r="CK164" s="59">
        <f>IFERROR(__xludf.DUMMYFUNCTION("importrange(""https://docs.google.com/spreadsheets/d/1e8jkTtwi2aXiYRx1t-DdbLhvJgj08Uq9ZOXPl2yK5AY/edit#gid=867855662"",""2026-27!ao3"")"),0.0)</f>
        <v>0</v>
      </c>
      <c r="CL164" s="63">
        <f t="shared" ref="CL164:CL171" si="157">IFERROR((CM164/CH164),"")</f>
        <v>0</v>
      </c>
      <c r="CM164" s="59">
        <f>IFERROR(__xludf.DUMMYFUNCTION("importrange(""https://docs.google.com/spreadsheets/d/1e8jkTtwi2aXiYRx1t-DdbLhvJgj08Uq9ZOXPl2yK5AY/edit#gid=867855662"",""2026-27!ap4"")"),0.0)</f>
        <v>0</v>
      </c>
      <c r="CN164" s="59">
        <f>IFERROR(__xludf.DUMMYFUNCTION("importrange(""https://docs.google.com/spreadsheets/d/1e8jkTtwi2aXiYRx1t-DdbLhvJgj08Uq9ZOXPl2yK5AY/edit#gid=867855662"",""2026-27!ap3"")"),0.0)</f>
        <v>0</v>
      </c>
      <c r="CO164" s="59">
        <f>IFERROR(__xludf.DUMMYFUNCTION("importrange(""https://docs.google.com/spreadsheets/d/1e8jkTtwi2aXiYRx1t-DdbLhvJgj08Uq9ZOXPl2yK5AY/edit#gid=867855662"",""2026-27!aq4"")"),1068333.0)</f>
        <v>1068333</v>
      </c>
      <c r="CP164" s="59">
        <f>IFERROR(__xludf.DUMMYFUNCTION("importrange(""https://docs.google.com/spreadsheets/d/1e8jkTtwi2aXiYRx1t-DdbLhvJgj08Uq9ZOXPl2yK5AY/edit#gid=867855662"",""2026-27!aq3"")"),42.0)</f>
        <v>42</v>
      </c>
      <c r="CQ164" s="59">
        <f>IFERROR(__xludf.DUMMYFUNCTION("importrange(""https://docs.google.com/spreadsheets/d/1e8jkTtwi2aXiYRx1t-DdbLhvJgj08Uq9ZOXPl2yK5AY/edit#gid=867855662"",""2026-27!ar4"")"),0.0)</f>
        <v>0</v>
      </c>
      <c r="CR164" s="59">
        <f>IFERROR(__xludf.DUMMYFUNCTION("importrange(""https://docs.google.com/spreadsheets/d/1e8jkTtwi2aXiYRx1t-DdbLhvJgj08Uq9ZOXPl2yK5AY/edit#gid=867855662"",""2026-27!ar3"")"),0.0)</f>
        <v>0</v>
      </c>
      <c r="CS164" s="63">
        <f t="shared" ref="CS164:CS171" si="158">IFERROR((CT164/CO164),"")</f>
        <v>0</v>
      </c>
      <c r="CT164" s="59">
        <f>IFERROR(__xludf.DUMMYFUNCTION("importrange(""https://docs.google.com/spreadsheets/d/1e8jkTtwi2aXiYRx1t-DdbLhvJgj08Uq9ZOXPl2yK5AY/edit#gid=867855662"",""2026-27!as4"")"),0.0)</f>
        <v>0</v>
      </c>
      <c r="CU164" s="59">
        <f>IFERROR(__xludf.DUMMYFUNCTION("importrange(""https://docs.google.com/spreadsheets/d/1e8jkTtwi2aXiYRx1t-DdbLhvJgj08Uq9ZOXPl2yK5AY/edit#gid=867855662"",""2026-27!as3"")"),0.0)</f>
        <v>0</v>
      </c>
      <c r="CV164" s="64"/>
    </row>
    <row r="165">
      <c r="A165" s="1" t="s">
        <v>160</v>
      </c>
      <c r="B165" s="155" t="s">
        <v>160</v>
      </c>
      <c r="C165" s="156" t="s">
        <v>313</v>
      </c>
      <c r="D165" s="54" t="s">
        <v>314</v>
      </c>
      <c r="E165" s="54">
        <v>7.810912732E9</v>
      </c>
      <c r="F165" s="80">
        <v>45069.0</v>
      </c>
      <c r="G165" s="66"/>
      <c r="H165" s="66"/>
      <c r="I165" s="57">
        <v>26500.0</v>
      </c>
      <c r="J165" s="58"/>
      <c r="K165" s="61">
        <f>IFERROR(__xludf.DUMMYFUNCTION("IMPORTRANGE(""https://docs.google.com/spreadsheets/d/1z4Dlg9-vhzqicqIM3aOVAq9C7BiGYht1wlKwymUb1rs/edit#gid=2076411086"",""2026-27!A3"")"),124.0)</f>
        <v>124</v>
      </c>
      <c r="L165" s="61">
        <f>IFERROR(__xludf.DUMMYFUNCTION("IMPORTRANGE(""https://docs.google.com/spreadsheets/d/1z4Dlg9-vhzqicqIM3aOVAq9C7BiGYht1wlKwymUb1rs/edit#gid=2076411086"",""2026-27!G4"")"),0.0)</f>
        <v>0</v>
      </c>
      <c r="M165" s="61">
        <f t="shared" si="144"/>
        <v>0</v>
      </c>
      <c r="N165" s="60" t="str">
        <f t="shared" si="145"/>
        <v/>
      </c>
      <c r="O165" s="61">
        <f t="shared" si="146"/>
        <v>0</v>
      </c>
      <c r="P165" s="59">
        <f>IFERROR(__xludf.DUMMYFUNCTION("IMPORTRANGE(""https://docs.google.com/spreadsheets/d/1z4Dlg9-vhzqicqIM3aOVAq9C7BiGYht1wlKwymUb1rs/edit#gid=2076411086"",""2026-27!J4"")"),0.0)</f>
        <v>0</v>
      </c>
      <c r="Q165" s="59">
        <f>IFERROR(__xludf.DUMMYFUNCTION("IMPORTRANGE(""https://docs.google.com/spreadsheets/d/1z4Dlg9-vhzqicqIM3aOVAq9C7BiGYht1wlKwymUb1rs/edit#gid=2076411086"",""2026-27!J3"")"),0.0)</f>
        <v>0</v>
      </c>
      <c r="R165" s="59">
        <f>IFERROR(__xludf.DUMMYFUNCTION("IMPORTRANGE(""https://docs.google.com/spreadsheets/d/1z4Dlg9-vhzqicqIM3aOVAq9C7BiGYht1wlKwymUb1rs/edit#gid=2076411086"",""2026-27!K4"")"),0.0)</f>
        <v>0</v>
      </c>
      <c r="S165" s="59">
        <f>IFERROR(__xludf.DUMMYFUNCTION("IMPORTRANGE(""https://docs.google.com/spreadsheets/d/1z4Dlg9-vhzqicqIM3aOVAq9C7BiGYht1wlKwymUb1rs/edit#gid=2076411086"",""2026-27!K3"")"),0.0)</f>
        <v>0</v>
      </c>
      <c r="T165" s="62" t="str">
        <f t="shared" si="147"/>
        <v/>
      </c>
      <c r="U165" s="59">
        <f>IFERROR(__xludf.DUMMYFUNCTION("IMPORTRANGE(""https://docs.google.com/spreadsheets/d/1z4Dlg9-vhzqicqIM3aOVAq9C7BiGYht1wlKwymUb1rs/edit#gid=2076411086"",""2026-27!L4"")"),0.0)</f>
        <v>0</v>
      </c>
      <c r="V165" s="85">
        <f>IFERROR(__xludf.DUMMYFUNCTION("IMPORTRANGE(""https://docs.google.com/spreadsheets/d/1z4Dlg9-vhzqicqIM3aOVAq9C7BiGYht1wlKwymUb1rs/edit#gid=2076411086"",""2026-27!L3"")"),0.0)</f>
        <v>0</v>
      </c>
      <c r="W165" s="59">
        <f>IFERROR(__xludf.DUMMYFUNCTION("IMPORTRANGE(""https://docs.google.com/spreadsheets/d/1z4Dlg9-vhzqicqIM3aOVAq9C7BiGYht1wlKwymUb1rs/edit#gid=2076411086"",""2026-27!M4"")"),0.0)</f>
        <v>0</v>
      </c>
      <c r="X165" s="85">
        <f>IFERROR(__xludf.DUMMYFUNCTION("IMPORTRANGE(""https://docs.google.com/spreadsheets/d/1z4Dlg9-vhzqicqIM3aOVAq9C7BiGYht1wlKwymUb1rs/edit#gid=2076411086"",""2026-27!M3"")"),0.0)</f>
        <v>0</v>
      </c>
      <c r="Y165" s="59">
        <f>IFERROR(__xludf.DUMMYFUNCTION("importrange(""https://docs.google.com/spreadsheets/d/1z4Dlg9-vhzqicqIM3aOVAq9C7BiGYht1wlKwymUb1rs/edit#gid=2076411086"",""2026-27!n4"")"),0.0)</f>
        <v>0</v>
      </c>
      <c r="Z165" s="59">
        <f>IFERROR(__xludf.DUMMYFUNCTION("importrange(""https://docs.google.com/spreadsheets/d/1z4Dlg9-vhzqicqIM3aOVAq9C7BiGYht1wlKwymUb1rs/edit#gid=2076411086"",""2026-27!n3"")"),0.0)</f>
        <v>0</v>
      </c>
      <c r="AA165" s="62" t="str">
        <f t="shared" si="148"/>
        <v/>
      </c>
      <c r="AB165" s="59">
        <f>IFERROR(__xludf.DUMMYFUNCTION("importrange(""https://docs.google.com/spreadsheets/d/1z4Dlg9-vhzqicqIM3aOVAq9C7BiGYht1wlKwymUb1rs/edit#gid=2076411086"",""2026-27!o4"")"),0.0)</f>
        <v>0</v>
      </c>
      <c r="AC165" s="59">
        <f>IFERROR(__xludf.DUMMYFUNCTION("importrange(""https://docs.google.com/spreadsheets/d/1z4Dlg9-vhzqicqIM3aOVAq9C7BiGYht1wlKwymUb1rs/edit#gid=2076411086"",""2026-27!o3"")"),0.0)</f>
        <v>0</v>
      </c>
      <c r="AD165" s="59">
        <f>IFERROR(__xludf.DUMMYFUNCTION("importrange(""https://docs.google.com/spreadsheets/d/1z4Dlg9-vhzqicqIM3aOVAq9C7BiGYht1wlKwymUb1rs/edit#gid=2076411086"",""2026-27!p4"")"),0.0)</f>
        <v>0</v>
      </c>
      <c r="AE165" s="59">
        <f>IFERROR(__xludf.DUMMYFUNCTION("importrange(""https://docs.google.com/spreadsheets/d/1z4Dlg9-vhzqicqIM3aOVAq9C7BiGYht1wlKwymUb1rs/edit#gid=2076411086"",""2026-27!p3"")"),0.0)</f>
        <v>0</v>
      </c>
      <c r="AF165" s="59">
        <f>IFERROR(__xludf.DUMMYFUNCTION("importrange(""https://docs.google.com/spreadsheets/d/1z4Dlg9-vhzqicqIM3aOVAq9C7BiGYht1wlKwymUb1rs/edit#gid=2076411086"",""2026-27!q4"")"),0.0)</f>
        <v>0</v>
      </c>
      <c r="AG165" s="59">
        <f>IFERROR(__xludf.DUMMYFUNCTION("importrange(""https://docs.google.com/spreadsheets/d/1z4Dlg9-vhzqicqIM3aOVAq9C7BiGYht1wlKwymUb1rs/edit#gid=2076411086"",""2026-27!q3"")"),0.0)</f>
        <v>0</v>
      </c>
      <c r="AH165" s="62" t="str">
        <f t="shared" si="149"/>
        <v/>
      </c>
      <c r="AI165" s="59">
        <f>IFERROR(__xludf.DUMMYFUNCTION("importrange(""https://docs.google.com/spreadsheets/d/1z4Dlg9-vhzqicqIM3aOVAq9C7BiGYht1wlKwymUb1rs/edit#gid=2076411086"",""2026-27!r4"")"),0.0)</f>
        <v>0</v>
      </c>
      <c r="AJ165" s="59">
        <f>IFERROR(__xludf.DUMMYFUNCTION("importrange(""https://docs.google.com/spreadsheets/d/1z4Dlg9-vhzqicqIM3aOVAq9C7BiGYht1wlKwymUb1rs/edit#gid=2076411086"",""2026-27!r3"")"),0.0)</f>
        <v>0</v>
      </c>
      <c r="AK165" s="59">
        <f>IFERROR(__xludf.DUMMYFUNCTION("importrange(""https://docs.google.com/spreadsheets/d/1z4Dlg9-vhzqicqIM3aOVAq9C7BiGYht1wlKwymUb1rs/edit#gid=2076411086"",""2026-27!s4"")"),0.0)</f>
        <v>0</v>
      </c>
      <c r="AL165" s="59">
        <f>IFERROR(__xludf.DUMMYFUNCTION("importrange(""https://docs.google.com/spreadsheets/d/1z4Dlg9-vhzqicqIM3aOVAq9C7BiGYht1wlKwymUb1rs/edit#gid=2076411086"",""2026-27!s3"")"),0.0)</f>
        <v>0</v>
      </c>
      <c r="AM165" s="61">
        <f>IFERROR(__xludf.DUMMYFUNCTION("importrange(""https://docs.google.com/spreadsheets/d/1z4Dlg9-vhzqicqIM3aOVAq9C7BiGYht1wlKwymUb1rs/edit#gid=2076411086"",""2026-27!t4"")"),0.0)</f>
        <v>0</v>
      </c>
      <c r="AN165" s="59">
        <f>IFERROR(__xludf.DUMMYFUNCTION("importrange(""https://docs.google.com/spreadsheets/d/1z4Dlg9-vhzqicqIM3aOVAq9C7BiGYht1wlKwymUb1rs/edit#gid=2076411086"",""2026-27!t3"")"),0.0)</f>
        <v>0</v>
      </c>
      <c r="AO165" s="62" t="str">
        <f t="shared" si="150"/>
        <v/>
      </c>
      <c r="AP165" s="59">
        <f>IFERROR(__xludf.DUMMYFUNCTION("importrange(""https://docs.google.com/spreadsheets/d/1z4Dlg9-vhzqicqIM3aOVAq9C7BiGYht1wlKwymUb1rs/edit#gid=2076411086"",""2026-27!u4"")"),0.0)</f>
        <v>0</v>
      </c>
      <c r="AQ165" s="59">
        <f>IFERROR(__xludf.DUMMYFUNCTION("importrange(""https://docs.google.com/spreadsheets/d/1z4Dlg9-vhzqicqIM3aOVAq9C7BiGYht1wlKwymUb1rs/edit#gid=2076411086"",""2026-27!u3"")"),0.0)</f>
        <v>0</v>
      </c>
      <c r="AR165" s="59">
        <f>IFERROR(__xludf.DUMMYFUNCTION("importrange(""https://docs.google.com/spreadsheets/d/1z4Dlg9-vhzqicqIM3aOVAq9C7BiGYht1wlKwymUb1rs/edit#gid=2076411086"",""2026-27!v4"")"),0.0)</f>
        <v>0</v>
      </c>
      <c r="AS165" s="59">
        <f>IFERROR(__xludf.DUMMYFUNCTION("importrange(""https://docs.google.com/spreadsheets/d/1z4Dlg9-vhzqicqIM3aOVAq9C7BiGYht1wlKwymUb1rs/edit#gid=2076411086"",""2026-27!v3"")"),0.0)</f>
        <v>0</v>
      </c>
      <c r="AT165" s="61">
        <f>IFERROR(__xludf.DUMMYFUNCTION("importrange(""https://docs.google.com/spreadsheets/d/1z4Dlg9-vhzqicqIM3aOVAq9C7BiGYht1wlKwymUb1rs/edit#gid=2076411086"",""2026-27!w4"")"),0.0)</f>
        <v>0</v>
      </c>
      <c r="AU165" s="59">
        <f>IFERROR(__xludf.DUMMYFUNCTION("importrange(""https://docs.google.com/spreadsheets/d/1z4Dlg9-vhzqicqIM3aOVAq9C7BiGYht1wlKwymUb1rs/edit#gid=2076411086"",""2026-27!w3"")"),0.0)</f>
        <v>0</v>
      </c>
      <c r="AV165" s="62" t="str">
        <f t="shared" si="151"/>
        <v/>
      </c>
      <c r="AW165" s="59">
        <f>IFERROR(__xludf.DUMMYFUNCTION("importrange(""https://docs.google.com/spreadsheets/d/1z4Dlg9-vhzqicqIM3aOVAq9C7BiGYht1wlKwymUb1rs/edit#gid=2076411086"",""2026-27!x4"")"),0.0)</f>
        <v>0</v>
      </c>
      <c r="AX165" s="59">
        <f>IFERROR(__xludf.DUMMYFUNCTION("importrange(""https://docs.google.com/spreadsheets/d/1z4Dlg9-vhzqicqIM3aOVAq9C7BiGYht1wlKwymUb1rs/edit#gid=2076411086"",""2026-27!x3"")"),0.0)</f>
        <v>0</v>
      </c>
      <c r="AY165" s="59">
        <f>IFERROR(__xludf.DUMMYFUNCTION("importrange(""https://docs.google.com/spreadsheets/d/1z4Dlg9-vhzqicqIM3aOVAq9C7BiGYht1wlKwymUb1rs/edit#gid=2076411086"",""2026-27!y4"")"),0.0)</f>
        <v>0</v>
      </c>
      <c r="AZ165" s="59">
        <f>IFERROR(__xludf.DUMMYFUNCTION("importrange(""https://docs.google.com/spreadsheets/d/1z4Dlg9-vhzqicqIM3aOVAq9C7BiGYht1wlKwymUb1rs/edit#gid=2076411086"",""2026-27!y3"")"),0.0)</f>
        <v>0</v>
      </c>
      <c r="BA165" s="61">
        <f>IFERROR(__xludf.DUMMYFUNCTION("importrange(""https://docs.google.com/spreadsheets/d/1z4Dlg9-vhzqicqIM3aOVAq9C7BiGYht1wlKwymUb1rs/edit#gid=2076411086"",""2026-27!z4"")"),0.0)</f>
        <v>0</v>
      </c>
      <c r="BB165" s="59">
        <f>IFERROR(__xludf.DUMMYFUNCTION("importrange(""https://docs.google.com/spreadsheets/d/1z4Dlg9-vhzqicqIM3aOVAq9C7BiGYht1wlKwymUb1rs/edit#gid=2076411086"",""2026-27!z3"")"),0.0)</f>
        <v>0</v>
      </c>
      <c r="BC165" s="63" t="str">
        <f t="shared" si="152"/>
        <v/>
      </c>
      <c r="BD165" s="59">
        <f>IFERROR(__xludf.DUMMYFUNCTION("importrange(""https://docs.google.com/spreadsheets/d/1z4Dlg9-vhzqicqIM3aOVAq9C7BiGYht1wlKwymUb1rs/edit#gid=2076411086"",""2026-27!aa4"")"),0.0)</f>
        <v>0</v>
      </c>
      <c r="BE165" s="59">
        <f>IFERROR(__xludf.DUMMYFUNCTION("importrange(""https://docs.google.com/spreadsheets/d/1z4Dlg9-vhzqicqIM3aOVAq9C7BiGYht1wlKwymUb1rs/edit#gid=2076411086"",""2026-27!aa3"")"),0.0)</f>
        <v>0</v>
      </c>
      <c r="BF165" s="59">
        <f>IFERROR(__xludf.DUMMYFUNCTION("importrange(""https://docs.google.com/spreadsheets/d/1z4Dlg9-vhzqicqIM3aOVAq9C7BiGYht1wlKwymUb1rs/edit#gid=2076411086"",""2026-27!ab4"")"),0.0)</f>
        <v>0</v>
      </c>
      <c r="BG165" s="59">
        <f>IFERROR(__xludf.DUMMYFUNCTION("importrange(""https://docs.google.com/spreadsheets/d/1z4Dlg9-vhzqicqIM3aOVAq9C7BiGYht1wlKwymUb1rs/edit#gid=2076411086"",""2026-27!ab3"")"),0.0)</f>
        <v>0</v>
      </c>
      <c r="BH165" s="59">
        <f>IFERROR(__xludf.DUMMYFUNCTION("importrange(""https://docs.google.com/spreadsheets/d/1z4Dlg9-vhzqicqIM3aOVAq9C7BiGYht1wlKwymUb1rs/edit#gid=2076411086"",""2026-27!ac4"")"),0.0)</f>
        <v>0</v>
      </c>
      <c r="BI165" s="59">
        <f>IFERROR(__xludf.DUMMYFUNCTION("importrange(""https://docs.google.com/spreadsheets/d/1z4Dlg9-vhzqicqIM3aOVAq9C7BiGYht1wlKwymUb1rs/edit#gid=2076411086"",""2026-27!ac3"")"),0.0)</f>
        <v>0</v>
      </c>
      <c r="BJ165" s="63" t="str">
        <f t="shared" si="153"/>
        <v/>
      </c>
      <c r="BK165" s="59">
        <f>IFERROR(__xludf.DUMMYFUNCTION("importrange(""https://docs.google.com/spreadsheets/d/1z4Dlg9-vhzqicqIM3aOVAq9C7BiGYht1wlKwymUb1rs/edit#gid=2076411086"",""2026-27!ad4"")"),0.0)</f>
        <v>0</v>
      </c>
      <c r="BL165" s="59">
        <f>IFERROR(__xludf.DUMMYFUNCTION("importrange(""https://docs.google.com/spreadsheets/d/1z4Dlg9-vhzqicqIM3aOVAq9C7BiGYht1wlKwymUb1rs/edit#gid=2076411086"",""2026-27!ad3"")"),0.0)</f>
        <v>0</v>
      </c>
      <c r="BM165" s="59">
        <f>IFERROR(__xludf.DUMMYFUNCTION("importrange(""https://docs.google.com/spreadsheets/d/1z4Dlg9-vhzqicqIM3aOVAq9C7BiGYht1wlKwymUb1rs/edit#gid=2076411086"",""2026-27!ae4"")"),0.0)</f>
        <v>0</v>
      </c>
      <c r="BN165" s="59">
        <f>IFERROR(__xludf.DUMMYFUNCTION("importrange(""https://docs.google.com/spreadsheets/d/1z4Dlg9-vhzqicqIM3aOVAq9C7BiGYht1wlKwymUb1rs/edit#gid=2076411086"",""2026-27!ae3"")"),0.0)</f>
        <v>0</v>
      </c>
      <c r="BO165" s="59">
        <f>IFERROR(__xludf.DUMMYFUNCTION("importrange(""https://docs.google.com/spreadsheets/d/1z4Dlg9-vhzqicqIM3aOVAq9C7BiGYht1wlKwymUb1rs/edit#gid=2076411086"",""2026-27!af4"")"),0.0)</f>
        <v>0</v>
      </c>
      <c r="BP165" s="59">
        <f>IFERROR(__xludf.DUMMYFUNCTION("importrange(""https://docs.google.com/spreadsheets/d/1z4Dlg9-vhzqicqIM3aOVAq9C7BiGYht1wlKwymUb1rs/edit#gid=2076411086"",""2026-27!af3"")"),0.0)</f>
        <v>0</v>
      </c>
      <c r="BQ165" s="63" t="str">
        <f t="shared" si="154"/>
        <v/>
      </c>
      <c r="BR165" s="59">
        <f>IFERROR(__xludf.DUMMYFUNCTION("importrange(""https://docs.google.com/spreadsheets/d/1z4Dlg9-vhzqicqIM3aOVAq9C7BiGYht1wlKwymUb1rs/edit#gid=2076411086"",""2026-27!ag4"")"),0.0)</f>
        <v>0</v>
      </c>
      <c r="BS165" s="59">
        <f>IFERROR(__xludf.DUMMYFUNCTION("importrange(""https://docs.google.com/spreadsheets/d/1z4Dlg9-vhzqicqIM3aOVAq9C7BiGYht1wlKwymUb1rs/edit#gid=2076411086"",""2026-27!ag3"")"),0.0)</f>
        <v>0</v>
      </c>
      <c r="BT165" s="59">
        <f>IFERROR(__xludf.DUMMYFUNCTION("importrange(""https://docs.google.com/spreadsheets/d/1z4Dlg9-vhzqicqIM3aOVAq9C7BiGYht1wlKwymUb1rs/edit#gid=2076411086"",""2026-27!ah4"")"),0.0)</f>
        <v>0</v>
      </c>
      <c r="BU165" s="59">
        <f>IFERROR(__xludf.DUMMYFUNCTION("importrange(""https://docs.google.com/spreadsheets/d/1z4Dlg9-vhzqicqIM3aOVAq9C7BiGYht1wlKwymUb1rs/edit#gid=2076411086"",""2026-27!ah3"")"),0.0)</f>
        <v>0</v>
      </c>
      <c r="BV165" s="59">
        <f>IFERROR(__xludf.DUMMYFUNCTION("importrange(""https://docs.google.com/spreadsheets/d/1z4Dlg9-vhzqicqIM3aOVAq9C7BiGYht1wlKwymUb1rs/edit#gid=2076411086"",""2026-27!ai4"")"),0.0)</f>
        <v>0</v>
      </c>
      <c r="BW165" s="59">
        <f>IFERROR(__xludf.DUMMYFUNCTION("importrange(""https://docs.google.com/spreadsheets/d/1z4Dlg9-vhzqicqIM3aOVAq9C7BiGYht1wlKwymUb1rs/edit#gid=2076411086"",""2026-27!ai3"")"),0.0)</f>
        <v>0</v>
      </c>
      <c r="BX165" s="63" t="str">
        <f t="shared" si="155"/>
        <v/>
      </c>
      <c r="BY165" s="59">
        <f>IFERROR(__xludf.DUMMYFUNCTION("importrange(""https://docs.google.com/spreadsheets/d/1z4Dlg9-vhzqicqIM3aOVAq9C7BiGYht1wlKwymUb1rs/edit#gid=2076411086"",""2026-27!aj4"")"),0.0)</f>
        <v>0</v>
      </c>
      <c r="BZ165" s="59">
        <f>IFERROR(__xludf.DUMMYFUNCTION("importrange(""https://docs.google.com/spreadsheets/d/1z4Dlg9-vhzqicqIM3aOVAq9C7BiGYht1wlKwymUb1rs/edit#gid=2076411086"",""2026-27!aj3"")"),0.0)</f>
        <v>0</v>
      </c>
      <c r="CA165" s="59">
        <f>IFERROR(__xludf.DUMMYFUNCTION("importrange(""https://docs.google.com/spreadsheets/d/1z4Dlg9-vhzqicqIM3aOVAq9C7BiGYht1wlKwymUb1rs/edit#gid=2076411086"",""2026-27!ak4"")"),0.0)</f>
        <v>0</v>
      </c>
      <c r="CB165" s="59">
        <f>IFERROR(__xludf.DUMMYFUNCTION("importrange(""https://docs.google.com/spreadsheets/d/1z4Dlg9-vhzqicqIM3aOVAq9C7BiGYht1wlKwymUb1rs/edit#gid=2076411086"",""2026-27!ak3"")"),0.0)</f>
        <v>0</v>
      </c>
      <c r="CC165" s="59">
        <f>IFERROR(__xludf.DUMMYFUNCTION("importrange(""https://docs.google.com/spreadsheets/d/1z4Dlg9-vhzqicqIM3aOVAq9C7BiGYht1wlKwymUb1rs/edit#gid=2076411086"",""2026-27!al4"")"),0.0)</f>
        <v>0</v>
      </c>
      <c r="CD165" s="59">
        <f>IFERROR(__xludf.DUMMYFUNCTION("importrange(""https://docs.google.com/spreadsheets/d/1z4Dlg9-vhzqicqIM3aOVAq9C7BiGYht1wlKwymUb1rs/edit#gid=2076411086"",""2026-27!ai3"")"),0.0)</f>
        <v>0</v>
      </c>
      <c r="CE165" s="63" t="str">
        <f t="shared" si="156"/>
        <v/>
      </c>
      <c r="CF165" s="59">
        <f>IFERROR(__xludf.DUMMYFUNCTION("importrange(""https://docs.google.com/spreadsheets/d/1z4Dlg9-vhzqicqIM3aOVAq9C7BiGYht1wlKwymUb1rs/edit#gid=2076411086"",""2026-27!am4"")"),0.0)</f>
        <v>0</v>
      </c>
      <c r="CG165" s="59">
        <f>IFERROR(__xludf.DUMMYFUNCTION("importrange(""https://docs.google.com/spreadsheets/d/1z4Dlg9-vhzqicqIM3aOVAq9C7BiGYht1wlKwymUb1rs/edit#gid=2076411086"",""2026-27!am3"")"),0.0)</f>
        <v>0</v>
      </c>
      <c r="CH165" s="59">
        <f>IFERROR(__xludf.DUMMYFUNCTION("importrange(""https://docs.google.com/spreadsheets/d/1z4Dlg9-vhzqicqIM3aOVAq9C7BiGYht1wlKwymUb1rs/edit#gid=2076411086"",""2026-27!an4"")"),0.0)</f>
        <v>0</v>
      </c>
      <c r="CI165" s="59">
        <f>IFERROR(__xludf.DUMMYFUNCTION("importrange(""https://docs.google.com/spreadsheets/d/1z4Dlg9-vhzqicqIM3aOVAq9C7BiGYht1wlKwymUb1rs/edit#gid=2076411086"",""2026-27!an3"")"),0.0)</f>
        <v>0</v>
      </c>
      <c r="CJ165" s="59">
        <f>IFERROR(__xludf.DUMMYFUNCTION("importrange(""https://docs.google.com/spreadsheets/d/1z4Dlg9-vhzqicqIM3aOVAq9C7BiGYht1wlKwymUb1rs/edit#gid=2076411086"",""2026-27!ao4"")"),0.0)</f>
        <v>0</v>
      </c>
      <c r="CK165" s="59">
        <f>IFERROR(__xludf.DUMMYFUNCTION("importrange(""https://docs.google.com/spreadsheets/d/1z4Dlg9-vhzqicqIM3aOVAq9C7BiGYht1wlKwymUb1rs/edit#gid=2076411086"",""2026-27!ao3"")"),0.0)</f>
        <v>0</v>
      </c>
      <c r="CL165" s="63" t="str">
        <f t="shared" si="157"/>
        <v/>
      </c>
      <c r="CM165" s="59">
        <f>IFERROR(__xludf.DUMMYFUNCTION("importrange(""https://docs.google.com/spreadsheets/d/1z4Dlg9-vhzqicqIM3aOVAq9C7BiGYht1wlKwymUb1rs/edit#gid=2076411086"",""2026-27!ap4"")"),0.0)</f>
        <v>0</v>
      </c>
      <c r="CN165" s="59">
        <f>IFERROR(__xludf.DUMMYFUNCTION("importrange(""https://docs.google.com/spreadsheets/d/1z4Dlg9-vhzqicqIM3aOVAq9C7BiGYht1wlKwymUb1rs/edit#gid=2076411086"",""2026-27!ap3"")"),0.0)</f>
        <v>0</v>
      </c>
      <c r="CO165" s="59">
        <f>IFERROR(__xludf.DUMMYFUNCTION("importrange(""https://docs.google.com/spreadsheets/d/1z4Dlg9-vhzqicqIM3aOVAq9C7BiGYht1wlKwymUb1rs/edit#gid=2076411086"",""2026-27!aq4"")"),0.0)</f>
        <v>0</v>
      </c>
      <c r="CP165" s="59">
        <f>IFERROR(__xludf.DUMMYFUNCTION("importrange(""https://docs.google.com/spreadsheets/d/1z4Dlg9-vhzqicqIM3aOVAq9C7BiGYht1wlKwymUb1rs/edit#gid=2076411086"",""2026-27!aq3"")"),0.0)</f>
        <v>0</v>
      </c>
      <c r="CQ165" s="59">
        <f>IFERROR(__xludf.DUMMYFUNCTION("importrange(""https://docs.google.com/spreadsheets/d/1z4Dlg9-vhzqicqIM3aOVAq9C7BiGYht1wlKwymUb1rs/edit#gid=2076411086"",""2026-27!ar4"")"),0.0)</f>
        <v>0</v>
      </c>
      <c r="CR165" s="59">
        <f>IFERROR(__xludf.DUMMYFUNCTION("importrange(""https://docs.google.com/spreadsheets/d/1z4Dlg9-vhzqicqIM3aOVAq9C7BiGYht1wlKwymUb1rs/edit#gid=2076411086"",""2026-27!ar3"")"),0.0)</f>
        <v>0</v>
      </c>
      <c r="CS165" s="63" t="str">
        <f t="shared" si="158"/>
        <v/>
      </c>
      <c r="CT165" s="59">
        <f>IFERROR(__xludf.DUMMYFUNCTION("importrange(""https://docs.google.com/spreadsheets/d/1z4Dlg9-vhzqicqIM3aOVAq9C7BiGYht1wlKwymUb1rs/edit#gid=2076411086"",""2026-27!as4"")"),0.0)</f>
        <v>0</v>
      </c>
      <c r="CU165" s="59">
        <f>IFERROR(__xludf.DUMMYFUNCTION("importrange(""https://docs.google.com/spreadsheets/d/1z4Dlg9-vhzqicqIM3aOVAq9C7BiGYht1wlKwymUb1rs/edit#gid=2076411086"",""2026-27!as3"")"),0.0)</f>
        <v>0</v>
      </c>
      <c r="CV165" s="64"/>
    </row>
    <row r="166">
      <c r="A166" s="1" t="s">
        <v>160</v>
      </c>
      <c r="B166" s="155" t="s">
        <v>160</v>
      </c>
      <c r="C166" s="157" t="s">
        <v>315</v>
      </c>
      <c r="D166" s="69" t="s">
        <v>316</v>
      </c>
      <c r="E166" s="72">
        <v>8.972296292E9</v>
      </c>
      <c r="F166" s="84">
        <v>46101.0</v>
      </c>
      <c r="G166" s="5"/>
      <c r="H166" s="5"/>
      <c r="I166" s="74">
        <v>36715.0</v>
      </c>
      <c r="J166" s="58"/>
      <c r="K166" s="61">
        <f>IFERROR(__xludf.DUMMYFUNCTION("IMPORTRANGE(""https://docs.google.com/spreadsheets/d/1j5_2sIBZP_RUoPnKOu_65lvVzVUeZs1BujRIxLnqEss/edit?gid=618607627#gid=618607627"",""2026-27!A3"")"),49.0)</f>
        <v>49</v>
      </c>
      <c r="L166" s="61">
        <f>IFERROR(__xludf.DUMMYFUNCTION("IMPORTRANGE(""https://docs.google.com/spreadsheets/d/1j5_2sIBZP_RUoPnKOu_65lvVzVUeZs1BujRIxLnqEss/edit?gid=618607627#gid=618607627"",""2026-27!G4"")"),0.0)</f>
        <v>0</v>
      </c>
      <c r="M166" s="61">
        <f t="shared" si="144"/>
        <v>191064.32</v>
      </c>
      <c r="N166" s="60" t="str">
        <f t="shared" si="145"/>
        <v/>
      </c>
      <c r="O166" s="61">
        <f t="shared" si="146"/>
        <v>0</v>
      </c>
      <c r="P166" s="59">
        <f>IFERROR(__xludf.DUMMYFUNCTION("IMPORTRANGE(""https://docs.google.com/spreadsheets/d/1j5_2sIBZP_RUoPnKOu_65lvVzVUeZs1BujRIxLnqEss/edit?gid=618607627#gid=618607627"",""2026-27!J4"")"),0.0)</f>
        <v>0</v>
      </c>
      <c r="Q166" s="59">
        <f>IFERROR(__xludf.DUMMYFUNCTION("IMPORTRANGE(""https://docs.google.com/spreadsheets/d/1j5_2sIBZP_RUoPnKOu_65lvVzVUeZs1BujRIxLnqEss/edit?gid=618607627#gid=618607627"",""2026-27!J3"")"),0.0)</f>
        <v>0</v>
      </c>
      <c r="R166" s="59">
        <f>IFERROR(__xludf.DUMMYFUNCTION("IMPORTRANGE(""https://docs.google.com/spreadsheets/d/1j5_2sIBZP_RUoPnKOu_65lvVzVUeZs1BujRIxLnqEss/edit?gid=618607627#gid=618607627"",""2026-27!K4"")"),191064.32)</f>
        <v>191064.32</v>
      </c>
      <c r="S166" s="59">
        <f>IFERROR(__xludf.DUMMYFUNCTION("IMPORTRANGE(""https://docs.google.com/spreadsheets/d/1j5_2sIBZP_RUoPnKOu_65lvVzVUeZs1BujRIxLnqEss/edit?gid=618607627#gid=618607627"",""2026-27!K3"")"),5.0)</f>
        <v>5</v>
      </c>
      <c r="T166" s="62" t="str">
        <f t="shared" si="147"/>
        <v/>
      </c>
      <c r="U166" s="59">
        <f>IFERROR(__xludf.DUMMYFUNCTION("IMPORTRANGE(""https://docs.google.com/spreadsheets/d/1j5_2sIBZP_RUoPnKOu_65lvVzVUeZs1BujRIxLnqEss/edit?gid=618607627#gid=618607627"",""2026-27!L4"")"),0.0)</f>
        <v>0</v>
      </c>
      <c r="V166" s="85">
        <f>IFERROR(__xludf.DUMMYFUNCTION("IMPORTRANGE(""https://docs.google.com/spreadsheets/d/1j5_2sIBZP_RUoPnKOu_65lvVzVUeZs1BujRIxLnqEss/edit?gid=618607627#gid=618607627"",""2026-27!L3"")"),0.0)</f>
        <v>0</v>
      </c>
      <c r="W166" s="59">
        <f>IFERROR(__xludf.DUMMYFUNCTION("IMPORTRANGE(""https://docs.google.com/spreadsheets/d/1j5_2sIBZP_RUoPnKOu_65lvVzVUeZs1BujRIxLnqEss/edit?gid=618607627#gid=618607627"",""2026-27!M4"")"),0.0)</f>
        <v>0</v>
      </c>
      <c r="X166" s="85">
        <f>IFERROR(__xludf.DUMMYFUNCTION("IMPORTRANGE(""https://docs.google.com/spreadsheets/d/1j5_2sIBZP_RUoPnKOu_65lvVzVUeZs1BujRIxLnqEss/edit?gid=618607627#gid=618607627"",""2026-27!M3"")"),0.0)</f>
        <v>0</v>
      </c>
      <c r="Y166" s="59">
        <f>IFERROR(__xludf.DUMMYFUNCTION("importrange(""https://docs.google.com/spreadsheets/d/1j5_2sIBZP_RUoPnKOu_65lvVzVUeZs1BujRIxLnqEss/edit?gid=618607627#gid=618607627"",""2026-27!n4"")"),0.0)</f>
        <v>0</v>
      </c>
      <c r="Z166" s="59">
        <f>IFERROR(__xludf.DUMMYFUNCTION("importrange(""https://docs.google.com/spreadsheets/d/1j5_2sIBZP_RUoPnKOu_65lvVzVUeZs1BujRIxLnqEss/edit?gid=618607627#gid=618607627"",""2026-27!n3"")"),0.0)</f>
        <v>0</v>
      </c>
      <c r="AA166" s="62" t="str">
        <f t="shared" si="148"/>
        <v/>
      </c>
      <c r="AB166" s="59">
        <f>IFERROR(__xludf.DUMMYFUNCTION("importrange(""https://docs.google.com/spreadsheets/d/1j5_2sIBZP_RUoPnKOu_65lvVzVUeZs1BujRIxLnqEss/edit?gid=618607627#gid=618607627"",""2026-27!o4"")"),0.0)</f>
        <v>0</v>
      </c>
      <c r="AC166" s="59">
        <f>IFERROR(__xludf.DUMMYFUNCTION("importrange(""https://docs.google.com/spreadsheets/d/1j5_2sIBZP_RUoPnKOu_65lvVzVUeZs1BujRIxLnqEss/edit?gid=618607627#gid=618607627"",""2026-27!o3"")"),0.0)</f>
        <v>0</v>
      </c>
      <c r="AD166" s="59">
        <f>IFERROR(__xludf.DUMMYFUNCTION("importrange(""https://docs.google.com/spreadsheets/d/1j5_2sIBZP_RUoPnKOu_65lvVzVUeZs1BujRIxLnqEss/edit?gid=618607627#gid=618607627"",""2026-27!p4"")"),0.0)</f>
        <v>0</v>
      </c>
      <c r="AE166" s="59">
        <f>IFERROR(__xludf.DUMMYFUNCTION("importrange(""https://docs.google.com/spreadsheets/d/1j5_2sIBZP_RUoPnKOu_65lvVzVUeZs1BujRIxLnqEss/edit?gid=618607627#gid=618607627"",""2026-27!p3"")"),0.0)</f>
        <v>0</v>
      </c>
      <c r="AF166" s="59">
        <f>IFERROR(__xludf.DUMMYFUNCTION("importrange(""https://docs.google.com/spreadsheets/d/1j5_2sIBZP_RUoPnKOu_65lvVzVUeZs1BujRIxLnqEss/edit?gid=618607627#gid=618607627"",""2026-27!q4"")"),0.0)</f>
        <v>0</v>
      </c>
      <c r="AG166" s="59">
        <f>IFERROR(__xludf.DUMMYFUNCTION("importrange(""https://docs.google.com/spreadsheets/d/1j5_2sIBZP_RUoPnKOu_65lvVzVUeZs1BujRIxLnqEss/edit?gid=618607627#gid=618607627"",""2026-27!q3"")"),0.0)</f>
        <v>0</v>
      </c>
      <c r="AH166" s="62" t="str">
        <f t="shared" si="149"/>
        <v/>
      </c>
      <c r="AI166" s="59">
        <f>IFERROR(__xludf.DUMMYFUNCTION("importrange(""https://docs.google.com/spreadsheets/d/1j5_2sIBZP_RUoPnKOu_65lvVzVUeZs1BujRIxLnqEss/edit?gid=618607627#gid=618607627"",""2026-27!r4"")"),0.0)</f>
        <v>0</v>
      </c>
      <c r="AJ166" s="59">
        <f>IFERROR(__xludf.DUMMYFUNCTION("importrange(""https://docs.google.com/spreadsheets/d/1j5_2sIBZP_RUoPnKOu_65lvVzVUeZs1BujRIxLnqEss/edit?gid=618607627#gid=618607627"",""2026-27!r3"")"),0.0)</f>
        <v>0</v>
      </c>
      <c r="AK166" s="59">
        <f>IFERROR(__xludf.DUMMYFUNCTION("importrange(""https://docs.google.com/spreadsheets/d/1j5_2sIBZP_RUoPnKOu_65lvVzVUeZs1BujRIxLnqEss/edit?gid=618607627#gid=618607627"",""2026-27!s4"")"),0.0)</f>
        <v>0</v>
      </c>
      <c r="AL166" s="59">
        <f>IFERROR(__xludf.DUMMYFUNCTION("importrange(""https://docs.google.com/spreadsheets/d/1j5_2sIBZP_RUoPnKOu_65lvVzVUeZs1BujRIxLnqEss/edit?gid=618607627#gid=618607627"",""2026-27!s3"")"),0.0)</f>
        <v>0</v>
      </c>
      <c r="AM166" s="61">
        <f>IFERROR(__xludf.DUMMYFUNCTION("importrange(""https://docs.google.com/spreadsheets/d/1j5_2sIBZP_RUoPnKOu_65lvVzVUeZs1BujRIxLnqEss/edit?gid=618607627#gid=618607627"",""2026-27!t4"")"),0.0)</f>
        <v>0</v>
      </c>
      <c r="AN166" s="59">
        <f>IFERROR(__xludf.DUMMYFUNCTION("importrange(""https://docs.google.com/spreadsheets/d/1j5_2sIBZP_RUoPnKOu_65lvVzVUeZs1BujRIxLnqEss/edit?gid=618607627#gid=618607627"",""2026-27!t3"")"),0.0)</f>
        <v>0</v>
      </c>
      <c r="AO166" s="62" t="str">
        <f t="shared" si="150"/>
        <v/>
      </c>
      <c r="AP166" s="59">
        <f>IFERROR(__xludf.DUMMYFUNCTION("importrange(""https://docs.google.com/spreadsheets/d/1j5_2sIBZP_RUoPnKOu_65lvVzVUeZs1BujRIxLnqEss/edit?gid=618607627#gid=618607627"",""2026-27!u4"")"),0.0)</f>
        <v>0</v>
      </c>
      <c r="AQ166" s="59">
        <f>IFERROR(__xludf.DUMMYFUNCTION("importrange(""https://docs.google.com/spreadsheets/d/1j5_2sIBZP_RUoPnKOu_65lvVzVUeZs1BujRIxLnqEss/edit?gid=618607627#gid=618607627"",""2026-27!u3"")"),0.0)</f>
        <v>0</v>
      </c>
      <c r="AR166" s="59">
        <f>IFERROR(__xludf.DUMMYFUNCTION("importrange(""https://docs.google.com/spreadsheets/d/1j5_2sIBZP_RUoPnKOu_65lvVzVUeZs1BujRIxLnqEss/edit?gid=618607627#gid=618607627"",""2026-27!v4"")"),0.0)</f>
        <v>0</v>
      </c>
      <c r="AS166" s="59">
        <f>IFERROR(__xludf.DUMMYFUNCTION("importrange(""https://docs.google.com/spreadsheets/d/1j5_2sIBZP_RUoPnKOu_65lvVzVUeZs1BujRIxLnqEss/edit?gid=618607627#gid=618607627"",""2026-27!v3"")"),0.0)</f>
        <v>0</v>
      </c>
      <c r="AT166" s="61">
        <f>IFERROR(__xludf.DUMMYFUNCTION("importrange(""https://docs.google.com/spreadsheets/d/1j5_2sIBZP_RUoPnKOu_65lvVzVUeZs1BujRIxLnqEss/edit?gid=618607627#gid=618607627"",""2026-27!w4"")"),0.0)</f>
        <v>0</v>
      </c>
      <c r="AU166" s="59">
        <f>IFERROR(__xludf.DUMMYFUNCTION("importrange(""https://docs.google.com/spreadsheets/d/1j5_2sIBZP_RUoPnKOu_65lvVzVUeZs1BujRIxLnqEss/edit?gid=618607627#gid=618607627"",""2026-27!w3"")"),0.0)</f>
        <v>0</v>
      </c>
      <c r="AV166" s="62" t="str">
        <f t="shared" si="151"/>
        <v/>
      </c>
      <c r="AW166" s="59">
        <f>IFERROR(__xludf.DUMMYFUNCTION("importrange(""https://docs.google.com/spreadsheets/d/1j5_2sIBZP_RUoPnKOu_65lvVzVUeZs1BujRIxLnqEss/edit?gid=618607627#gid=618607627"",""2026-27!x4"")"),0.0)</f>
        <v>0</v>
      </c>
      <c r="AX166" s="59">
        <f>IFERROR(__xludf.DUMMYFUNCTION("importrange(""https://docs.google.com/spreadsheets/d/1j5_2sIBZP_RUoPnKOu_65lvVzVUeZs1BujRIxLnqEss/edit?gid=618607627#gid=618607627"",""2026-27!x3"")"),0.0)</f>
        <v>0</v>
      </c>
      <c r="AY166" s="59">
        <f>IFERROR(__xludf.DUMMYFUNCTION("importrange(""https://docs.google.com/spreadsheets/d/1j5_2sIBZP_RUoPnKOu_65lvVzVUeZs1BujRIxLnqEss/edit?gid=618607627#gid=618607627"",""2026-27!y4"")"),0.0)</f>
        <v>0</v>
      </c>
      <c r="AZ166" s="59">
        <f>IFERROR(__xludf.DUMMYFUNCTION("importrange(""https://docs.google.com/spreadsheets/d/1j5_2sIBZP_RUoPnKOu_65lvVzVUeZs1BujRIxLnqEss/edit?gid=618607627#gid=618607627"",""2026-27!y3"")"),0.0)</f>
        <v>0</v>
      </c>
      <c r="BA166" s="61">
        <f>IFERROR(__xludf.DUMMYFUNCTION("importrange(""https://docs.google.com/spreadsheets/d/1j5_2sIBZP_RUoPnKOu_65lvVzVUeZs1BujRIxLnqEss/edit?gid=618607627#gid=618607627"",""2026-27!z4"")"),0.0)</f>
        <v>0</v>
      </c>
      <c r="BB166" s="59">
        <f>IFERROR(__xludf.DUMMYFUNCTION("importrange(""https://docs.google.com/spreadsheets/d/1j5_2sIBZP_RUoPnKOu_65lvVzVUeZs1BujRIxLnqEss/edit?gid=618607627#gid=618607627"",""2026-27!z3"")"),0.0)</f>
        <v>0</v>
      </c>
      <c r="BC166" s="63" t="str">
        <f t="shared" si="152"/>
        <v/>
      </c>
      <c r="BD166" s="59">
        <f>IFERROR(__xludf.DUMMYFUNCTION("importrange(""https://docs.google.com/spreadsheets/d/1j5_2sIBZP_RUoPnKOu_65lvVzVUeZs1BujRIxLnqEss/edit?gid=618607627#gid=618607627"",""2026-27!aa4"")"),0.0)</f>
        <v>0</v>
      </c>
      <c r="BE166" s="59">
        <f>IFERROR(__xludf.DUMMYFUNCTION("importrange(""https://docs.google.com/spreadsheets/d/1j5_2sIBZP_RUoPnKOu_65lvVzVUeZs1BujRIxLnqEss/edit?gid=618607627#gid=618607627"",""2026-27!aa3"")"),0.0)</f>
        <v>0</v>
      </c>
      <c r="BF166" s="59">
        <f>IFERROR(__xludf.DUMMYFUNCTION("importrange(""https://docs.google.com/spreadsheets/d/1j5_2sIBZP_RUoPnKOu_65lvVzVUeZs1BujRIxLnqEss/edit?gid=618607627#gid=618607627"",""2026-27!ab4"")"),0.0)</f>
        <v>0</v>
      </c>
      <c r="BG166" s="59">
        <f>IFERROR(__xludf.DUMMYFUNCTION("importrange(""https://docs.google.com/spreadsheets/d/1j5_2sIBZP_RUoPnKOu_65lvVzVUeZs1BujRIxLnqEss/edit?gid=618607627#gid=618607627"",""2026-27!ab3"")"),0.0)</f>
        <v>0</v>
      </c>
      <c r="BH166" s="59">
        <f>IFERROR(__xludf.DUMMYFUNCTION("importrange(""https://docs.google.com/spreadsheets/d/1j5_2sIBZP_RUoPnKOu_65lvVzVUeZs1BujRIxLnqEss/edit?gid=618607627#gid=618607627"",""2026-27!ac4"")"),0.0)</f>
        <v>0</v>
      </c>
      <c r="BI166" s="59">
        <f>IFERROR(__xludf.DUMMYFUNCTION("importrange(""https://docs.google.com/spreadsheets/d/1j5_2sIBZP_RUoPnKOu_65lvVzVUeZs1BujRIxLnqEss/edit?gid=618607627#gid=618607627"",""2026-27!ac3"")"),0.0)</f>
        <v>0</v>
      </c>
      <c r="BJ166" s="63" t="str">
        <f t="shared" si="153"/>
        <v/>
      </c>
      <c r="BK166" s="59">
        <f>IFERROR(__xludf.DUMMYFUNCTION("importrange(""https://docs.google.com/spreadsheets/d/1j5_2sIBZP_RUoPnKOu_65lvVzVUeZs1BujRIxLnqEss/edit?gid=618607627#gid=618607627"",""2026-27!ad4"")"),0.0)</f>
        <v>0</v>
      </c>
      <c r="BL166" s="59">
        <f>IFERROR(__xludf.DUMMYFUNCTION("importrange(""https://docs.google.com/spreadsheets/d/1j5_2sIBZP_RUoPnKOu_65lvVzVUeZs1BujRIxLnqEss/edit?gid=618607627#gid=618607627"",""2026-27!ad3"")"),0.0)</f>
        <v>0</v>
      </c>
      <c r="BM166" s="59">
        <f>IFERROR(__xludf.DUMMYFUNCTION("importrange(""https://docs.google.com/spreadsheets/d/1j5_2sIBZP_RUoPnKOu_65lvVzVUeZs1BujRIxLnqEss/edit?gid=618607627#gid=618607627"",""2026-27!ae4"")"),0.0)</f>
        <v>0</v>
      </c>
      <c r="BN166" s="59">
        <f>IFERROR(__xludf.DUMMYFUNCTION("importrange(""https://docs.google.com/spreadsheets/d/1j5_2sIBZP_RUoPnKOu_65lvVzVUeZs1BujRIxLnqEss/edit?gid=618607627#gid=618607627"",""2026-27!ae3"")"),0.0)</f>
        <v>0</v>
      </c>
      <c r="BO166" s="59">
        <f>IFERROR(__xludf.DUMMYFUNCTION("importrange(""https://docs.google.com/spreadsheets/d/1j5_2sIBZP_RUoPnKOu_65lvVzVUeZs1BujRIxLnqEss/edit?gid=618607627#gid=618607627"",""2026-27!af4"")"),0.0)</f>
        <v>0</v>
      </c>
      <c r="BP166" s="59">
        <f>IFERROR(__xludf.DUMMYFUNCTION("importrange(""https://docs.google.com/spreadsheets/d/1j5_2sIBZP_RUoPnKOu_65lvVzVUeZs1BujRIxLnqEss/edit?gid=618607627#gid=618607627"",""2026-27!af3"")"),0.0)</f>
        <v>0</v>
      </c>
      <c r="BQ166" s="63" t="str">
        <f t="shared" si="154"/>
        <v/>
      </c>
      <c r="BR166" s="59">
        <f>IFERROR(__xludf.DUMMYFUNCTION("importrange(""https://docs.google.com/spreadsheets/d/1j5_2sIBZP_RUoPnKOu_65lvVzVUeZs1BujRIxLnqEss/edit?gid=618607627#gid=618607627"",""2026-27!ag4"")"),0.0)</f>
        <v>0</v>
      </c>
      <c r="BS166" s="59">
        <f>IFERROR(__xludf.DUMMYFUNCTION("importrange(""https://docs.google.com/spreadsheets/d/1j5_2sIBZP_RUoPnKOu_65lvVzVUeZs1BujRIxLnqEss/edit?gid=618607627#gid=618607627"",""2026-27!ag3"")"),0.0)</f>
        <v>0</v>
      </c>
      <c r="BT166" s="59">
        <f>IFERROR(__xludf.DUMMYFUNCTION("importrange(""https://docs.google.com/spreadsheets/d/1j5_2sIBZP_RUoPnKOu_65lvVzVUeZs1BujRIxLnqEss/edit?gid=618607627#gid=618607627"",""2026-27!ah4"")"),0.0)</f>
        <v>0</v>
      </c>
      <c r="BU166" s="59">
        <f>IFERROR(__xludf.DUMMYFUNCTION("importrange(""https://docs.google.com/spreadsheets/d/1j5_2sIBZP_RUoPnKOu_65lvVzVUeZs1BujRIxLnqEss/edit?gid=618607627#gid=618607627"",""2026-27!ah3"")"),0.0)</f>
        <v>0</v>
      </c>
      <c r="BV166" s="59">
        <f>IFERROR(__xludf.DUMMYFUNCTION("importrange(""https://docs.google.com/spreadsheets/d/1j5_2sIBZP_RUoPnKOu_65lvVzVUeZs1BujRIxLnqEss/edit?gid=618607627#gid=618607627"",""2026-27!ai4"")"),0.0)</f>
        <v>0</v>
      </c>
      <c r="BW166" s="59">
        <f>IFERROR(__xludf.DUMMYFUNCTION("importrange(""https://docs.google.com/spreadsheets/d/1j5_2sIBZP_RUoPnKOu_65lvVzVUeZs1BujRIxLnqEss/edit?gid=618607627#gid=618607627"",""2026-27!ai3"")"),0.0)</f>
        <v>0</v>
      </c>
      <c r="BX166" s="63" t="str">
        <f t="shared" si="155"/>
        <v/>
      </c>
      <c r="BY166" s="59">
        <f>IFERROR(__xludf.DUMMYFUNCTION("importrange(""https://docs.google.com/spreadsheets/d/1j5_2sIBZP_RUoPnKOu_65lvVzVUeZs1BujRIxLnqEss/edit?gid=618607627#gid=618607627"",""2026-27!aj4"")"),0.0)</f>
        <v>0</v>
      </c>
      <c r="BZ166" s="59">
        <f>IFERROR(__xludf.DUMMYFUNCTION("importrange(""https://docs.google.com/spreadsheets/d/1j5_2sIBZP_RUoPnKOu_65lvVzVUeZs1BujRIxLnqEss/edit?gid=618607627#gid=618607627"",""2026-27!aj3"")"),0.0)</f>
        <v>0</v>
      </c>
      <c r="CA166" s="59">
        <f>IFERROR(__xludf.DUMMYFUNCTION("importrange(""https://docs.google.com/spreadsheets/d/1j5_2sIBZP_RUoPnKOu_65lvVzVUeZs1BujRIxLnqEss/edit?gid=618607627#gid=618607627"",""2026-27!ak4"")"),0.0)</f>
        <v>0</v>
      </c>
      <c r="CB166" s="59">
        <f>IFERROR(__xludf.DUMMYFUNCTION("importrange(""https://docs.google.com/spreadsheets/d/1j5_2sIBZP_RUoPnKOu_65lvVzVUeZs1BujRIxLnqEss/edit?gid=618607627#gid=618607627"",""2026-27!ak3"")"),0.0)</f>
        <v>0</v>
      </c>
      <c r="CC166" s="59">
        <f>IFERROR(__xludf.DUMMYFUNCTION("importrange(""https://docs.google.com/spreadsheets/d/1j5_2sIBZP_RUoPnKOu_65lvVzVUeZs1BujRIxLnqEss/edit?gid=618607627#gid=618607627"",""2026-27!al4"")"),0.0)</f>
        <v>0</v>
      </c>
      <c r="CD166" s="59">
        <f>IFERROR(__xludf.DUMMYFUNCTION("importrange(""https://docs.google.com/spreadsheets/d/1j5_2sIBZP_RUoPnKOu_65lvVzVUeZs1BujRIxLnqEss/edit?gid=618607627#gid=618607627"",""2026-27!ai3"")"),0.0)</f>
        <v>0</v>
      </c>
      <c r="CE166" s="63" t="str">
        <f t="shared" si="156"/>
        <v/>
      </c>
      <c r="CF166" s="59">
        <f>IFERROR(__xludf.DUMMYFUNCTION("importrange(""https://docs.google.com/spreadsheets/d/1j5_2sIBZP_RUoPnKOu_65lvVzVUeZs1BujRIxLnqEss/edit?gid=618607627#gid=618607627"",""2026-27!am4"")"),0.0)</f>
        <v>0</v>
      </c>
      <c r="CG166" s="59">
        <f>IFERROR(__xludf.DUMMYFUNCTION("importrange(""https://docs.google.com/spreadsheets/d/1j5_2sIBZP_RUoPnKOu_65lvVzVUeZs1BujRIxLnqEss/edit?gid=618607627#gid=618607627"",""2026-27!am3"")"),0.0)</f>
        <v>0</v>
      </c>
      <c r="CH166" s="59">
        <f>IFERROR(__xludf.DUMMYFUNCTION("importrange(""https://docs.google.com/spreadsheets/d/1j5_2sIBZP_RUoPnKOu_65lvVzVUeZs1BujRIxLnqEss/edit?gid=618607627#gid=618607627"",""2026-27!an4"")"),0.0)</f>
        <v>0</v>
      </c>
      <c r="CI166" s="59">
        <f>IFERROR(__xludf.DUMMYFUNCTION("importrange(""https://docs.google.com/spreadsheets/d/1j5_2sIBZP_RUoPnKOu_65lvVzVUeZs1BujRIxLnqEss/edit?gid=618607627#gid=618607627"",""2026-27!an3"")"),0.0)</f>
        <v>0</v>
      </c>
      <c r="CJ166" s="59">
        <f>IFERROR(__xludf.DUMMYFUNCTION("importrange(""https://docs.google.com/spreadsheets/d/1j5_2sIBZP_RUoPnKOu_65lvVzVUeZs1BujRIxLnqEss/edit?gid=618607627#gid=618607627"",""2026-27!ao4"")"),0.0)</f>
        <v>0</v>
      </c>
      <c r="CK166" s="59">
        <f>IFERROR(__xludf.DUMMYFUNCTION("importrange(""https://docs.google.com/spreadsheets/d/1j5_2sIBZP_RUoPnKOu_65lvVzVUeZs1BujRIxLnqEss/edit?gid=618607627#gid=618607627"",""2026-27!ao3"")"),0.0)</f>
        <v>0</v>
      </c>
      <c r="CL166" s="63" t="str">
        <f t="shared" si="157"/>
        <v/>
      </c>
      <c r="CM166" s="59">
        <f>IFERROR(__xludf.DUMMYFUNCTION("importrange(""https://docs.google.com/spreadsheets/d/1j5_2sIBZP_RUoPnKOu_65lvVzVUeZs1BujRIxLnqEss/edit?gid=618607627#gid=618607627"",""2026-27!ap4"")"),0.0)</f>
        <v>0</v>
      </c>
      <c r="CN166" s="59">
        <f>IFERROR(__xludf.DUMMYFUNCTION("importrange(""https://docs.google.com/spreadsheets/d/1j5_2sIBZP_RUoPnKOu_65lvVzVUeZs1BujRIxLnqEss/edit?gid=618607627#gid=618607627"",""2026-27!ap3"")"),0.0)</f>
        <v>0</v>
      </c>
      <c r="CO166" s="59">
        <f>IFERROR(__xludf.DUMMYFUNCTION("importrange(""https://docs.google.com/spreadsheets/d/1j5_2sIBZP_RUoPnKOu_65lvVzVUeZs1BujRIxLnqEss/edit?gid=618607627#gid=618607627"",""2026-27!aq4"")"),0.0)</f>
        <v>0</v>
      </c>
      <c r="CP166" s="59">
        <f>IFERROR(__xludf.DUMMYFUNCTION("importrange(""https://docs.google.com/spreadsheets/d/1j5_2sIBZP_RUoPnKOu_65lvVzVUeZs1BujRIxLnqEss/edit?gid=618607627#gid=618607627"",""2026-27!aq3"")"),0.0)</f>
        <v>0</v>
      </c>
      <c r="CQ166" s="59">
        <f>IFERROR(__xludf.DUMMYFUNCTION("importrange(""https://docs.google.com/spreadsheets/d/1j5_2sIBZP_RUoPnKOu_65lvVzVUeZs1BujRIxLnqEss/edit?gid=618607627#gid=618607627"",""2026-27!ar4"")"),0.0)</f>
        <v>0</v>
      </c>
      <c r="CR166" s="59">
        <f>IFERROR(__xludf.DUMMYFUNCTION("importrange(""https://docs.google.com/spreadsheets/d/1j5_2sIBZP_RUoPnKOu_65lvVzVUeZs1BujRIxLnqEss/edit?gid=618607627#gid=618607627"",""2026-27!ar3"")"),0.0)</f>
        <v>0</v>
      </c>
      <c r="CS166" s="63" t="str">
        <f t="shared" si="158"/>
        <v/>
      </c>
      <c r="CT166" s="59">
        <f>IFERROR(__xludf.DUMMYFUNCTION("importrange(""https://docs.google.com/spreadsheets/d/1j5_2sIBZP_RUoPnKOu_65lvVzVUeZs1BujRIxLnqEss/edit?gid=618607627#gid=618607627"",""2026-27!as4"")"),0.0)</f>
        <v>0</v>
      </c>
      <c r="CU166" s="59">
        <f>IFERROR(__xludf.DUMMYFUNCTION("importrange(""https://docs.google.com/spreadsheets/d/1j5_2sIBZP_RUoPnKOu_65lvVzVUeZs1BujRIxLnqEss/edit?gid=618607627#gid=618607627"",""2026-27!as3"")"),0.0)</f>
        <v>0</v>
      </c>
      <c r="CV166" s="64"/>
    </row>
    <row r="167">
      <c r="A167" s="1" t="s">
        <v>72</v>
      </c>
      <c r="B167" s="155" t="s">
        <v>317</v>
      </c>
      <c r="C167" s="158" t="s">
        <v>318</v>
      </c>
      <c r="D167" s="93" t="s">
        <v>319</v>
      </c>
      <c r="E167" s="54">
        <v>9.205287026E9</v>
      </c>
      <c r="F167" s="55">
        <v>43557.0</v>
      </c>
      <c r="G167" s="92"/>
      <c r="H167" s="92"/>
      <c r="I167" s="57">
        <v>54510.0</v>
      </c>
      <c r="J167" s="58"/>
      <c r="K167" s="59">
        <f>IFERROR(__xludf.DUMMYFUNCTION("IMPORTRANGE(""1_TT4RnsAZgXuAbklftUgfeSBolGqHFrqm00ibq315zk"",""2026-27!A3"")"),117.0)</f>
        <v>117</v>
      </c>
      <c r="L167" s="59">
        <f>IFERROR(__xludf.DUMMYFUNCTION("IMPORTRANGE(""1_TT4RnsAZgXuAbklftUgfeSBolGqHFrqm00ibq315zk"",""2026-27!G4"")"),7050000.0)</f>
        <v>7050000</v>
      </c>
      <c r="M167" s="59">
        <f t="shared" ref="M167:M168" si="159">R167+Y167+AF167+AM167+AT167+BA167+BH167+BO167+BV167+CC167+CJ167+CQ167</f>
        <v>299720</v>
      </c>
      <c r="N167" s="60">
        <f t="shared" si="145"/>
        <v>0</v>
      </c>
      <c r="O167" s="61">
        <f t="shared" ref="O167:O168" si="160">U167+AB167+AI167+AP167+AW167+BD167+BK167+BR167+BY167+CF167+CM167+CT167</f>
        <v>0</v>
      </c>
      <c r="P167" s="59">
        <f>IFERROR(__xludf.DUMMYFUNCTION("IMPORTRANGE(""1_TT4RnsAZgXuAbklftUgfeSBolGqHFrqm00ibq315zk"",""2026-27!J4"")"),275000.0)</f>
        <v>275000</v>
      </c>
      <c r="Q167" s="59">
        <f>IFERROR(__xludf.DUMMYFUNCTION("IMPORTRANGE(""1_TT4RnsAZgXuAbklftUgfeSBolGqHFrqm00ibq315zk"",""2026-27!J3"")"),10.0)</f>
        <v>10</v>
      </c>
      <c r="R167" s="59">
        <f>IFERROR(__xludf.DUMMYFUNCTION("IMPORTRANGE(""1_TT4RnsAZgXuAbklftUgfeSBolGqHFrqm00ibq315zk"",""2026-27!K4"")"),208646.6)</f>
        <v>208646.6</v>
      </c>
      <c r="S167" s="59">
        <f>IFERROR(__xludf.DUMMYFUNCTION("IMPORTRANGE(""1_TT4RnsAZgXuAbklftUgfeSBolGqHFrqm00ibq315zk"",""2026-27!K3"")"),8.0)</f>
        <v>8</v>
      </c>
      <c r="T167" s="62">
        <f t="shared" si="147"/>
        <v>0</v>
      </c>
      <c r="U167" s="59">
        <f>IFERROR(__xludf.DUMMYFUNCTION("IMPORTRANGE(""1_TT4RnsAZgXuAbklftUgfeSBolGqHFrqm00ibq315zk"",""2026-27!L4"")"),0.0)</f>
        <v>0</v>
      </c>
      <c r="V167" s="59">
        <f>IFERROR(__xludf.DUMMYFUNCTION("IMPORTRANGE(""1_TT4RnsAZgXuAbklftUgfeSBolGqHFrqm00ibq315zk"",""2026-27!L3"")"),0.0)</f>
        <v>0</v>
      </c>
      <c r="W167" s="59">
        <f>IFERROR(__xludf.DUMMYFUNCTION("IMPORTRANGE(""1_TT4RnsAZgXuAbklftUgfeSBolGqHFrqm00ibq315zk"",""2026-27!m4"")"),510000.0)</f>
        <v>510000</v>
      </c>
      <c r="X167" s="59">
        <f>IFERROR(__xludf.DUMMYFUNCTION("IMPORTRANGE(""1_TT4RnsAZgXuAbklftUgfeSBolGqHFrqm00ibq315zk"",""2026-27!m3"")"),13.0)</f>
        <v>13</v>
      </c>
      <c r="Y167" s="59">
        <f>IFERROR(__xludf.DUMMYFUNCTION("IMPORTRANGE(""1_TT4RnsAZgXuAbklftUgfeSBolGqHFrqm00ibq315zk"",""2026-27!N4"")"),91073.4)</f>
        <v>91073.4</v>
      </c>
      <c r="Z167" s="59">
        <f>IFERROR(__xludf.DUMMYFUNCTION("IMPORTRANGE(""1_TT4RnsAZgXuAbklftUgfeSBolGqHFrqm00ibq315zk"",""2026-27!N3"")"),4.0)</f>
        <v>4</v>
      </c>
      <c r="AA167" s="62">
        <f t="shared" si="148"/>
        <v>0</v>
      </c>
      <c r="AB167" s="59">
        <f>IFERROR(__xludf.DUMMYFUNCTION("IMPORTRANGE(""1_TT4RnsAZgXuAbklftUgfeSBolGqHFrqm00ibq315zk"",""2026-27!O4"")"),0.0)</f>
        <v>0</v>
      </c>
      <c r="AC167" s="59">
        <f>IFERROR(__xludf.DUMMYFUNCTION("IMPORTRANGE(""1_TT4RnsAZgXuAbklftUgfeSBolGqHFrqm00ibq315zk"",""2026-27!O3"")"),0.0)</f>
        <v>0</v>
      </c>
      <c r="AD167" s="59">
        <f>IFERROR(__xludf.DUMMYFUNCTION("IMPORTRANGE(""1_TT4RnsAZgXuAbklftUgfeSBolGqHFrqm00ibq315zk"",""2026-27!P4"")"),445000.0)</f>
        <v>445000</v>
      </c>
      <c r="AE167" s="59">
        <f>IFERROR(__xludf.DUMMYFUNCTION("IMPORTRANGE(""1_TT4RnsAZgXuAbklftUgfeSBolGqHFrqm00ibq315zk"",""2026-27!P3"")"),14.0)</f>
        <v>14</v>
      </c>
      <c r="AF167" s="59">
        <f>IFERROR(__xludf.DUMMYFUNCTION("IMPORTRANGE(""1_TT4RnsAZgXuAbklftUgfeSBolGqHFrqm00ibq315zk"",""2026-27!Q4"")"),0.0)</f>
        <v>0</v>
      </c>
      <c r="AG167" s="59">
        <f>IFERROR(__xludf.DUMMYFUNCTION("IMPORTRANGE(""1_TT4RnsAZgXuAbklftUgfeSBolGqHFrqm00ibq315zk"",""2026-27!Q3"")"),0.0)</f>
        <v>0</v>
      </c>
      <c r="AH167" s="62">
        <f t="shared" si="149"/>
        <v>0</v>
      </c>
      <c r="AI167" s="59">
        <f>IFERROR(__xludf.DUMMYFUNCTION("IMPORTRANGE(""1_TT4RnsAZgXuAbklftUgfeSBolGqHFrqm00ibq315zk"",""2026-27!R4"")"),0.0)</f>
        <v>0</v>
      </c>
      <c r="AJ167" s="59">
        <f>IFERROR(__xludf.DUMMYFUNCTION("IMPORTRANGE(""1_TT4RnsAZgXuAbklftUgfeSBolGqHFrqm00ibq315zk"",""2026-27!R3"")"),0.0)</f>
        <v>0</v>
      </c>
      <c r="AK167" s="59">
        <f>IFERROR(__xludf.DUMMYFUNCTION("IMPORTRANGE(""1_TT4RnsAZgXuAbklftUgfeSBolGqHFrqm00ibq315zk"",""2026-27!S4"")"),0.0)</f>
        <v>0</v>
      </c>
      <c r="AL167" s="59">
        <f>IFERROR(__xludf.DUMMYFUNCTION("IMPORTRANGE(""1_TT4RnsAZgXuAbklftUgfeSBolGqHFrqm00ibq315zk"",""2026-27!S3"")"),0.0)</f>
        <v>0</v>
      </c>
      <c r="AM167" s="59">
        <f>IFERROR(__xludf.DUMMYFUNCTION("IMPORTRANGE(""1_TT4RnsAZgXuAbklftUgfeSBolGqHFrqm00ibq315zk"",""2026-27!T4"")"),0.0)</f>
        <v>0</v>
      </c>
      <c r="AN167" s="59">
        <f>IFERROR(__xludf.DUMMYFUNCTION("IMPORTRANGE(""1_TT4RnsAZgXuAbklftUgfeSBolGqHFrqm00ibq315zk"",""2026-27!T3"")"),0.0)</f>
        <v>0</v>
      </c>
      <c r="AO167" s="62" t="str">
        <f t="shared" si="150"/>
        <v/>
      </c>
      <c r="AP167" s="59">
        <f>IFERROR(__xludf.DUMMYFUNCTION("IMPORTRANGE(""1_TT4RnsAZgXuAbklftUgfeSBolGqHFrqm00ibq315zk"",""2026-27!U4"")"),0.0)</f>
        <v>0</v>
      </c>
      <c r="AQ167" s="59">
        <f>IFERROR(__xludf.DUMMYFUNCTION("IMPORTRANGE(""1_TT4RnsAZgXuAbklftUgfeSBolGqHFrqm00ibq315zk"",""2026-27!U3"")"),0.0)</f>
        <v>0</v>
      </c>
      <c r="AR167" s="59">
        <f>IFERROR(__xludf.DUMMYFUNCTION("IMPORTRANGE(""1_TT4RnsAZgXuAbklftUgfeSBolGqHFrqm00ibq315zk"",""2026-27!V4"")"),0.0)</f>
        <v>0</v>
      </c>
      <c r="AS167" s="59">
        <f>IFERROR(__xludf.DUMMYFUNCTION("IMPORTRANGE(""1_TT4RnsAZgXuAbklftUgfeSBolGqHFrqm00ibq315zk"",""2026-27!V3"")"),0.0)</f>
        <v>0</v>
      </c>
      <c r="AT167" s="59">
        <f>IFERROR(__xludf.DUMMYFUNCTION("IMPORTRANGE(""1_TT4RnsAZgXuAbklftUgfeSBolGqHFrqm00ibq315zk"",""2026-27!W4"")"),0.0)</f>
        <v>0</v>
      </c>
      <c r="AU167" s="59">
        <f>IFERROR(__xludf.DUMMYFUNCTION("IMPORTRANGE(""1_TT4RnsAZgXuAbklftUgfeSBolGqHFrqm00ibq315zk"",""2026-27!W3"")"),0.0)</f>
        <v>0</v>
      </c>
      <c r="AV167" s="62" t="str">
        <f t="shared" si="151"/>
        <v/>
      </c>
      <c r="AW167" s="59">
        <f>IFERROR(__xludf.DUMMYFUNCTION("IMPORTRANGE(""1_TT4RnsAZgXuAbklftUgfeSBolGqHFrqm00ibq315zk"",""2026-27!X4"")"),0.0)</f>
        <v>0</v>
      </c>
      <c r="AX167" s="59">
        <f>IFERROR(__xludf.DUMMYFUNCTION("IMPORTRANGE(""1_TT4RnsAZgXuAbklftUgfeSBolGqHFrqm00ibq315zk"",""2026-27!X3"")"),0.0)</f>
        <v>0</v>
      </c>
      <c r="AY167" s="59">
        <f>IFERROR(__xludf.DUMMYFUNCTION("IMPORTRANGE(""1_TT4RnsAZgXuAbklftUgfeSBolGqHFrqm00ibq315zk"",""2026-27!Y4"")"),0.0)</f>
        <v>0</v>
      </c>
      <c r="AZ167" s="59">
        <f>IFERROR(__xludf.DUMMYFUNCTION("IMPORTRANGE(""1_TT4RnsAZgXuAbklftUgfeSBolGqHFrqm00ibq315zk"",""2026-27!Y3"")"),0.0)</f>
        <v>0</v>
      </c>
      <c r="BA167" s="59">
        <f>IFERROR(__xludf.DUMMYFUNCTION("IMPORTRANGE(""1_TT4RnsAZgXuAbklftUgfeSBolGqHFrqm00ibq315zk"",""2026-27!Z4"")"),0.0)</f>
        <v>0</v>
      </c>
      <c r="BB167" s="59">
        <f>IFERROR(__xludf.DUMMYFUNCTION("IMPORTRANGE(""1_TT4RnsAZgXuAbklftUgfeSBolGqHFrqm00ibq315zk"",""2026-27!Z3"")"),0.0)</f>
        <v>0</v>
      </c>
      <c r="BC167" s="63" t="str">
        <f t="shared" si="152"/>
        <v/>
      </c>
      <c r="BD167" s="59">
        <f>IFERROR(__xludf.DUMMYFUNCTION("IMPORTRANGE(""1_TT4RnsAZgXuAbklftUgfeSBolGqHFrqm00ibq315zk"",""2026-27!AA4"")"),0.0)</f>
        <v>0</v>
      </c>
      <c r="BE167" s="59">
        <f>IFERROR(__xludf.DUMMYFUNCTION("IMPORTRANGE(""1_TT4RnsAZgXuAbklftUgfeSBolGqHFrqm00ibq315zk"",""2026-27!AA3"")"),0.0)</f>
        <v>0</v>
      </c>
      <c r="BF167" s="59">
        <f>IFERROR(__xludf.DUMMYFUNCTION("IMPORTRANGE(""1_TT4RnsAZgXuAbklftUgfeSBolGqHFrqm00ibq315zk"",""2026-27!AB4"")"),0.0)</f>
        <v>0</v>
      </c>
      <c r="BG167" s="59">
        <f>IFERROR(__xludf.DUMMYFUNCTION("IMPORTRANGE(""1_TT4RnsAZgXuAbklftUgfeSBolGqHFrqm00ibq315zk"",""2026-27!AB3"")"),0.0)</f>
        <v>0</v>
      </c>
      <c r="BH167" s="59">
        <f>IFERROR(__xludf.DUMMYFUNCTION("IMPORTRANGE(""1_TT4RnsAZgXuAbklftUgfeSBolGqHFrqm00ibq315zk"",""2026-27!AC4"")"),0.0)</f>
        <v>0</v>
      </c>
      <c r="BI167" s="59">
        <f>IFERROR(__xludf.DUMMYFUNCTION("IMPORTRANGE(""1_TT4RnsAZgXuAbklftUgfeSBolGqHFrqm00ibq315zk"",""2026-27!AC3"")"),0.0)</f>
        <v>0</v>
      </c>
      <c r="BJ167" s="63" t="str">
        <f t="shared" si="153"/>
        <v/>
      </c>
      <c r="BK167" s="59">
        <f>IFERROR(__xludf.DUMMYFUNCTION("IMPORTRANGE(""1_TT4RnsAZgXuAbklftUgfeSBolGqHFrqm00ibq315zk"",""2026-27!AD4"")"),0.0)</f>
        <v>0</v>
      </c>
      <c r="BL167" s="59">
        <f>IFERROR(__xludf.DUMMYFUNCTION("IMPORTRANGE(""1_TT4RnsAZgXuAbklftUgfeSBolGqHFrqm00ibq315zk"",""2026-27!AD3"")"),0.0)</f>
        <v>0</v>
      </c>
      <c r="BM167" s="59">
        <f>IFERROR(__xludf.DUMMYFUNCTION("IMPORTRANGE(""1_TT4RnsAZgXuAbklftUgfeSBolGqHFrqm00ibq315zk"",""2026-27!AE4"")"),0.0)</f>
        <v>0</v>
      </c>
      <c r="BN167" s="59">
        <f>IFERROR(__xludf.DUMMYFUNCTION("IMPORTRANGE(""1_TT4RnsAZgXuAbklftUgfeSBolGqHFrqm00ibq315zk"",""2026-27!AE3"")"),0.0)</f>
        <v>0</v>
      </c>
      <c r="BO167" s="59">
        <f>IFERROR(__xludf.DUMMYFUNCTION("IMPORTRANGE(""1_TT4RnsAZgXuAbklftUgfeSBolGqHFrqm00ibq315zk"",""2026-27!AF4"")"),0.0)</f>
        <v>0</v>
      </c>
      <c r="BP167" s="59">
        <f>IFERROR(__xludf.DUMMYFUNCTION("IMPORTRANGE(""1_TT4RnsAZgXuAbklftUgfeSBolGqHFrqm00ibq315zk"",""2026-27!AF3"")"),0.0)</f>
        <v>0</v>
      </c>
      <c r="BQ167" s="63" t="str">
        <f t="shared" si="154"/>
        <v/>
      </c>
      <c r="BR167" s="59">
        <f>IFERROR(__xludf.DUMMYFUNCTION("IMPORTRANGE(""1_TT4RnsAZgXuAbklftUgfeSBolGqHFrqm00ibq315zk"",""2026-27!AG4"")"),0.0)</f>
        <v>0</v>
      </c>
      <c r="BS167" s="59">
        <f>IFERROR(__xludf.DUMMYFUNCTION("IMPORTRANGE(""1_TT4RnsAZgXuAbklftUgfeSBolGqHFrqm00ibq315zk"",""2026-27!AG3"")"),0.0)</f>
        <v>0</v>
      </c>
      <c r="BT167" s="59">
        <f>IFERROR(__xludf.DUMMYFUNCTION("IMPORTRANGE(""1_TT4RnsAZgXuAbklftUgfeSBolGqHFrqm00ibq315zk"",""2026-27!AH4"")"),0.0)</f>
        <v>0</v>
      </c>
      <c r="BU167" s="59">
        <f>IFERROR(__xludf.DUMMYFUNCTION("IMPORTRANGE(""1_TT4RnsAZgXuAbklftUgfeSBolGqHFrqm00ibq315zk"",""2026-27!AH3"")"),0.0)</f>
        <v>0</v>
      </c>
      <c r="BV167" s="59">
        <f>IFERROR(__xludf.DUMMYFUNCTION("IMPORTRANGE(""1_TT4RnsAZgXuAbklftUgfeSBolGqHFrqm00ibq315zk"",""2026-27!AI4"")"),0.0)</f>
        <v>0</v>
      </c>
      <c r="BW167" s="59">
        <f>IFERROR(__xludf.DUMMYFUNCTION("IMPORTRANGE(""1_TT4RnsAZgXuAbklftUgfeSBolGqHFrqm00ibq315zk"",""2026-27!AI3"")"),0.0)</f>
        <v>0</v>
      </c>
      <c r="BX167" s="63" t="str">
        <f t="shared" si="155"/>
        <v/>
      </c>
      <c r="BY167" s="59">
        <f>IFERROR(__xludf.DUMMYFUNCTION("IMPORTRANGE(""1_TT4RnsAZgXuAbklftUgfeSBolGqHFrqm00ibq315zk"",""2026-27!AJ4"")"),0.0)</f>
        <v>0</v>
      </c>
      <c r="BZ167" s="59">
        <f>IFERROR(__xludf.DUMMYFUNCTION("IMPORTRANGE(""1_TT4RnsAZgXuAbklftUgfeSBolGqHFrqm00ibq315zk"",""2026-27!AJ3"")"),0.0)</f>
        <v>0</v>
      </c>
      <c r="CA167" s="59">
        <f>IFERROR(__xludf.DUMMYFUNCTION("IMPORTRANGE(""1_TT4RnsAZgXuAbklftUgfeSBolGqHFrqm00ibq315zk"",""2026-27!AK4"")"),0.0)</f>
        <v>0</v>
      </c>
      <c r="CB167" s="59">
        <f>IFERROR(__xludf.DUMMYFUNCTION("IMPORTRANGE(""1_TT4RnsAZgXuAbklftUgfeSBolGqHFrqm00ibq315zk"",""2026-27!AK3"")"),0.0)</f>
        <v>0</v>
      </c>
      <c r="CC167" s="59">
        <f>IFERROR(__xludf.DUMMYFUNCTION("IMPORTRANGE(""1_TT4RnsAZgXuAbklftUgfeSBolGqHFrqm00ibq315zk"",""2026-27!AL4"")"),0.0)</f>
        <v>0</v>
      </c>
      <c r="CD167" s="59">
        <f>IFERROR(__xludf.DUMMYFUNCTION("IMPORTRANGE(""1_TT4RnsAZgXuAbklftUgfeSBolGqHFrqm00ibq315zk"",""2026-27!AL3"")"),0.0)</f>
        <v>0</v>
      </c>
      <c r="CE167" s="63" t="str">
        <f t="shared" si="156"/>
        <v/>
      </c>
      <c r="CF167" s="59">
        <f>IFERROR(__xludf.DUMMYFUNCTION("IMPORTRANGE(""1_TT4RnsAZgXuAbklftUgfeSBolGqHFrqm00ibq315zk"",""2026-27!AM4"")"),0.0)</f>
        <v>0</v>
      </c>
      <c r="CG167" s="59">
        <f>IFERROR(__xludf.DUMMYFUNCTION("IMPORTRANGE(""1_TT4RnsAZgXuAbklftUgfeSBolGqHFrqm00ibq315zk"",""2026-27!AM3"")"),0.0)</f>
        <v>0</v>
      </c>
      <c r="CH167" s="59">
        <f>IFERROR(__xludf.DUMMYFUNCTION("IMPORTRANGE(""1_TT4RnsAZgXuAbklftUgfeSBolGqHFrqm00ibq315zk"",""2026-27!AN4"")"),0.0)</f>
        <v>0</v>
      </c>
      <c r="CI167" s="59">
        <f>IFERROR(__xludf.DUMMYFUNCTION("IMPORTRANGE(""1_TT4RnsAZgXuAbklftUgfeSBolGqHFrqm00ibq315zk"",""2026-27!AN3"")"),0.0)</f>
        <v>0</v>
      </c>
      <c r="CJ167" s="59">
        <f>IFERROR(__xludf.DUMMYFUNCTION("IMPORTRANGE(""1_TT4RnsAZgXuAbklftUgfeSBolGqHFrqm00ibq315zk"",""2026-27!AO4"")"),0.0)</f>
        <v>0</v>
      </c>
      <c r="CK167" s="59">
        <f>IFERROR(__xludf.DUMMYFUNCTION("IMPORTRANGE(""1_TT4RnsAZgXuAbklftUgfeSBolGqHFrqm00ibq315zk"",""2026-27!AO3"")"),0.0)</f>
        <v>0</v>
      </c>
      <c r="CL167" s="63" t="str">
        <f t="shared" si="157"/>
        <v/>
      </c>
      <c r="CM167" s="59">
        <f>IFERROR(__xludf.DUMMYFUNCTION("IMPORTRANGE(""1_TT4RnsAZgXuAbklftUgfeSBolGqHFrqm00ibq315zk"",""2026-27!AP4"")"),0.0)</f>
        <v>0</v>
      </c>
      <c r="CN167" s="59">
        <f>IFERROR(__xludf.DUMMYFUNCTION("IMPORTRANGE(""1_TT4RnsAZgXuAbklftUgfeSBolGqHFrqm00ibq315zk"",""2026-27!AP3"")"),0.0)</f>
        <v>0</v>
      </c>
      <c r="CO167" s="59">
        <f>IFERROR(__xludf.DUMMYFUNCTION("IMPORTRANGE(""1_TT4RnsAZgXuAbklftUgfeSBolGqHFrqm00ibq315zk"",""2026-27!AQ4"")"),0.0)</f>
        <v>0</v>
      </c>
      <c r="CP167" s="59">
        <f>IFERROR(__xludf.DUMMYFUNCTION("IMPORTRANGE(""1_TT4RnsAZgXuAbklftUgfeSBolGqHFrqm00ibq315zk"",""2026-27!AQ3"")"),0.0)</f>
        <v>0</v>
      </c>
      <c r="CQ167" s="59">
        <f>IFERROR(__xludf.DUMMYFUNCTION("IMPORTRANGE(""1_TT4RnsAZgXuAbklftUgfeSBolGqHFrqm00ibq315zk"",""2026-27!AR4"")"),0.0)</f>
        <v>0</v>
      </c>
      <c r="CR167" s="59">
        <f>IFERROR(__xludf.DUMMYFUNCTION("IMPORTRANGE(""1_TT4RnsAZgXuAbklftUgfeSBolGqHFrqm00ibq315zk"",""2026-27!AR3"")"),0.0)</f>
        <v>0</v>
      </c>
      <c r="CS167" s="63" t="str">
        <f t="shared" si="158"/>
        <v/>
      </c>
      <c r="CT167" s="59">
        <f>IFERROR(__xludf.DUMMYFUNCTION("IMPORTRANGE(""1_TT4RnsAZgXuAbklftUgfeSBolGqHFrqm00ibq315zk"",""2026-27!AS4"")"),0.0)</f>
        <v>0</v>
      </c>
      <c r="CU167" s="59">
        <f>IFERROR(__xludf.DUMMYFUNCTION("IMPORTRANGE(""1_TT4RnsAZgXuAbklftUgfeSBolGqHFrqm00ibq315zk"",""2026-27!AS3"")"),0.0)</f>
        <v>0</v>
      </c>
      <c r="CV167" s="64"/>
    </row>
    <row r="168">
      <c r="A168" s="1" t="s">
        <v>23</v>
      </c>
      <c r="B168" s="159" t="s">
        <v>23</v>
      </c>
      <c r="C168" s="160" t="s">
        <v>320</v>
      </c>
      <c r="D168" s="53" t="s">
        <v>321</v>
      </c>
      <c r="E168" s="54">
        <v>8.448288693E9</v>
      </c>
      <c r="F168" s="55">
        <v>45261.0</v>
      </c>
      <c r="G168" s="66"/>
      <c r="H168" s="66"/>
      <c r="I168" s="57">
        <v>29360.0</v>
      </c>
      <c r="J168" s="58">
        <v>1400000.0</v>
      </c>
      <c r="K168" s="59">
        <f>IFERROR(__xludf.DUMMYFUNCTION("IMPORTRANGE(""1FQCfm55A8B3_aOo8e1xPQEUbQHYH85diG24OUoTRqnY"",""2026-27!A3"")"),87.0)</f>
        <v>87</v>
      </c>
      <c r="L168" s="59">
        <f>IFERROR(__xludf.DUMMYFUNCTION("IMPORTRANGE(""1FQCfm55A8B3_aOo8e1xPQEUbQHYH85diG24OUoTRqnY"",""2026-27!G4"")"),1.805E7)</f>
        <v>18050000</v>
      </c>
      <c r="M168" s="59">
        <f t="shared" si="159"/>
        <v>2015462.24</v>
      </c>
      <c r="N168" s="60">
        <f t="shared" si="145"/>
        <v>0.09776465374</v>
      </c>
      <c r="O168" s="61">
        <f t="shared" si="160"/>
        <v>1764652</v>
      </c>
      <c r="P168" s="59">
        <f>IFERROR(__xludf.DUMMYFUNCTION("IMPORTRANGE(""1FQCfm55A8B3_aOo8e1xPQEUbQHYH85diG24OUoTRqnY"",""2026-27!J4"")"),1411999.0)</f>
        <v>1411999</v>
      </c>
      <c r="Q168" s="59">
        <f>IFERROR(__xludf.DUMMYFUNCTION("IMPORTRANGE(""1FQCfm55A8B3_aOo8e1xPQEUbQHYH85diG24OUoTRqnY"",""2026-27!J3"")"),81.0)</f>
        <v>81</v>
      </c>
      <c r="R168" s="59">
        <f>IFERROR(__xludf.DUMMYFUNCTION("IMPORTRANGE(""1FQCfm55A8B3_aOo8e1xPQEUbQHYH85diG24OUoTRqnY"",""2026-27!K4"")"),862526.6199999999)</f>
        <v>862526.62</v>
      </c>
      <c r="S168" s="59">
        <f>IFERROR(__xludf.DUMMYFUNCTION("IMPORTRANGE(""1FQCfm55A8B3_aOo8e1xPQEUbQHYH85diG24OUoTRqnY"",""2026-27!K3"")"),29.0)</f>
        <v>29</v>
      </c>
      <c r="T168" s="62">
        <f t="shared" si="147"/>
        <v>0.6121874024</v>
      </c>
      <c r="U168" s="59">
        <f>IFERROR(__xludf.DUMMYFUNCTION("IMPORTRANGE(""1FQCfm55A8B3_aOo8e1xPQEUbQHYH85diG24OUoTRqnY"",""2026-27!L4"")"),864408.0)</f>
        <v>864408</v>
      </c>
      <c r="V168" s="59">
        <f>IFERROR(__xludf.DUMMYFUNCTION("IMPORTRANGE(""1FQCfm55A8B3_aOo8e1xPQEUbQHYH85diG24OUoTRqnY"",""2026-27!L3"")"),29.0)</f>
        <v>29</v>
      </c>
      <c r="W168" s="59">
        <f>IFERROR(__xludf.DUMMYFUNCTION("IMPORTRANGE(""1FQCfm55A8B3_aOo8e1xPQEUbQHYH85diG24OUoTRqnY"",""2026-27!m4"")"),1400109.0)</f>
        <v>1400109</v>
      </c>
      <c r="X168" s="59">
        <f>IFERROR(__xludf.DUMMYFUNCTION("IMPORTRANGE(""1FQCfm55A8B3_aOo8e1xPQEUbQHYH85diG24OUoTRqnY"",""2026-27!m3"")"),81.0)</f>
        <v>81</v>
      </c>
      <c r="Y168" s="59">
        <f>IFERROR(__xludf.DUMMYFUNCTION("IMPORTRANGE(""1FQCfm55A8B3_aOo8e1xPQEUbQHYH85diG24OUoTRqnY"",""2026-27!N4"")"),895536.7699999999)</f>
        <v>895536.77</v>
      </c>
      <c r="Z168" s="59">
        <f>IFERROR(__xludf.DUMMYFUNCTION("IMPORTRANGE(""1FQCfm55A8B3_aOo8e1xPQEUbQHYH85diG24OUoTRqnY"",""2026-27!N3"")"),17.0)</f>
        <v>17</v>
      </c>
      <c r="AA168" s="62">
        <f t="shared" si="148"/>
        <v>0.6429813679</v>
      </c>
      <c r="AB168" s="59">
        <f>IFERROR(__xludf.DUMMYFUNCTION("IMPORTRANGE(""1FQCfm55A8B3_aOo8e1xPQEUbQHYH85diG24OUoTRqnY"",""2026-27!O4"")"),900244.0)</f>
        <v>900244</v>
      </c>
      <c r="AC168" s="59">
        <f>IFERROR(__xludf.DUMMYFUNCTION("IMPORTRANGE(""1FQCfm55A8B3_aOo8e1xPQEUbQHYH85diG24OUoTRqnY"",""2026-27!O3"")"),17.0)</f>
        <v>17</v>
      </c>
      <c r="AD168" s="59">
        <f>IFERROR(__xludf.DUMMYFUNCTION("IMPORTRANGE(""1FQCfm55A8B3_aOo8e1xPQEUbQHYH85diG24OUoTRqnY"",""2026-27!P4"")"),1428797.0)</f>
        <v>1428797</v>
      </c>
      <c r="AE168" s="59">
        <f>IFERROR(__xludf.DUMMYFUNCTION("IMPORTRANGE(""1FQCfm55A8B3_aOo8e1xPQEUbQHYH85diG24OUoTRqnY"",""2026-27!P3"")"),81.0)</f>
        <v>81</v>
      </c>
      <c r="AF168" s="59">
        <f>IFERROR(__xludf.DUMMYFUNCTION("IMPORTRANGE(""1FQCfm55A8B3_aOo8e1xPQEUbQHYH85diG24OUoTRqnY"",""2026-27!Q4"")"),257398.84999999998)</f>
        <v>257398.85</v>
      </c>
      <c r="AG168" s="59">
        <f>IFERROR(__xludf.DUMMYFUNCTION("IMPORTRANGE(""1FQCfm55A8B3_aOo8e1xPQEUbQHYH85diG24OUoTRqnY"",""2026-27!Q3"")"),10.0)</f>
        <v>10</v>
      </c>
      <c r="AH168" s="62">
        <f t="shared" si="149"/>
        <v>0</v>
      </c>
      <c r="AI168" s="59">
        <f>IFERROR(__xludf.DUMMYFUNCTION("IMPORTRANGE(""1FQCfm55A8B3_aOo8e1xPQEUbQHYH85diG24OUoTRqnY"",""2026-27!R4"")"),0.0)</f>
        <v>0</v>
      </c>
      <c r="AJ168" s="59">
        <f>IFERROR(__xludf.DUMMYFUNCTION("IMPORTRANGE(""1FQCfm55A8B3_aOo8e1xPQEUbQHYH85diG24OUoTRqnY"",""2026-27!R3"")"),0.0)</f>
        <v>0</v>
      </c>
      <c r="AK168" s="59">
        <f>IFERROR(__xludf.DUMMYFUNCTION("IMPORTRANGE(""1FQCfm55A8B3_aOo8e1xPQEUbQHYH85diG24OUoTRqnY"",""2026-27!S4"")"),0.0)</f>
        <v>0</v>
      </c>
      <c r="AL168" s="59">
        <f>IFERROR(__xludf.DUMMYFUNCTION("IMPORTRANGE(""1FQCfm55A8B3_aOo8e1xPQEUbQHYH85diG24OUoTRqnY"",""2026-27!S3"")"),0.0)</f>
        <v>0</v>
      </c>
      <c r="AM168" s="59">
        <f>IFERROR(__xludf.DUMMYFUNCTION("IMPORTRANGE(""1FQCfm55A8B3_aOo8e1xPQEUbQHYH85diG24OUoTRqnY"",""2026-27!T4"")"),0.0)</f>
        <v>0</v>
      </c>
      <c r="AN168" s="59">
        <f>IFERROR(__xludf.DUMMYFUNCTION("IMPORTRANGE(""1FQCfm55A8B3_aOo8e1xPQEUbQHYH85diG24OUoTRqnY"",""2026-27!T3"")"),0.0)</f>
        <v>0</v>
      </c>
      <c r="AO168" s="62" t="str">
        <f t="shared" si="150"/>
        <v/>
      </c>
      <c r="AP168" s="59">
        <f>IFERROR(__xludf.DUMMYFUNCTION("IMPORTRANGE(""1FQCfm55A8B3_aOo8e1xPQEUbQHYH85diG24OUoTRqnY"",""2026-27!U4"")"),0.0)</f>
        <v>0</v>
      </c>
      <c r="AQ168" s="59">
        <f>IFERROR(__xludf.DUMMYFUNCTION("IMPORTRANGE(""1FQCfm55A8B3_aOo8e1xPQEUbQHYH85diG24OUoTRqnY"",""2026-27!U3"")"),0.0)</f>
        <v>0</v>
      </c>
      <c r="AR168" s="59">
        <f>IFERROR(__xludf.DUMMYFUNCTION("IMPORTRANGE(""1FQCfm55A8B3_aOo8e1xPQEUbQHYH85diG24OUoTRqnY"",""2026-27!V4"")"),0.0)</f>
        <v>0</v>
      </c>
      <c r="AS168" s="59">
        <f>IFERROR(__xludf.DUMMYFUNCTION("IMPORTRANGE(""1FQCfm55A8B3_aOo8e1xPQEUbQHYH85diG24OUoTRqnY"",""2026-27!V3"")"),0.0)</f>
        <v>0</v>
      </c>
      <c r="AT168" s="59">
        <f>IFERROR(__xludf.DUMMYFUNCTION("IMPORTRANGE(""1FQCfm55A8B3_aOo8e1xPQEUbQHYH85diG24OUoTRqnY"",""2026-27!W4"")"),0.0)</f>
        <v>0</v>
      </c>
      <c r="AU168" s="59">
        <f>IFERROR(__xludf.DUMMYFUNCTION("IMPORTRANGE(""1FQCfm55A8B3_aOo8e1xPQEUbQHYH85diG24OUoTRqnY"",""2026-27!W3"")"),0.0)</f>
        <v>0</v>
      </c>
      <c r="AV168" s="62" t="str">
        <f t="shared" si="151"/>
        <v/>
      </c>
      <c r="AW168" s="59">
        <f>IFERROR(__xludf.DUMMYFUNCTION("IMPORTRANGE(""1FQCfm55A8B3_aOo8e1xPQEUbQHYH85diG24OUoTRqnY"",""2026-27!X4"")"),0.0)</f>
        <v>0</v>
      </c>
      <c r="AX168" s="59">
        <f>IFERROR(__xludf.DUMMYFUNCTION("IMPORTRANGE(""1FQCfm55A8B3_aOo8e1xPQEUbQHYH85diG24OUoTRqnY"",""2026-27!X3"")"),0.0)</f>
        <v>0</v>
      </c>
      <c r="AY168" s="59">
        <f>IFERROR(__xludf.DUMMYFUNCTION("IMPORTRANGE(""1FQCfm55A8B3_aOo8e1xPQEUbQHYH85diG24OUoTRqnY"",""2026-27!Y4"")"),0.0)</f>
        <v>0</v>
      </c>
      <c r="AZ168" s="59">
        <f>IFERROR(__xludf.DUMMYFUNCTION("IMPORTRANGE(""1FQCfm55A8B3_aOo8e1xPQEUbQHYH85diG24OUoTRqnY"",""2026-27!Y3"")"),0.0)</f>
        <v>0</v>
      </c>
      <c r="BA168" s="59">
        <f>IFERROR(__xludf.DUMMYFUNCTION("IMPORTRANGE(""1FQCfm55A8B3_aOo8e1xPQEUbQHYH85diG24OUoTRqnY"",""2026-27!Z4"")"),0.0)</f>
        <v>0</v>
      </c>
      <c r="BB168" s="59">
        <f>IFERROR(__xludf.DUMMYFUNCTION("IMPORTRANGE(""1FQCfm55A8B3_aOo8e1xPQEUbQHYH85diG24OUoTRqnY"",""2026-27!Z3"")"),0.0)</f>
        <v>0</v>
      </c>
      <c r="BC168" s="63" t="str">
        <f t="shared" si="152"/>
        <v/>
      </c>
      <c r="BD168" s="59">
        <f>IFERROR(__xludf.DUMMYFUNCTION("IMPORTRANGE(""1FQCfm55A8B3_aOo8e1xPQEUbQHYH85diG24OUoTRqnY"",""2026-27!AA4"")"),0.0)</f>
        <v>0</v>
      </c>
      <c r="BE168" s="59">
        <f>IFERROR(__xludf.DUMMYFUNCTION("IMPORTRANGE(""1FQCfm55A8B3_aOo8e1xPQEUbQHYH85diG24OUoTRqnY"",""2026-27!AA3"")"),0.0)</f>
        <v>0</v>
      </c>
      <c r="BF168" s="59">
        <f>IFERROR(__xludf.DUMMYFUNCTION("IMPORTRANGE(""1FQCfm55A8B3_aOo8e1xPQEUbQHYH85diG24OUoTRqnY"",""2026-27!AB4"")"),0.0)</f>
        <v>0</v>
      </c>
      <c r="BG168" s="59">
        <f>IFERROR(__xludf.DUMMYFUNCTION("IMPORTRANGE(""1FQCfm55A8B3_aOo8e1xPQEUbQHYH85diG24OUoTRqnY"",""2026-27!AB3"")"),0.0)</f>
        <v>0</v>
      </c>
      <c r="BH168" s="59">
        <f>IFERROR(__xludf.DUMMYFUNCTION("IMPORTRANGE(""1FQCfm55A8B3_aOo8e1xPQEUbQHYH85diG24OUoTRqnY"",""2026-27!AC4"")"),0.0)</f>
        <v>0</v>
      </c>
      <c r="BI168" s="59">
        <f>IFERROR(__xludf.DUMMYFUNCTION("IMPORTRANGE(""1FQCfm55A8B3_aOo8e1xPQEUbQHYH85diG24OUoTRqnY"",""2026-27!AC3"")"),0.0)</f>
        <v>0</v>
      </c>
      <c r="BJ168" s="63" t="str">
        <f t="shared" si="153"/>
        <v/>
      </c>
      <c r="BK168" s="59">
        <f>IFERROR(__xludf.DUMMYFUNCTION("IMPORTRANGE(""1FQCfm55A8B3_aOo8e1xPQEUbQHYH85diG24OUoTRqnY"",""2026-27!AD4"")"),0.0)</f>
        <v>0</v>
      </c>
      <c r="BL168" s="59">
        <f>IFERROR(__xludf.DUMMYFUNCTION("IMPORTRANGE(""1FQCfm55A8B3_aOo8e1xPQEUbQHYH85diG24OUoTRqnY"",""2026-27!AD3"")"),0.0)</f>
        <v>0</v>
      </c>
      <c r="BM168" s="59">
        <f>IFERROR(__xludf.DUMMYFUNCTION("IMPORTRANGE(""1FQCfm55A8B3_aOo8e1xPQEUbQHYH85diG24OUoTRqnY"",""2026-27!AE4"")"),0.0)</f>
        <v>0</v>
      </c>
      <c r="BN168" s="59">
        <f>IFERROR(__xludf.DUMMYFUNCTION("IMPORTRANGE(""1FQCfm55A8B3_aOo8e1xPQEUbQHYH85diG24OUoTRqnY"",""2026-27!AE3"")"),0.0)</f>
        <v>0</v>
      </c>
      <c r="BO168" s="59">
        <f>IFERROR(__xludf.DUMMYFUNCTION("IMPORTRANGE(""1FQCfm55A8B3_aOo8e1xPQEUbQHYH85diG24OUoTRqnY"",""2026-27!AF4"")"),0.0)</f>
        <v>0</v>
      </c>
      <c r="BP168" s="59">
        <f>IFERROR(__xludf.DUMMYFUNCTION("IMPORTRANGE(""1FQCfm55A8B3_aOo8e1xPQEUbQHYH85diG24OUoTRqnY"",""2026-27!AF3"")"),0.0)</f>
        <v>0</v>
      </c>
      <c r="BQ168" s="63" t="str">
        <f t="shared" si="154"/>
        <v/>
      </c>
      <c r="BR168" s="59">
        <f>IFERROR(__xludf.DUMMYFUNCTION("IMPORTRANGE(""1FQCfm55A8B3_aOo8e1xPQEUbQHYH85diG24OUoTRqnY"",""2026-27!AG4"")"),0.0)</f>
        <v>0</v>
      </c>
      <c r="BS168" s="59">
        <f>IFERROR(__xludf.DUMMYFUNCTION("IMPORTRANGE(""1FQCfm55A8B3_aOo8e1xPQEUbQHYH85diG24OUoTRqnY"",""2026-27!AG3"")"),0.0)</f>
        <v>0</v>
      </c>
      <c r="BT168" s="59">
        <f>IFERROR(__xludf.DUMMYFUNCTION("IMPORTRANGE(""1FQCfm55A8B3_aOo8e1xPQEUbQHYH85diG24OUoTRqnY"",""2026-27!AH4"")"),0.0)</f>
        <v>0</v>
      </c>
      <c r="BU168" s="59">
        <f>IFERROR(__xludf.DUMMYFUNCTION("IMPORTRANGE(""1FQCfm55A8B3_aOo8e1xPQEUbQHYH85diG24OUoTRqnY"",""2026-27!AH3"")"),0.0)</f>
        <v>0</v>
      </c>
      <c r="BV168" s="59">
        <f>IFERROR(__xludf.DUMMYFUNCTION("IMPORTRANGE(""1FQCfm55A8B3_aOo8e1xPQEUbQHYH85diG24OUoTRqnY"",""2026-27!AI4"")"),0.0)</f>
        <v>0</v>
      </c>
      <c r="BW168" s="59">
        <f>IFERROR(__xludf.DUMMYFUNCTION("IMPORTRANGE(""1FQCfm55A8B3_aOo8e1xPQEUbQHYH85diG24OUoTRqnY"",""2026-27!AI3"")"),0.0)</f>
        <v>0</v>
      </c>
      <c r="BX168" s="63" t="str">
        <f t="shared" si="155"/>
        <v/>
      </c>
      <c r="BY168" s="59">
        <f>IFERROR(__xludf.DUMMYFUNCTION("IMPORTRANGE(""1FQCfm55A8B3_aOo8e1xPQEUbQHYH85diG24OUoTRqnY"",""2026-27!AJ4"")"),0.0)</f>
        <v>0</v>
      </c>
      <c r="BZ168" s="59">
        <f>IFERROR(__xludf.DUMMYFUNCTION("IMPORTRANGE(""1FQCfm55A8B3_aOo8e1xPQEUbQHYH85diG24OUoTRqnY"",""2026-27!AJ3"")"),0.0)</f>
        <v>0</v>
      </c>
      <c r="CA168" s="59">
        <f>IFERROR(__xludf.DUMMYFUNCTION("IMPORTRANGE(""1FQCfm55A8B3_aOo8e1xPQEUbQHYH85diG24OUoTRqnY"",""2026-27!AK4"")"),0.0)</f>
        <v>0</v>
      </c>
      <c r="CB168" s="59">
        <f>IFERROR(__xludf.DUMMYFUNCTION("IMPORTRANGE(""1FQCfm55A8B3_aOo8e1xPQEUbQHYH85diG24OUoTRqnY"",""2026-27!AK3"")"),0.0)</f>
        <v>0</v>
      </c>
      <c r="CC168" s="59">
        <f>IFERROR(__xludf.DUMMYFUNCTION("IMPORTRANGE(""1FQCfm55A8B3_aOo8e1xPQEUbQHYH85diG24OUoTRqnY"",""2026-27!AL4"")"),0.0)</f>
        <v>0</v>
      </c>
      <c r="CD168" s="59">
        <f>IFERROR(__xludf.DUMMYFUNCTION("IMPORTRANGE(""1FQCfm55A8B3_aOo8e1xPQEUbQHYH85diG24OUoTRqnY"",""2026-27!AL3"")"),0.0)</f>
        <v>0</v>
      </c>
      <c r="CE168" s="63" t="str">
        <f t="shared" si="156"/>
        <v/>
      </c>
      <c r="CF168" s="59">
        <f>IFERROR(__xludf.DUMMYFUNCTION("IMPORTRANGE(""1FQCfm55A8B3_aOo8e1xPQEUbQHYH85diG24OUoTRqnY"",""2026-27!AM4"")"),0.0)</f>
        <v>0</v>
      </c>
      <c r="CG168" s="59">
        <f>IFERROR(__xludf.DUMMYFUNCTION("IMPORTRANGE(""1FQCfm55A8B3_aOo8e1xPQEUbQHYH85diG24OUoTRqnY"",""2026-27!AM3"")"),0.0)</f>
        <v>0</v>
      </c>
      <c r="CH168" s="59">
        <f>IFERROR(__xludf.DUMMYFUNCTION("IMPORTRANGE(""1FQCfm55A8B3_aOo8e1xPQEUbQHYH85diG24OUoTRqnY"",""2026-27!AN4"")"),0.0)</f>
        <v>0</v>
      </c>
      <c r="CI168" s="59">
        <f>IFERROR(__xludf.DUMMYFUNCTION("IMPORTRANGE(""1FQCfm55A8B3_aOo8e1xPQEUbQHYH85diG24OUoTRqnY"",""2026-27!AN3"")"),0.0)</f>
        <v>0</v>
      </c>
      <c r="CJ168" s="59">
        <f>IFERROR(__xludf.DUMMYFUNCTION("IMPORTRANGE(""1FQCfm55A8B3_aOo8e1xPQEUbQHYH85diG24OUoTRqnY"",""2026-27!AO4"")"),0.0)</f>
        <v>0</v>
      </c>
      <c r="CK168" s="59">
        <f>IFERROR(__xludf.DUMMYFUNCTION("IMPORTRANGE(""1FQCfm55A8B3_aOo8e1xPQEUbQHYH85diG24OUoTRqnY"",""2026-27!AO3"")"),0.0)</f>
        <v>0</v>
      </c>
      <c r="CL168" s="63" t="str">
        <f t="shared" si="157"/>
        <v/>
      </c>
      <c r="CM168" s="59">
        <f>IFERROR(__xludf.DUMMYFUNCTION("IMPORTRANGE(""1FQCfm55A8B3_aOo8e1xPQEUbQHYH85diG24OUoTRqnY"",""2026-27!AP4"")"),0.0)</f>
        <v>0</v>
      </c>
      <c r="CN168" s="59">
        <f>IFERROR(__xludf.DUMMYFUNCTION("IMPORTRANGE(""1FQCfm55A8B3_aOo8e1xPQEUbQHYH85diG24OUoTRqnY"",""2026-27!AP3"")"),0.0)</f>
        <v>0</v>
      </c>
      <c r="CO168" s="59">
        <f>IFERROR(__xludf.DUMMYFUNCTION("IMPORTRANGE(""1FQCfm55A8B3_aOo8e1xPQEUbQHYH85diG24OUoTRqnY"",""2026-27!AQ4"")"),0.0)</f>
        <v>0</v>
      </c>
      <c r="CP168" s="59">
        <f>IFERROR(__xludf.DUMMYFUNCTION("IMPORTRANGE(""1FQCfm55A8B3_aOo8e1xPQEUbQHYH85diG24OUoTRqnY"",""2026-27!AQ3"")"),0.0)</f>
        <v>0</v>
      </c>
      <c r="CQ168" s="59">
        <f>IFERROR(__xludf.DUMMYFUNCTION("IMPORTRANGE(""1FQCfm55A8B3_aOo8e1xPQEUbQHYH85diG24OUoTRqnY"",""2026-27!AR4"")"),0.0)</f>
        <v>0</v>
      </c>
      <c r="CR168" s="59">
        <f>IFERROR(__xludf.DUMMYFUNCTION("IMPORTRANGE(""1FQCfm55A8B3_aOo8e1xPQEUbQHYH85diG24OUoTRqnY"",""2026-27!AR3"")"),0.0)</f>
        <v>0</v>
      </c>
      <c r="CS168" s="63" t="str">
        <f t="shared" si="158"/>
        <v/>
      </c>
      <c r="CT168" s="59">
        <f>IFERROR(__xludf.DUMMYFUNCTION("IMPORTRANGE(""1FQCfm55A8B3_aOo8e1xPQEUbQHYH85diG24OUoTRqnY"",""2026-27!AS4"")"),0.0)</f>
        <v>0</v>
      </c>
      <c r="CU168" s="59">
        <f>IFERROR(__xludf.DUMMYFUNCTION("IMPORTRANGE(""1FQCfm55A8B3_aOo8e1xPQEUbQHYH85diG24OUoTRqnY"",""2026-27!AS3"")"),0.0)</f>
        <v>0</v>
      </c>
      <c r="CV168" s="64"/>
    </row>
    <row r="169">
      <c r="A169" s="161" t="s">
        <v>48</v>
      </c>
      <c r="B169" s="155" t="s">
        <v>48</v>
      </c>
      <c r="C169" s="162" t="s">
        <v>322</v>
      </c>
      <c r="D169" s="69" t="s">
        <v>323</v>
      </c>
      <c r="E169" s="72">
        <v>8.290293604E9</v>
      </c>
      <c r="F169" s="70">
        <v>45992.0</v>
      </c>
      <c r="G169" s="66"/>
      <c r="H169" s="66"/>
      <c r="I169" s="74">
        <v>28834.0</v>
      </c>
      <c r="J169" s="58">
        <v>1000000.0</v>
      </c>
      <c r="K169" s="61">
        <f>IFERROR(__xludf.DUMMYFUNCTION("IMPORTRANGE(""https://docs.google.com/spreadsheets/u/0/d/1wgoE9YmekdfKzULca0LbO2VFRLCTKVsd9GkdeFDZMrU/edit"",""2026-27!A3"")"),21.0)</f>
        <v>21</v>
      </c>
      <c r="L169" s="61">
        <f>IFERROR(__xludf.DUMMYFUNCTION("IMPORTRANGE(""https://docs.google.com/spreadsheets/u/0/d/1wgoE9YmekdfKzULca0LbO2VFRLCTKVsd9GkdeFDZMrU/edit"",""2026-27!G4"")"),1900000.0)</f>
        <v>1900000</v>
      </c>
      <c r="M169" s="61">
        <f>SUM(R169+Y169+AF169+AM169+AT169+BA169+BH169+BO169+BV169+CC169+CJ169+CQ169)</f>
        <v>315033.7</v>
      </c>
      <c r="N169" s="60">
        <f t="shared" si="145"/>
        <v>0</v>
      </c>
      <c r="O169" s="61">
        <f>SUM(U169,AB169,AI169,AP169,AW169,BD169,BK169,BR169,BY169,CF169,CM169,CT169)</f>
        <v>0</v>
      </c>
      <c r="P169" s="59">
        <f>IFERROR(__xludf.DUMMYFUNCTION("IMPORTRANGE(""https://docs.google.com/spreadsheets/u/0/d/1wgoE9YmekdfKzULca0LbO2VFRLCTKVsd9GkdeFDZMrU/edit"",""2026-27!J4"")"),80000.0)</f>
        <v>80000</v>
      </c>
      <c r="Q169" s="59">
        <f>IFERROR(__xludf.DUMMYFUNCTION("IMPORTRANGE(""https://docs.google.com/spreadsheets/u/0/d/1wgoE9YmekdfKzULca0LbO2VFRLCTKVsd9GkdeFDZMrU/edit"",""2026-27!J3"")"),2.0)</f>
        <v>2</v>
      </c>
      <c r="R169" s="59">
        <f>IFERROR(__xludf.DUMMYFUNCTION("IMPORTRANGE(""https://docs.google.com/spreadsheets/u/0/d/1wgoE9YmekdfKzULca0LbO2VFRLCTKVsd9GkdeFDZMrU/edit"",""2026-27!K4"")"),51780.72)</f>
        <v>51780.72</v>
      </c>
      <c r="S169" s="59">
        <f>IFERROR(__xludf.DUMMYFUNCTION("IMPORTRANGE(""https://docs.google.com/spreadsheets/u/0/d/1wgoE9YmekdfKzULca0LbO2VFRLCTKVsd9GkdeFDZMrU/edit"",""2026-27!K3"")"),2.0)</f>
        <v>2</v>
      </c>
      <c r="T169" s="62">
        <f t="shared" si="147"/>
        <v>0</v>
      </c>
      <c r="U169" s="59">
        <f>IFERROR(__xludf.DUMMYFUNCTION("IMPORTRANGE(""https://docs.google.com/spreadsheets/u/0/d/1wgoE9YmekdfKzULca0LbO2VFRLCTKVsd9GkdeFDZMrU/edit"",""2026-27!L4"")"),0.0)</f>
        <v>0</v>
      </c>
      <c r="V169" s="85">
        <f>IFERROR(__xludf.DUMMYFUNCTION("IMPORTRANGE(""https://docs.google.com/spreadsheets/u/0/d/1wgoE9YmekdfKzULca0LbO2VFRLCTKVsd9GkdeFDZMrU/edit"",""2026-27!L3"")"),0.0)</f>
        <v>0</v>
      </c>
      <c r="W169" s="59">
        <f>IFERROR(__xludf.DUMMYFUNCTION("IMPORTRANGE(""https://docs.google.com/spreadsheets/u/0/d/1wgoE9YmekdfKzULca0LbO2VFRLCTKVsd9GkdeFDZMrU/edit"",""2026-27!M4"")"),370000.0)</f>
        <v>370000</v>
      </c>
      <c r="X169" s="85">
        <f>IFERROR(__xludf.DUMMYFUNCTION("IMPORTRANGE(""https://docs.google.com/spreadsheets/u/0/d/1wgoE9YmekdfKzULca0LbO2VFRLCTKVsd9GkdeFDZMrU/edit"",""2026-27!M3"")"),5.0)</f>
        <v>5</v>
      </c>
      <c r="Y169" s="59">
        <f>IFERROR(__xludf.DUMMYFUNCTION("importrange(""https://docs.google.com/spreadsheets/u/0/d/1wgoE9YmekdfKzULca0LbO2VFRLCTKVsd9GkdeFDZMrU/edit"",""2026-27!n4"")"),263252.98)</f>
        <v>263252.98</v>
      </c>
      <c r="Z169" s="59">
        <f>IFERROR(__xludf.DUMMYFUNCTION("importrange(""https://docs.google.com/spreadsheets/u/0/d/1wgoE9YmekdfKzULca0LbO2VFRLCTKVsd9GkdeFDZMrU/edit"",""2026-27!n3"")"),3.0)</f>
        <v>3</v>
      </c>
      <c r="AA169" s="62">
        <f t="shared" si="148"/>
        <v>0</v>
      </c>
      <c r="AB169" s="59">
        <f>IFERROR(__xludf.DUMMYFUNCTION("importrange(""https://docs.google.com/spreadsheets/u/0/d/1wgoE9YmekdfKzULca0LbO2VFRLCTKVsd9GkdeFDZMrU/edit"",""2026-27!o4"")"),0.0)</f>
        <v>0</v>
      </c>
      <c r="AC169" s="59">
        <f>IFERROR(__xludf.DUMMYFUNCTION("importrange(""https://docs.google.com/spreadsheets/u/0/d/1wgoE9YmekdfKzULca0LbO2VFRLCTKVsd9GkdeFDZMrU/edit"",""2026-27!o3"")"),0.0)</f>
        <v>0</v>
      </c>
      <c r="AD169" s="59">
        <f>IFERROR(__xludf.DUMMYFUNCTION("importrange(""https://docs.google.com/spreadsheets/u/0/d/1wgoE9YmekdfKzULca0LbO2VFRLCTKVsd9GkdeFDZMrU/edit"",""2026-27!p4"")"),195000.0)</f>
        <v>195000</v>
      </c>
      <c r="AE169" s="59">
        <f>IFERROR(__xludf.DUMMYFUNCTION("importrange(""https://docs.google.com/spreadsheets/u/0/d/1wgoE9YmekdfKzULca0LbO2VFRLCTKVsd9GkdeFDZMrU/edit"",""2026-27!p3"")"),5.0)</f>
        <v>5</v>
      </c>
      <c r="AF169" s="59">
        <f>IFERROR(__xludf.DUMMYFUNCTION("importrange(""https://docs.google.com/spreadsheets/u/0/d/1wgoE9YmekdfKzULca0LbO2VFRLCTKVsd9GkdeFDZMrU/edit"",""2026-27!q4"")"),0.0)</f>
        <v>0</v>
      </c>
      <c r="AG169" s="59">
        <f>IFERROR(__xludf.DUMMYFUNCTION("importrange(""https://docs.google.com/spreadsheets/u/0/d/1wgoE9YmekdfKzULca0LbO2VFRLCTKVsd9GkdeFDZMrU/edit"",""2026-27!q3"")"),0.0)</f>
        <v>0</v>
      </c>
      <c r="AH169" s="62">
        <f t="shared" si="149"/>
        <v>0</v>
      </c>
      <c r="AI169" s="59">
        <f>IFERROR(__xludf.DUMMYFUNCTION("importrange(""https://docs.google.com/spreadsheets/u/0/d/1wgoE9YmekdfKzULca0LbO2VFRLCTKVsd9GkdeFDZMrU/edit"",""2026-27!r4"")"),0.0)</f>
        <v>0</v>
      </c>
      <c r="AJ169" s="59">
        <f>IFERROR(__xludf.DUMMYFUNCTION("importrange(""https://docs.google.com/spreadsheets/u/0/d/1wgoE9YmekdfKzULca0LbO2VFRLCTKVsd9GkdeFDZMrU/edit"",""2026-27!r3"")"),0.0)</f>
        <v>0</v>
      </c>
      <c r="AK169" s="59">
        <f>IFERROR(__xludf.DUMMYFUNCTION("importrange(""https://docs.google.com/spreadsheets/u/0/d/1wgoE9YmekdfKzULca0LbO2VFRLCTKVsd9GkdeFDZMrU/edit"",""2026-27!s4"")"),290000.0)</f>
        <v>290000</v>
      </c>
      <c r="AL169" s="59">
        <f>IFERROR(__xludf.DUMMYFUNCTION("importrange(""https://docs.google.com/spreadsheets/u/0/d/1wgoE9YmekdfKzULca0LbO2VFRLCTKVsd9GkdeFDZMrU/edit"",""2026-27!s3"")"),5.0)</f>
        <v>5</v>
      </c>
      <c r="AM169" s="61">
        <f>IFERROR(__xludf.DUMMYFUNCTION("importrange(""https://docs.google.com/spreadsheets/u/0/d/1wgoE9YmekdfKzULca0LbO2VFRLCTKVsd9GkdeFDZMrU/edit"",""2026-27!t4"")"),0.0)</f>
        <v>0</v>
      </c>
      <c r="AN169" s="59">
        <f>IFERROR(__xludf.DUMMYFUNCTION("importrange(""https://docs.google.com/spreadsheets/u/0/d/1wgoE9YmekdfKzULca0LbO2VFRLCTKVsd9GkdeFDZMrU/edit"",""2026-27!t3"")"),0.0)</f>
        <v>0</v>
      </c>
      <c r="AO169" s="62">
        <f t="shared" si="150"/>
        <v>0</v>
      </c>
      <c r="AP169" s="59">
        <f>IFERROR(__xludf.DUMMYFUNCTION("importrange(""https://docs.google.com/spreadsheets/u/0/d/1wgoE9YmekdfKzULca0LbO2VFRLCTKVsd9GkdeFDZMrU/edit"",""2026-27!u4"")"),0.0)</f>
        <v>0</v>
      </c>
      <c r="AQ169" s="59">
        <f>IFERROR(__xludf.DUMMYFUNCTION("importrange(""https://docs.google.com/spreadsheets/u/0/d/1wgoE9YmekdfKzULca0LbO2VFRLCTKVsd9GkdeFDZMrU/edit"",""2026-27!u3"")"),0.0)</f>
        <v>0</v>
      </c>
      <c r="AR169" s="59">
        <f>IFERROR(__xludf.DUMMYFUNCTION("importrange(""https://docs.google.com/spreadsheets/u/0/d/1wgoE9YmekdfKzULca0LbO2VFRLCTKVsd9GkdeFDZMrU/edit"",""2026-27!v4"")"),0.0)</f>
        <v>0</v>
      </c>
      <c r="AS169" s="59">
        <f>IFERROR(__xludf.DUMMYFUNCTION("importrange(""https://docs.google.com/spreadsheets/u/0/d/1wgoE9YmekdfKzULca0LbO2VFRLCTKVsd9GkdeFDZMrU/edit"",""2026-27!v3"")"),0.0)</f>
        <v>0</v>
      </c>
      <c r="AT169" s="61">
        <f>IFERROR(__xludf.DUMMYFUNCTION("importrange(""https://docs.google.com/spreadsheets/u/0/d/1wgoE9YmekdfKzULca0LbO2VFRLCTKVsd9GkdeFDZMrU/edit"",""2026-27!w4"")"),0.0)</f>
        <v>0</v>
      </c>
      <c r="AU169" s="59">
        <f>IFERROR(__xludf.DUMMYFUNCTION("importrange(""https://docs.google.com/spreadsheets/u/0/d/1wgoE9YmekdfKzULca0LbO2VFRLCTKVsd9GkdeFDZMrU/edit"",""2026-27!w3"")"),0.0)</f>
        <v>0</v>
      </c>
      <c r="AV169" s="62" t="str">
        <f t="shared" si="151"/>
        <v/>
      </c>
      <c r="AW169" s="59">
        <f>IFERROR(__xludf.DUMMYFUNCTION("importrange(""https://docs.google.com/spreadsheets/u/0/d/1wgoE9YmekdfKzULca0LbO2VFRLCTKVsd9GkdeFDZMrU/edit"",""2026-27!x4"")"),0.0)</f>
        <v>0</v>
      </c>
      <c r="AX169" s="59">
        <f>IFERROR(__xludf.DUMMYFUNCTION("importrange(""https://docs.google.com/spreadsheets/u/0/d/1wgoE9YmekdfKzULca0LbO2VFRLCTKVsd9GkdeFDZMrU/edit"",""2026-27!x3"")"),0.0)</f>
        <v>0</v>
      </c>
      <c r="AY169" s="59">
        <f>IFERROR(__xludf.DUMMYFUNCTION("importrange(""https://docs.google.com/spreadsheets/u/0/d/1wgoE9YmekdfKzULca0LbO2VFRLCTKVsd9GkdeFDZMrU/edit"",""2026-27!y4"")"),0.0)</f>
        <v>0</v>
      </c>
      <c r="AZ169" s="59">
        <f>IFERROR(__xludf.DUMMYFUNCTION("importrange(""https://docs.google.com/spreadsheets/u/0/d/1wgoE9YmekdfKzULca0LbO2VFRLCTKVsd9GkdeFDZMrU/edit"",""2026-27!y3"")"),0.0)</f>
        <v>0</v>
      </c>
      <c r="BA169" s="61">
        <f>IFERROR(__xludf.DUMMYFUNCTION("importrange(""https://docs.google.com/spreadsheets/u/0/d/1wgoE9YmekdfKzULca0LbO2VFRLCTKVsd9GkdeFDZMrU/edit"",""2026-27!z4"")"),0.0)</f>
        <v>0</v>
      </c>
      <c r="BB169" s="59">
        <f>IFERROR(__xludf.DUMMYFUNCTION("importrange(""https://docs.google.com/spreadsheets/u/0/d/1wgoE9YmekdfKzULca0LbO2VFRLCTKVsd9GkdeFDZMrU/edit"",""2026-27!z3"")"),0.0)</f>
        <v>0</v>
      </c>
      <c r="BC169" s="63" t="str">
        <f t="shared" si="152"/>
        <v/>
      </c>
      <c r="BD169" s="59">
        <f>IFERROR(__xludf.DUMMYFUNCTION("importrange(""https://docs.google.com/spreadsheets/u/0/d/1wgoE9YmekdfKzULca0LbO2VFRLCTKVsd9GkdeFDZMrU/edit"",""2026-27!aa4"")"),0.0)</f>
        <v>0</v>
      </c>
      <c r="BE169" s="59">
        <f>IFERROR(__xludf.DUMMYFUNCTION("importrange(""https://docs.google.com/spreadsheets/u/0/d/1wgoE9YmekdfKzULca0LbO2VFRLCTKVsd9GkdeFDZMrU/edit"",""2026-27!aa3"")"),0.0)</f>
        <v>0</v>
      </c>
      <c r="BF169" s="59">
        <f>IFERROR(__xludf.DUMMYFUNCTION("importrange(""https://docs.google.com/spreadsheets/u/0/d/1wgoE9YmekdfKzULca0LbO2VFRLCTKVsd9GkdeFDZMrU/edit"",""2026-27!ab4"")"),0.0)</f>
        <v>0</v>
      </c>
      <c r="BG169" s="59">
        <f>IFERROR(__xludf.DUMMYFUNCTION("importrange(""https://docs.google.com/spreadsheets/u/0/d/1wgoE9YmekdfKzULca0LbO2VFRLCTKVsd9GkdeFDZMrU/edit"",""2026-27!ab3"")"),0.0)</f>
        <v>0</v>
      </c>
      <c r="BH169" s="59">
        <f>IFERROR(__xludf.DUMMYFUNCTION("importrange(""https://docs.google.com/spreadsheets/u/0/d/1wgoE9YmekdfKzULca0LbO2VFRLCTKVsd9GkdeFDZMrU/edit"",""2026-27!ac4"")"),0.0)</f>
        <v>0</v>
      </c>
      <c r="BI169" s="59">
        <f>IFERROR(__xludf.DUMMYFUNCTION("importrange(""https://docs.google.com/spreadsheets/u/0/d/1wgoE9YmekdfKzULca0LbO2VFRLCTKVsd9GkdeFDZMrU/edit"",""2026-27!ac3"")"),0.0)</f>
        <v>0</v>
      </c>
      <c r="BJ169" s="63" t="str">
        <f t="shared" si="153"/>
        <v/>
      </c>
      <c r="BK169" s="59">
        <f>IFERROR(__xludf.DUMMYFUNCTION("importrange(""https://docs.google.com/spreadsheets/u/0/d/1wgoE9YmekdfKzULca0LbO2VFRLCTKVsd9GkdeFDZMrU/edit"",""2026-27!ad4"")"),0.0)</f>
        <v>0</v>
      </c>
      <c r="BL169" s="59">
        <f>IFERROR(__xludf.DUMMYFUNCTION("importrange(""https://docs.google.com/spreadsheets/u/0/d/1wgoE9YmekdfKzULca0LbO2VFRLCTKVsd9GkdeFDZMrU/edit"",""2026-27!ad3"")"),0.0)</f>
        <v>0</v>
      </c>
      <c r="BM169" s="59">
        <f>IFERROR(__xludf.DUMMYFUNCTION("importrange(""https://docs.google.com/spreadsheets/u/0/d/1wgoE9YmekdfKzULca0LbO2VFRLCTKVsd9GkdeFDZMrU/edit"",""2026-27!ae4"")"),0.0)</f>
        <v>0</v>
      </c>
      <c r="BN169" s="59">
        <f>IFERROR(__xludf.DUMMYFUNCTION("importrange(""https://docs.google.com/spreadsheets/u/0/d/1wgoE9YmekdfKzULca0LbO2VFRLCTKVsd9GkdeFDZMrU/edit"",""2026-27!ae3"")"),0.0)</f>
        <v>0</v>
      </c>
      <c r="BO169" s="59">
        <f>IFERROR(__xludf.DUMMYFUNCTION("importrange(""https://docs.google.com/spreadsheets/u/0/d/1wgoE9YmekdfKzULca0LbO2VFRLCTKVsd9GkdeFDZMrU/edit"",""2026-27!af4"")"),0.0)</f>
        <v>0</v>
      </c>
      <c r="BP169" s="59">
        <f>IFERROR(__xludf.DUMMYFUNCTION("importrange(""https://docs.google.com/spreadsheets/u/0/d/1wgoE9YmekdfKzULca0LbO2VFRLCTKVsd9GkdeFDZMrU/edit"",""2026-27!af3"")"),0.0)</f>
        <v>0</v>
      </c>
      <c r="BQ169" s="63" t="str">
        <f t="shared" si="154"/>
        <v/>
      </c>
      <c r="BR169" s="59">
        <f>IFERROR(__xludf.DUMMYFUNCTION("importrange(""https://docs.google.com/spreadsheets/u/0/d/1wgoE9YmekdfKzULca0LbO2VFRLCTKVsd9GkdeFDZMrU/edit"",""2026-27!ag4"")"),0.0)</f>
        <v>0</v>
      </c>
      <c r="BS169" s="59">
        <f>IFERROR(__xludf.DUMMYFUNCTION("importrange(""https://docs.google.com/spreadsheets/u/0/d/1wgoE9YmekdfKzULca0LbO2VFRLCTKVsd9GkdeFDZMrU/edit"",""2026-27!ag3"")"),0.0)</f>
        <v>0</v>
      </c>
      <c r="BT169" s="59">
        <f>IFERROR(__xludf.DUMMYFUNCTION("importrange(""https://docs.google.com/spreadsheets/u/0/d/1wgoE9YmekdfKzULca0LbO2VFRLCTKVsd9GkdeFDZMrU/edit"",""2026-27!ah4"")"),0.0)</f>
        <v>0</v>
      </c>
      <c r="BU169" s="59">
        <f>IFERROR(__xludf.DUMMYFUNCTION("importrange(""https://docs.google.com/spreadsheets/u/0/d/1wgoE9YmekdfKzULca0LbO2VFRLCTKVsd9GkdeFDZMrU/edit"",""2026-27!ah3"")"),0.0)</f>
        <v>0</v>
      </c>
      <c r="BV169" s="59">
        <f>IFERROR(__xludf.DUMMYFUNCTION("importrange(""https://docs.google.com/spreadsheets/u/0/d/1wgoE9YmekdfKzULca0LbO2VFRLCTKVsd9GkdeFDZMrU/edit"",""2026-27!ai4"")"),0.0)</f>
        <v>0</v>
      </c>
      <c r="BW169" s="59">
        <f>IFERROR(__xludf.DUMMYFUNCTION("importrange(""https://docs.google.com/spreadsheets/u/0/d/1wgoE9YmekdfKzULca0LbO2VFRLCTKVsd9GkdeFDZMrU/edit"",""2026-27!ai3"")"),0.0)</f>
        <v>0</v>
      </c>
      <c r="BX169" s="63" t="str">
        <f t="shared" si="155"/>
        <v/>
      </c>
      <c r="BY169" s="59">
        <f>IFERROR(__xludf.DUMMYFUNCTION("importrange(""https://docs.google.com/spreadsheets/u/0/d/1wgoE9YmekdfKzULca0LbO2VFRLCTKVsd9GkdeFDZMrU/edit"",""2026-27!aj4"")"),0.0)</f>
        <v>0</v>
      </c>
      <c r="BZ169" s="59">
        <f>IFERROR(__xludf.DUMMYFUNCTION("importrange(""https://docs.google.com/spreadsheets/u/0/d/1wgoE9YmekdfKzULca0LbO2VFRLCTKVsd9GkdeFDZMrU/edit"",""2026-27!aj3"")"),0.0)</f>
        <v>0</v>
      </c>
      <c r="CA169" s="59">
        <f>IFERROR(__xludf.DUMMYFUNCTION("importrange(""https://docs.google.com/spreadsheets/u/0/d/1wgoE9YmekdfKzULca0LbO2VFRLCTKVsd9GkdeFDZMrU/edit"",""2026-27!ak4"")"),0.0)</f>
        <v>0</v>
      </c>
      <c r="CB169" s="59">
        <f>IFERROR(__xludf.DUMMYFUNCTION("importrange(""https://docs.google.com/spreadsheets/u/0/d/1wgoE9YmekdfKzULca0LbO2VFRLCTKVsd9GkdeFDZMrU/edit"",""2026-27!ak3"")"),0.0)</f>
        <v>0</v>
      </c>
      <c r="CC169" s="59">
        <f>IFERROR(__xludf.DUMMYFUNCTION("importrange(""https://docs.google.com/spreadsheets/u/0/d/1wgoE9YmekdfKzULca0LbO2VFRLCTKVsd9GkdeFDZMrU/edit"",""2026-27!al4"")"),0.0)</f>
        <v>0</v>
      </c>
      <c r="CD169" s="59">
        <f>IFERROR(__xludf.DUMMYFUNCTION("importrange(""https://docs.google.com/spreadsheets/u/0/d/1wgoE9YmekdfKzULca0LbO2VFRLCTKVsd9GkdeFDZMrU/edit"",""2026-27!ai3"")"),0.0)</f>
        <v>0</v>
      </c>
      <c r="CE169" s="63" t="str">
        <f t="shared" si="156"/>
        <v/>
      </c>
      <c r="CF169" s="59">
        <f>IFERROR(__xludf.DUMMYFUNCTION("importrange(""https://docs.google.com/spreadsheets/u/0/d/1wgoE9YmekdfKzULca0LbO2VFRLCTKVsd9GkdeFDZMrU/edit"",""2026-27!am4"")"),0.0)</f>
        <v>0</v>
      </c>
      <c r="CG169" s="59">
        <f>IFERROR(__xludf.DUMMYFUNCTION("importrange(""https://docs.google.com/spreadsheets/u/0/d/1wgoE9YmekdfKzULca0LbO2VFRLCTKVsd9GkdeFDZMrU/edit"",""2026-27!am3"")"),0.0)</f>
        <v>0</v>
      </c>
      <c r="CH169" s="59">
        <f>IFERROR(__xludf.DUMMYFUNCTION("importrange(""https://docs.google.com/spreadsheets/u/0/d/1wgoE9YmekdfKzULca0LbO2VFRLCTKVsd9GkdeFDZMrU/edit"",""2026-27!an4"")"),0.0)</f>
        <v>0</v>
      </c>
      <c r="CI169" s="59">
        <f>IFERROR(__xludf.DUMMYFUNCTION("importrange(""https://docs.google.com/spreadsheets/u/0/d/1wgoE9YmekdfKzULca0LbO2VFRLCTKVsd9GkdeFDZMrU/edit"",""2026-27!an3"")"),0.0)</f>
        <v>0</v>
      </c>
      <c r="CJ169" s="59">
        <f>IFERROR(__xludf.DUMMYFUNCTION("importrange(""https://docs.google.com/spreadsheets/u/0/d/1wgoE9YmekdfKzULca0LbO2VFRLCTKVsd9GkdeFDZMrU/edit"",""2026-27!ao4"")"),0.0)</f>
        <v>0</v>
      </c>
      <c r="CK169" s="59">
        <f>IFERROR(__xludf.DUMMYFUNCTION("importrange(""https://docs.google.com/spreadsheets/u/0/d/1wgoE9YmekdfKzULca0LbO2VFRLCTKVsd9GkdeFDZMrU/edit"",""2026-27!ao3"")"),0.0)</f>
        <v>0</v>
      </c>
      <c r="CL169" s="63" t="str">
        <f t="shared" si="157"/>
        <v/>
      </c>
      <c r="CM169" s="59">
        <f>IFERROR(__xludf.DUMMYFUNCTION("importrange(""https://docs.google.com/spreadsheets/u/0/d/1wgoE9YmekdfKzULca0LbO2VFRLCTKVsd9GkdeFDZMrU/edit"",""2026-27!ap4"")"),0.0)</f>
        <v>0</v>
      </c>
      <c r="CN169" s="59">
        <f>IFERROR(__xludf.DUMMYFUNCTION("importrange(""https://docs.google.com/spreadsheets/u/0/d/1wgoE9YmekdfKzULca0LbO2VFRLCTKVsd9GkdeFDZMrU/edit"",""2026-27!ap3"")"),0.0)</f>
        <v>0</v>
      </c>
      <c r="CO169" s="59">
        <f>IFERROR(__xludf.DUMMYFUNCTION("importrange(""https://docs.google.com/spreadsheets/u/0/d/1wgoE9YmekdfKzULca0LbO2VFRLCTKVsd9GkdeFDZMrU/edit"",""2026-27!aq4"")"),0.0)</f>
        <v>0</v>
      </c>
      <c r="CP169" s="59">
        <f>IFERROR(__xludf.DUMMYFUNCTION("importrange(""https://docs.google.com/spreadsheets/u/0/d/1wgoE9YmekdfKzULca0LbO2VFRLCTKVsd9GkdeFDZMrU/edit"",""2026-27!aq3"")"),0.0)</f>
        <v>0</v>
      </c>
      <c r="CQ169" s="59">
        <f>IFERROR(__xludf.DUMMYFUNCTION("importrange(""https://docs.google.com/spreadsheets/u/0/d/1wgoE9YmekdfKzULca0LbO2VFRLCTKVsd9GkdeFDZMrU/edit"",""2026-27!ar4"")"),0.0)</f>
        <v>0</v>
      </c>
      <c r="CR169" s="59">
        <f>IFERROR(__xludf.DUMMYFUNCTION("importrange(""https://docs.google.com/spreadsheets/u/0/d/1wgoE9YmekdfKzULca0LbO2VFRLCTKVsd9GkdeFDZMrU/edit"",""2026-27!ar3"")"),0.0)</f>
        <v>0</v>
      </c>
      <c r="CS169" s="63" t="str">
        <f t="shared" si="158"/>
        <v/>
      </c>
      <c r="CT169" s="59">
        <f>IFERROR(__xludf.DUMMYFUNCTION("importrange(""https://docs.google.com/spreadsheets/u/0/d/1wgoE9YmekdfKzULca0LbO2VFRLCTKVsd9GkdeFDZMrU/edit"",""2026-27!as4"")"),0.0)</f>
        <v>0</v>
      </c>
      <c r="CU169" s="59">
        <f>IFERROR(__xludf.DUMMYFUNCTION("importrange(""https://docs.google.com/spreadsheets/u/0/d/1wgoE9YmekdfKzULca0LbO2VFRLCTKVsd9GkdeFDZMrU/edit"",""2026-27!as3"")"),0.0)</f>
        <v>0</v>
      </c>
      <c r="CV169" s="64"/>
    </row>
    <row r="170">
      <c r="A170" s="82" t="s">
        <v>48</v>
      </c>
      <c r="B170" s="155" t="s">
        <v>48</v>
      </c>
      <c r="C170" s="163" t="s">
        <v>324</v>
      </c>
      <c r="D170" s="69" t="s">
        <v>325</v>
      </c>
      <c r="E170" s="72">
        <v>8.930359466E9</v>
      </c>
      <c r="F170" s="70">
        <v>45992.0</v>
      </c>
      <c r="G170" s="5"/>
      <c r="H170" s="5"/>
      <c r="I170" s="74">
        <v>24116.0</v>
      </c>
      <c r="J170" s="58"/>
      <c r="K170" s="59">
        <f>IFERROR(__xludf.DUMMYFUNCTION("IMPORTRANGE(""1hBER3zTZpkPEdxBS-u7qW1ycgJwvdCYaiyqb9HCWGHk"",""2026-27!A3"")"),38.0)</f>
        <v>38</v>
      </c>
      <c r="L170" s="59">
        <f>IFERROR(__xludf.DUMMYFUNCTION("IMPORTRANGE(""1hBER3zTZpkPEdxBS-u7qW1ycgJwvdCYaiyqb9HCWGHk"",""2026-27!G4"")"),0.0)</f>
        <v>0</v>
      </c>
      <c r="M170" s="59">
        <f>R170+Y170+AF170+AM170+AT170+BA170+BH170+BO170+BV170+CC170+CJ170+CQ170</f>
        <v>0</v>
      </c>
      <c r="N170" s="60" t="str">
        <f t="shared" si="145"/>
        <v/>
      </c>
      <c r="O170" s="61">
        <f>U170+AB170+AI170+AP170+AW170+BD170+BK170+BR170+BY170+CF170+CM170+CT170</f>
        <v>0</v>
      </c>
      <c r="P170" s="59">
        <f>IFERROR(__xludf.DUMMYFUNCTION("IMPORTRANGE(""1hBER3zTZpkPEdxBS-u7qW1ycgJwvdCYaiyqb9HCWGHk"",""2026-27!J4"")"),0.0)</f>
        <v>0</v>
      </c>
      <c r="Q170" s="59">
        <f>IFERROR(__xludf.DUMMYFUNCTION("IMPORTRANGE(""1hBER3zTZpkPEdxBS-u7qW1ycgJwvdCYaiyqb9HCWGHk"",""2026-27!J3"")"),0.0)</f>
        <v>0</v>
      </c>
      <c r="R170" s="59">
        <f>IFERROR(__xludf.DUMMYFUNCTION("IMPORTRANGE(""1hBER3zTZpkPEdxBS-u7qW1ycgJwvdCYaiyqb9HCWGHk"",""2026-27!K4"")"),0.0)</f>
        <v>0</v>
      </c>
      <c r="S170" s="59">
        <f>IFERROR(__xludf.DUMMYFUNCTION("IMPORTRANGE(""1hBER3zTZpkPEdxBS-u7qW1ycgJwvdCYaiyqb9HCWGHk"",""2026-27!K3"")"),0.0)</f>
        <v>0</v>
      </c>
      <c r="T170" s="62" t="str">
        <f t="shared" si="147"/>
        <v/>
      </c>
      <c r="U170" s="59">
        <f>IFERROR(__xludf.DUMMYFUNCTION("IMPORTRANGE(""1hBER3zTZpkPEdxBS-u7qW1ycgJwvdCYaiyqb9HCWGHk"",""2026-27!L4"")"),0.0)</f>
        <v>0</v>
      </c>
      <c r="V170" s="59">
        <f>IFERROR(__xludf.DUMMYFUNCTION("IMPORTRANGE(""1hBER3zTZpkPEdxBS-u7qW1ycgJwvdCYaiyqb9HCWGHk"",""2026-27!L3"")"),0.0)</f>
        <v>0</v>
      </c>
      <c r="W170" s="59">
        <f>IFERROR(__xludf.DUMMYFUNCTION("IMPORTRANGE(""1hBER3zTZpkPEdxBS-u7qW1ycgJwvdCYaiyqb9HCWGHk"",""2026-27!m4"")"),0.0)</f>
        <v>0</v>
      </c>
      <c r="X170" s="59">
        <f>IFERROR(__xludf.DUMMYFUNCTION("IMPORTRANGE(""1hBER3zTZpkPEdxBS-u7qW1ycgJwvdCYaiyqb9HCWGHk"",""2026-27!m3"")"),0.0)</f>
        <v>0</v>
      </c>
      <c r="Y170" s="59">
        <f>IFERROR(__xludf.DUMMYFUNCTION("IMPORTRANGE(""1hBER3zTZpkPEdxBS-u7qW1ycgJwvdCYaiyqb9HCWGHk"",""2026-27!N4"")"),0.0)</f>
        <v>0</v>
      </c>
      <c r="Z170" s="59">
        <f>IFERROR(__xludf.DUMMYFUNCTION("IMPORTRANGE(""1hBER3zTZpkPEdxBS-u7qW1ycgJwvdCYaiyqb9HCWGHk"",""2026-27!N3"")"),0.0)</f>
        <v>0</v>
      </c>
      <c r="AA170" s="62" t="str">
        <f t="shared" si="148"/>
        <v/>
      </c>
      <c r="AB170" s="59">
        <f>IFERROR(__xludf.DUMMYFUNCTION("IMPORTRANGE(""1hBER3zTZpkPEdxBS-u7qW1ycgJwvdCYaiyqb9HCWGHk"",""2026-27!O4"")"),0.0)</f>
        <v>0</v>
      </c>
      <c r="AC170" s="59">
        <f>IFERROR(__xludf.DUMMYFUNCTION("IMPORTRANGE(""1hBER3zTZpkPEdxBS-u7qW1ycgJwvdCYaiyqb9HCWGHk"",""2026-27!O3"")"),0.0)</f>
        <v>0</v>
      </c>
      <c r="AD170" s="59">
        <f>IFERROR(__xludf.DUMMYFUNCTION("IMPORTRANGE(""1hBER3zTZpkPEdxBS-u7qW1ycgJwvdCYaiyqb9HCWGHk"",""2026-27!P4"")"),0.0)</f>
        <v>0</v>
      </c>
      <c r="AE170" s="59">
        <f>IFERROR(__xludf.DUMMYFUNCTION("IMPORTRANGE(""1hBER3zTZpkPEdxBS-u7qW1ycgJwvdCYaiyqb9HCWGHk"",""2026-27!P3"")"),0.0)</f>
        <v>0</v>
      </c>
      <c r="AF170" s="59">
        <f>IFERROR(__xludf.DUMMYFUNCTION("IMPORTRANGE(""1hBER3zTZpkPEdxBS-u7qW1ycgJwvdCYaiyqb9HCWGHk"",""2026-27!Q4"")"),0.0)</f>
        <v>0</v>
      </c>
      <c r="AG170" s="59">
        <f>IFERROR(__xludf.DUMMYFUNCTION("IMPORTRANGE(""1hBER3zTZpkPEdxBS-u7qW1ycgJwvdCYaiyqb9HCWGHk"",""2026-27!Q3"")"),0.0)</f>
        <v>0</v>
      </c>
      <c r="AH170" s="62" t="str">
        <f t="shared" si="149"/>
        <v/>
      </c>
      <c r="AI170" s="59">
        <f>IFERROR(__xludf.DUMMYFUNCTION("IMPORTRANGE(""1hBER3zTZpkPEdxBS-u7qW1ycgJwvdCYaiyqb9HCWGHk"",""2026-27!R4"")"),0.0)</f>
        <v>0</v>
      </c>
      <c r="AJ170" s="59">
        <f>IFERROR(__xludf.DUMMYFUNCTION("IMPORTRANGE(""1hBER3zTZpkPEdxBS-u7qW1ycgJwvdCYaiyqb9HCWGHk"",""2026-27!R3"")"),0.0)</f>
        <v>0</v>
      </c>
      <c r="AK170" s="59">
        <f>IFERROR(__xludf.DUMMYFUNCTION("IMPORTRANGE(""1hBER3zTZpkPEdxBS-u7qW1ycgJwvdCYaiyqb9HCWGHk"",""2026-27!S4"")"),0.0)</f>
        <v>0</v>
      </c>
      <c r="AL170" s="59">
        <f>IFERROR(__xludf.DUMMYFUNCTION("IMPORTRANGE(""1hBER3zTZpkPEdxBS-u7qW1ycgJwvdCYaiyqb9HCWGHk"",""2026-27!S3"")"),0.0)</f>
        <v>0</v>
      </c>
      <c r="AM170" s="59">
        <f>IFERROR(__xludf.DUMMYFUNCTION("IMPORTRANGE(""1hBER3zTZpkPEdxBS-u7qW1ycgJwvdCYaiyqb9HCWGHk"",""2026-27!T4"")"),0.0)</f>
        <v>0</v>
      </c>
      <c r="AN170" s="59">
        <f>IFERROR(__xludf.DUMMYFUNCTION("IMPORTRANGE(""1hBER3zTZpkPEdxBS-u7qW1ycgJwvdCYaiyqb9HCWGHk"",""2026-27!T3"")"),0.0)</f>
        <v>0</v>
      </c>
      <c r="AO170" s="62" t="str">
        <f t="shared" si="150"/>
        <v/>
      </c>
      <c r="AP170" s="59">
        <f>IFERROR(__xludf.DUMMYFUNCTION("IMPORTRANGE(""1hBER3zTZpkPEdxBS-u7qW1ycgJwvdCYaiyqb9HCWGHk"",""2026-27!U4"")"),0.0)</f>
        <v>0</v>
      </c>
      <c r="AQ170" s="59">
        <f>IFERROR(__xludf.DUMMYFUNCTION("IMPORTRANGE(""1hBER3zTZpkPEdxBS-u7qW1ycgJwvdCYaiyqb9HCWGHk"",""2026-27!U3"")"),0.0)</f>
        <v>0</v>
      </c>
      <c r="AR170" s="59">
        <f>IFERROR(__xludf.DUMMYFUNCTION("IMPORTRANGE(""1hBER3zTZpkPEdxBS-u7qW1ycgJwvdCYaiyqb9HCWGHk"",""2026-27!V4"")"),0.0)</f>
        <v>0</v>
      </c>
      <c r="AS170" s="59">
        <f>IFERROR(__xludf.DUMMYFUNCTION("IMPORTRANGE(""1hBER3zTZpkPEdxBS-u7qW1ycgJwvdCYaiyqb9HCWGHk"",""2026-27!V3"")"),0.0)</f>
        <v>0</v>
      </c>
      <c r="AT170" s="59">
        <f>IFERROR(__xludf.DUMMYFUNCTION("IMPORTRANGE(""1hBER3zTZpkPEdxBS-u7qW1ycgJwvdCYaiyqb9HCWGHk"",""2026-27!W4"")"),0.0)</f>
        <v>0</v>
      </c>
      <c r="AU170" s="59">
        <f>IFERROR(__xludf.DUMMYFUNCTION("IMPORTRANGE(""1hBER3zTZpkPEdxBS-u7qW1ycgJwvdCYaiyqb9HCWGHk"",""2026-27!W3"")"),0.0)</f>
        <v>0</v>
      </c>
      <c r="AV170" s="62" t="str">
        <f t="shared" si="151"/>
        <v/>
      </c>
      <c r="AW170" s="59">
        <f>IFERROR(__xludf.DUMMYFUNCTION("IMPORTRANGE(""1hBER3zTZpkPEdxBS-u7qW1ycgJwvdCYaiyqb9HCWGHk"",""2026-27!X4"")"),0.0)</f>
        <v>0</v>
      </c>
      <c r="AX170" s="59">
        <f>IFERROR(__xludf.DUMMYFUNCTION("IMPORTRANGE(""1hBER3zTZpkPEdxBS-u7qW1ycgJwvdCYaiyqb9HCWGHk"",""2026-27!X3"")"),0.0)</f>
        <v>0</v>
      </c>
      <c r="AY170" s="59">
        <f>IFERROR(__xludf.DUMMYFUNCTION("IMPORTRANGE(""1hBER3zTZpkPEdxBS-u7qW1ycgJwvdCYaiyqb9HCWGHk"",""2026-27!Y4"")"),0.0)</f>
        <v>0</v>
      </c>
      <c r="AZ170" s="59">
        <f>IFERROR(__xludf.DUMMYFUNCTION("IMPORTRANGE(""1hBER3zTZpkPEdxBS-u7qW1ycgJwvdCYaiyqb9HCWGHk"",""2026-27!Y3"")"),0.0)</f>
        <v>0</v>
      </c>
      <c r="BA170" s="59">
        <f>IFERROR(__xludf.DUMMYFUNCTION("IMPORTRANGE(""1hBER3zTZpkPEdxBS-u7qW1ycgJwvdCYaiyqb9HCWGHk"",""2026-27!Z4"")"),0.0)</f>
        <v>0</v>
      </c>
      <c r="BB170" s="59">
        <f>IFERROR(__xludf.DUMMYFUNCTION("IMPORTRANGE(""1hBER3zTZpkPEdxBS-u7qW1ycgJwvdCYaiyqb9HCWGHk"",""2026-27!Z3"")"),0.0)</f>
        <v>0</v>
      </c>
      <c r="BC170" s="63" t="str">
        <f t="shared" si="152"/>
        <v/>
      </c>
      <c r="BD170" s="59">
        <f>IFERROR(__xludf.DUMMYFUNCTION("IMPORTRANGE(""1hBER3zTZpkPEdxBS-u7qW1ycgJwvdCYaiyqb9HCWGHk"",""2026-27!AA4"")"),0.0)</f>
        <v>0</v>
      </c>
      <c r="BE170" s="59">
        <f>IFERROR(__xludf.DUMMYFUNCTION("IMPORTRANGE(""1hBER3zTZpkPEdxBS-u7qW1ycgJwvdCYaiyqb9HCWGHk"",""2026-27!AA3"")"),0.0)</f>
        <v>0</v>
      </c>
      <c r="BF170" s="59">
        <f>IFERROR(__xludf.DUMMYFUNCTION("IMPORTRANGE(""1hBER3zTZpkPEdxBS-u7qW1ycgJwvdCYaiyqb9HCWGHk"",""2026-27!AB4"")"),0.0)</f>
        <v>0</v>
      </c>
      <c r="BG170" s="59">
        <f>IFERROR(__xludf.DUMMYFUNCTION("IMPORTRANGE(""1hBER3zTZpkPEdxBS-u7qW1ycgJwvdCYaiyqb9HCWGHk"",""2026-27!AB3"")"),0.0)</f>
        <v>0</v>
      </c>
      <c r="BH170" s="59">
        <f>IFERROR(__xludf.DUMMYFUNCTION("IMPORTRANGE(""1hBER3zTZpkPEdxBS-u7qW1ycgJwvdCYaiyqb9HCWGHk"",""2026-27!AC4"")"),0.0)</f>
        <v>0</v>
      </c>
      <c r="BI170" s="59">
        <f>IFERROR(__xludf.DUMMYFUNCTION("IMPORTRANGE(""1hBER3zTZpkPEdxBS-u7qW1ycgJwvdCYaiyqb9HCWGHk"",""2026-27!AC3"")"),0.0)</f>
        <v>0</v>
      </c>
      <c r="BJ170" s="63" t="str">
        <f t="shared" si="153"/>
        <v/>
      </c>
      <c r="BK170" s="59">
        <f>IFERROR(__xludf.DUMMYFUNCTION("IMPORTRANGE(""1hBER3zTZpkPEdxBS-u7qW1ycgJwvdCYaiyqb9HCWGHk"",""2026-27!AD4"")"),0.0)</f>
        <v>0</v>
      </c>
      <c r="BL170" s="59">
        <f>IFERROR(__xludf.DUMMYFUNCTION("IMPORTRANGE(""1hBER3zTZpkPEdxBS-u7qW1ycgJwvdCYaiyqb9HCWGHk"",""2026-27!AD3"")"),0.0)</f>
        <v>0</v>
      </c>
      <c r="BM170" s="59">
        <f>IFERROR(__xludf.DUMMYFUNCTION("IMPORTRANGE(""1hBER3zTZpkPEdxBS-u7qW1ycgJwvdCYaiyqb9HCWGHk"",""2026-27!AE4"")"),0.0)</f>
        <v>0</v>
      </c>
      <c r="BN170" s="59">
        <f>IFERROR(__xludf.DUMMYFUNCTION("IMPORTRANGE(""1hBER3zTZpkPEdxBS-u7qW1ycgJwvdCYaiyqb9HCWGHk"",""2026-27!AE3"")"),0.0)</f>
        <v>0</v>
      </c>
      <c r="BO170" s="59">
        <f>IFERROR(__xludf.DUMMYFUNCTION("IMPORTRANGE(""1hBER3zTZpkPEdxBS-u7qW1ycgJwvdCYaiyqb9HCWGHk"",""2026-27!AF4"")"),0.0)</f>
        <v>0</v>
      </c>
      <c r="BP170" s="59">
        <f>IFERROR(__xludf.DUMMYFUNCTION("IMPORTRANGE(""1hBER3zTZpkPEdxBS-u7qW1ycgJwvdCYaiyqb9HCWGHk"",""2026-27!AF3"")"),0.0)</f>
        <v>0</v>
      </c>
      <c r="BQ170" s="63" t="str">
        <f t="shared" si="154"/>
        <v/>
      </c>
      <c r="BR170" s="59">
        <f>IFERROR(__xludf.DUMMYFUNCTION("IMPORTRANGE(""1hBER3zTZpkPEdxBS-u7qW1ycgJwvdCYaiyqb9HCWGHk"",""2026-27!AG4"")"),0.0)</f>
        <v>0</v>
      </c>
      <c r="BS170" s="59">
        <f>IFERROR(__xludf.DUMMYFUNCTION("IMPORTRANGE(""1hBER3zTZpkPEdxBS-u7qW1ycgJwvdCYaiyqb9HCWGHk"",""2026-27!AG3"")"),0.0)</f>
        <v>0</v>
      </c>
      <c r="BT170" s="59">
        <f>IFERROR(__xludf.DUMMYFUNCTION("IMPORTRANGE(""1hBER3zTZpkPEdxBS-u7qW1ycgJwvdCYaiyqb9HCWGHk"",""2026-27!AH4"")"),0.0)</f>
        <v>0</v>
      </c>
      <c r="BU170" s="59">
        <f>IFERROR(__xludf.DUMMYFUNCTION("IMPORTRANGE(""1hBER3zTZpkPEdxBS-u7qW1ycgJwvdCYaiyqb9HCWGHk"",""2026-27!AH3"")"),0.0)</f>
        <v>0</v>
      </c>
      <c r="BV170" s="59">
        <f>IFERROR(__xludf.DUMMYFUNCTION("IMPORTRANGE(""1hBER3zTZpkPEdxBS-u7qW1ycgJwvdCYaiyqb9HCWGHk"",""2026-27!AI4"")"),0.0)</f>
        <v>0</v>
      </c>
      <c r="BW170" s="59">
        <f>IFERROR(__xludf.DUMMYFUNCTION("IMPORTRANGE(""1hBER3zTZpkPEdxBS-u7qW1ycgJwvdCYaiyqb9HCWGHk"",""2026-27!AI3"")"),0.0)</f>
        <v>0</v>
      </c>
      <c r="BX170" s="63" t="str">
        <f t="shared" si="155"/>
        <v/>
      </c>
      <c r="BY170" s="59">
        <f>IFERROR(__xludf.DUMMYFUNCTION("IMPORTRANGE(""1hBER3zTZpkPEdxBS-u7qW1ycgJwvdCYaiyqb9HCWGHk"",""2026-27!AJ4"")"),0.0)</f>
        <v>0</v>
      </c>
      <c r="BZ170" s="59">
        <f>IFERROR(__xludf.DUMMYFUNCTION("IMPORTRANGE(""1hBER3zTZpkPEdxBS-u7qW1ycgJwvdCYaiyqb9HCWGHk"",""2026-27!AJ3"")"),0.0)</f>
        <v>0</v>
      </c>
      <c r="CA170" s="59">
        <f>IFERROR(__xludf.DUMMYFUNCTION("IMPORTRANGE(""1hBER3zTZpkPEdxBS-u7qW1ycgJwvdCYaiyqb9HCWGHk"",""2026-27!AK4"")"),0.0)</f>
        <v>0</v>
      </c>
      <c r="CB170" s="59">
        <f>IFERROR(__xludf.DUMMYFUNCTION("IMPORTRANGE(""1hBER3zTZpkPEdxBS-u7qW1ycgJwvdCYaiyqb9HCWGHk"",""2026-27!AK3"")"),0.0)</f>
        <v>0</v>
      </c>
      <c r="CC170" s="59">
        <f>IFERROR(__xludf.DUMMYFUNCTION("IMPORTRANGE(""1hBER3zTZpkPEdxBS-u7qW1ycgJwvdCYaiyqb9HCWGHk"",""2026-27!AL4"")"),0.0)</f>
        <v>0</v>
      </c>
      <c r="CD170" s="59">
        <f>IFERROR(__xludf.DUMMYFUNCTION("IMPORTRANGE(""1hBER3zTZpkPEdxBS-u7qW1ycgJwvdCYaiyqb9HCWGHk"",""2026-27!AL3"")"),0.0)</f>
        <v>0</v>
      </c>
      <c r="CE170" s="63" t="str">
        <f t="shared" si="156"/>
        <v/>
      </c>
      <c r="CF170" s="59">
        <f>IFERROR(__xludf.DUMMYFUNCTION("IMPORTRANGE(""1hBER3zTZpkPEdxBS-u7qW1ycgJwvdCYaiyqb9HCWGHk"",""2026-27!AM4"")"),0.0)</f>
        <v>0</v>
      </c>
      <c r="CG170" s="59">
        <f>IFERROR(__xludf.DUMMYFUNCTION("IMPORTRANGE(""1hBER3zTZpkPEdxBS-u7qW1ycgJwvdCYaiyqb9HCWGHk"",""2026-27!AM3"")"),0.0)</f>
        <v>0</v>
      </c>
      <c r="CH170" s="59">
        <f>IFERROR(__xludf.DUMMYFUNCTION("IMPORTRANGE(""1hBER3zTZpkPEdxBS-u7qW1ycgJwvdCYaiyqb9HCWGHk"",""2026-27!AN4"")"),0.0)</f>
        <v>0</v>
      </c>
      <c r="CI170" s="59">
        <f>IFERROR(__xludf.DUMMYFUNCTION("IMPORTRANGE(""1hBER3zTZpkPEdxBS-u7qW1ycgJwvdCYaiyqb9HCWGHk"",""2026-27!AN3"")"),0.0)</f>
        <v>0</v>
      </c>
      <c r="CJ170" s="59">
        <f>IFERROR(__xludf.DUMMYFUNCTION("IMPORTRANGE(""1hBER3zTZpkPEdxBS-u7qW1ycgJwvdCYaiyqb9HCWGHk"",""2026-27!AO4"")"),0.0)</f>
        <v>0</v>
      </c>
      <c r="CK170" s="59">
        <f>IFERROR(__xludf.DUMMYFUNCTION("IMPORTRANGE(""1hBER3zTZpkPEdxBS-u7qW1ycgJwvdCYaiyqb9HCWGHk"",""2026-27!AO3"")"),0.0)</f>
        <v>0</v>
      </c>
      <c r="CL170" s="63" t="str">
        <f t="shared" si="157"/>
        <v/>
      </c>
      <c r="CM170" s="59">
        <f>IFERROR(__xludf.DUMMYFUNCTION("IMPORTRANGE(""1hBER3zTZpkPEdxBS-u7qW1ycgJwvdCYaiyqb9HCWGHk"",""2026-27!AP4"")"),0.0)</f>
        <v>0</v>
      </c>
      <c r="CN170" s="59">
        <f>IFERROR(__xludf.DUMMYFUNCTION("IMPORTRANGE(""1hBER3zTZpkPEdxBS-u7qW1ycgJwvdCYaiyqb9HCWGHk"",""2026-27!AP3"")"),0.0)</f>
        <v>0</v>
      </c>
      <c r="CO170" s="59">
        <f>IFERROR(__xludf.DUMMYFUNCTION("IMPORTRANGE(""1hBER3zTZpkPEdxBS-u7qW1ycgJwvdCYaiyqb9HCWGHk"",""2026-27!AQ4"")"),0.0)</f>
        <v>0</v>
      </c>
      <c r="CP170" s="59">
        <f>IFERROR(__xludf.DUMMYFUNCTION("IMPORTRANGE(""1hBER3zTZpkPEdxBS-u7qW1ycgJwvdCYaiyqb9HCWGHk"",""2026-27!AQ3"")"),0.0)</f>
        <v>0</v>
      </c>
      <c r="CQ170" s="59">
        <f>IFERROR(__xludf.DUMMYFUNCTION("IMPORTRANGE(""1hBER3zTZpkPEdxBS-u7qW1ycgJwvdCYaiyqb9HCWGHk"",""2026-27!AR4"")"),0.0)</f>
        <v>0</v>
      </c>
      <c r="CR170" s="59">
        <f>IFERROR(__xludf.DUMMYFUNCTION("IMPORTRANGE(""1hBER3zTZpkPEdxBS-u7qW1ycgJwvdCYaiyqb9HCWGHk"",""2026-27!AR3"")"),0.0)</f>
        <v>0</v>
      </c>
      <c r="CS170" s="63" t="str">
        <f t="shared" si="158"/>
        <v/>
      </c>
      <c r="CT170" s="59">
        <f>IFERROR(__xludf.DUMMYFUNCTION("IMPORTRANGE(""1hBER3zTZpkPEdxBS-u7qW1ycgJwvdCYaiyqb9HCWGHk"",""2026-27!AS4"")"),0.0)</f>
        <v>0</v>
      </c>
      <c r="CU170" s="59">
        <f>IFERROR(__xludf.DUMMYFUNCTION("IMPORTRANGE(""1hBER3zTZpkPEdxBS-u7qW1ycgJwvdCYaiyqb9HCWGHk"",""2026-27!AS3"")"),0.0)</f>
        <v>0</v>
      </c>
      <c r="CV170" s="64"/>
    </row>
    <row r="171">
      <c r="A171" s="161" t="s">
        <v>48</v>
      </c>
      <c r="B171" s="155" t="s">
        <v>48</v>
      </c>
      <c r="C171" s="164" t="s">
        <v>326</v>
      </c>
      <c r="D171" s="69" t="s">
        <v>60</v>
      </c>
      <c r="E171" s="72">
        <v>9.991976829E9</v>
      </c>
      <c r="F171" s="70">
        <v>46099.0</v>
      </c>
      <c r="G171" s="66"/>
      <c r="H171" s="66"/>
      <c r="I171" s="74">
        <v>33050.0</v>
      </c>
      <c r="J171" s="58"/>
      <c r="K171" s="61">
        <f>IFERROR(__xludf.DUMMYFUNCTION("IMPORTRANGE(""11pFFApGA7S_oLWWaBAH_IHu_-3C3t_PEHqBcOZme5lQ"",""2026-27!A3"")"),22.0)</f>
        <v>22</v>
      </c>
      <c r="L171" s="61">
        <f>IFERROR(__xludf.DUMMYFUNCTION("IMPORTRANGE(""11pFFApGA7S_oLWWaBAH_IHu_-3C3t_PEHqBcOZme5lQ"",""2026-27!G4"")"),0.0)</f>
        <v>0</v>
      </c>
      <c r="M171" s="61">
        <f>SUM(R171+Y171+AF171+AM171+AT171+BA171+BH171+BO171+BV171+CC171+CJ171+CQ171)</f>
        <v>0</v>
      </c>
      <c r="N171" s="60" t="str">
        <f t="shared" si="145"/>
        <v/>
      </c>
      <c r="O171" s="61">
        <f>SUM(U171,AB171,AI171,AP171,AW171,BD171,BK171,BR171,BY171,CF171,CM171,CT171)</f>
        <v>0</v>
      </c>
      <c r="P171" s="59">
        <f>IFERROR(__xludf.DUMMYFUNCTION("IMPORTRANGE(""11pFFApGA7S_oLWWaBAH_IHu_-3C3t_PEHqBcOZme5lQ"",""2026-27!J4"")"),0.0)</f>
        <v>0</v>
      </c>
      <c r="Q171" s="59">
        <f>IFERROR(__xludf.DUMMYFUNCTION("IMPORTRANGE(""11pFFApGA7S_oLWWaBAH_IHu_-3C3t_PEHqBcOZme5lQ"",""2026-27!J3"")"),0.0)</f>
        <v>0</v>
      </c>
      <c r="R171" s="59">
        <f>IFERROR(__xludf.DUMMYFUNCTION("IMPORTRANGE(""11pFFApGA7S_oLWWaBAH_IHu_-3C3t_PEHqBcOZme5lQ"",""2026-27!K4"")"),0.0)</f>
        <v>0</v>
      </c>
      <c r="S171" s="59">
        <f>IFERROR(__xludf.DUMMYFUNCTION("IMPORTRANGE(""11pFFApGA7S_oLWWaBAH_IHu_-3C3t_PEHqBcOZme5lQ"",""2026-27!K3"")"),0.0)</f>
        <v>0</v>
      </c>
      <c r="T171" s="62" t="str">
        <f t="shared" si="147"/>
        <v/>
      </c>
      <c r="U171" s="59">
        <f>IFERROR(__xludf.DUMMYFUNCTION("IMPORTRANGE(""11pFFApGA7S_oLWWaBAH_IHu_-3C3t_PEHqBcOZme5lQ"",""2026-27!L4"")"),0.0)</f>
        <v>0</v>
      </c>
      <c r="V171" s="85">
        <f>IFERROR(__xludf.DUMMYFUNCTION("IMPORTRANGE(""11pFFApGA7S_oLWWaBAH_IHu_-3C3t_PEHqBcOZme5lQ"",""2026-27!L3"")"),0.0)</f>
        <v>0</v>
      </c>
      <c r="W171" s="59">
        <f>IFERROR(__xludf.DUMMYFUNCTION("IMPORTRANGE(""11pFFApGA7S_oLWWaBAH_IHu_-3C3t_PEHqBcOZme5lQ"",""2026-27!M4"")"),0.0)</f>
        <v>0</v>
      </c>
      <c r="X171" s="85">
        <f>IFERROR(__xludf.DUMMYFUNCTION("IMPORTRANGE(""11pFFApGA7S_oLWWaBAH_IHu_-3C3t_PEHqBcOZme5lQ"",""2026-27!M3"")"),0.0)</f>
        <v>0</v>
      </c>
      <c r="Y171" s="59">
        <f>IFERROR(__xludf.DUMMYFUNCTION("importrange(""11pFFApGA7S_oLWWaBAH_IHu_-3C3t_PEHqBcOZme5lQ"",""2026-27!n4"")"),0.0)</f>
        <v>0</v>
      </c>
      <c r="Z171" s="59">
        <f>IFERROR(__xludf.DUMMYFUNCTION("importrange(""11pFFApGA7S_oLWWaBAH_IHu_-3C3t_PEHqBcOZme5lQ"",""2026-27!n3"")"),0.0)</f>
        <v>0</v>
      </c>
      <c r="AA171" s="62" t="str">
        <f t="shared" si="148"/>
        <v/>
      </c>
      <c r="AB171" s="59">
        <f>IFERROR(__xludf.DUMMYFUNCTION("importrange(""11pFFApGA7S_oLWWaBAH_IHu_-3C3t_PEHqBcOZme5lQ"",""2026-27!o4"")"),0.0)</f>
        <v>0</v>
      </c>
      <c r="AC171" s="59">
        <f>IFERROR(__xludf.DUMMYFUNCTION("importrange(""11pFFApGA7S_oLWWaBAH_IHu_-3C3t_PEHqBcOZme5lQ"",""2026-27!o3"")"),0.0)</f>
        <v>0</v>
      </c>
      <c r="AD171" s="59">
        <f>IFERROR(__xludf.DUMMYFUNCTION("importrange(""11pFFApGA7S_oLWWaBAH_IHu_-3C3t_PEHqBcOZme5lQ"",""2026-27!p4"")"),0.0)</f>
        <v>0</v>
      </c>
      <c r="AE171" s="59">
        <f>IFERROR(__xludf.DUMMYFUNCTION("importrange(""11pFFApGA7S_oLWWaBAH_IHu_-3C3t_PEHqBcOZme5lQ"",""2026-27!p3"")"),0.0)</f>
        <v>0</v>
      </c>
      <c r="AF171" s="59">
        <f>IFERROR(__xludf.DUMMYFUNCTION("importrange(""11pFFApGA7S_oLWWaBAH_IHu_-3C3t_PEHqBcOZme5lQ"",""2026-27!q4"")"),0.0)</f>
        <v>0</v>
      </c>
      <c r="AG171" s="59">
        <f>IFERROR(__xludf.DUMMYFUNCTION("importrange(""11pFFApGA7S_oLWWaBAH_IHu_-3C3t_PEHqBcOZme5lQ"",""2026-27!q3"")"),0.0)</f>
        <v>0</v>
      </c>
      <c r="AH171" s="62" t="str">
        <f t="shared" si="149"/>
        <v/>
      </c>
      <c r="AI171" s="59">
        <f>IFERROR(__xludf.DUMMYFUNCTION("importrange(""11pFFApGA7S_oLWWaBAH_IHu_-3C3t_PEHqBcOZme5lQ"",""2026-27!r4"")"),0.0)</f>
        <v>0</v>
      </c>
      <c r="AJ171" s="59">
        <f>IFERROR(__xludf.DUMMYFUNCTION("importrange(""11pFFApGA7S_oLWWaBAH_IHu_-3C3t_PEHqBcOZme5lQ"",""2026-27!r3"")"),0.0)</f>
        <v>0</v>
      </c>
      <c r="AK171" s="59">
        <f>IFERROR(__xludf.DUMMYFUNCTION("importrange(""11pFFApGA7S_oLWWaBAH_IHu_-3C3t_PEHqBcOZme5lQ"",""2026-27!s4"")"),0.0)</f>
        <v>0</v>
      </c>
      <c r="AL171" s="59">
        <f>IFERROR(__xludf.DUMMYFUNCTION("importrange(""11pFFApGA7S_oLWWaBAH_IHu_-3C3t_PEHqBcOZme5lQ"",""2026-27!s3"")"),0.0)</f>
        <v>0</v>
      </c>
      <c r="AM171" s="61">
        <f>IFERROR(__xludf.DUMMYFUNCTION("importrange(""11pFFApGA7S_oLWWaBAH_IHu_-3C3t_PEHqBcOZme5lQ"",""2026-27!t4"")"),0.0)</f>
        <v>0</v>
      </c>
      <c r="AN171" s="59">
        <f>IFERROR(__xludf.DUMMYFUNCTION("importrange(""11pFFApGA7S_oLWWaBAH_IHu_-3C3t_PEHqBcOZme5lQ"",""2026-27!t3"")"),0.0)</f>
        <v>0</v>
      </c>
      <c r="AO171" s="62" t="str">
        <f t="shared" si="150"/>
        <v/>
      </c>
      <c r="AP171" s="59">
        <f>IFERROR(__xludf.DUMMYFUNCTION("importrange(""11pFFApGA7S_oLWWaBAH_IHu_-3C3t_PEHqBcOZme5lQ"",""2026-27!u4"")"),0.0)</f>
        <v>0</v>
      </c>
      <c r="AQ171" s="59">
        <f>IFERROR(__xludf.DUMMYFUNCTION("importrange(""11pFFApGA7S_oLWWaBAH_IHu_-3C3t_PEHqBcOZme5lQ"",""2026-27!u3"")"),0.0)</f>
        <v>0</v>
      </c>
      <c r="AR171" s="59">
        <f>IFERROR(__xludf.DUMMYFUNCTION("importrange(""11pFFApGA7S_oLWWaBAH_IHu_-3C3t_PEHqBcOZme5lQ"",""2026-27!v4"")"),0.0)</f>
        <v>0</v>
      </c>
      <c r="AS171" s="59">
        <f>IFERROR(__xludf.DUMMYFUNCTION("importrange(""11pFFApGA7S_oLWWaBAH_IHu_-3C3t_PEHqBcOZme5lQ"",""2026-27!v3"")"),0.0)</f>
        <v>0</v>
      </c>
      <c r="AT171" s="61">
        <f>IFERROR(__xludf.DUMMYFUNCTION("importrange(""11pFFApGA7S_oLWWaBAH_IHu_-3C3t_PEHqBcOZme5lQ"",""2026-27!w4"")"),0.0)</f>
        <v>0</v>
      </c>
      <c r="AU171" s="59">
        <f>IFERROR(__xludf.DUMMYFUNCTION("importrange(""11pFFApGA7S_oLWWaBAH_IHu_-3C3t_PEHqBcOZme5lQ"",""2026-27!w3"")"),0.0)</f>
        <v>0</v>
      </c>
      <c r="AV171" s="62" t="str">
        <f t="shared" si="151"/>
        <v/>
      </c>
      <c r="AW171" s="59">
        <f>IFERROR(__xludf.DUMMYFUNCTION("importrange(""11pFFApGA7S_oLWWaBAH_IHu_-3C3t_PEHqBcOZme5lQ"",""2026-27!x4"")"),0.0)</f>
        <v>0</v>
      </c>
      <c r="AX171" s="59">
        <f>IFERROR(__xludf.DUMMYFUNCTION("importrange(""11pFFApGA7S_oLWWaBAH_IHu_-3C3t_PEHqBcOZme5lQ"",""2026-27!x3"")"),0.0)</f>
        <v>0</v>
      </c>
      <c r="AY171" s="59">
        <f>IFERROR(__xludf.DUMMYFUNCTION("importrange(""11pFFApGA7S_oLWWaBAH_IHu_-3C3t_PEHqBcOZme5lQ"",""2026-27!y4"")"),0.0)</f>
        <v>0</v>
      </c>
      <c r="AZ171" s="59">
        <f>IFERROR(__xludf.DUMMYFUNCTION("importrange(""11pFFApGA7S_oLWWaBAH_IHu_-3C3t_PEHqBcOZme5lQ"",""2026-27!y3"")"),0.0)</f>
        <v>0</v>
      </c>
      <c r="BA171" s="61">
        <f>IFERROR(__xludf.DUMMYFUNCTION("importrange(""11pFFApGA7S_oLWWaBAH_IHu_-3C3t_PEHqBcOZme5lQ"",""2026-27!z4"")"),0.0)</f>
        <v>0</v>
      </c>
      <c r="BB171" s="59">
        <f>IFERROR(__xludf.DUMMYFUNCTION("importrange(""11pFFApGA7S_oLWWaBAH_IHu_-3C3t_PEHqBcOZme5lQ"",""2026-27!z3"")"),0.0)</f>
        <v>0</v>
      </c>
      <c r="BC171" s="63" t="str">
        <f t="shared" si="152"/>
        <v/>
      </c>
      <c r="BD171" s="59">
        <f>IFERROR(__xludf.DUMMYFUNCTION("importrange(""11pFFApGA7S_oLWWaBAH_IHu_-3C3t_PEHqBcOZme5lQ"",""2026-27!aa4"")"),0.0)</f>
        <v>0</v>
      </c>
      <c r="BE171" s="59">
        <f>IFERROR(__xludf.DUMMYFUNCTION("importrange(""11pFFApGA7S_oLWWaBAH_IHu_-3C3t_PEHqBcOZme5lQ"",""2026-27!aa3"")"),0.0)</f>
        <v>0</v>
      </c>
      <c r="BF171" s="59">
        <f>IFERROR(__xludf.DUMMYFUNCTION("importrange(""11pFFApGA7S_oLWWaBAH_IHu_-3C3t_PEHqBcOZme5lQ"",""2026-27!ab4"")"),0.0)</f>
        <v>0</v>
      </c>
      <c r="BG171" s="59">
        <f>IFERROR(__xludf.DUMMYFUNCTION("importrange(""11pFFApGA7S_oLWWaBAH_IHu_-3C3t_PEHqBcOZme5lQ"",""2026-27!ab3"")"),0.0)</f>
        <v>0</v>
      </c>
      <c r="BH171" s="59">
        <f>IFERROR(__xludf.DUMMYFUNCTION("importrange(""11pFFApGA7S_oLWWaBAH_IHu_-3C3t_PEHqBcOZme5lQ"",""2026-27!ac4"")"),0.0)</f>
        <v>0</v>
      </c>
      <c r="BI171" s="59">
        <f>IFERROR(__xludf.DUMMYFUNCTION("importrange(""11pFFApGA7S_oLWWaBAH_IHu_-3C3t_PEHqBcOZme5lQ"",""2026-27!ac3"")"),0.0)</f>
        <v>0</v>
      </c>
      <c r="BJ171" s="63" t="str">
        <f t="shared" si="153"/>
        <v/>
      </c>
      <c r="BK171" s="59">
        <f>IFERROR(__xludf.DUMMYFUNCTION("importrange(""11pFFApGA7S_oLWWaBAH_IHu_-3C3t_PEHqBcOZme5lQ"",""2026-27!ad4"")"),0.0)</f>
        <v>0</v>
      </c>
      <c r="BL171" s="59">
        <f>IFERROR(__xludf.DUMMYFUNCTION("importrange(""11pFFApGA7S_oLWWaBAH_IHu_-3C3t_PEHqBcOZme5lQ"",""2026-27!ad3"")"),0.0)</f>
        <v>0</v>
      </c>
      <c r="BM171" s="59">
        <f>IFERROR(__xludf.DUMMYFUNCTION("importrange(""11pFFApGA7S_oLWWaBAH_IHu_-3C3t_PEHqBcOZme5lQ"",""2026-27!ae4"")"),0.0)</f>
        <v>0</v>
      </c>
      <c r="BN171" s="59">
        <f>IFERROR(__xludf.DUMMYFUNCTION("importrange(""11pFFApGA7S_oLWWaBAH_IHu_-3C3t_PEHqBcOZme5lQ"",""2026-27!ae3"")"),0.0)</f>
        <v>0</v>
      </c>
      <c r="BO171" s="59">
        <f>IFERROR(__xludf.DUMMYFUNCTION("importrange(""11pFFApGA7S_oLWWaBAH_IHu_-3C3t_PEHqBcOZme5lQ"",""2026-27!af4"")"),0.0)</f>
        <v>0</v>
      </c>
      <c r="BP171" s="59">
        <f>IFERROR(__xludf.DUMMYFUNCTION("importrange(""11pFFApGA7S_oLWWaBAH_IHu_-3C3t_PEHqBcOZme5lQ"",""2026-27!af3"")"),0.0)</f>
        <v>0</v>
      </c>
      <c r="BQ171" s="63" t="str">
        <f t="shared" si="154"/>
        <v/>
      </c>
      <c r="BR171" s="59">
        <f>IFERROR(__xludf.DUMMYFUNCTION("importrange(""11pFFApGA7S_oLWWaBAH_IHu_-3C3t_PEHqBcOZme5lQ"",""2026-27!ag4"")"),0.0)</f>
        <v>0</v>
      </c>
      <c r="BS171" s="59">
        <f>IFERROR(__xludf.DUMMYFUNCTION("importrange(""11pFFApGA7S_oLWWaBAH_IHu_-3C3t_PEHqBcOZme5lQ"",""2026-27!ag3"")"),0.0)</f>
        <v>0</v>
      </c>
      <c r="BT171" s="59">
        <f>IFERROR(__xludf.DUMMYFUNCTION("importrange(""11pFFApGA7S_oLWWaBAH_IHu_-3C3t_PEHqBcOZme5lQ"",""2026-27!ah4"")"),0.0)</f>
        <v>0</v>
      </c>
      <c r="BU171" s="59">
        <f>IFERROR(__xludf.DUMMYFUNCTION("importrange(""11pFFApGA7S_oLWWaBAH_IHu_-3C3t_PEHqBcOZme5lQ"",""2026-27!ah3"")"),0.0)</f>
        <v>0</v>
      </c>
      <c r="BV171" s="59">
        <f>IFERROR(__xludf.DUMMYFUNCTION("importrange(""11pFFApGA7S_oLWWaBAH_IHu_-3C3t_PEHqBcOZme5lQ"",""2026-27!ai4"")"),0.0)</f>
        <v>0</v>
      </c>
      <c r="BW171" s="59">
        <f>IFERROR(__xludf.DUMMYFUNCTION("importrange(""11pFFApGA7S_oLWWaBAH_IHu_-3C3t_PEHqBcOZme5lQ"",""2026-27!ai3"")"),0.0)</f>
        <v>0</v>
      </c>
      <c r="BX171" s="63" t="str">
        <f t="shared" si="155"/>
        <v/>
      </c>
      <c r="BY171" s="59">
        <f>IFERROR(__xludf.DUMMYFUNCTION("importrange(""11pFFApGA7S_oLWWaBAH_IHu_-3C3t_PEHqBcOZme5lQ"",""2026-27!aj4"")"),0.0)</f>
        <v>0</v>
      </c>
      <c r="BZ171" s="59">
        <f>IFERROR(__xludf.DUMMYFUNCTION("importrange(""11pFFApGA7S_oLWWaBAH_IHu_-3C3t_PEHqBcOZme5lQ"",""2026-27!aj3"")"),0.0)</f>
        <v>0</v>
      </c>
      <c r="CA171" s="59">
        <f>IFERROR(__xludf.DUMMYFUNCTION("importrange(""11pFFApGA7S_oLWWaBAH_IHu_-3C3t_PEHqBcOZme5lQ"",""2026-27!ak4"")"),0.0)</f>
        <v>0</v>
      </c>
      <c r="CB171" s="59">
        <f>IFERROR(__xludf.DUMMYFUNCTION("importrange(""11pFFApGA7S_oLWWaBAH_IHu_-3C3t_PEHqBcOZme5lQ"",""2026-27!ak3"")"),0.0)</f>
        <v>0</v>
      </c>
      <c r="CC171" s="59">
        <f>IFERROR(__xludf.DUMMYFUNCTION("importrange(""11pFFApGA7S_oLWWaBAH_IHu_-3C3t_PEHqBcOZme5lQ"",""2026-27!al4"")"),0.0)</f>
        <v>0</v>
      </c>
      <c r="CD171" s="59">
        <f>IFERROR(__xludf.DUMMYFUNCTION("importrange(""11pFFApGA7S_oLWWaBAH_IHu_-3C3t_PEHqBcOZme5lQ"",""2026-27!ai3"")"),0.0)</f>
        <v>0</v>
      </c>
      <c r="CE171" s="63" t="str">
        <f t="shared" si="156"/>
        <v/>
      </c>
      <c r="CF171" s="59">
        <f>IFERROR(__xludf.DUMMYFUNCTION("importrange(""11pFFApGA7S_oLWWaBAH_IHu_-3C3t_PEHqBcOZme5lQ"",""2026-27!am4"")"),0.0)</f>
        <v>0</v>
      </c>
      <c r="CG171" s="59">
        <f>IFERROR(__xludf.DUMMYFUNCTION("importrange(""11pFFApGA7S_oLWWaBAH_IHu_-3C3t_PEHqBcOZme5lQ"",""2026-27!am3"")"),0.0)</f>
        <v>0</v>
      </c>
      <c r="CH171" s="59">
        <f>IFERROR(__xludf.DUMMYFUNCTION("importrange(""11pFFApGA7S_oLWWaBAH_IHu_-3C3t_PEHqBcOZme5lQ"",""2026-27!an4"")"),0.0)</f>
        <v>0</v>
      </c>
      <c r="CI171" s="59">
        <f>IFERROR(__xludf.DUMMYFUNCTION("importrange(""11pFFApGA7S_oLWWaBAH_IHu_-3C3t_PEHqBcOZme5lQ"",""2026-27!an3"")"),0.0)</f>
        <v>0</v>
      </c>
      <c r="CJ171" s="59">
        <f>IFERROR(__xludf.DUMMYFUNCTION("importrange(""11pFFApGA7S_oLWWaBAH_IHu_-3C3t_PEHqBcOZme5lQ"",""2026-27!ao4"")"),0.0)</f>
        <v>0</v>
      </c>
      <c r="CK171" s="59">
        <f>IFERROR(__xludf.DUMMYFUNCTION("importrange(""11pFFApGA7S_oLWWaBAH_IHu_-3C3t_PEHqBcOZme5lQ"",""2026-27!ao3"")"),0.0)</f>
        <v>0</v>
      </c>
      <c r="CL171" s="63" t="str">
        <f t="shared" si="157"/>
        <v/>
      </c>
      <c r="CM171" s="59">
        <f>IFERROR(__xludf.DUMMYFUNCTION("importrange(""11pFFApGA7S_oLWWaBAH_IHu_-3C3t_PEHqBcOZme5lQ"",""2026-27!ap4"")"),0.0)</f>
        <v>0</v>
      </c>
      <c r="CN171" s="59">
        <f>IFERROR(__xludf.DUMMYFUNCTION("importrange(""11pFFApGA7S_oLWWaBAH_IHu_-3C3t_PEHqBcOZme5lQ"",""2026-27!ap3"")"),0.0)</f>
        <v>0</v>
      </c>
      <c r="CO171" s="59">
        <f>IFERROR(__xludf.DUMMYFUNCTION("importrange(""11pFFApGA7S_oLWWaBAH_IHu_-3C3t_PEHqBcOZme5lQ"",""2026-27!aq4"")"),0.0)</f>
        <v>0</v>
      </c>
      <c r="CP171" s="59">
        <f>IFERROR(__xludf.DUMMYFUNCTION("importrange(""11pFFApGA7S_oLWWaBAH_IHu_-3C3t_PEHqBcOZme5lQ"",""2026-27!aq3"")"),0.0)</f>
        <v>0</v>
      </c>
      <c r="CQ171" s="59">
        <f>IFERROR(__xludf.DUMMYFUNCTION("importrange(""11pFFApGA7S_oLWWaBAH_IHu_-3C3t_PEHqBcOZme5lQ"",""2026-27!ar4"")"),0.0)</f>
        <v>0</v>
      </c>
      <c r="CR171" s="59">
        <f>IFERROR(__xludf.DUMMYFUNCTION("importrange(""11pFFApGA7S_oLWWaBAH_IHu_-3C3t_PEHqBcOZme5lQ"",""2026-27!ar3"")"),0.0)</f>
        <v>0</v>
      </c>
      <c r="CS171" s="63" t="str">
        <f t="shared" si="158"/>
        <v/>
      </c>
      <c r="CT171" s="59">
        <f>IFERROR(__xludf.DUMMYFUNCTION("importrange(""11pFFApGA7S_oLWWaBAH_IHu_-3C3t_PEHqBcOZme5lQ"",""2026-27!as4"")"),0.0)</f>
        <v>0</v>
      </c>
      <c r="CU171" s="59">
        <f>IFERROR(__xludf.DUMMYFUNCTION("importrange(""11pFFApGA7S_oLWWaBAH_IHu_-3C3t_PEHqBcOZme5lQ"",""2026-27!as3"")"),0.0)</f>
        <v>0</v>
      </c>
      <c r="CV171" s="64"/>
    </row>
    <row r="172">
      <c r="A172" s="76"/>
      <c r="B172" s="165"/>
      <c r="C172" s="145"/>
      <c r="D172" s="146"/>
      <c r="E172" s="147"/>
      <c r="F172" s="148"/>
      <c r="G172" s="5"/>
      <c r="H172" s="5"/>
      <c r="I172" s="149"/>
      <c r="J172" s="8"/>
      <c r="K172" s="150"/>
      <c r="L172" s="150"/>
      <c r="M172" s="150"/>
      <c r="N172" s="151"/>
      <c r="O172" s="150"/>
      <c r="P172" s="64"/>
      <c r="Q172" s="64"/>
      <c r="R172" s="64"/>
      <c r="S172" s="64"/>
      <c r="T172" s="152"/>
      <c r="U172" s="64"/>
      <c r="V172" s="153"/>
      <c r="W172" s="64"/>
      <c r="X172" s="153"/>
      <c r="Y172" s="64"/>
      <c r="Z172" s="64"/>
      <c r="AA172" s="152"/>
      <c r="AB172" s="64"/>
      <c r="AC172" s="64"/>
      <c r="AD172" s="64"/>
      <c r="AE172" s="64"/>
      <c r="AF172" s="64"/>
      <c r="AG172" s="64"/>
      <c r="AH172" s="152"/>
      <c r="AI172" s="64"/>
      <c r="AJ172" s="64"/>
      <c r="AK172" s="64"/>
      <c r="AL172" s="64"/>
      <c r="AM172" s="150"/>
      <c r="AN172" s="64"/>
      <c r="AO172" s="152"/>
      <c r="AP172" s="64"/>
      <c r="AQ172" s="64"/>
      <c r="AR172" s="64"/>
      <c r="AS172" s="64"/>
      <c r="AT172" s="150"/>
      <c r="AU172" s="64"/>
      <c r="AV172" s="152"/>
      <c r="AW172" s="64"/>
      <c r="AX172" s="64"/>
      <c r="AY172" s="64"/>
      <c r="AZ172" s="64"/>
      <c r="BA172" s="150"/>
      <c r="BB172" s="64"/>
      <c r="BC172" s="154"/>
      <c r="BD172" s="64"/>
      <c r="BE172" s="64"/>
      <c r="BF172" s="64"/>
      <c r="BG172" s="64"/>
      <c r="BH172" s="64"/>
      <c r="BI172" s="64"/>
      <c r="BJ172" s="154"/>
      <c r="BK172" s="64"/>
      <c r="BL172" s="64"/>
      <c r="BM172" s="64"/>
      <c r="BN172" s="64"/>
      <c r="BO172" s="64"/>
      <c r="BP172" s="64"/>
      <c r="BQ172" s="154"/>
      <c r="BR172" s="64"/>
      <c r="BS172" s="64"/>
      <c r="BT172" s="64"/>
      <c r="BU172" s="64"/>
      <c r="BV172" s="64"/>
      <c r="BW172" s="64"/>
      <c r="BX172" s="154"/>
      <c r="BY172" s="64"/>
      <c r="BZ172" s="64"/>
      <c r="CA172" s="64"/>
      <c r="CB172" s="64"/>
      <c r="CC172" s="64"/>
      <c r="CD172" s="64"/>
      <c r="CE172" s="154"/>
      <c r="CF172" s="64"/>
      <c r="CG172" s="64"/>
      <c r="CH172" s="64"/>
      <c r="CI172" s="64"/>
      <c r="CJ172" s="64"/>
      <c r="CK172" s="64"/>
      <c r="CL172" s="154"/>
      <c r="CM172" s="64"/>
      <c r="CN172" s="64"/>
      <c r="CO172" s="64"/>
      <c r="CP172" s="64"/>
      <c r="CQ172" s="64"/>
      <c r="CR172" s="64"/>
      <c r="CS172" s="154"/>
      <c r="CT172" s="64"/>
      <c r="CU172" s="64"/>
      <c r="CV172" s="64"/>
    </row>
  </sheetData>
  <mergeCells count="85">
    <mergeCell ref="BC5:BC6"/>
    <mergeCell ref="BD5:BE5"/>
    <mergeCell ref="O4:O6"/>
    <mergeCell ref="P4:V4"/>
    <mergeCell ref="W4:AC4"/>
    <mergeCell ref="AD4:AJ4"/>
    <mergeCell ref="AK4:AQ4"/>
    <mergeCell ref="AR4:AX4"/>
    <mergeCell ref="AY4:BE4"/>
    <mergeCell ref="AH5:AH6"/>
    <mergeCell ref="AI5:AJ5"/>
    <mergeCell ref="AK5:AL5"/>
    <mergeCell ref="AM5:AN5"/>
    <mergeCell ref="AO5:AO6"/>
    <mergeCell ref="AP5:AQ5"/>
    <mergeCell ref="AR5:AS5"/>
    <mergeCell ref="AT5:AU5"/>
    <mergeCell ref="AV5:AV6"/>
    <mergeCell ref="AW5:AX5"/>
    <mergeCell ref="AY5:AZ5"/>
    <mergeCell ref="BA5:BB5"/>
    <mergeCell ref="B47:B78"/>
    <mergeCell ref="B79:B140"/>
    <mergeCell ref="B141:B155"/>
    <mergeCell ref="B156:B159"/>
    <mergeCell ref="B162:F162"/>
    <mergeCell ref="AA5:AA6"/>
    <mergeCell ref="AB5:AC5"/>
    <mergeCell ref="B7:B15"/>
    <mergeCell ref="B17:B18"/>
    <mergeCell ref="B19:B25"/>
    <mergeCell ref="B26:B30"/>
    <mergeCell ref="B31:B46"/>
    <mergeCell ref="AD5:AE5"/>
    <mergeCell ref="AF5:AG5"/>
    <mergeCell ref="BF5:BG5"/>
    <mergeCell ref="BH5:BI5"/>
    <mergeCell ref="BJ5:BJ6"/>
    <mergeCell ref="BK5:BL5"/>
    <mergeCell ref="BM5:BN5"/>
    <mergeCell ref="BO5:BP5"/>
    <mergeCell ref="BQ5:BQ6"/>
    <mergeCell ref="BR5:BS5"/>
    <mergeCell ref="BT5:BU5"/>
    <mergeCell ref="BV5:BW5"/>
    <mergeCell ref="BX5:BX6"/>
    <mergeCell ref="BY5:BZ5"/>
    <mergeCell ref="B1:F2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BF4:BL4"/>
    <mergeCell ref="BM4:BS4"/>
    <mergeCell ref="BT4:BZ4"/>
    <mergeCell ref="CA4:CG4"/>
    <mergeCell ref="CH4:CN4"/>
    <mergeCell ref="CO4:CU4"/>
    <mergeCell ref="P5:Q5"/>
    <mergeCell ref="R5:S5"/>
    <mergeCell ref="T5:T6"/>
    <mergeCell ref="U5:V5"/>
    <mergeCell ref="W5:X5"/>
    <mergeCell ref="Y5:Z5"/>
    <mergeCell ref="CM5:CN5"/>
    <mergeCell ref="CO5:CP5"/>
    <mergeCell ref="CQ5:CR5"/>
    <mergeCell ref="CS5:CS6"/>
    <mergeCell ref="CT5:CU5"/>
    <mergeCell ref="CA5:CB5"/>
    <mergeCell ref="CC5:CD5"/>
    <mergeCell ref="CE5:CE6"/>
    <mergeCell ref="CF5:CG5"/>
    <mergeCell ref="CH5:CI5"/>
    <mergeCell ref="CJ5:CK5"/>
    <mergeCell ref="CL5:CL6"/>
  </mergeCells>
  <conditionalFormatting sqref="C3 C7:C172 D140:E140">
    <cfRule type="expression" dxfId="0" priority="1">
      <formula>COUNTIF(C:C,C3)&gt;1</formula>
    </cfRule>
  </conditionalFormatting>
  <hyperlinks>
    <hyperlink r:id="rId2" location="gid=998810200" ref="B7"/>
    <hyperlink r:id="rId3" location="gid=703552847" ref="C7"/>
    <hyperlink r:id="rId4" location="gid=2134647945" ref="C8"/>
    <hyperlink r:id="rId5" location="gid=0" ref="C9"/>
    <hyperlink r:id="rId6" location="gid=1100372335" ref="C10"/>
    <hyperlink r:id="rId7" location="gid=1838777318" ref="C11"/>
    <hyperlink r:id="rId8" location="gid=0" ref="C12"/>
    <hyperlink r:id="rId9" location="gid=0" ref="C13"/>
    <hyperlink r:id="rId10" location="gid=0" ref="C14"/>
    <hyperlink r:id="rId11" location="gid=0" ref="C15"/>
    <hyperlink r:id="rId12" location="gid=0" ref="C16"/>
    <hyperlink r:id="rId13" location="gid=0" ref="B17"/>
    <hyperlink r:id="rId14" location="gid=651330604" ref="C17"/>
    <hyperlink r:id="rId15" location="gid=0" ref="C18"/>
    <hyperlink r:id="rId16" location="gid=1651515920" ref="B19"/>
    <hyperlink r:id="rId17" location="gid=1361333659" ref="C19"/>
    <hyperlink r:id="rId18" location="gid=1824619316" ref="C20"/>
    <hyperlink r:id="rId19" location="gid=489602840" ref="C21"/>
    <hyperlink r:id="rId20" location="gid=162659938" ref="C22"/>
    <hyperlink r:id="rId21" location="gid=162659938" ref="C23"/>
    <hyperlink r:id="rId22" location="gid=0" ref="C24"/>
    <hyperlink r:id="rId23" location="gid=0" ref="C25"/>
    <hyperlink r:id="rId24" location="gid=981908056" ref="B26"/>
    <hyperlink r:id="rId25" location="gid=1900766490" ref="C26"/>
    <hyperlink r:id="rId26" location="gid=251836489" ref="C27"/>
    <hyperlink r:id="rId27" location="gid=0" ref="C28"/>
    <hyperlink r:id="rId28" location="gid=0" ref="C29"/>
    <hyperlink r:id="rId29" location="gid=0" ref="C30"/>
    <hyperlink r:id="rId30" location="gid=1595002774" ref="B31"/>
    <hyperlink r:id="rId31" location="gid=213369367" ref="C31"/>
    <hyperlink r:id="rId32" location="gid=0" ref="C32"/>
    <hyperlink r:id="rId33" location="gid=968809898" ref="C33"/>
    <hyperlink r:id="rId34" location="gid=0" ref="C34"/>
    <hyperlink r:id="rId35" location="gid=0" ref="C35"/>
    <hyperlink r:id="rId36" location="gid=0" ref="C36"/>
    <hyperlink r:id="rId37" location="gid=0" ref="C37"/>
    <hyperlink r:id="rId38" location="gid=1990039" ref="C38"/>
    <hyperlink r:id="rId39" location="gid=0" ref="C39"/>
    <hyperlink r:id="rId40" location="gid=0" ref="C40"/>
    <hyperlink r:id="rId41" location="gid=175618155" ref="C41"/>
    <hyperlink r:id="rId42" location="gid=0" ref="C42"/>
    <hyperlink r:id="rId43" location="gid=0" ref="C43"/>
    <hyperlink r:id="rId44" location="gid=0" ref="C44"/>
    <hyperlink r:id="rId45" location="gid=0" ref="C45"/>
    <hyperlink r:id="rId46" location="gid=0" ref="C46"/>
    <hyperlink r:id="rId47" location="gid=1622533107" ref="B47"/>
    <hyperlink r:id="rId48" location="gid=367144525" ref="C47"/>
    <hyperlink r:id="rId49" location="gid=1808032956" ref="C48"/>
    <hyperlink r:id="rId50" location="gid=1632084049" ref="C49"/>
    <hyperlink r:id="rId51" location="gid=1915274534" ref="C50"/>
    <hyperlink r:id="rId52" location="gid=1677201957" ref="C51"/>
    <hyperlink r:id="rId53" location="gid=1122895765" ref="C52"/>
    <hyperlink r:id="rId54" location="gid=429484565" ref="C53"/>
    <hyperlink r:id="rId55" location="gid=1804433807" ref="C54"/>
    <hyperlink r:id="rId56" location="gid=87878130" ref="C55"/>
    <hyperlink r:id="rId57" location="gid=401279410" ref="C56"/>
    <hyperlink r:id="rId58" location="gid=1122017909" ref="C57"/>
    <hyperlink r:id="rId59" location="gid=31358876" ref="C58"/>
    <hyperlink r:id="rId60" location="gid=326628336" ref="C59"/>
    <hyperlink r:id="rId61" location="gid=825700891" ref="C60"/>
    <hyperlink r:id="rId62" location="gid=0" ref="C61"/>
    <hyperlink r:id="rId63" location="gid=1711818703" ref="C62"/>
    <hyperlink r:id="rId64" location="gid=0" ref="C63"/>
    <hyperlink r:id="rId65" location="gid=1683163890" ref="C64"/>
    <hyperlink r:id="rId66" location="gid=0" ref="C65"/>
    <hyperlink r:id="rId67" location="gid=1397978039" ref="C66"/>
    <hyperlink r:id="rId68" location="gid=0" ref="C67"/>
    <hyperlink r:id="rId69" location="gid=0" ref="C68"/>
    <hyperlink r:id="rId70" location="gid=0" ref="C69"/>
    <hyperlink r:id="rId71" location="gid=0" ref="C70"/>
    <hyperlink r:id="rId72" location="gid=0" ref="C71"/>
    <hyperlink r:id="rId73" location="gid=0" ref="C72"/>
    <hyperlink r:id="rId74" location="gid=0" ref="C73"/>
    <hyperlink r:id="rId75" location="gid=0" ref="C74"/>
    <hyperlink r:id="rId76" location="gid=0" ref="C75"/>
    <hyperlink r:id="rId77" location="gid=0" ref="C76"/>
    <hyperlink r:id="rId78" location="gid=0" ref="C77"/>
    <hyperlink r:id="rId79" location="gid=0" ref="C78"/>
    <hyperlink r:id="rId80" location="gid=1383336816" ref="B79"/>
    <hyperlink r:id="rId81" location="gid=1315888631" ref="C79"/>
    <hyperlink r:id="rId82" location="gid=2001455221" ref="C80"/>
    <hyperlink r:id="rId83" location="gid=203712073" ref="C81"/>
    <hyperlink r:id="rId84" location="gid=1029588646" ref="C82"/>
    <hyperlink r:id="rId85" location="gid=776191770" ref="C83"/>
    <hyperlink r:id="rId86" location="gid=1120990392" ref="C84"/>
    <hyperlink r:id="rId87" location="gid=1748533643" ref="C85"/>
    <hyperlink r:id="rId88" location="gid=1160673696" ref="C86"/>
    <hyperlink r:id="rId89" location="gid=757748981" ref="C87"/>
    <hyperlink r:id="rId90" location="gid=877329102" ref="C88"/>
    <hyperlink r:id="rId91" location="gid=965082060" ref="C89"/>
    <hyperlink r:id="rId92" location="gid=462944636" ref="C90"/>
    <hyperlink r:id="rId93" location="gid=1658421846" ref="C91"/>
    <hyperlink r:id="rId94" location="gid=1142984099" ref="C92"/>
    <hyperlink r:id="rId95" location="gid=31348442" ref="C93"/>
    <hyperlink r:id="rId96" location="gid=1800158862" ref="C94"/>
    <hyperlink r:id="rId97" location="gid=623247046" ref="C95"/>
    <hyperlink r:id="rId98" location="gid=582514763" ref="C96"/>
    <hyperlink r:id="rId99" location="gid=625274345" ref="C97"/>
    <hyperlink r:id="rId100" location="gid=1469891595" ref="C98"/>
    <hyperlink r:id="rId101" location="gid=867855662" ref="C99"/>
    <hyperlink r:id="rId102" location="gid=507036928" ref="C100"/>
    <hyperlink r:id="rId103" location="gid=183323445" ref="C101"/>
    <hyperlink r:id="rId104" location="gid=867855662" ref="C102"/>
    <hyperlink r:id="rId105" location="gid=1642273115" ref="C103"/>
    <hyperlink r:id="rId106" location="gid=662587612" ref="C104"/>
    <hyperlink r:id="rId107" location="gid=187761907" ref="C105"/>
    <hyperlink r:id="rId108" location="gid=187761907" ref="C106"/>
    <hyperlink r:id="rId109" location="gid=1996990278" ref="C107"/>
    <hyperlink r:id="rId110" location="gid=246174704" ref="C108"/>
    <hyperlink r:id="rId111" location="gid=32282635" ref="C109"/>
    <hyperlink r:id="rId112" location="gid=187761907" ref="C110"/>
    <hyperlink r:id="rId113" location="gid=507036928" ref="C111"/>
    <hyperlink r:id="rId114" location="gid=187761907" ref="C112"/>
    <hyperlink r:id="rId115" location="gid=187761907" ref="C113"/>
    <hyperlink r:id="rId116" location="gid=187761907" ref="C114"/>
    <hyperlink r:id="rId117" location="gid=187761907" ref="C115"/>
    <hyperlink r:id="rId118" location="gid=1996990278" ref="C116"/>
    <hyperlink r:id="rId119" location="gid=1996990278" ref="C117"/>
    <hyperlink r:id="rId120" location="gid=1996990278" ref="C118"/>
    <hyperlink r:id="rId121" location="gid=1996990278" ref="C119"/>
    <hyperlink r:id="rId122" location="gid=1996990278" ref="C120"/>
    <hyperlink r:id="rId123" location="gid=1996990278" ref="C121"/>
    <hyperlink r:id="rId124" location="gid=1996990278" ref="C122"/>
    <hyperlink r:id="rId125" location="gid=1996990278" ref="C123"/>
    <hyperlink r:id="rId126" location="gid=0" ref="C124"/>
    <hyperlink r:id="rId127" location="gid=845831138" ref="C125"/>
    <hyperlink r:id="rId128" location="gid=1679663775" ref="C126"/>
    <hyperlink r:id="rId129" location="gid=1586402276" ref="C127"/>
    <hyperlink r:id="rId130" location="gid=1748251694" ref="C128"/>
    <hyperlink r:id="rId131" location="gid=1748251694" ref="C129"/>
    <hyperlink r:id="rId132" location="gid=1748251694" ref="C130"/>
    <hyperlink r:id="rId133" location="gid=0" ref="C131"/>
    <hyperlink r:id="rId134" location="gid=0" ref="C132"/>
    <hyperlink r:id="rId135" location="gid=282711914" ref="C133"/>
    <hyperlink r:id="rId136" location="gid=73553799" ref="C134"/>
    <hyperlink r:id="rId137" location="gid=468423121" ref="C135"/>
    <hyperlink r:id="rId138" location="gid=788275074" ref="C136"/>
    <hyperlink r:id="rId139" location="gid=327756958" ref="C137"/>
    <hyperlink r:id="rId140" location="gid=0" ref="C138"/>
    <hyperlink r:id="rId141" location="gid=1572603678" ref="C139"/>
    <hyperlink r:id="rId142" location="gid=0" ref="C140"/>
    <hyperlink r:id="rId143" location="gid=1816198426" ref="B141"/>
    <hyperlink r:id="rId144" location="gid=1805787177" ref="C141"/>
    <hyperlink r:id="rId145" location="gid=1405717089" ref="C142"/>
    <hyperlink r:id="rId146" location="gid=1806634832" ref="C143"/>
    <hyperlink r:id="rId147" location="gid=1575341672" ref="C144"/>
    <hyperlink r:id="rId148" location="gid=218149684" ref="C145"/>
    <hyperlink r:id="rId149" location="gid=1277429317" ref="C146"/>
    <hyperlink r:id="rId150" location="gid=1219811845" ref="C147"/>
    <hyperlink r:id="rId151" location="gid=1219811845" ref="C148"/>
    <hyperlink r:id="rId152" location="gid=1219811845" ref="C149"/>
    <hyperlink r:id="rId153" location="gid=2120302259" ref="C150"/>
    <hyperlink r:id="rId154" location="gid=162659938" ref="C151"/>
    <hyperlink r:id="rId155" location="gid=1089458672" ref="C152"/>
    <hyperlink r:id="rId156" location="gid=0" ref="C153"/>
    <hyperlink r:id="rId157" location="gid=0" ref="C154"/>
    <hyperlink r:id="rId158" location="gid=0" ref="C155"/>
    <hyperlink r:id="rId159" location="gid=741460961" ref="B156"/>
    <hyperlink r:id="rId160" location="gid=14528520" ref="C156"/>
    <hyperlink r:id="rId161" location="gid=0" ref="C157"/>
    <hyperlink r:id="rId162" location="gid=350932188" ref="C158"/>
    <hyperlink r:id="rId163" ref="C159"/>
    <hyperlink r:id="rId164" location="gid=867855662" ref="C164"/>
    <hyperlink r:id="rId165" location="gid=2032907449" ref="C165"/>
    <hyperlink r:id="rId166" location="gid=618607627" ref="C166"/>
    <hyperlink r:id="rId167" location="gid=851414867" ref="C167"/>
    <hyperlink r:id="rId168" location="gid=0" ref="C168"/>
    <hyperlink r:id="rId169" ref="C169"/>
    <hyperlink r:id="rId170" location="gid=0" ref="C170"/>
    <hyperlink r:id="rId171" location="gid=0" ref="C17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2"/>
  <legacyDrawing r:id="rId1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hidden="1" min="1" max="1" width="12.63"/>
    <col customWidth="1" min="2" max="2" width="18.75"/>
    <col customWidth="1" min="3" max="3" width="19.63"/>
    <col customWidth="1" min="4" max="4" width="12.5"/>
    <col customWidth="1" min="5" max="6" width="11.25"/>
    <col hidden="1" min="7" max="8" width="12.63"/>
    <col customWidth="1" min="9" max="9" width="8.13"/>
    <col customWidth="1" min="10" max="10" width="7.75"/>
    <col customWidth="1" min="11" max="11" width="6.25"/>
    <col customWidth="1" min="12" max="12" width="8.63"/>
    <col customWidth="1" hidden="1" min="13" max="13" width="7.13"/>
    <col customWidth="1" hidden="1" min="14" max="14" width="7.75"/>
    <col customWidth="1" hidden="1" min="15" max="15" width="8.5"/>
  </cols>
  <sheetData>
    <row r="1" ht="13.5" customHeight="1">
      <c r="A1" s="1"/>
      <c r="B1" s="2" t="s">
        <v>327</v>
      </c>
      <c r="C1" s="3"/>
      <c r="D1" s="3"/>
      <c r="E1" s="3"/>
      <c r="F1" s="4"/>
      <c r="G1" s="7"/>
      <c r="H1" s="18"/>
      <c r="I1" s="7"/>
      <c r="J1" s="150"/>
      <c r="K1" s="9"/>
      <c r="L1" s="9"/>
      <c r="M1" s="166"/>
      <c r="N1" s="166"/>
      <c r="O1" s="7"/>
    </row>
    <row r="2">
      <c r="A2" s="1"/>
      <c r="B2" s="14"/>
      <c r="C2" s="15"/>
      <c r="D2" s="15"/>
      <c r="E2" s="15"/>
      <c r="F2" s="16"/>
      <c r="G2" s="167"/>
      <c r="H2" s="167"/>
      <c r="I2" s="18"/>
      <c r="J2" s="6"/>
      <c r="K2" s="6"/>
      <c r="L2" s="6"/>
      <c r="M2" s="18" t="s">
        <v>1</v>
      </c>
      <c r="N2" s="18"/>
      <c r="O2" s="7"/>
    </row>
    <row r="3">
      <c r="A3" s="1"/>
      <c r="B3" s="168">
        <f>COUNTA(C7:C22)</f>
        <v>16</v>
      </c>
      <c r="C3" s="20" t="s">
        <v>2</v>
      </c>
      <c r="D3" s="21"/>
      <c r="E3" s="21"/>
      <c r="F3" s="22"/>
      <c r="G3" s="169"/>
      <c r="H3" s="169"/>
      <c r="I3" s="24">
        <f t="shared" ref="I3:O3" si="1">SUM(I7:I29)</f>
        <v>1403132</v>
      </c>
      <c r="J3" s="25">
        <f t="shared" si="1"/>
        <v>139</v>
      </c>
      <c r="K3" s="25">
        <f t="shared" si="1"/>
        <v>12</v>
      </c>
      <c r="L3" s="25">
        <f t="shared" si="1"/>
        <v>537</v>
      </c>
      <c r="M3" s="24">
        <f t="shared" si="1"/>
        <v>1615</v>
      </c>
      <c r="N3" s="24">
        <f t="shared" si="1"/>
        <v>882</v>
      </c>
      <c r="O3" s="24">
        <f t="shared" si="1"/>
        <v>168260.7</v>
      </c>
    </row>
    <row r="4">
      <c r="A4" s="29"/>
      <c r="B4" s="170" t="s">
        <v>328</v>
      </c>
      <c r="C4" s="170" t="s">
        <v>4</v>
      </c>
      <c r="D4" s="30" t="s">
        <v>5</v>
      </c>
      <c r="E4" s="30" t="s">
        <v>6</v>
      </c>
      <c r="F4" s="30" t="s">
        <v>7</v>
      </c>
      <c r="G4" s="171" t="s">
        <v>8</v>
      </c>
      <c r="H4" s="171" t="s">
        <v>9</v>
      </c>
      <c r="I4" s="32" t="s">
        <v>10</v>
      </c>
      <c r="J4" s="34" t="s">
        <v>329</v>
      </c>
      <c r="K4" s="34" t="s">
        <v>330</v>
      </c>
      <c r="L4" s="34" t="s">
        <v>331</v>
      </c>
      <c r="M4" s="172" t="s">
        <v>332</v>
      </c>
      <c r="N4" s="172" t="s">
        <v>333</v>
      </c>
      <c r="O4" s="32" t="s">
        <v>334</v>
      </c>
    </row>
    <row r="5">
      <c r="A5" s="29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ht="25.5" customHeight="1">
      <c r="A6" s="29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>
      <c r="B7" s="173" t="s">
        <v>335</v>
      </c>
      <c r="C7" s="90" t="s">
        <v>336</v>
      </c>
      <c r="D7" s="81" t="s">
        <v>337</v>
      </c>
      <c r="E7" s="81">
        <v>7.018733412E9</v>
      </c>
      <c r="F7" s="174">
        <v>45782.0</v>
      </c>
      <c r="G7" s="175"/>
      <c r="H7" s="175"/>
      <c r="I7" s="175">
        <v>64585.0</v>
      </c>
      <c r="J7" s="176">
        <f>IFERROR(__xludf.DUMMYFUNCTION("IMPORTRANGE(""1FuSPLcSY9q7v_OhHHQxrU4GmRZxPEysVc_BLcw_sFck"",""Distributor Visit Report 26-27!H1"")"),4.0)</f>
        <v>4</v>
      </c>
      <c r="K7" s="176">
        <f>IFERROR(__xludf.DUMMYFUNCTION("IMPORTRANGE(""1FuSPLcSY9q7v_OhHHQxrU4GmRZxPEysVc_BLcw_sFck"",""Distributor Visit Report 26-27!H2"")"),0.0)</f>
        <v>0</v>
      </c>
      <c r="L7" s="177">
        <f>IFERROR(__xludf.DUMMYFUNCTION("IMPORTRANGE(""1FuSPLcSY9q7v_OhHHQxrU4GmRZxPEysVc_BLcw_sFck"",""Distributor Visit Report 26-27!H4"")"),15.0)</f>
        <v>15</v>
      </c>
      <c r="M7" s="178">
        <f>IFERROR(__xludf.DUMMYFUNCTION("IMPORTRANGE(""1FuSPLcSY9q7v_OhHHQxrU4GmRZxPEysVc_BLcw_sFck"",""Retailer Report 26-27!a3"")"),6.0)</f>
        <v>6</v>
      </c>
      <c r="N7" s="179">
        <f>IFERROR(__xludf.DUMMYFUNCTION("IMPORTRANGE(""1FuSPLcSY9q7v_OhHHQxrU4GmRZxPEysVc_BLcw_sFck"",""Retailer Report 26-27!ab4"")"),4.0)</f>
        <v>4</v>
      </c>
      <c r="O7" s="179">
        <f>IFERROR(__xludf.DUMMYFUNCTION("IMPORTRANGE(""1FuSPLcSY9q7v_OhHHQxrU4GmRZxPEysVc_BLcw_sFck"",""Retailer Report 26-27!z4"")"),0.0)</f>
        <v>0</v>
      </c>
    </row>
    <row r="8">
      <c r="B8" s="173" t="s">
        <v>335</v>
      </c>
      <c r="C8" s="90" t="s">
        <v>338</v>
      </c>
      <c r="D8" s="81" t="s">
        <v>339</v>
      </c>
      <c r="E8" s="81">
        <v>9.31853391E9</v>
      </c>
      <c r="F8" s="174">
        <v>45663.0</v>
      </c>
      <c r="G8" s="175"/>
      <c r="H8" s="175"/>
      <c r="I8" s="180">
        <v>62500.0</v>
      </c>
      <c r="J8" s="176">
        <f>IFERROR(__xludf.DUMMYFUNCTION("IMPORTRANGE(""1i9T_ecSXOM5DIP7R7JmI7Cr7bFG-j5Jdt4noIUXnvko"",""Distributor Visit Report 26-27!H1"")"),6.0)</f>
        <v>6</v>
      </c>
      <c r="K8" s="176">
        <f>IFERROR(__xludf.DUMMYFUNCTION("IMPORTRANGE(""1i9T_ecSXOM5DIP7R7JmI7Cr7bFG-j5Jdt4noIUXnvko"",""Distributor Visit Report 26-27!H2"")"),0.0)</f>
        <v>0</v>
      </c>
      <c r="L8" s="177">
        <f>IFERROR(__xludf.DUMMYFUNCTION("IMPORTRANGE(""1i9T_ecSXOM5DIP7R7JmI7Cr7bFG-j5Jdt4noIUXnvko"",""Distributor Visit Report 26-27!H4"")"),58.0)</f>
        <v>58</v>
      </c>
      <c r="M8" s="178">
        <f>IFERROR(__xludf.DUMMYFUNCTION("IMPORTRANGE(""1i9T_ecSXOM5DIP7R7JmI7Cr7bFG-j5Jdt4noIUXnvko"",""Retailer Report 26-27!a3"")"),9.0)</f>
        <v>9</v>
      </c>
      <c r="N8" s="179">
        <f>IFERROR(__xludf.DUMMYFUNCTION("IMPORTRANGE(""1i9T_ecSXOM5DIP7R7JmI7Cr7bFG-j5Jdt4noIUXnvko"",""Retailer Report 26-27!ab4"")"),27.0)</f>
        <v>27</v>
      </c>
      <c r="O8" s="179">
        <f>IFERROR(__xludf.DUMMYFUNCTION("IMPORTRANGE(""1i9T_ecSXOM5DIP7R7JmI7Cr7bFG-j5Jdt4noIUXnvko"",""Retailer Report 26-27!z4"")"),112904.3)</f>
        <v>112904.3</v>
      </c>
    </row>
    <row r="9">
      <c r="B9" s="173" t="s">
        <v>335</v>
      </c>
      <c r="C9" s="90" t="s">
        <v>340</v>
      </c>
      <c r="D9" s="81" t="s">
        <v>341</v>
      </c>
      <c r="E9" s="81">
        <v>9.815043752E9</v>
      </c>
      <c r="F9" s="174">
        <v>45663.0</v>
      </c>
      <c r="G9" s="175"/>
      <c r="H9" s="175"/>
      <c r="I9" s="175">
        <v>66667.0</v>
      </c>
      <c r="J9" s="176">
        <f>IFERROR(__xludf.DUMMYFUNCTION("IMPORTRANGE(""1Kg07XZmFASnB39g9IY5T11F5FdBTt692bQMYiDwoOKE"",""Distributor Visit Report 26-27!H1"")"),6.0)</f>
        <v>6</v>
      </c>
      <c r="K9" s="176">
        <f>IFERROR(__xludf.DUMMYFUNCTION("IMPORTRANGE(""1Kg07XZmFASnB39g9IY5T11F5FdBTt692bQMYiDwoOKE"",""Distributor Visit Report 26-27!H2"")"),0.0)</f>
        <v>0</v>
      </c>
      <c r="L9" s="177">
        <f>IFERROR(__xludf.DUMMYFUNCTION("IMPORTRANGE(""1Kg07XZmFASnB39g9IY5T11F5FdBTt692bQMYiDwoOKE"",""Distributor Visit Report 26-27!H4"")"),45.0)</f>
        <v>45</v>
      </c>
      <c r="M9" s="178">
        <f>IFERROR(__xludf.DUMMYFUNCTION("IMPORTRANGE(""1Kg07XZmFASnB39g9IY5T11F5FdBTt692bQMYiDwoOKE"",""Retailer Report 26-27!a3"")"),44.0)</f>
        <v>44</v>
      </c>
      <c r="N9" s="179">
        <f>IFERROR(__xludf.DUMMYFUNCTION("IMPORTRANGE(""1Kg07XZmFASnB39g9IY5T11F5FdBTt692bQMYiDwoOKE"",""Retailer Report 26-27!ab4"")"),61.0)</f>
        <v>61</v>
      </c>
      <c r="O9" s="179">
        <f>IFERROR(__xludf.DUMMYFUNCTION("IMPORTRANGE(""1Kg07XZmFASnB39g9IY5T11F5FdBTt692bQMYiDwoOKE"",""Retailer Report 26-27!z4"")"),0.0)</f>
        <v>0</v>
      </c>
    </row>
    <row r="10">
      <c r="B10" s="173" t="s">
        <v>160</v>
      </c>
      <c r="C10" s="90" t="s">
        <v>342</v>
      </c>
      <c r="D10" s="81" t="s">
        <v>100</v>
      </c>
      <c r="E10" s="81">
        <v>9.591190766E9</v>
      </c>
      <c r="F10" s="174">
        <v>45569.0</v>
      </c>
      <c r="G10" s="175"/>
      <c r="H10" s="175"/>
      <c r="I10" s="175">
        <v>151000.0</v>
      </c>
      <c r="J10" s="176">
        <f>IFERROR(__xludf.DUMMYFUNCTION("IMPORTRANGE(""1kzHgjYG2fRl24KkUwgwuGb5jqIcNjrLI4bAa5_Ur8Do"",""Distributor Visit Report 26-27!H1"")"),5.0)</f>
        <v>5</v>
      </c>
      <c r="K10" s="176">
        <f>IFERROR(__xludf.DUMMYFUNCTION("IMPORTRANGE(""1kzHgjYG2fRl24KkUwgwuGb5jqIcNjrLI4bAa5_Ur8Do"",""Distributor Visit Report 26-27!H2"")"),0.0)</f>
        <v>0</v>
      </c>
      <c r="L10" s="177">
        <f>IFERROR(__xludf.DUMMYFUNCTION("IMPORTRANGE(""1kzHgjYG2fRl24KkUwgwuGb5jqIcNjrLI4bAa5_Ur8Do"",""Distributor Visit Report 26-27!H4"")"),15.0)</f>
        <v>15</v>
      </c>
      <c r="M10" s="178">
        <f>IFERROR(__xludf.DUMMYFUNCTION("IMPORTRANGE(""1kzHgjYG2fRl24KkUwgwuGb5jqIcNjrLI4bAa5_Ur8Do"",""Retailer Report 26-27!a3"")"),37.0)</f>
        <v>37</v>
      </c>
      <c r="N10" s="179">
        <f>IFERROR(__xludf.DUMMYFUNCTION("IMPORTRANGE(""1kzHgjYG2fRl24KkUwgwuGb5jqIcNjrLI4bAa5_Ur8Do"",""Retailer Report 26-27!ab4"")"),81.0)</f>
        <v>81</v>
      </c>
      <c r="O10" s="179">
        <f>IFERROR(__xludf.DUMMYFUNCTION("IMPORTRANGE(""1kzHgjYG2fRl24KkUwgwuGb5jqIcNjrLI4bAa5_Ur8Do"",""Retailer Report 26-27!z4"")"),0.0)</f>
        <v>0</v>
      </c>
    </row>
    <row r="11">
      <c r="B11" s="173" t="s">
        <v>343</v>
      </c>
      <c r="C11" s="90" t="s">
        <v>344</v>
      </c>
      <c r="D11" s="181" t="s">
        <v>345</v>
      </c>
      <c r="E11" s="182">
        <v>8.209879659E9</v>
      </c>
      <c r="F11" s="183">
        <v>45428.0</v>
      </c>
      <c r="G11" s="175"/>
      <c r="H11" s="175"/>
      <c r="I11" s="184">
        <v>29880.0</v>
      </c>
      <c r="J11" s="176">
        <f>IFERROR(__xludf.DUMMYFUNCTION("importrange(""https://docs.google.com/spreadsheets/d/1_7LRodPYvx00yc77EzTYhmbaNm8tNN_b96dQhnncLeE/edit?gid=468361428#gid=468361428"",""Distributor Visit Report 26-27!h1"")"),7.0)</f>
        <v>7</v>
      </c>
      <c r="K11" s="176">
        <f>IFERROR(__xludf.DUMMYFUNCTION("importrange(""https://docs.google.com/spreadsheets/d/1_7LRodPYvx00yc77EzTYhmbaNm8tNN_b96dQhnncLeE/edit?gid=468361428#gid=468361428"",""Distributor Visit Report 26-27!h2"")"),0.0)</f>
        <v>0</v>
      </c>
      <c r="L11" s="177">
        <f>IFERROR(__xludf.DUMMYFUNCTION("importrange(""https://docs.google.com/spreadsheets/d/1_7LRodPYvx00yc77EzTYhmbaNm8tNN_b96dQhnncLeE/edit?gid=468361428#gid=468361428"",""Distributor Visit Report 26-27!h4"")"),41.0)</f>
        <v>41</v>
      </c>
      <c r="M11" s="178">
        <f>IFERROR(__xludf.DUMMYFUNCTION("importrange(""https://docs.google.com/spreadsheets/d/1_7LRodPYvx00yc77EzTYhmbaNm8tNN_b96dQhnncLeE/edit?gid=468361428#gid=468361428"",""Retailer Report 26-27!A3"")"),80.0)</f>
        <v>80</v>
      </c>
      <c r="N11" s="179">
        <f>IFERROR(__xludf.DUMMYFUNCTION("importrange(""https://docs.google.com/spreadsheets/d/1_7LRodPYvx00yc77EzTYhmbaNm8tNN_b96dQhnncLeE/edit?gid=468361428#gid=468361428"",""Retailer Report 26-27!AB4"")"),61.0)</f>
        <v>61</v>
      </c>
      <c r="O11" s="179">
        <f>IFERROR(__xludf.DUMMYFUNCTION("importrange(""https://docs.google.com/spreadsheets/d/1_7LRodPYvx00yc77EzTYhmbaNm8tNN_b96dQhnncLeE/edit?gid=468361428#gid=468361428"",""Retailer Report 26-27!z4"")"),0.0)</f>
        <v>0</v>
      </c>
    </row>
    <row r="12">
      <c r="B12" s="173" t="s">
        <v>160</v>
      </c>
      <c r="C12" s="185" t="s">
        <v>346</v>
      </c>
      <c r="D12" s="181" t="s">
        <v>162</v>
      </c>
      <c r="E12" s="182">
        <v>9.332151493E9</v>
      </c>
      <c r="F12" s="174">
        <v>39859.0</v>
      </c>
      <c r="G12" s="66"/>
      <c r="H12" s="66"/>
      <c r="I12" s="175">
        <v>70400.0</v>
      </c>
      <c r="J12" s="186">
        <f>IFERROR(__xludf.DUMMYFUNCTION("importrange(""https://docs.google.com/spreadsheets/d/1FWoCAr1C7ZSb0vw1vvaBhsS73XL8YWHN3CvvtZ3LLKE/edit#gid=325586928"",""Distributor Visit Report 26-27!h1"")"),15.0)</f>
        <v>15</v>
      </c>
      <c r="K12" s="187">
        <f>IFERROR(__xludf.DUMMYFUNCTION("importrange(""https://docs.google.com/spreadsheets/d/1FWoCAr1C7ZSb0vw1vvaBhsS73XL8YWHN3CvvtZ3LLKE/edit#gid=325586928"",""Distributor Visit Report 26-27!h2"")"),1.0)</f>
        <v>1</v>
      </c>
      <c r="L12" s="188">
        <f>IFERROR(__xludf.DUMMYFUNCTION("importrange(""https://docs.google.com/spreadsheets/d/1FWoCAr1C7ZSb0vw1vvaBhsS73XL8YWHN3CvvtZ3LLKE/edit#gid=325586928"",""Distributor Visit Report 26-27!h4"")"),62.0)</f>
        <v>62</v>
      </c>
      <c r="M12" s="189">
        <f>IFERROR(__xludf.DUMMYFUNCTION("importrange(""https://docs.google.com/spreadsheets/d/1FWoCAr1C7ZSb0vw1vvaBhsS73XL8YWHN3CvvtZ3LLKE/edit#gid=325586928"",""Retailer Report 26-27!A3"")"),218.0)</f>
        <v>218</v>
      </c>
      <c r="N12" s="190">
        <f>IFERROR(__xludf.DUMMYFUNCTION("importrange(""https://docs.google.com/spreadsheets/d/1FWoCAr1C7ZSb0vw1vvaBhsS73XL8YWHN3CvvtZ3LLKE/edit#gid=325586928"",""Retailer Report 26-27!AB4"")"),173.0)</f>
        <v>173</v>
      </c>
      <c r="O12" s="190">
        <f>IFERROR(__xludf.DUMMYFUNCTION("importrange(""https://docs.google.com/spreadsheets/d/1FWoCAr1C7ZSb0vw1vvaBhsS73XL8YWHN3CvvtZ3LLKE/edit#gid=325586928"",""Retailer Report 26-27!z4"")"),0.0)</f>
        <v>0</v>
      </c>
    </row>
    <row r="13">
      <c r="B13" s="173" t="s">
        <v>160</v>
      </c>
      <c r="C13" s="185" t="s">
        <v>347</v>
      </c>
      <c r="D13" s="181" t="s">
        <v>348</v>
      </c>
      <c r="E13" s="182">
        <v>9.932231241E9</v>
      </c>
      <c r="F13" s="183">
        <v>43009.0</v>
      </c>
      <c r="G13" s="66"/>
      <c r="H13" s="66"/>
      <c r="I13" s="175">
        <v>54455.0</v>
      </c>
      <c r="J13" s="176">
        <f>IFERROR(__xludf.DUMMYFUNCTION("importrange(""https://docs.google.com/spreadsheets/d/1yYGXSwJ72j8viKCOe86p6wi8lNM7qrWmfCBaFBiUKLo/edit#gid=1122114685"",""Distributor Visit Report 26-27!h1"")"),6.0)</f>
        <v>6</v>
      </c>
      <c r="K13" s="176">
        <f>IFERROR(__xludf.DUMMYFUNCTION("importrange(""https://docs.google.com/spreadsheets/d/1yYGXSwJ72j8viKCOe86p6wi8lNM7qrWmfCBaFBiUKLo/edit#gid=1122114685"",""Distributor Visit Report 26-27!h2"")"),0.0)</f>
        <v>0</v>
      </c>
      <c r="L13" s="176">
        <f>IFERROR(__xludf.DUMMYFUNCTION("iferror(importrange(""https://docs.google.com/spreadsheets/d/1yYGXSwJ72j8viKCOe86p6wi8lNM7qrWmfCBaFBiUKLo/edit#gid=1122114685"",""Distributor Visit Report 26-27!h4""))"),43.0)</f>
        <v>43</v>
      </c>
      <c r="M13" s="178">
        <f>IFERROR(__xludf.DUMMYFUNCTION("importrange(""https://docs.google.com/spreadsheets/d/1yYGXSwJ72j8viKCOe86p6wi8lNM7qrWmfCBaFBiUKLo/edit#gid=1122114685"",""Retailer Report 26-27!A3"")"),233.0)</f>
        <v>233</v>
      </c>
      <c r="N13" s="179">
        <f>IFERROR(__xludf.DUMMYFUNCTION("importrange(""https://docs.google.com/spreadsheets/d/1yYGXSwJ72j8viKCOe86p6wi8lNM7qrWmfCBaFBiUKLo/edit#gid=1122114685"",""Retailer Report 26-27!AB4"")"),182.0)</f>
        <v>182</v>
      </c>
      <c r="O13" s="179">
        <f>IFERROR(__xludf.DUMMYFUNCTION("importrange(""https://docs.google.com/spreadsheets/d/1yYGXSwJ72j8viKCOe86p6wi8lNM7qrWmfCBaFBiUKLo/edit#gid=1122114685"",""Retailer Report 26-27!z4"")"),0.0)</f>
        <v>0</v>
      </c>
    </row>
    <row r="14">
      <c r="B14" s="173" t="s">
        <v>160</v>
      </c>
      <c r="C14" s="185" t="s">
        <v>349</v>
      </c>
      <c r="D14" s="181" t="s">
        <v>175</v>
      </c>
      <c r="E14" s="182">
        <v>8.249486108E9</v>
      </c>
      <c r="F14" s="183">
        <v>42125.0</v>
      </c>
      <c r="G14" s="66"/>
      <c r="H14" s="66"/>
      <c r="I14" s="175">
        <v>79340.0</v>
      </c>
      <c r="J14" s="176">
        <f>IFERROR(__xludf.DUMMYFUNCTION("iferror(importrange(""https://docs.google.com/spreadsheets/d/1wjoxTKxLPmzHS19GT_DZ96swQR-_WwppkY-Fa7qtBBY/edit#gid=1703913747"",""Distributor Visit Report 26-27!h1""))"),7.0)</f>
        <v>7</v>
      </c>
      <c r="K14" s="176">
        <f>IFERROR(__xludf.DUMMYFUNCTION("iferror(importrange(""https://docs.google.com/spreadsheets/d/1wjoxTKxLPmzHS19GT_DZ96swQR-_WwppkY-Fa7qtBBY/edit#gid=1703913747"",""Distributor Visit Report 26-27!h2""))"),0.0)</f>
        <v>0</v>
      </c>
      <c r="L14" s="176">
        <f>IFERROR(__xludf.DUMMYFUNCTION("iferror(importrange(""https://docs.google.com/spreadsheets/d/1wjoxTKxLPmzHS19GT_DZ96swQR-_WwppkY-Fa7qtBBY/edit#gid=1703913747"",""Distributor Visit Report 26-27!h4""))"),59.0)</f>
        <v>59</v>
      </c>
      <c r="M14" s="178" t="str">
        <f>IFERROR(__xludf.DUMMYFUNCTION("iferror(importrange(""https://docs.google.com/spreadsheets/d/1wjoxTKxLPmzHS19GT_DZ96swQR-_WwppkY-Fa7qtBBY/edit#gid=1703913747"",""Retailer Report 26-27!A3""))"),"")</f>
        <v/>
      </c>
      <c r="N14" s="178" t="str">
        <f>IFERROR(__xludf.DUMMYFUNCTION("iferror(importrange(""https://docs.google.com/spreadsheets/d/1wjoxTKxLPmzHS19GT_DZ96swQR-_WwppkY-Fa7qtBBY/edit#gid=1703913747"",""Retailer Report 26-27!AB4""))"),"")</f>
        <v/>
      </c>
      <c r="O14" s="178" t="str">
        <f>IFERROR(__xludf.DUMMYFUNCTION("iferror(importrange(""https://docs.google.com/spreadsheets/d/1wjoxTKxLPmzHS19GT_DZ96swQR-_WwppkY-Fa7qtBBY/edit#gid=1703913747"",""Retailer Report 26-27!z4""))"),"")</f>
        <v/>
      </c>
    </row>
    <row r="15">
      <c r="B15" s="173" t="s">
        <v>160</v>
      </c>
      <c r="C15" s="90" t="s">
        <v>350</v>
      </c>
      <c r="D15" s="181" t="s">
        <v>351</v>
      </c>
      <c r="E15" s="182">
        <v>9.650431625E9</v>
      </c>
      <c r="F15" s="174">
        <v>41719.0</v>
      </c>
      <c r="G15" s="175"/>
      <c r="H15" s="175"/>
      <c r="I15" s="175">
        <v>88170.0</v>
      </c>
      <c r="J15" s="176">
        <f>IFERROR(__xludf.DUMMYFUNCTION("importrange(""https://docs.google.com/spreadsheets/d/1EI3mfkw4tnCjQO2zng_o2RwNxu-iRNoEbMdHoBZ0tvg/edit?gid=1681064011#gid=1681064011"",""Distributor Visit Report 26-27!h1"")"),22.0)</f>
        <v>22</v>
      </c>
      <c r="K15" s="176">
        <f>IFERROR(__xludf.DUMMYFUNCTION("importrange(""https://docs.google.com/spreadsheets/d/1EI3mfkw4tnCjQO2zng_o2RwNxu-iRNoEbMdHoBZ0tvg/edit?gid=1681064011#gid=1681064011"",""Distributor Visit Report 26-27!h2"")"),9.0)</f>
        <v>9</v>
      </c>
      <c r="L15" s="177">
        <f>IFERROR(__xludf.DUMMYFUNCTION("importrange(""https://docs.google.com/spreadsheets/d/1EI3mfkw4tnCjQO2zng_o2RwNxu-iRNoEbMdHoBZ0tvg/edit?gid=1681064011#gid=1681064011"",""Distributor Visit Report 26-27!h4"")"),64.0)</f>
        <v>64</v>
      </c>
      <c r="M15" s="178">
        <f>IFERROR(__xludf.DUMMYFUNCTION("importrange(""https://docs.google.com/spreadsheets/d/1EI3mfkw4tnCjQO2zng_o2RwNxu-iRNoEbMdHoBZ0tvg/edit?gid=1681064011#gid=1681064011"",""Retailer Report 26-27!A3"")"),191.0)</f>
        <v>191</v>
      </c>
      <c r="N15" s="179">
        <f>IFERROR(__xludf.DUMMYFUNCTION("importrange(""https://docs.google.com/spreadsheets/d/1EI3mfkw4tnCjQO2zng_o2RwNxu-iRNoEbMdHoBZ0tvg/edit?gid=1681064011#gid=1681064011"",""Retailer Report 26-27!AB4"")"),41.0)</f>
        <v>41</v>
      </c>
      <c r="O15" s="179">
        <f>IFERROR(__xludf.DUMMYFUNCTION("importrange(""https://docs.google.com/spreadsheets/d/1EI3mfkw4tnCjQO2zng_o2RwNxu-iRNoEbMdHoBZ0tvg/edit?gid=1681064011#gid=1681064011"",""Retailer Report 26-27!z4"")"),0.0)</f>
        <v>0</v>
      </c>
    </row>
    <row r="16">
      <c r="B16" s="173" t="s">
        <v>160</v>
      </c>
      <c r="C16" s="90" t="s">
        <v>352</v>
      </c>
      <c r="D16" s="81" t="s">
        <v>162</v>
      </c>
      <c r="E16" s="81">
        <v>9.830043155E9</v>
      </c>
      <c r="F16" s="174">
        <v>45295.0</v>
      </c>
      <c r="G16" s="175"/>
      <c r="H16" s="175"/>
      <c r="I16" s="180">
        <v>88555.0</v>
      </c>
      <c r="J16" s="176">
        <f>IFERROR(__xludf.DUMMYFUNCTION("importrange(""https://docs.google.com/spreadsheets/d/1tBU2WORCGkePMRxXIZloeHDIhaKFEnE8iBZsKyW5bHc/edit?gid=0#gid=0"",""Distributor Visit Report 26-27!h1"")"),20.0)</f>
        <v>20</v>
      </c>
      <c r="K16" s="176">
        <f>IFERROR(__xludf.DUMMYFUNCTION("importrange(""https://docs.google.com/spreadsheets/d/1tBU2WORCGkePMRxXIZloeHDIhaKFEnE8iBZsKyW5bHc/edit?gid=0#gid=0"",""Distributor Visit Report 26-27!h2"")"),0.0)</f>
        <v>0</v>
      </c>
      <c r="L16" s="177">
        <f>IFERROR(__xludf.DUMMYFUNCTION("importrange(""https://docs.google.com/spreadsheets/d/1tBU2WORCGkePMRxXIZloeHDIhaKFEnE8iBZsKyW5bHc/edit?gid=0#gid=0"",""Distributor Visit Report 26-27!h4"")"),19.0)</f>
        <v>19</v>
      </c>
      <c r="M16" s="178">
        <f>IFERROR(__xludf.DUMMYFUNCTION("importrange(""https://docs.google.com/spreadsheets/d/1tBU2WORCGkePMRxXIZloeHDIhaKFEnE8iBZsKyW5bHc/edit?gid=0#gid=0"",""Retailer Report 26-27!A3"")"),219.0)</f>
        <v>219</v>
      </c>
      <c r="N16" s="179">
        <f>IFERROR(__xludf.DUMMYFUNCTION("importrange(""https://docs.google.com/spreadsheets/d/1tBU2WORCGkePMRxXIZloeHDIhaKFEnE8iBZsKyW5bHc/edit?gid=0#gid=0"",""Retailer Report 26-27!AB4"")"),32.0)</f>
        <v>32</v>
      </c>
      <c r="O16" s="179">
        <f>IFERROR(__xludf.DUMMYFUNCTION("importrange(""https://docs.google.com/spreadsheets/d/1tBU2WORCGkePMRxXIZloeHDIhaKFEnE8iBZsKyW5bHc/edit?gid=0#gid=0"",""Retailer Report 26-27!z4"")"),0.0)</f>
        <v>0</v>
      </c>
    </row>
    <row r="17">
      <c r="B17" s="173" t="s">
        <v>160</v>
      </c>
      <c r="C17" s="90" t="s">
        <v>353</v>
      </c>
      <c r="D17" s="81" t="s">
        <v>162</v>
      </c>
      <c r="E17" s="81">
        <v>9.831058595E9</v>
      </c>
      <c r="F17" s="174">
        <v>45202.0</v>
      </c>
      <c r="G17" s="175"/>
      <c r="H17" s="175"/>
      <c r="I17" s="175">
        <v>93820.0</v>
      </c>
      <c r="J17" s="176">
        <f>IFERROR(__xludf.DUMMYFUNCTION("importrange(""https://docs.google.com/spreadsheets/d/1-GtR9KEvpi7RiFYMnuZo8zNQdsMbzFvWslRaxdBQRPM/edit?gid=0#gid=0"",""Distributor Visit Report 26-27!h1"")"),25.0)</f>
        <v>25</v>
      </c>
      <c r="K17" s="176">
        <f>IFERROR(__xludf.DUMMYFUNCTION("importrange(""https://docs.google.com/spreadsheets/d/1-GtR9KEvpi7RiFYMnuZo8zNQdsMbzFvWslRaxdBQRPM/edit?gid=0#gid=0"",""Distributor Visit Report 26-27!h2"")"),1.0)</f>
        <v>1</v>
      </c>
      <c r="L17" s="177">
        <f>IFERROR(__xludf.DUMMYFUNCTION("importrange(""https://docs.google.com/spreadsheets/d/1-GtR9KEvpi7RiFYMnuZo8zNQdsMbzFvWslRaxdBQRPM/edit?gid=0#gid=0"",""Distributor Visit Report 26-27!h4"")"),45.0)</f>
        <v>45</v>
      </c>
      <c r="M17" s="178">
        <f>IFERROR(__xludf.DUMMYFUNCTION("importrange(""https://docs.google.com/spreadsheets/d/1-GtR9KEvpi7RiFYMnuZo8zNQdsMbzFvWslRaxdBQRPM/edit?gid=0#gid=0"",""Retailer Report 26-27!A3"")"),210.0)</f>
        <v>210</v>
      </c>
      <c r="N17" s="179">
        <f>IFERROR(__xludf.DUMMYFUNCTION("importrange(""https://docs.google.com/spreadsheets/d/1-GtR9KEvpi7RiFYMnuZo8zNQdsMbzFvWslRaxdBQRPM/edit?gid=0#gid=0"",""Retailer Report 26-27!AB4"")"),28.0)</f>
        <v>28</v>
      </c>
      <c r="O17" s="179">
        <f>IFERROR(__xludf.DUMMYFUNCTION("importrange(""https://docs.google.com/spreadsheets/d/1-GtR9KEvpi7RiFYMnuZo8zNQdsMbzFvWslRaxdBQRPM/edit?gid=0#gid=0"",""Retailer Report 26-27!z4"")"),0.0)</f>
        <v>0</v>
      </c>
    </row>
    <row r="18">
      <c r="B18" s="173" t="s">
        <v>160</v>
      </c>
      <c r="C18" s="90" t="s">
        <v>354</v>
      </c>
      <c r="D18" s="81" t="s">
        <v>239</v>
      </c>
      <c r="E18" s="81">
        <v>9.934308183E9</v>
      </c>
      <c r="F18" s="174">
        <v>45170.0</v>
      </c>
      <c r="G18" s="175"/>
      <c r="H18" s="175"/>
      <c r="I18" s="175">
        <v>95640.0</v>
      </c>
      <c r="J18" s="176">
        <f>IFERROR(__xludf.DUMMYFUNCTION("importrange(""https://docs.google.com/spreadsheets/d/1h0AtWsk8NkAI3_51JZNnz_sEcXfnMBKLurlRcutnfrM/edit?gid=0#gid=0"",""Distributor Visit Report 26-27!h1"")"),5.0)</f>
        <v>5</v>
      </c>
      <c r="K18" s="176">
        <f>IFERROR(__xludf.DUMMYFUNCTION("importrange(""https://docs.google.com/spreadsheets/d/1h0AtWsk8NkAI3_51JZNnz_sEcXfnMBKLurlRcutnfrM/edit?gid=0#gid=0"",""Distributor Visit Report 26-27!h2"")"),0.0)</f>
        <v>0</v>
      </c>
      <c r="L18" s="177">
        <f>IFERROR(__xludf.DUMMYFUNCTION("importrange(""https://docs.google.com/spreadsheets/d/1h0AtWsk8NkAI3_51JZNnz_sEcXfnMBKLurlRcutnfrM/edit?gid=0#gid=0"",""Distributor Visit Report 26-27!h4"")"),43.0)</f>
        <v>43</v>
      </c>
      <c r="M18" s="178">
        <f>IFERROR(__xludf.DUMMYFUNCTION("importrange(""https://docs.google.com/spreadsheets/d/1h0AtWsk8NkAI3_51JZNnz_sEcXfnMBKLurlRcutnfrM/edit?gid=0#gid=0"",""Retailer Report 26-27!A3"")"),258.0)</f>
        <v>258</v>
      </c>
      <c r="N18" s="179">
        <f>IFERROR(__xludf.DUMMYFUNCTION("importrange(""https://docs.google.com/spreadsheets/d/1h0AtWsk8NkAI3_51JZNnz_sEcXfnMBKLurlRcutnfrM/edit?gid=0#gid=0"",""Retailer Report 26-27!AB4"")"),170.0)</f>
        <v>170</v>
      </c>
      <c r="O18" s="179">
        <f>IFERROR(__xludf.DUMMYFUNCTION("importrange(""https://docs.google.com/spreadsheets/d/1h0AtWsk8NkAI3_51JZNnz_sEcXfnMBKLurlRcutnfrM/edit?gid=0#gid=0"",""Retailer Report 26-27!z4"")"),0.0)</f>
        <v>0</v>
      </c>
    </row>
    <row r="19">
      <c r="B19" s="173" t="s">
        <v>301</v>
      </c>
      <c r="C19" s="185" t="s">
        <v>355</v>
      </c>
      <c r="D19" s="81" t="s">
        <v>356</v>
      </c>
      <c r="E19" s="81">
        <v>9.429043468E9</v>
      </c>
      <c r="F19" s="174">
        <v>45638.0</v>
      </c>
      <c r="G19" s="175"/>
      <c r="H19" s="175"/>
      <c r="I19" s="175">
        <v>47720.0</v>
      </c>
      <c r="J19" s="176">
        <f>IFERROR(__xludf.DUMMYFUNCTION("importrange(""https://docs.google.com/spreadsheets/d/1I474VIS3tjOdc5ji7ckmL-ZCqzOM_zk53P3oK2g9VTM/edit?gid=216875875#gid=216875875"",""Distributor Visit Report 26-27!h1"")"),4.0)</f>
        <v>4</v>
      </c>
      <c r="K19" s="176">
        <f>IFERROR(__xludf.DUMMYFUNCTION("importrange(""https://docs.google.com/spreadsheets/d/1I474VIS3tjOdc5ji7ckmL-ZCqzOM_zk53P3oK2g9VTM/edit?gid=216875875#gid=216875875"",""Distributor Visit Report 26-27!h2"")"),0.0)</f>
        <v>0</v>
      </c>
      <c r="L19" s="177">
        <f>IFERROR(__xludf.DUMMYFUNCTION("importrange(""https://docs.google.com/spreadsheets/d/1I474VIS3tjOdc5ji7ckmL-ZCqzOM_zk53P3oK2g9VTM/edit?gid=216875875#gid=216875875"",""Distributor Visit Report 26-27!h4"")"),8.0)</f>
        <v>8</v>
      </c>
      <c r="M19" s="178">
        <f>IFERROR(__xludf.DUMMYFUNCTION("importrange(""https://docs.google.com/spreadsheets/d/1I474VIS3tjOdc5ji7ckmL-ZCqzOM_zk53P3oK2g9VTM/edit?gid=216875875#gid=216875875"",""Retailer Report 26-27!A3"")"),104.0)</f>
        <v>104</v>
      </c>
      <c r="N19" s="179">
        <f>IFERROR(__xludf.DUMMYFUNCTION("importrange(""https://docs.google.com/spreadsheets/d/1I474VIS3tjOdc5ji7ckmL-ZCqzOM_zk53P3oK2g9VTM/edit?gid=216875875#gid=216875875"",""Retailer Report 26-27!AB4"")"),12.0)</f>
        <v>12</v>
      </c>
      <c r="O19" s="179">
        <f>IFERROR(__xludf.DUMMYFUNCTION("importrange(""https://docs.google.com/spreadsheets/d/1I474VIS3tjOdc5ji7ckmL-ZCqzOM_zk53P3oK2g9VTM/edit?gid=216875875#gid=216875875"",""Retailer Report 26-27!z4"")"),55356.4)</f>
        <v>55356.4</v>
      </c>
    </row>
    <row r="20">
      <c r="B20" s="173" t="s">
        <v>357</v>
      </c>
      <c r="C20" s="90" t="s">
        <v>358</v>
      </c>
      <c r="D20" s="173" t="s">
        <v>359</v>
      </c>
      <c r="E20" s="173">
        <v>8.2738469E9</v>
      </c>
      <c r="F20" s="174">
        <v>46162.0</v>
      </c>
      <c r="G20" s="175"/>
      <c r="H20" s="175"/>
      <c r="I20" s="184">
        <v>150000.0</v>
      </c>
      <c r="J20" s="176">
        <f>IFERROR(__xludf.DUMMYFUNCTION("IMPORTRANGE(""1RByROzdCZFfZm8RUbhXmICFnyevbQiTEdCbUruyprHo"",""Distributor Visit Report 26-27!H1"")"),1.0)</f>
        <v>1</v>
      </c>
      <c r="K20" s="176">
        <f>IFERROR(__xludf.DUMMYFUNCTION("IMPORTRANGE(""1RByROzdCZFfZm8RUbhXmICFnyevbQiTEdCbUruyprHo"",""Distributor Visit Report 26-27!H2"")"),0.0)</f>
        <v>0</v>
      </c>
      <c r="L20" s="177">
        <f>IFERROR(__xludf.DUMMYFUNCTION("IMPORTRANGE(""1RByROzdCZFfZm8RUbhXmICFnyevbQiTEdCbUruyprHo"",""Distributor Visit Report 26-27!H4"")"),0.0)</f>
        <v>0</v>
      </c>
      <c r="M20" s="178">
        <f>IFERROR(__xludf.DUMMYFUNCTION("IMPORTRANGE(""1RByROzdCZFfZm8RUbhXmICFnyevbQiTEdCbUruyprHo"",""Retailer Report 26-27!a3"")"),0.0)</f>
        <v>0</v>
      </c>
      <c r="N20" s="179">
        <f>IFERROR(__xludf.DUMMYFUNCTION("IMPORTRANGE(""1RByROzdCZFfZm8RUbhXmICFnyevbQiTEdCbUruyprHo"",""Retailer Report 26-27!ab4"")"),0.0)</f>
        <v>0</v>
      </c>
      <c r="O20" s="179">
        <f>IFERROR(__xludf.DUMMYFUNCTION("IMPORTRANGE(""1RByROzdCZFfZm8RUbhXmICFnyevbQiTEdCbUruyprHo"",""Retailer Report 26-27!z4"")"),0.0)</f>
        <v>0</v>
      </c>
    </row>
    <row r="21">
      <c r="B21" s="173" t="s">
        <v>358</v>
      </c>
      <c r="C21" s="90" t="s">
        <v>360</v>
      </c>
      <c r="D21" s="173" t="s">
        <v>361</v>
      </c>
      <c r="E21" s="173">
        <v>9.917686768E9</v>
      </c>
      <c r="F21" s="174">
        <v>46167.0</v>
      </c>
      <c r="G21" s="175"/>
      <c r="H21" s="175"/>
      <c r="I21" s="184">
        <v>52100.0</v>
      </c>
      <c r="J21" s="176">
        <f>IFERROR(__xludf.DUMMYFUNCTION("IMPORTRANGE(""1cq_sxxyXR9tTwwEyk3RlML3i-Fz7VAR8Uht8bzl-dx8"",""Distributor Visit Report 26-27!H1"")"),1.0)</f>
        <v>1</v>
      </c>
      <c r="K21" s="176">
        <f>IFERROR(__xludf.DUMMYFUNCTION("IMPORTRANGE(""1cq_sxxyXR9tTwwEyk3RlML3i-Fz7VAR8Uht8bzl-dx8"",""Distributor Visit Report 26-27!H2"")"),0.0)</f>
        <v>0</v>
      </c>
      <c r="L21" s="177">
        <f>IFERROR(__xludf.DUMMYFUNCTION("IMPORTRANGE(""1cq_sxxyXR9tTwwEyk3RlML3i-Fz7VAR8Uht8bzl-dx8"",""Distributor Visit Report 26-27!H4"")"),0.0)</f>
        <v>0</v>
      </c>
      <c r="M21" s="178">
        <f>IFERROR(__xludf.DUMMYFUNCTION("IMPORTRANGE(""1cq_sxxyXR9tTwwEyk3RlML3i-Fz7VAR8Uht8bzl-dx8"",""Retailer Report 26-27!a3"")"),5.0)</f>
        <v>5</v>
      </c>
      <c r="N21" s="179">
        <f>IFERROR(__xludf.DUMMYFUNCTION("IMPORTRANGE(""1cq_sxxyXR9tTwwEyk3RlML3i-Fz7VAR8Uht8bzl-dx8"",""Retailer Report 26-27!ab4"")"),8.0)</f>
        <v>8</v>
      </c>
      <c r="O21" s="179">
        <f>IFERROR(__xludf.DUMMYFUNCTION("IMPORTRANGE(""1cq_sxxyXR9tTwwEyk3RlML3i-Fz7VAR8Uht8bzl-dx8"",""Retailer Report 26-27!z4"")"),0.0)</f>
        <v>0</v>
      </c>
    </row>
    <row r="22">
      <c r="B22" s="173" t="s">
        <v>357</v>
      </c>
      <c r="C22" s="90" t="s">
        <v>362</v>
      </c>
      <c r="D22" s="173" t="s">
        <v>323</v>
      </c>
      <c r="E22" s="173">
        <v>9.828146028E9</v>
      </c>
      <c r="F22" s="174">
        <v>46132.0</v>
      </c>
      <c r="G22" s="175"/>
      <c r="H22" s="175"/>
      <c r="I22" s="184">
        <v>113800.0</v>
      </c>
      <c r="J22" s="176">
        <f>IFERROR(__xludf.DUMMYFUNCTION("importrange(""https://docs.google.com/spreadsheets/d/1IE1vTKIuuE0qpNe2127kd-GbjkNrLkqmuKGz-opQjs0/edit?gid=0#gid=0"",""Distributor Visit Report 26-27!h1"")"),2.0)</f>
        <v>2</v>
      </c>
      <c r="K22" s="176">
        <f>IFERROR(__xludf.DUMMYFUNCTION("importrange(""https://docs.google.com/spreadsheets/d/1IE1vTKIuuE0qpNe2127kd-GbjkNrLkqmuKGz-opQjs0/edit?gid=0#gid=0"",""Distributor Visit Report 26-27!h2"")"),1.0)</f>
        <v>1</v>
      </c>
      <c r="L22" s="177">
        <f>IFERROR(__xludf.DUMMYFUNCTION("importrange(""https://docs.google.com/spreadsheets/d/1IE1vTKIuuE0qpNe2127kd-GbjkNrLkqmuKGz-opQjs0/edit?gid=0#gid=0"",""Distributor Visit Report 26-27!h4"")"),13.0)</f>
        <v>13</v>
      </c>
      <c r="M22" s="178">
        <f>IFERROR(__xludf.DUMMYFUNCTION("importrange(""https://docs.google.com/spreadsheets/d/1IE1vTKIuuE0qpNe2127kd-GbjkNrLkqmuKGz-opQjs0/edit?gid=0#gid=0"",""Retailer Report 26-27!A3"")"),1.0)</f>
        <v>1</v>
      </c>
      <c r="N22" s="179">
        <f>IFERROR(__xludf.DUMMYFUNCTION("importrange(""https://docs.google.com/spreadsheets/d/1IE1vTKIuuE0qpNe2127kd-GbjkNrLkqmuKGz-opQjs0/edit?gid=0#gid=0"",""Retailer Report 26-27!AB4"")"),2.0)</f>
        <v>2</v>
      </c>
      <c r="O22" s="179">
        <f>IFERROR(__xludf.DUMMYFUNCTION("importrange(""https://docs.google.com/spreadsheets/d/1IE1vTKIuuE0qpNe2127kd-GbjkNrLkqmuKGz-opQjs0/edit?gid=0#gid=0"",""Retailer Report 26-27!z4"")"),0.0)</f>
        <v>0</v>
      </c>
    </row>
    <row r="23">
      <c r="B23" s="173" t="s">
        <v>160</v>
      </c>
      <c r="C23" s="191" t="s">
        <v>363</v>
      </c>
      <c r="D23" s="173" t="s">
        <v>364</v>
      </c>
      <c r="E23" s="173">
        <v>9.647103746E9</v>
      </c>
      <c r="F23" s="183">
        <v>46178.0</v>
      </c>
      <c r="G23" s="81"/>
      <c r="H23" s="81"/>
      <c r="I23" s="173">
        <v>94500.0</v>
      </c>
      <c r="J23" s="176">
        <f>IFERROR(__xludf.DUMMYFUNCTION("importrange(""https://docs.google.com/spreadsheets/d/1icXZrszWsrD0XhtVJspeoGUH0iHsSqgl-bNhXYgD_NE/edit?gid=1460013727#gid=1460013727"",""Distributor Visit Report 26-27!h1"")"),3.0)</f>
        <v>3</v>
      </c>
      <c r="K23" s="176">
        <f>IFERROR(__xludf.DUMMYFUNCTION("importrange(""https://docs.google.com/spreadsheets/d/1icXZrszWsrD0XhtVJspeoGUH0iHsSqgl-bNhXYgD_NE/edit?gid=1460013727#gid=1460013727"",""Distributor Visit Report 26-27!h2"")"),0.0)</f>
        <v>0</v>
      </c>
      <c r="L23" s="177">
        <f>IFERROR(__xludf.DUMMYFUNCTION("importrange(""https://docs.google.com/spreadsheets/d/1icXZrszWsrD0XhtVJspeoGUH0iHsSqgl-bNhXYgD_NE/edit?gid=1460013727#gid=1460013727"",""Distributor Visit Report 26-27!h4"")"),7.0)</f>
        <v>7</v>
      </c>
      <c r="M23" s="139"/>
      <c r="N23" s="139"/>
      <c r="O23" s="139"/>
    </row>
  </sheetData>
  <mergeCells count="15">
    <mergeCell ref="H4:H6"/>
    <mergeCell ref="I4:I6"/>
    <mergeCell ref="J4:J6"/>
    <mergeCell ref="K4:K6"/>
    <mergeCell ref="L4:L6"/>
    <mergeCell ref="M4:M6"/>
    <mergeCell ref="N4:N6"/>
    <mergeCell ref="O4:O6"/>
    <mergeCell ref="B1:F2"/>
    <mergeCell ref="B4:B6"/>
    <mergeCell ref="C4:C6"/>
    <mergeCell ref="D4:D6"/>
    <mergeCell ref="E4:E6"/>
    <mergeCell ref="F4:F6"/>
    <mergeCell ref="G4:G6"/>
  </mergeCells>
  <conditionalFormatting sqref="C3">
    <cfRule type="expression" dxfId="0" priority="1">
      <formula>COUNTIF(C:C,C3)&gt;1</formula>
    </cfRule>
  </conditionalFormatting>
  <hyperlinks>
    <hyperlink r:id="rId1" ref="C7"/>
    <hyperlink r:id="rId2" location="gid=0" ref="C8"/>
    <hyperlink r:id="rId3" location="gid=0" ref="C9"/>
    <hyperlink r:id="rId4" location="gid=0" ref="C10"/>
    <hyperlink r:id="rId5" location="gid=2065133785" ref="C11"/>
    <hyperlink r:id="rId6" location="gid=325586928" ref="C12"/>
    <hyperlink r:id="rId7" location="gid=1122114685" ref="C13"/>
    <hyperlink r:id="rId8" location="gid=1703913747" ref="C14"/>
    <hyperlink r:id="rId9" location="gid=1681064011" ref="C15"/>
    <hyperlink r:id="rId10" location="gid=0" ref="C16"/>
    <hyperlink r:id="rId11" location="gid=0" ref="C17"/>
    <hyperlink r:id="rId12" location="gid=0" ref="C18"/>
    <hyperlink r:id="rId13" location="gid=216875875" ref="C19"/>
    <hyperlink r:id="rId14" location="gid=0" ref="C20"/>
    <hyperlink r:id="rId15" location="gid=0" ref="C21"/>
    <hyperlink r:id="rId16" location="gid=0" ref="C22"/>
    <hyperlink r:id="rId17" location="gid=1460013727" ref="C23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hidden="1" min="1" max="1" width="12.63"/>
    <col customWidth="1" min="2" max="2" width="20.0"/>
    <col customWidth="1" min="3" max="3" width="23.13"/>
    <col customWidth="1" min="4" max="4" width="11.5"/>
    <col customWidth="1" min="5" max="5" width="8.75"/>
    <col hidden="1" min="6" max="8" width="12.63"/>
    <col customWidth="1" min="9" max="9" width="8.13"/>
    <col customWidth="1" min="10" max="10" width="8.0"/>
    <col customWidth="1" min="11" max="11" width="8.38"/>
    <col customWidth="1" min="12" max="12" width="9.75"/>
    <col customWidth="1" min="13" max="13" width="8.38"/>
    <col customWidth="1" min="14" max="14" width="7.25"/>
    <col customWidth="1" min="15" max="15" width="8.38"/>
    <col customWidth="1" min="16" max="16" width="7.5"/>
    <col customWidth="1" hidden="1" min="17" max="17" width="12.25"/>
    <col customWidth="1" min="18" max="18" width="9.25"/>
    <col customWidth="1" min="19" max="19" width="8.38"/>
    <col customWidth="1" min="20" max="21" width="6.75"/>
    <col hidden="1" min="22" max="22" width="12.63"/>
    <col customWidth="1" min="23" max="23" width="6.75"/>
    <col customWidth="1" min="24" max="24" width="8.25"/>
    <col hidden="1" min="25" max="28" width="12.63"/>
    <col customWidth="1" min="29" max="30" width="8.63"/>
    <col customWidth="1" min="31" max="31" width="6.0"/>
    <col customWidth="1" min="32" max="32" width="5.5"/>
    <col hidden="1" min="33" max="34" width="12.63"/>
    <col customWidth="1" min="35" max="35" width="8.25"/>
    <col hidden="1" min="36" max="36" width="12.63"/>
    <col customWidth="1" min="37" max="37" width="6.5"/>
    <col hidden="1" min="38" max="38" width="12.63"/>
    <col customWidth="1" min="39" max="39" width="7.75"/>
    <col customWidth="1" min="40" max="40" width="6.75"/>
    <col customWidth="1" min="41" max="41" width="5.5"/>
    <col customWidth="1" min="42" max="42" width="6.0"/>
    <col customWidth="1" min="43" max="43" width="7.63"/>
    <col customWidth="1" min="44" max="44" width="7.38"/>
    <col customWidth="1" min="45" max="45" width="7.0"/>
    <col customWidth="1" min="46" max="46" width="7.38"/>
    <col customWidth="1" min="47" max="47" width="6.63"/>
    <col customWidth="1" min="48" max="48" width="7.5"/>
    <col customWidth="1" hidden="1" min="49" max="49" width="6.75"/>
    <col customWidth="1" hidden="1" min="50" max="50" width="8.38"/>
    <col customWidth="1" hidden="1" min="51" max="51" width="7.5"/>
    <col hidden="1" min="52" max="56" width="12.63"/>
    <col customWidth="1" min="57" max="57" width="9.25"/>
  </cols>
  <sheetData>
    <row r="1">
      <c r="A1" s="192"/>
      <c r="B1" s="193" t="s">
        <v>365</v>
      </c>
      <c r="F1" s="192"/>
      <c r="G1" s="194" t="s">
        <v>366</v>
      </c>
      <c r="J1" s="10"/>
      <c r="K1" s="6"/>
      <c r="O1" s="195" t="s">
        <v>367</v>
      </c>
      <c r="P1" s="196">
        <f t="shared" ref="P1:R1" si="1">countif(P4:P29,"&lt;25%")</f>
        <v>10</v>
      </c>
      <c r="Q1" s="196">
        <f t="shared" si="1"/>
        <v>23</v>
      </c>
      <c r="R1" s="196">
        <f t="shared" si="1"/>
        <v>15</v>
      </c>
      <c r="S1" s="6"/>
      <c r="T1" s="6"/>
      <c r="U1" s="6"/>
      <c r="V1" s="18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>
      <c r="A2" s="197"/>
      <c r="B2" s="198" t="s">
        <v>368</v>
      </c>
      <c r="C2" s="198">
        <f>counta(C4:C29)</f>
        <v>26</v>
      </c>
      <c r="D2" s="6"/>
      <c r="E2" s="6"/>
      <c r="F2" s="6"/>
      <c r="G2" s="6"/>
      <c r="H2" s="6"/>
      <c r="I2" s="6"/>
      <c r="J2" s="10"/>
      <c r="K2" s="15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</row>
    <row r="3">
      <c r="A3" s="199" t="s">
        <v>3</v>
      </c>
      <c r="B3" s="199" t="s">
        <v>369</v>
      </c>
      <c r="C3" s="200" t="s">
        <v>370</v>
      </c>
      <c r="D3" s="200" t="s">
        <v>371</v>
      </c>
      <c r="E3" s="201" t="s">
        <v>372</v>
      </c>
      <c r="F3" s="202" t="s">
        <v>373</v>
      </c>
      <c r="G3" s="203" t="s">
        <v>374</v>
      </c>
      <c r="H3" s="203" t="s">
        <v>375</v>
      </c>
      <c r="I3" s="201" t="s">
        <v>376</v>
      </c>
      <c r="J3" s="201" t="s">
        <v>377</v>
      </c>
      <c r="K3" s="204" t="s">
        <v>378</v>
      </c>
      <c r="L3" s="204" t="s">
        <v>379</v>
      </c>
      <c r="M3" s="204" t="s">
        <v>380</v>
      </c>
      <c r="N3" s="201" t="s">
        <v>381</v>
      </c>
      <c r="O3" s="205" t="s">
        <v>382</v>
      </c>
      <c r="P3" s="206" t="s">
        <v>383</v>
      </c>
      <c r="Q3" s="201" t="s">
        <v>384</v>
      </c>
      <c r="R3" s="201" t="s">
        <v>385</v>
      </c>
      <c r="S3" s="201" t="s">
        <v>386</v>
      </c>
      <c r="T3" s="201" t="s">
        <v>387</v>
      </c>
      <c r="U3" s="201" t="s">
        <v>388</v>
      </c>
      <c r="V3" s="207" t="s">
        <v>389</v>
      </c>
      <c r="W3" s="201" t="s">
        <v>390</v>
      </c>
      <c r="X3" s="201" t="s">
        <v>391</v>
      </c>
      <c r="Y3" s="207" t="s">
        <v>392</v>
      </c>
      <c r="Z3" s="207" t="s">
        <v>393</v>
      </c>
      <c r="AA3" s="208" t="s">
        <v>394</v>
      </c>
      <c r="AB3" s="208" t="s">
        <v>395</v>
      </c>
      <c r="AC3" s="201" t="s">
        <v>396</v>
      </c>
      <c r="AD3" s="201" t="s">
        <v>397</v>
      </c>
      <c r="AE3" s="201" t="s">
        <v>398</v>
      </c>
      <c r="AF3" s="201" t="s">
        <v>399</v>
      </c>
      <c r="AG3" s="208" t="s">
        <v>400</v>
      </c>
      <c r="AH3" s="208" t="s">
        <v>401</v>
      </c>
      <c r="AI3" s="201" t="s">
        <v>402</v>
      </c>
      <c r="AJ3" s="208" t="s">
        <v>403</v>
      </c>
      <c r="AK3" s="201" t="s">
        <v>404</v>
      </c>
      <c r="AL3" s="208" t="s">
        <v>405</v>
      </c>
      <c r="AM3" s="209" t="s">
        <v>406</v>
      </c>
      <c r="AN3" s="201" t="s">
        <v>407</v>
      </c>
      <c r="AO3" s="201" t="s">
        <v>408</v>
      </c>
      <c r="AP3" s="201" t="s">
        <v>409</v>
      </c>
      <c r="AQ3" s="201" t="s">
        <v>410</v>
      </c>
      <c r="AR3" s="201" t="s">
        <v>411</v>
      </c>
      <c r="AS3" s="201" t="s">
        <v>412</v>
      </c>
      <c r="AT3" s="201" t="s">
        <v>413</v>
      </c>
      <c r="AU3" s="206" t="s">
        <v>414</v>
      </c>
      <c r="AV3" s="201" t="s">
        <v>415</v>
      </c>
      <c r="AW3" s="208" t="s">
        <v>416</v>
      </c>
      <c r="AX3" s="210" t="s">
        <v>417</v>
      </c>
      <c r="AY3" s="207" t="s">
        <v>418</v>
      </c>
      <c r="AZ3" s="208" t="s">
        <v>419</v>
      </c>
      <c r="BA3" s="208" t="s">
        <v>420</v>
      </c>
      <c r="BB3" s="208" t="s">
        <v>421</v>
      </c>
      <c r="BC3" s="208" t="s">
        <v>422</v>
      </c>
      <c r="BD3" s="211" t="s">
        <v>423</v>
      </c>
      <c r="BE3" s="211" t="s">
        <v>424</v>
      </c>
    </row>
    <row r="4">
      <c r="A4" s="98" t="str">
        <f>IFERROR(__xludf.DUMMYFUNCTION("SORT(QUERY(Data!A4:CI29,""SELECT A, B,C,E,F,D,BI,BH,AJ,BE,G,H,I,J,AY,AO,AP,BS,K,L,M,AT,N,O,P,Q,R,S,T,U,V,W,X,Y,Z,AA,AB,AC,AD,AE,AF,AG,AH,AI,AK,AL,AM,AN,AQ,AR,AS,AU,AV,AW,AX,AZ,BN WHERE F &lt; DATE '2026-03-31' AND H &gt; 0 AND BA CONTAINS 'Active'AND AM &gt; 0.05 "&amp;"AND AO&lt;0.4955""),2,1)"),"Sandeep Dadheech")</f>
        <v>Sandeep Dadheech</v>
      </c>
      <c r="B4" s="98" t="str">
        <f>IFERROR(__xludf.DUMMYFUNCTION("""COMPUTED_VALUE"""),"Andhra Pradesh")</f>
        <v>Andhra Pradesh</v>
      </c>
      <c r="C4" s="212" t="str">
        <f>IFERROR(__xludf.DUMMYFUNCTION("""COMPUTED_VALUE"""),"Taninki Ramesh Babu")</f>
        <v>Taninki Ramesh Babu</v>
      </c>
      <c r="D4" s="98" t="str">
        <f>IFERROR(__xludf.DUMMYFUNCTION("""COMPUTED_VALUE"""),"Kakinada")</f>
        <v>Kakinada</v>
      </c>
      <c r="E4" s="213">
        <f>IFERROR(__xludf.DUMMYFUNCTION("""COMPUTED_VALUE"""),44743.0)</f>
        <v>44743</v>
      </c>
      <c r="F4" s="214" t="str">
        <f>IFERROR(__xludf.DUMMYFUNCTION("""COMPUTED_VALUE"""),"ANDHRA PRADESH")</f>
        <v>ANDHRA PRADESH</v>
      </c>
      <c r="G4" s="215">
        <f>IFERROR(__xludf.DUMMYFUNCTION("""COMPUTED_VALUE"""),3864459.8499999996)</f>
        <v>3864459.85</v>
      </c>
      <c r="H4" s="215">
        <f>IFERROR(__xludf.DUMMYFUNCTION("""COMPUTED_VALUE"""),3902042.0)</f>
        <v>3902042</v>
      </c>
      <c r="I4" s="216">
        <f>IFERROR(__xludf.DUMMYFUNCTION("""COMPUTED_VALUE"""),24445.0)</f>
        <v>24445</v>
      </c>
      <c r="J4" s="56">
        <f>IFERROR(__xludf.DUMMYFUNCTION("""COMPUTED_VALUE"""),1500000.0)</f>
        <v>1500000</v>
      </c>
      <c r="K4" s="217">
        <f>IFERROR(__xludf.DUMMYFUNCTION("""COMPUTED_VALUE"""),0.0)</f>
        <v>0</v>
      </c>
      <c r="L4" s="217">
        <f>IFERROR(__xludf.DUMMYFUNCTION("""COMPUTED_VALUE"""),4500000.0)</f>
        <v>4500000</v>
      </c>
      <c r="M4" s="217">
        <f>IFERROR(__xludf.DUMMYFUNCTION("""COMPUTED_VALUE"""),1202891.0)</f>
        <v>1202891</v>
      </c>
      <c r="N4" s="217">
        <f>IFERROR(__xludf.DUMMYFUNCTION("""COMPUTED_VALUE"""),0.0)</f>
        <v>0</v>
      </c>
      <c r="O4" s="217">
        <f>IFERROR(__xludf.DUMMYFUNCTION("""COMPUTED_VALUE"""),1178944.0)</f>
        <v>1178944</v>
      </c>
      <c r="P4" s="218">
        <f>IFERROR(__xludf.DUMMYFUNCTION("""COMPUTED_VALUE"""),0.2673091111111111)</f>
        <v>0.2673091111</v>
      </c>
      <c r="Q4" s="218">
        <f>IFERROR(__xludf.DUMMYFUNCTION("""COMPUTED_VALUE"""),0.0)</f>
        <v>0</v>
      </c>
      <c r="R4" s="218">
        <f>IFERROR(__xludf.DUMMYFUNCTION("""COMPUTED_VALUE"""),0.26198755555555553)</f>
        <v>0.2619875556</v>
      </c>
      <c r="S4" s="187">
        <f>IFERROR(__xludf.DUMMYFUNCTION("""COMPUTED_VALUE"""),74.0)</f>
        <v>74</v>
      </c>
      <c r="T4" s="188">
        <f>IFERROR(__xludf.DUMMYFUNCTION("""COMPUTED_VALUE"""),66.0)</f>
        <v>66</v>
      </c>
      <c r="U4" s="187">
        <f>IFERROR(__xludf.DUMMYFUNCTION("""COMPUTED_VALUE"""),1.0)</f>
        <v>1</v>
      </c>
      <c r="V4" s="187">
        <f>IFERROR(__xludf.DUMMYFUNCTION("""COMPUTED_VALUE"""),1.0)</f>
        <v>1</v>
      </c>
      <c r="W4" s="187">
        <f>IFERROR(__xludf.DUMMYFUNCTION("""COMPUTED_VALUE"""),75.0)</f>
        <v>75</v>
      </c>
      <c r="X4" s="187">
        <f>IFERROR(__xludf.DUMMYFUNCTION("""COMPUTED_VALUE"""),9.0)</f>
        <v>9</v>
      </c>
      <c r="Y4" s="188">
        <f>IFERROR(__xludf.DUMMYFUNCTION("""COMPUTED_VALUE"""),1197082.69)</f>
        <v>1197082.69</v>
      </c>
      <c r="Z4" s="188">
        <f>IFERROR(__xludf.DUMMYFUNCTION("""COMPUTED_VALUE"""),5808.0)</f>
        <v>5808</v>
      </c>
      <c r="AA4" s="187">
        <f>IFERROR(__xludf.DUMMYFUNCTION("""COMPUTED_VALUE"""),22.0)</f>
        <v>22</v>
      </c>
      <c r="AB4" s="187">
        <f>IFERROR(__xludf.DUMMYFUNCTION("""COMPUTED_VALUE"""),1.0)</f>
        <v>1</v>
      </c>
      <c r="AC4" s="187">
        <f>IFERROR(__xludf.DUMMYFUNCTION("""COMPUTED_VALUE"""),23.0)</f>
        <v>23</v>
      </c>
      <c r="AD4" s="187">
        <f>IFERROR(__xludf.DUMMYFUNCTION("""COMPUTED_VALUE"""),0.0)</f>
        <v>0</v>
      </c>
      <c r="AE4" s="187">
        <f>IFERROR(__xludf.DUMMYFUNCTION("""COMPUTED_VALUE"""),7.0)</f>
        <v>7</v>
      </c>
      <c r="AF4" s="187">
        <f>IFERROR(__xludf.DUMMYFUNCTION("""COMPUTED_VALUE"""),7.0)</f>
        <v>7</v>
      </c>
      <c r="AG4" s="187">
        <f>IFERROR(__xludf.DUMMYFUNCTION("""COMPUTED_VALUE"""),166.0)</f>
        <v>166</v>
      </c>
      <c r="AH4" s="187">
        <f>IFERROR(__xludf.DUMMYFUNCTION("""COMPUTED_VALUE"""),4.0)</f>
        <v>4</v>
      </c>
      <c r="AI4" s="187">
        <f>IFERROR(__xludf.DUMMYFUNCTION("""COMPUTED_VALUE"""),8.0)</f>
        <v>8</v>
      </c>
      <c r="AJ4" s="187">
        <f>IFERROR(__xludf.DUMMYFUNCTION("""COMPUTED_VALUE"""),0.0)</f>
        <v>0</v>
      </c>
      <c r="AK4" s="187">
        <f>IFERROR(__xludf.DUMMYFUNCTION("""COMPUTED_VALUE"""),0.0)</f>
        <v>0</v>
      </c>
      <c r="AL4" s="187">
        <f>IFERROR(__xludf.DUMMYFUNCTION("""COMPUTED_VALUE"""),0.0)</f>
        <v>0</v>
      </c>
      <c r="AM4" s="187">
        <f>IFERROR(__xludf.DUMMYFUNCTION("""COMPUTED_VALUE"""),0.0)</f>
        <v>0</v>
      </c>
      <c r="AN4" s="187">
        <f>IFERROR(__xludf.DUMMYFUNCTION("""COMPUTED_VALUE"""),265.0)</f>
        <v>265</v>
      </c>
      <c r="AO4" s="187">
        <f>IFERROR(__xludf.DUMMYFUNCTION("""COMPUTED_VALUE"""),280.0)</f>
        <v>280</v>
      </c>
      <c r="AP4" s="187">
        <f>IFERROR(__xludf.DUMMYFUNCTION("""COMPUTED_VALUE"""),76.0)</f>
        <v>76</v>
      </c>
      <c r="AQ4" s="217">
        <f>IFERROR(__xludf.DUMMYFUNCTION("""COMPUTED_VALUE"""),15827.513157894737)</f>
        <v>15827.51316</v>
      </c>
      <c r="AR4" s="188">
        <f>IFERROR(__xludf.DUMMYFUNCTION("""COMPUTED_VALUE"""),3.6842105263157894)</f>
        <v>3.684210526</v>
      </c>
      <c r="AS4" s="217">
        <f>IFERROR(__xludf.DUMMYFUNCTION("""COMPUTED_VALUE"""),73335.0)</f>
        <v>73335</v>
      </c>
      <c r="AT4" s="217"/>
      <c r="AU4" s="218">
        <f>IFERROR(__xludf.DUMMYFUNCTION("""COMPUTED_VALUE"""),0.06096562365168581)</f>
        <v>0.06096562365</v>
      </c>
      <c r="AV4" s="217">
        <f>IFERROR(__xludf.DUMMYFUNCTION("""COMPUTED_VALUE"""),52299.608695652176)</f>
        <v>52299.6087</v>
      </c>
      <c r="AW4" s="219">
        <f>IFERROR(__xludf.DUMMYFUNCTION("""COMPUTED_VALUE"""),50.0)</f>
        <v>50</v>
      </c>
      <c r="AX4" s="219">
        <f>IFERROR(__xludf.DUMMYFUNCTION("""COMPUTED_VALUE"""),910.0)</f>
        <v>910</v>
      </c>
      <c r="AY4" s="220">
        <f>IFERROR(__xludf.DUMMYFUNCTION("""COMPUTED_VALUE"""),7146.5)</f>
        <v>7146.5</v>
      </c>
      <c r="AZ4" s="219">
        <f>IFERROR(__xludf.DUMMYFUNCTION("""COMPUTED_VALUE"""),108.0)</f>
        <v>108</v>
      </c>
      <c r="BA4" s="219">
        <f>IFERROR(__xludf.DUMMYFUNCTION("""COMPUTED_VALUE"""),23.0)</f>
        <v>23</v>
      </c>
      <c r="BB4" s="219">
        <f>IFERROR(__xludf.DUMMYFUNCTION("""COMPUTED_VALUE"""),43.0)</f>
        <v>43</v>
      </c>
      <c r="BC4" s="219">
        <f>IFERROR(__xludf.DUMMYFUNCTION("""COMPUTED_VALUE"""),9.0)</f>
        <v>9</v>
      </c>
      <c r="BD4" s="221"/>
      <c r="BE4" s="98"/>
    </row>
    <row r="5">
      <c r="A5" s="6" t="str">
        <f>IFERROR(__xludf.DUMMYFUNCTION("""COMPUTED_VALUE"""),"Anant Singh")</f>
        <v>Anant Singh</v>
      </c>
      <c r="B5" s="98" t="str">
        <f>IFERROR(__xludf.DUMMYFUNCTION("""COMPUTED_VALUE"""),"Delhi")</f>
        <v>Delhi</v>
      </c>
      <c r="C5" s="212" t="str">
        <f>IFERROR(__xludf.DUMMYFUNCTION("""COMPUTED_VALUE"""),"Prasun Chatterjee")</f>
        <v>Prasun Chatterjee</v>
      </c>
      <c r="D5" s="98" t="str">
        <f>IFERROR(__xludf.DUMMYFUNCTION("""COMPUTED_VALUE"""),"Delhi")</f>
        <v>Delhi</v>
      </c>
      <c r="E5" s="213">
        <f>IFERROR(__xludf.DUMMYFUNCTION("""COMPUTED_VALUE"""),44994.0)</f>
        <v>44994</v>
      </c>
      <c r="F5" s="222" t="str">
        <f>IFERROR(__xludf.DUMMYFUNCTION("""COMPUTED_VALUE"""),"DELHI")</f>
        <v>DELHI</v>
      </c>
      <c r="G5" s="215">
        <f>IFERROR(__xludf.DUMMYFUNCTION("""COMPUTED_VALUE"""),9670433.23)</f>
        <v>9670433.23</v>
      </c>
      <c r="H5" s="215">
        <f>IFERROR(__xludf.DUMMYFUNCTION("""COMPUTED_VALUE"""),9249137.0)</f>
        <v>9249137</v>
      </c>
      <c r="I5" s="216">
        <f>IFERROR(__xludf.DUMMYFUNCTION("""COMPUTED_VALUE"""),46390.0)</f>
        <v>46390</v>
      </c>
      <c r="J5" s="216">
        <f>IFERROR(__xludf.DUMMYFUNCTION("""COMPUTED_VALUE"""),1800000.0)</f>
        <v>1800000</v>
      </c>
      <c r="K5" s="217">
        <f>IFERROR(__xludf.DUMMYFUNCTION("""COMPUTED_VALUE"""),300000.0)</f>
        <v>300000</v>
      </c>
      <c r="L5" s="217">
        <f>IFERROR(__xludf.DUMMYFUNCTION("""COMPUTED_VALUE"""),5100000.0)</f>
        <v>5100000</v>
      </c>
      <c r="M5" s="217">
        <f>IFERROR(__xludf.DUMMYFUNCTION("""COMPUTED_VALUE"""),1834504.0)</f>
        <v>1834504</v>
      </c>
      <c r="N5" s="217">
        <f>IFERROR(__xludf.DUMMYFUNCTION("""COMPUTED_VALUE"""),786604.98)</f>
        <v>786604.98</v>
      </c>
      <c r="O5" s="217">
        <f>IFERROR(__xludf.DUMMYFUNCTION("""COMPUTED_VALUE"""),1425767.0)</f>
        <v>1425767</v>
      </c>
      <c r="P5" s="218">
        <f>IFERROR(__xludf.DUMMYFUNCTION("""COMPUTED_VALUE"""),0.48539055185185187)</f>
        <v>0.4853905519</v>
      </c>
      <c r="Q5" s="218">
        <f>IFERROR(__xludf.DUMMYFUNCTION("""COMPUTED_VALUE"""),2.62)</f>
        <v>2.62</v>
      </c>
      <c r="R5" s="218">
        <f>IFERROR(__xludf.DUMMYFUNCTION("""COMPUTED_VALUE"""),0.2640309259259259)</f>
        <v>0.2640309259</v>
      </c>
      <c r="S5" s="187">
        <f>IFERROR(__xludf.DUMMYFUNCTION("""COMPUTED_VALUE"""),61.0)</f>
        <v>61</v>
      </c>
      <c r="T5" s="187">
        <f>IFERROR(__xludf.DUMMYFUNCTION("""COMPUTED_VALUE"""),54.0)</f>
        <v>54</v>
      </c>
      <c r="U5" s="187">
        <f>IFERROR(__xludf.DUMMYFUNCTION("""COMPUTED_VALUE"""),1.0)</f>
        <v>1</v>
      </c>
      <c r="V5" s="187">
        <f>IFERROR(__xludf.DUMMYFUNCTION("""COMPUTED_VALUE"""),0.0)</f>
        <v>0</v>
      </c>
      <c r="W5" s="187">
        <f>IFERROR(__xludf.DUMMYFUNCTION("""COMPUTED_VALUE"""),62.0)</f>
        <v>62</v>
      </c>
      <c r="X5" s="187">
        <f>IFERROR(__xludf.DUMMYFUNCTION("""COMPUTED_VALUE"""),8.0)</f>
        <v>8</v>
      </c>
      <c r="Y5" s="188">
        <f>IFERROR(__xludf.DUMMYFUNCTION("""COMPUTED_VALUE"""),1834503.57)</f>
        <v>1834503.57</v>
      </c>
      <c r="Z5" s="188">
        <f>IFERROR(__xludf.DUMMYFUNCTION("""COMPUTED_VALUE"""),0.0)</f>
        <v>0</v>
      </c>
      <c r="AA5" s="187">
        <f>IFERROR(__xludf.DUMMYFUNCTION("""COMPUTED_VALUE"""),31.0)</f>
        <v>31</v>
      </c>
      <c r="AB5" s="187">
        <f>IFERROR(__xludf.DUMMYFUNCTION("""COMPUTED_VALUE"""),0.0)</f>
        <v>0</v>
      </c>
      <c r="AC5" s="187">
        <f>IFERROR(__xludf.DUMMYFUNCTION("""COMPUTED_VALUE"""),31.0)</f>
        <v>31</v>
      </c>
      <c r="AD5" s="187">
        <f>IFERROR(__xludf.DUMMYFUNCTION("""COMPUTED_VALUE"""),3.0)</f>
        <v>3</v>
      </c>
      <c r="AE5" s="187">
        <f>IFERROR(__xludf.DUMMYFUNCTION("""COMPUTED_VALUE"""),30.0)</f>
        <v>30</v>
      </c>
      <c r="AF5" s="187">
        <f>IFERROR(__xludf.DUMMYFUNCTION("""COMPUTED_VALUE"""),68.0)</f>
        <v>68</v>
      </c>
      <c r="AG5" s="187">
        <f>IFERROR(__xludf.DUMMYFUNCTION("""COMPUTED_VALUE"""),110.0)</f>
        <v>110</v>
      </c>
      <c r="AH5" s="187">
        <f>IFERROR(__xludf.DUMMYFUNCTION("""COMPUTED_VALUE"""),3.0)</f>
        <v>3</v>
      </c>
      <c r="AI5" s="187">
        <f>IFERROR(__xludf.DUMMYFUNCTION("""COMPUTED_VALUE"""),41.0)</f>
        <v>41</v>
      </c>
      <c r="AJ5" s="187">
        <f>IFERROR(__xludf.DUMMYFUNCTION("""COMPUTED_VALUE"""),8.0)</f>
        <v>8</v>
      </c>
      <c r="AK5" s="187">
        <f>IFERROR(__xludf.DUMMYFUNCTION("""COMPUTED_VALUE"""),85.0)</f>
        <v>85</v>
      </c>
      <c r="AL5" s="187">
        <f>IFERROR(__xludf.DUMMYFUNCTION("""COMPUTED_VALUE"""),2.0)</f>
        <v>2</v>
      </c>
      <c r="AM5" s="187">
        <f>IFERROR(__xludf.DUMMYFUNCTION("""COMPUTED_VALUE"""),21.0)</f>
        <v>21</v>
      </c>
      <c r="AN5" s="187">
        <f>IFERROR(__xludf.DUMMYFUNCTION("""COMPUTED_VALUE"""),317.0)</f>
        <v>317</v>
      </c>
      <c r="AO5" s="187">
        <f>IFERROR(__xludf.DUMMYFUNCTION("""COMPUTED_VALUE"""),532.0)</f>
        <v>532</v>
      </c>
      <c r="AP5" s="187">
        <f>IFERROR(__xludf.DUMMYFUNCTION("""COMPUTED_VALUE"""),72.0)</f>
        <v>72</v>
      </c>
      <c r="AQ5" s="217">
        <f>IFERROR(__xludf.DUMMYFUNCTION("""COMPUTED_VALUE"""),36404.29138888889)</f>
        <v>36404.29139</v>
      </c>
      <c r="AR5" s="188">
        <f>IFERROR(__xludf.DUMMYFUNCTION("""COMPUTED_VALUE"""),7.388888888888889)</f>
        <v>7.388888889</v>
      </c>
      <c r="AS5" s="217">
        <f>IFERROR(__xludf.DUMMYFUNCTION("""COMPUTED_VALUE"""),139170.0)</f>
        <v>139170</v>
      </c>
      <c r="AT5" s="217"/>
      <c r="AU5" s="218">
        <f>IFERROR(__xludf.DUMMYFUNCTION("""COMPUTED_VALUE"""),0.05309584647640252)</f>
        <v>0.05309584648</v>
      </c>
      <c r="AV5" s="217">
        <f>IFERROR(__xludf.DUMMYFUNCTION("""COMPUTED_VALUE"""),59177.54838709677)</f>
        <v>59177.54839</v>
      </c>
      <c r="AW5" s="219">
        <f>IFERROR(__xludf.DUMMYFUNCTION("""COMPUTED_VALUE"""),56.0)</f>
        <v>56</v>
      </c>
      <c r="AX5" s="219">
        <f>IFERROR(__xludf.DUMMYFUNCTION("""COMPUTED_VALUE"""),808.0)</f>
        <v>808</v>
      </c>
      <c r="AY5" s="220">
        <f>IFERROR(__xludf.DUMMYFUNCTION("""COMPUTED_VALUE"""),4159.08)</f>
        <v>4159.08</v>
      </c>
      <c r="AZ5" s="219">
        <f>IFERROR(__xludf.DUMMYFUNCTION("""COMPUTED_VALUE"""),77.0)</f>
        <v>77</v>
      </c>
      <c r="BA5" s="219">
        <f>IFERROR(__xludf.DUMMYFUNCTION("""COMPUTED_VALUE"""),31.0)</f>
        <v>31</v>
      </c>
      <c r="BB5" s="219">
        <f>IFERROR(__xludf.DUMMYFUNCTION("""COMPUTED_VALUE"""),24.0)</f>
        <v>24</v>
      </c>
      <c r="BC5" s="219">
        <f>IFERROR(__xludf.DUMMYFUNCTION("""COMPUTED_VALUE"""),7.0)</f>
        <v>7</v>
      </c>
      <c r="BD5" s="221"/>
      <c r="BE5" s="98"/>
    </row>
    <row r="6">
      <c r="A6" s="6" t="str">
        <f>IFERROR(__xludf.DUMMYFUNCTION("""COMPUTED_VALUE"""),"Anant Singh")</f>
        <v>Anant Singh</v>
      </c>
      <c r="B6" s="98" t="str">
        <f>IFERROR(__xludf.DUMMYFUNCTION("""COMPUTED_VALUE"""),"Delhi NCR")</f>
        <v>Delhi NCR</v>
      </c>
      <c r="C6" s="212" t="str">
        <f>IFERROR(__xludf.DUMMYFUNCTION("""COMPUTED_VALUE"""),"Ravi (Faridabad)")</f>
        <v>Ravi (Faridabad)</v>
      </c>
      <c r="D6" s="98" t="str">
        <f>IFERROR(__xludf.DUMMYFUNCTION("""COMPUTED_VALUE"""),"Faridabad")</f>
        <v>Faridabad</v>
      </c>
      <c r="E6" s="213">
        <f>IFERROR(__xludf.DUMMYFUNCTION("""COMPUTED_VALUE"""),45736.0)</f>
        <v>45736</v>
      </c>
      <c r="F6" s="222" t="str">
        <f>IFERROR(__xludf.DUMMYFUNCTION("""COMPUTED_VALUE"""),"Delhi NCR")</f>
        <v>Delhi NCR</v>
      </c>
      <c r="G6" s="215">
        <f>IFERROR(__xludf.DUMMYFUNCTION("""COMPUTED_VALUE"""),5077211.3100000005)</f>
        <v>5077211.31</v>
      </c>
      <c r="H6" s="215">
        <f>IFERROR(__xludf.DUMMYFUNCTION("""COMPUTED_VALUE"""),4593238.0)</f>
        <v>4593238</v>
      </c>
      <c r="I6" s="216">
        <f>IFERROR(__xludf.DUMMYFUNCTION("""COMPUTED_VALUE"""),27260.0)</f>
        <v>27260</v>
      </c>
      <c r="J6" s="216">
        <f>IFERROR(__xludf.DUMMYFUNCTION("""COMPUTED_VALUE"""),1350000.0)</f>
        <v>1350000</v>
      </c>
      <c r="K6" s="217">
        <f>IFERROR(__xludf.DUMMYFUNCTION("""COMPUTED_VALUE"""),300000.0)</f>
        <v>300000</v>
      </c>
      <c r="L6" s="217">
        <f>IFERROR(__xludf.DUMMYFUNCTION("""COMPUTED_VALUE"""),3750000.0)</f>
        <v>3750000</v>
      </c>
      <c r="M6" s="217">
        <f>IFERROR(__xludf.DUMMYFUNCTION("""COMPUTED_VALUE"""),56708.0)</f>
        <v>56708</v>
      </c>
      <c r="N6" s="217">
        <f>IFERROR(__xludf.DUMMYFUNCTION("""COMPUTED_VALUE"""),171300.22)</f>
        <v>171300.22</v>
      </c>
      <c r="O6" s="217">
        <f>IFERROR(__xludf.DUMMYFUNCTION("""COMPUTED_VALUE"""),0.0)</f>
        <v>0</v>
      </c>
      <c r="P6" s="218">
        <f>IFERROR(__xludf.DUMMYFUNCTION("""COMPUTED_VALUE"""),0.05629832592592593)</f>
        <v>0.05629832593</v>
      </c>
      <c r="Q6" s="218">
        <f>IFERROR(__xludf.DUMMYFUNCTION("""COMPUTED_VALUE"""),0.57)</f>
        <v>0.57</v>
      </c>
      <c r="R6" s="218">
        <f>IFERROR(__xludf.DUMMYFUNCTION("""COMPUTED_VALUE"""),0.0)</f>
        <v>0</v>
      </c>
      <c r="S6" s="187">
        <f>IFERROR(__xludf.DUMMYFUNCTION("""COMPUTED_VALUE"""),33.0)</f>
        <v>33</v>
      </c>
      <c r="T6" s="187">
        <f>IFERROR(__xludf.DUMMYFUNCTION("""COMPUTED_VALUE"""),27.0)</f>
        <v>27</v>
      </c>
      <c r="U6" s="187">
        <f>IFERROR(__xludf.DUMMYFUNCTION("""COMPUTED_VALUE"""),1.0)</f>
        <v>1</v>
      </c>
      <c r="V6" s="187">
        <f>IFERROR(__xludf.DUMMYFUNCTION("""COMPUTED_VALUE"""),0.0)</f>
        <v>0</v>
      </c>
      <c r="W6" s="187">
        <f>IFERROR(__xludf.DUMMYFUNCTION("""COMPUTED_VALUE"""),34.0)</f>
        <v>34</v>
      </c>
      <c r="X6" s="187">
        <f>IFERROR(__xludf.DUMMYFUNCTION("""COMPUTED_VALUE"""),7.0)</f>
        <v>7</v>
      </c>
      <c r="Y6" s="188">
        <f>IFERROR(__xludf.DUMMYFUNCTION("""COMPUTED_VALUE"""),56707.86)</f>
        <v>56707.86</v>
      </c>
      <c r="Z6" s="188">
        <f>IFERROR(__xludf.DUMMYFUNCTION("""COMPUTED_VALUE"""),0.0)</f>
        <v>0</v>
      </c>
      <c r="AA6" s="187">
        <f>IFERROR(__xludf.DUMMYFUNCTION("""COMPUTED_VALUE"""),4.0)</f>
        <v>4</v>
      </c>
      <c r="AB6" s="187">
        <f>IFERROR(__xludf.DUMMYFUNCTION("""COMPUTED_VALUE"""),0.0)</f>
        <v>0</v>
      </c>
      <c r="AC6" s="187">
        <f>IFERROR(__xludf.DUMMYFUNCTION("""COMPUTED_VALUE"""),4.0)</f>
        <v>4</v>
      </c>
      <c r="AD6" s="187">
        <f>IFERROR(__xludf.DUMMYFUNCTION("""COMPUTED_VALUE"""),1.0)</f>
        <v>1</v>
      </c>
      <c r="AE6" s="187">
        <f>IFERROR(__xludf.DUMMYFUNCTION("""COMPUTED_VALUE"""),77.0)</f>
        <v>77</v>
      </c>
      <c r="AF6" s="187">
        <f>IFERROR(__xludf.DUMMYFUNCTION("""COMPUTED_VALUE"""),125.0)</f>
        <v>125</v>
      </c>
      <c r="AG6" s="187">
        <f>IFERROR(__xludf.DUMMYFUNCTION("""COMPUTED_VALUE"""),257.0)</f>
        <v>257</v>
      </c>
      <c r="AH6" s="187">
        <f>IFERROR(__xludf.DUMMYFUNCTION("""COMPUTED_VALUE"""),3.0)</f>
        <v>3</v>
      </c>
      <c r="AI6" s="187">
        <f>IFERROR(__xludf.DUMMYFUNCTION("""COMPUTED_VALUE"""),7.0)</f>
        <v>7</v>
      </c>
      <c r="AJ6" s="187">
        <f>IFERROR(__xludf.DUMMYFUNCTION("""COMPUTED_VALUE"""),4.0)</f>
        <v>4</v>
      </c>
      <c r="AK6" s="187">
        <f>IFERROR(__xludf.DUMMYFUNCTION("""COMPUTED_VALUE"""),6.0)</f>
        <v>6</v>
      </c>
      <c r="AL6" s="187">
        <f>IFERROR(__xludf.DUMMYFUNCTION("""COMPUTED_VALUE"""),5.0)</f>
        <v>5</v>
      </c>
      <c r="AM6" s="187">
        <f>IFERROR(__xludf.DUMMYFUNCTION("""COMPUTED_VALUE"""),10.0)</f>
        <v>10</v>
      </c>
      <c r="AN6" s="187">
        <f>IFERROR(__xludf.DUMMYFUNCTION("""COMPUTED_VALUE"""),114.0)</f>
        <v>114</v>
      </c>
      <c r="AO6" s="187">
        <f>IFERROR(__xludf.DUMMYFUNCTION("""COMPUTED_VALUE"""),262.0)</f>
        <v>262</v>
      </c>
      <c r="AP6" s="187">
        <f>IFERROR(__xludf.DUMMYFUNCTION("""COMPUTED_VALUE"""),46.0)</f>
        <v>46</v>
      </c>
      <c r="AQ6" s="217">
        <f>IFERROR(__xludf.DUMMYFUNCTION("""COMPUTED_VALUE"""),4956.700434782609)</f>
        <v>4956.700435</v>
      </c>
      <c r="AR6" s="188">
        <f>IFERROR(__xludf.DUMMYFUNCTION("""COMPUTED_VALUE"""),5.695652173913044)</f>
        <v>5.695652174</v>
      </c>
      <c r="AS6" s="217">
        <f>IFERROR(__xludf.DUMMYFUNCTION("""COMPUTED_VALUE"""),81780.0)</f>
        <v>81780</v>
      </c>
      <c r="AT6" s="217"/>
      <c r="AU6" s="218">
        <f>IFERROR(__xludf.DUMMYFUNCTION("""COMPUTED_VALUE"""),0.35867127948281863)</f>
        <v>0.3586712795</v>
      </c>
      <c r="AV6" s="217">
        <f>IFERROR(__xludf.DUMMYFUNCTION("""COMPUTED_VALUE"""),14177.0)</f>
        <v>14177</v>
      </c>
      <c r="AW6" s="219">
        <f>IFERROR(__xludf.DUMMYFUNCTION("""COMPUTED_VALUE"""),4.0)</f>
        <v>4</v>
      </c>
      <c r="AX6" s="219">
        <f>IFERROR(__xludf.DUMMYFUNCTION("""COMPUTED_VALUE"""),409.0)</f>
        <v>409</v>
      </c>
      <c r="AY6" s="220">
        <f>IFERROR(__xludf.DUMMYFUNCTION("""COMPUTED_VALUE"""),2068.0)</f>
        <v>2068</v>
      </c>
      <c r="AZ6" s="219">
        <f>IFERROR(__xludf.DUMMYFUNCTION("""COMPUTED_VALUE"""),77.0)</f>
        <v>77</v>
      </c>
      <c r="BA6" s="219">
        <f>IFERROR(__xludf.DUMMYFUNCTION("""COMPUTED_VALUE"""),4.0)</f>
        <v>4</v>
      </c>
      <c r="BB6" s="219">
        <f>IFERROR(__xludf.DUMMYFUNCTION("""COMPUTED_VALUE"""),23.0)</f>
        <v>23</v>
      </c>
      <c r="BC6" s="219">
        <f>IFERROR(__xludf.DUMMYFUNCTION("""COMPUTED_VALUE"""),7.0)</f>
        <v>7</v>
      </c>
      <c r="BD6" s="221"/>
      <c r="BE6" s="98"/>
    </row>
    <row r="7">
      <c r="A7" s="6" t="str">
        <f>IFERROR(__xludf.DUMMYFUNCTION("""COMPUTED_VALUE"""),"Syed Aqil Rizvi")</f>
        <v>Syed Aqil Rizvi</v>
      </c>
      <c r="B7" s="98" t="str">
        <f>IFERROR(__xludf.DUMMYFUNCTION("""COMPUTED_VALUE"""),"East U.P")</f>
        <v>East U.P</v>
      </c>
      <c r="C7" s="212" t="str">
        <f>IFERROR(__xludf.DUMMYFUNCTION("""COMPUTED_VALUE"""),"Vishal Dheer")</f>
        <v>Vishal Dheer</v>
      </c>
      <c r="D7" s="98" t="str">
        <f>IFERROR(__xludf.DUMMYFUNCTION("""COMPUTED_VALUE"""),"Kanpur")</f>
        <v>Kanpur</v>
      </c>
      <c r="E7" s="213">
        <f>IFERROR(__xludf.DUMMYFUNCTION("""COMPUTED_VALUE"""),45323.0)</f>
        <v>45323</v>
      </c>
      <c r="F7" s="222" t="str">
        <f>IFERROR(__xludf.DUMMYFUNCTION("""COMPUTED_VALUE"""),"East U.P")</f>
        <v>East U.P</v>
      </c>
      <c r="G7" s="215">
        <f>IFERROR(__xludf.DUMMYFUNCTION("""COMPUTED_VALUE"""),1.97766866E7)</f>
        <v>19776686.6</v>
      </c>
      <c r="H7" s="215">
        <f>IFERROR(__xludf.DUMMYFUNCTION("""COMPUTED_VALUE"""),2.1171268E7)</f>
        <v>21171268</v>
      </c>
      <c r="I7" s="216">
        <f>IFERROR(__xludf.DUMMYFUNCTION("""COMPUTED_VALUE"""),56000.0)</f>
        <v>56000</v>
      </c>
      <c r="J7" s="216">
        <f>IFERROR(__xludf.DUMMYFUNCTION("""COMPUTED_VALUE"""),2950000.0)</f>
        <v>2950000</v>
      </c>
      <c r="K7" s="217">
        <f>IFERROR(__xludf.DUMMYFUNCTION("""COMPUTED_VALUE"""),1200000.0)</f>
        <v>1200000</v>
      </c>
      <c r="L7" s="217">
        <f>IFERROR(__xludf.DUMMYFUNCTION("""COMPUTED_VALUE"""),7650000.0)</f>
        <v>7650000</v>
      </c>
      <c r="M7" s="217">
        <f>IFERROR(__xludf.DUMMYFUNCTION("""COMPUTED_VALUE"""),2765410.0)</f>
        <v>2765410</v>
      </c>
      <c r="N7" s="217">
        <f>IFERROR(__xludf.DUMMYFUNCTION("""COMPUTED_VALUE"""),147619.41)</f>
        <v>147619.41</v>
      </c>
      <c r="O7" s="217">
        <f>IFERROR(__xludf.DUMMYFUNCTION("""COMPUTED_VALUE"""),2509029.0)</f>
        <v>2509029</v>
      </c>
      <c r="P7" s="218">
        <f>IFERROR(__xludf.DUMMYFUNCTION("""COMPUTED_VALUE"""),0.32915586553672316)</f>
        <v>0.3291558655</v>
      </c>
      <c r="Q7" s="218">
        <f>IFERROR(__xludf.DUMMYFUNCTION("""COMPUTED_VALUE"""),0.12)</f>
        <v>0.12</v>
      </c>
      <c r="R7" s="218">
        <f>IFERROR(__xludf.DUMMYFUNCTION("""COMPUTED_VALUE"""),0.28350610169491525)</f>
        <v>0.2835061017</v>
      </c>
      <c r="S7" s="187">
        <f>IFERROR(__xludf.DUMMYFUNCTION("""COMPUTED_VALUE"""),102.0)</f>
        <v>102</v>
      </c>
      <c r="T7" s="187">
        <f>IFERROR(__xludf.DUMMYFUNCTION("""COMPUTED_VALUE"""),84.0)</f>
        <v>84</v>
      </c>
      <c r="U7" s="187">
        <f>IFERROR(__xludf.DUMMYFUNCTION("""COMPUTED_VALUE"""),4.0)</f>
        <v>4</v>
      </c>
      <c r="V7" s="187">
        <f>IFERROR(__xludf.DUMMYFUNCTION("""COMPUTED_VALUE"""),4.0)</f>
        <v>4</v>
      </c>
      <c r="W7" s="187">
        <f>IFERROR(__xludf.DUMMYFUNCTION("""COMPUTED_VALUE"""),106.0)</f>
        <v>106</v>
      </c>
      <c r="X7" s="187">
        <f>IFERROR(__xludf.DUMMYFUNCTION("""COMPUTED_VALUE"""),22.0)</f>
        <v>22</v>
      </c>
      <c r="Y7" s="188">
        <f>IFERROR(__xludf.DUMMYFUNCTION("""COMPUTED_VALUE"""),2680755.2)</f>
        <v>2680755.2</v>
      </c>
      <c r="Z7" s="188">
        <f>IFERROR(__xludf.DUMMYFUNCTION("""COMPUTED_VALUE"""),84655.12)</f>
        <v>84655.12</v>
      </c>
      <c r="AA7" s="187">
        <f>IFERROR(__xludf.DUMMYFUNCTION("""COMPUTED_VALUE"""),50.0)</f>
        <v>50</v>
      </c>
      <c r="AB7" s="187">
        <f>IFERROR(__xludf.DUMMYFUNCTION("""COMPUTED_VALUE"""),4.0)</f>
        <v>4</v>
      </c>
      <c r="AC7" s="187">
        <f>IFERROR(__xludf.DUMMYFUNCTION("""COMPUTED_VALUE"""),54.0)</f>
        <v>54</v>
      </c>
      <c r="AD7" s="187">
        <f>IFERROR(__xludf.DUMMYFUNCTION("""COMPUTED_VALUE"""),1.0)</f>
        <v>1</v>
      </c>
      <c r="AE7" s="187">
        <f>IFERROR(__xludf.DUMMYFUNCTION("""COMPUTED_VALUE"""),26.0)</f>
        <v>26</v>
      </c>
      <c r="AF7" s="187">
        <f>IFERROR(__xludf.DUMMYFUNCTION("""COMPUTED_VALUE"""),37.0)</f>
        <v>37</v>
      </c>
      <c r="AG7" s="187">
        <f>IFERROR(__xludf.DUMMYFUNCTION("""COMPUTED_VALUE"""),156.0)</f>
        <v>156</v>
      </c>
      <c r="AH7" s="187">
        <f>IFERROR(__xludf.DUMMYFUNCTION("""COMPUTED_VALUE"""),4.0)</f>
        <v>4</v>
      </c>
      <c r="AI7" s="187">
        <f>IFERROR(__xludf.DUMMYFUNCTION("""COMPUTED_VALUE"""),71.0)</f>
        <v>71</v>
      </c>
      <c r="AJ7" s="187">
        <f>IFERROR(__xludf.DUMMYFUNCTION("""COMPUTED_VALUE"""),1.0)</f>
        <v>1</v>
      </c>
      <c r="AK7" s="187">
        <f>IFERROR(__xludf.DUMMYFUNCTION("""COMPUTED_VALUE"""),3.0)</f>
        <v>3</v>
      </c>
      <c r="AL7" s="187">
        <f>IFERROR(__xludf.DUMMYFUNCTION("""COMPUTED_VALUE"""),0.0)</f>
        <v>0</v>
      </c>
      <c r="AM7" s="187">
        <f>IFERROR(__xludf.DUMMYFUNCTION("""COMPUTED_VALUE"""),0.0)</f>
        <v>0</v>
      </c>
      <c r="AN7" s="187">
        <f>IFERROR(__xludf.DUMMYFUNCTION("""COMPUTED_VALUE"""),326.0)</f>
        <v>326</v>
      </c>
      <c r="AO7" s="187">
        <f>IFERROR(__xludf.DUMMYFUNCTION("""COMPUTED_VALUE"""),437.0)</f>
        <v>437</v>
      </c>
      <c r="AP7" s="187">
        <f>IFERROR(__xludf.DUMMYFUNCTION("""COMPUTED_VALUE"""),77.0)</f>
        <v>77</v>
      </c>
      <c r="AQ7" s="217">
        <f>IFERROR(__xludf.DUMMYFUNCTION("""COMPUTED_VALUE"""),37831.55077922078)</f>
        <v>37831.55078</v>
      </c>
      <c r="AR7" s="188">
        <f>IFERROR(__xludf.DUMMYFUNCTION("""COMPUTED_VALUE"""),5.675324675324675)</f>
        <v>5.675324675</v>
      </c>
      <c r="AS7" s="217">
        <f>IFERROR(__xludf.DUMMYFUNCTION("""COMPUTED_VALUE"""),168000.0)</f>
        <v>168000</v>
      </c>
      <c r="AT7" s="217"/>
      <c r="AU7" s="218">
        <f>IFERROR(__xludf.DUMMYFUNCTION("""COMPUTED_VALUE"""),0.05767192031198888)</f>
        <v>0.05767192031</v>
      </c>
      <c r="AV7" s="217">
        <f>IFERROR(__xludf.DUMMYFUNCTION("""COMPUTED_VALUE"""),51211.2962962963)</f>
        <v>51211.2963</v>
      </c>
      <c r="AW7" s="219">
        <f>IFERROR(__xludf.DUMMYFUNCTION("""COMPUTED_VALUE"""),92.0)</f>
        <v>92</v>
      </c>
      <c r="AX7" s="219">
        <f>IFERROR(__xludf.DUMMYFUNCTION("""COMPUTED_VALUE"""),699.0)</f>
        <v>699</v>
      </c>
      <c r="AY7" s="220">
        <f>IFERROR(__xludf.DUMMYFUNCTION("""COMPUTED_VALUE"""),5097.97)</f>
        <v>5097.97</v>
      </c>
      <c r="AZ7" s="219">
        <f>IFERROR(__xludf.DUMMYFUNCTION("""COMPUTED_VALUE"""),61.0)</f>
        <v>61</v>
      </c>
      <c r="BA7" s="219">
        <f>IFERROR(__xludf.DUMMYFUNCTION("""COMPUTED_VALUE"""),54.0)</f>
        <v>54</v>
      </c>
      <c r="BB7" s="219">
        <f>IFERROR(__xludf.DUMMYFUNCTION("""COMPUTED_VALUE"""),36.0)</f>
        <v>36</v>
      </c>
      <c r="BC7" s="219">
        <f>IFERROR(__xludf.DUMMYFUNCTION("""COMPUTED_VALUE"""),16.0)</f>
        <v>16</v>
      </c>
      <c r="BD7" s="221"/>
      <c r="BE7" s="98"/>
    </row>
    <row r="8">
      <c r="A8" s="6" t="str">
        <f>IFERROR(__xludf.DUMMYFUNCTION("""COMPUTED_VALUE"""),"Syed Aqil Rizvi")</f>
        <v>Syed Aqil Rizvi</v>
      </c>
      <c r="B8" s="98" t="str">
        <f>IFERROR(__xludf.DUMMYFUNCTION("""COMPUTED_VALUE"""),"East U.P")</f>
        <v>East U.P</v>
      </c>
      <c r="C8" s="212" t="str">
        <f>IFERROR(__xludf.DUMMYFUNCTION("""COMPUTED_VALUE"""),"Vikas Kumar (Bareilly)")</f>
        <v>Vikas Kumar (Bareilly)</v>
      </c>
      <c r="D8" s="98" t="str">
        <f>IFERROR(__xludf.DUMMYFUNCTION("""COMPUTED_VALUE"""),"Bareill")</f>
        <v>Bareill</v>
      </c>
      <c r="E8" s="213">
        <f>IFERROR(__xludf.DUMMYFUNCTION("""COMPUTED_VALUE"""),45964.0)</f>
        <v>45964</v>
      </c>
      <c r="F8" s="222" t="str">
        <f>IFERROR(__xludf.DUMMYFUNCTION("""COMPUTED_VALUE"""),"East U.P")</f>
        <v>East U.P</v>
      </c>
      <c r="G8" s="215">
        <f>IFERROR(__xludf.DUMMYFUNCTION("""COMPUTED_VALUE"""),1256855.88)</f>
        <v>1256855.88</v>
      </c>
      <c r="H8" s="215">
        <f>IFERROR(__xludf.DUMMYFUNCTION("""COMPUTED_VALUE"""),2027983.0)</f>
        <v>2027983</v>
      </c>
      <c r="I8" s="216">
        <f>IFERROR(__xludf.DUMMYFUNCTION("""COMPUTED_VALUE"""),65825.0)</f>
        <v>65825</v>
      </c>
      <c r="J8" s="216">
        <f>IFERROR(__xludf.DUMMYFUNCTION("""COMPUTED_VALUE"""),2333334.0)</f>
        <v>2333334</v>
      </c>
      <c r="K8" s="217">
        <f>IFERROR(__xludf.DUMMYFUNCTION("""COMPUTED_VALUE"""),500001.0)</f>
        <v>500001</v>
      </c>
      <c r="L8" s="217">
        <f>IFERROR(__xludf.DUMMYFUNCTION("""COMPUTED_VALUE"""),6500001.0)</f>
        <v>6500001</v>
      </c>
      <c r="M8" s="217">
        <f>IFERROR(__xludf.DUMMYFUNCTION("""COMPUTED_VALUE"""),1178826.0)</f>
        <v>1178826</v>
      </c>
      <c r="N8" s="217">
        <f>IFERROR(__xludf.DUMMYFUNCTION("""COMPUTED_VALUE"""),0.0)</f>
        <v>0</v>
      </c>
      <c r="O8" s="217">
        <f>IFERROR(__xludf.DUMMYFUNCTION("""COMPUTED_VALUE"""),873309.0)</f>
        <v>873309</v>
      </c>
      <c r="P8" s="218">
        <f>IFERROR(__xludf.DUMMYFUNCTION("""COMPUTED_VALUE"""),0.1684036661703811)</f>
        <v>0.1684036662</v>
      </c>
      <c r="Q8" s="218">
        <f>IFERROR(__xludf.DUMMYFUNCTION("""COMPUTED_VALUE"""),0.0)</f>
        <v>0</v>
      </c>
      <c r="R8" s="218">
        <f>IFERROR(__xludf.DUMMYFUNCTION("""COMPUTED_VALUE"""),0.12475839292617345)</f>
        <v>0.1247583929</v>
      </c>
      <c r="S8" s="187">
        <f>IFERROR(__xludf.DUMMYFUNCTION("""COMPUTED_VALUE"""),52.0)</f>
        <v>52</v>
      </c>
      <c r="T8" s="187">
        <f>IFERROR(__xludf.DUMMYFUNCTION("""COMPUTED_VALUE"""),64.0)</f>
        <v>64</v>
      </c>
      <c r="U8" s="187">
        <f>IFERROR(__xludf.DUMMYFUNCTION("""COMPUTED_VALUE"""),17.0)</f>
        <v>17</v>
      </c>
      <c r="V8" s="187">
        <f>IFERROR(__xludf.DUMMYFUNCTION("""COMPUTED_VALUE"""),17.0)</f>
        <v>17</v>
      </c>
      <c r="W8" s="187">
        <f>IFERROR(__xludf.DUMMYFUNCTION("""COMPUTED_VALUE"""),69.0)</f>
        <v>69</v>
      </c>
      <c r="X8" s="187">
        <f>IFERROR(__xludf.DUMMYFUNCTION("""COMPUTED_VALUE"""),5.0)</f>
        <v>5</v>
      </c>
      <c r="Y8" s="188">
        <f>IFERROR(__xludf.DUMMYFUNCTION("""COMPUTED_VALUE"""),955712.71)</f>
        <v>955712.71</v>
      </c>
      <c r="Z8" s="188">
        <f>IFERROR(__xludf.DUMMYFUNCTION("""COMPUTED_VALUE"""),223113.73)</f>
        <v>223113.73</v>
      </c>
      <c r="AA8" s="187">
        <f>IFERROR(__xludf.DUMMYFUNCTION("""COMPUTED_VALUE"""),31.0)</f>
        <v>31</v>
      </c>
      <c r="AB8" s="187">
        <f>IFERROR(__xludf.DUMMYFUNCTION("""COMPUTED_VALUE"""),17.0)</f>
        <v>17</v>
      </c>
      <c r="AC8" s="187">
        <f>IFERROR(__xludf.DUMMYFUNCTION("""COMPUTED_VALUE"""),48.0)</f>
        <v>48</v>
      </c>
      <c r="AD8" s="187">
        <f>IFERROR(__xludf.DUMMYFUNCTION("""COMPUTED_VALUE"""),0.0)</f>
        <v>0</v>
      </c>
      <c r="AE8" s="187">
        <f>IFERROR(__xludf.DUMMYFUNCTION("""COMPUTED_VALUE"""),47.0)</f>
        <v>47</v>
      </c>
      <c r="AF8" s="187">
        <f>IFERROR(__xludf.DUMMYFUNCTION("""COMPUTED_VALUE"""),77.0)</f>
        <v>77</v>
      </c>
      <c r="AG8" s="187">
        <f>IFERROR(__xludf.DUMMYFUNCTION("""COMPUTED_VALUE"""),38.0)</f>
        <v>38</v>
      </c>
      <c r="AH8" s="187">
        <f>IFERROR(__xludf.DUMMYFUNCTION("""COMPUTED_VALUE"""),7.0)</f>
        <v>7</v>
      </c>
      <c r="AI8" s="187">
        <f>IFERROR(__xludf.DUMMYFUNCTION("""COMPUTED_VALUE"""),50.0)</f>
        <v>50</v>
      </c>
      <c r="AJ8" s="187">
        <f>IFERROR(__xludf.DUMMYFUNCTION("""COMPUTED_VALUE"""),0.0)</f>
        <v>0</v>
      </c>
      <c r="AK8" s="187">
        <f>IFERROR(__xludf.DUMMYFUNCTION("""COMPUTED_VALUE"""),0.0)</f>
        <v>0</v>
      </c>
      <c r="AL8" s="187">
        <f>IFERROR(__xludf.DUMMYFUNCTION("""COMPUTED_VALUE"""),21.0)</f>
        <v>21</v>
      </c>
      <c r="AM8" s="187">
        <f>IFERROR(__xludf.DUMMYFUNCTION("""COMPUTED_VALUE"""),43.0)</f>
        <v>43</v>
      </c>
      <c r="AN8" s="187">
        <f>IFERROR(__xludf.DUMMYFUNCTION("""COMPUTED_VALUE"""),189.0)</f>
        <v>189</v>
      </c>
      <c r="AO8" s="187">
        <f>IFERROR(__xludf.DUMMYFUNCTION("""COMPUTED_VALUE"""),359.0)</f>
        <v>359</v>
      </c>
      <c r="AP8" s="187">
        <f>IFERROR(__xludf.DUMMYFUNCTION("""COMPUTED_VALUE"""),76.0)</f>
        <v>76</v>
      </c>
      <c r="AQ8" s="217">
        <f>IFERROR(__xludf.DUMMYFUNCTION("""COMPUTED_VALUE"""),15510.868421052632)</f>
        <v>15510.86842</v>
      </c>
      <c r="AR8" s="188">
        <f>IFERROR(__xludf.DUMMYFUNCTION("""COMPUTED_VALUE"""),4.723684210526316)</f>
        <v>4.723684211</v>
      </c>
      <c r="AS8" s="217">
        <f>IFERROR(__xludf.DUMMYFUNCTION("""COMPUTED_VALUE"""),197475.0)</f>
        <v>197475</v>
      </c>
      <c r="AT8" s="217"/>
      <c r="AU8" s="218">
        <f>IFERROR(__xludf.DUMMYFUNCTION("""COMPUTED_VALUE"""),0.16751836148846394)</f>
        <v>0.1675183615</v>
      </c>
      <c r="AV8" s="217">
        <f>IFERROR(__xludf.DUMMYFUNCTION("""COMPUTED_VALUE"""),24558.875)</f>
        <v>24558.875</v>
      </c>
      <c r="AW8" s="219">
        <f>IFERROR(__xludf.DUMMYFUNCTION("""COMPUTED_VALUE"""),71.0)</f>
        <v>71</v>
      </c>
      <c r="AX8" s="219">
        <f>IFERROR(__xludf.DUMMYFUNCTION("""COMPUTED_VALUE"""),756.0)</f>
        <v>756</v>
      </c>
      <c r="AY8" s="220">
        <f>IFERROR(__xludf.DUMMYFUNCTION("""COMPUTED_VALUE"""),5918.95)</f>
        <v>5918.95</v>
      </c>
      <c r="AZ8" s="219">
        <f>IFERROR(__xludf.DUMMYFUNCTION("""COMPUTED_VALUE"""),92.0)</f>
        <v>92</v>
      </c>
      <c r="BA8" s="219">
        <f>IFERROR(__xludf.DUMMYFUNCTION("""COMPUTED_VALUE"""),48.0)</f>
        <v>48</v>
      </c>
      <c r="BB8" s="219">
        <f>IFERROR(__xludf.DUMMYFUNCTION("""COMPUTED_VALUE"""),16.0)</f>
        <v>16</v>
      </c>
      <c r="BC8" s="219">
        <f>IFERROR(__xludf.DUMMYFUNCTION("""COMPUTED_VALUE"""),5.0)</f>
        <v>5</v>
      </c>
      <c r="BD8" s="221"/>
      <c r="BE8" s="98"/>
    </row>
    <row r="9">
      <c r="A9" s="6" t="str">
        <f>IFERROR(__xludf.DUMMYFUNCTION("""COMPUTED_VALUE"""),"Sunil Patel")</f>
        <v>Sunil Patel</v>
      </c>
      <c r="B9" s="98" t="str">
        <f>IFERROR(__xludf.DUMMYFUNCTION("""COMPUTED_VALUE"""),"Gujarat")</f>
        <v>Gujarat</v>
      </c>
      <c r="C9" s="212" t="str">
        <f>IFERROR(__xludf.DUMMYFUNCTION("""COMPUTED_VALUE"""),"Rathod Vijaybhai")</f>
        <v>Rathod Vijaybhai</v>
      </c>
      <c r="D9" s="98" t="str">
        <f>IFERROR(__xludf.DUMMYFUNCTION("""COMPUTED_VALUE"""),"Surat")</f>
        <v>Surat</v>
      </c>
      <c r="E9" s="213">
        <f>IFERROR(__xludf.DUMMYFUNCTION("""COMPUTED_VALUE"""),45810.0)</f>
        <v>45810</v>
      </c>
      <c r="F9" s="222" t="str">
        <f>IFERROR(__xludf.DUMMYFUNCTION("""COMPUTED_VALUE"""),"GUJARAT")</f>
        <v>GUJARAT</v>
      </c>
      <c r="G9" s="215">
        <f>IFERROR(__xludf.DUMMYFUNCTION("""COMPUTED_VALUE"""),2939713.64)</f>
        <v>2939713.64</v>
      </c>
      <c r="H9" s="215">
        <f>IFERROR(__xludf.DUMMYFUNCTION("""COMPUTED_VALUE"""),0.0)</f>
        <v>0</v>
      </c>
      <c r="I9" s="216">
        <f>IFERROR(__xludf.DUMMYFUNCTION("""COMPUTED_VALUE"""),38285.0)</f>
        <v>38285</v>
      </c>
      <c r="J9" s="216">
        <f>IFERROR(__xludf.DUMMYFUNCTION("""COMPUTED_VALUE"""),1250000.0)</f>
        <v>1250000</v>
      </c>
      <c r="K9" s="217">
        <f>IFERROR(__xludf.DUMMYFUNCTION("""COMPUTED_VALUE"""),0.0)</f>
        <v>0</v>
      </c>
      <c r="L9" s="217">
        <f>IFERROR(__xludf.DUMMYFUNCTION("""COMPUTED_VALUE"""),3750000.0)</f>
        <v>3750000</v>
      </c>
      <c r="M9" s="217">
        <f>IFERROR(__xludf.DUMMYFUNCTION("""COMPUTED_VALUE"""),1081845.0)</f>
        <v>1081845</v>
      </c>
      <c r="N9" s="217">
        <f>IFERROR(__xludf.DUMMYFUNCTION("""COMPUTED_VALUE"""),0.0)</f>
        <v>0</v>
      </c>
      <c r="O9" s="217">
        <f>IFERROR(__xludf.DUMMYFUNCTION("""COMPUTED_VALUE"""),0.0)</f>
        <v>0</v>
      </c>
      <c r="P9" s="218">
        <f>IFERROR(__xludf.DUMMYFUNCTION("""COMPUTED_VALUE"""),0.288492)</f>
        <v>0.288492</v>
      </c>
      <c r="Q9" s="218">
        <f>IFERROR(__xludf.DUMMYFUNCTION("""COMPUTED_VALUE"""),0.0)</f>
        <v>0</v>
      </c>
      <c r="R9" s="218">
        <f>IFERROR(__xludf.DUMMYFUNCTION("""COMPUTED_VALUE"""),0.0)</f>
        <v>0</v>
      </c>
      <c r="S9" s="187">
        <f>IFERROR(__xludf.DUMMYFUNCTION("""COMPUTED_VALUE"""),47.0)</f>
        <v>47</v>
      </c>
      <c r="T9" s="187">
        <f>IFERROR(__xludf.DUMMYFUNCTION("""COMPUTED_VALUE"""),40.0)</f>
        <v>40</v>
      </c>
      <c r="U9" s="187">
        <f>IFERROR(__xludf.DUMMYFUNCTION("""COMPUTED_VALUE"""),6.0)</f>
        <v>6</v>
      </c>
      <c r="V9" s="187">
        <f>IFERROR(__xludf.DUMMYFUNCTION("""COMPUTED_VALUE"""),6.0)</f>
        <v>6</v>
      </c>
      <c r="W9" s="187">
        <f>IFERROR(__xludf.DUMMYFUNCTION("""COMPUTED_VALUE"""),53.0)</f>
        <v>53</v>
      </c>
      <c r="X9" s="187">
        <f>IFERROR(__xludf.DUMMYFUNCTION("""COMPUTED_VALUE"""),13.0)</f>
        <v>13</v>
      </c>
      <c r="Y9" s="188">
        <f>IFERROR(__xludf.DUMMYFUNCTION("""COMPUTED_VALUE"""),748877.82)</f>
        <v>748877.82</v>
      </c>
      <c r="Z9" s="188">
        <f>IFERROR(__xludf.DUMMYFUNCTION("""COMPUTED_VALUE"""),332966.88)</f>
        <v>332966.88</v>
      </c>
      <c r="AA9" s="187">
        <f>IFERROR(__xludf.DUMMYFUNCTION("""COMPUTED_VALUE"""),21.0)</f>
        <v>21</v>
      </c>
      <c r="AB9" s="187">
        <f>IFERROR(__xludf.DUMMYFUNCTION("""COMPUTED_VALUE"""),6.0)</f>
        <v>6</v>
      </c>
      <c r="AC9" s="187">
        <f>IFERROR(__xludf.DUMMYFUNCTION("""COMPUTED_VALUE"""),27.0)</f>
        <v>27</v>
      </c>
      <c r="AD9" s="187">
        <f>IFERROR(__xludf.DUMMYFUNCTION("""COMPUTED_VALUE"""),0.0)</f>
        <v>0</v>
      </c>
      <c r="AE9" s="187">
        <f>IFERROR(__xludf.DUMMYFUNCTION("""COMPUTED_VALUE"""),41.0)</f>
        <v>41</v>
      </c>
      <c r="AF9" s="187">
        <f>IFERROR(__xludf.DUMMYFUNCTION("""COMPUTED_VALUE"""),69.0)</f>
        <v>69</v>
      </c>
      <c r="AG9" s="187">
        <f>IFERROR(__xludf.DUMMYFUNCTION("""COMPUTED_VALUE"""),87.0)</f>
        <v>87</v>
      </c>
      <c r="AH9" s="187">
        <f>IFERROR(__xludf.DUMMYFUNCTION("""COMPUTED_VALUE"""),1.0)</f>
        <v>1</v>
      </c>
      <c r="AI9" s="187">
        <f>IFERROR(__xludf.DUMMYFUNCTION("""COMPUTED_VALUE"""),9.0)</f>
        <v>9</v>
      </c>
      <c r="AJ9" s="187">
        <f>IFERROR(__xludf.DUMMYFUNCTION("""COMPUTED_VALUE"""),0.0)</f>
        <v>0</v>
      </c>
      <c r="AK9" s="187">
        <f>IFERROR(__xludf.DUMMYFUNCTION("""COMPUTED_VALUE"""),0.0)</f>
        <v>0</v>
      </c>
      <c r="AL9" s="187">
        <f>IFERROR(__xludf.DUMMYFUNCTION("""COMPUTED_VALUE"""),1.0)</f>
        <v>1</v>
      </c>
      <c r="AM9" s="187">
        <f>IFERROR(__xludf.DUMMYFUNCTION("""COMPUTED_VALUE"""),1.0)</f>
        <v>1</v>
      </c>
      <c r="AN9" s="187">
        <f>IFERROR(__xludf.DUMMYFUNCTION("""COMPUTED_VALUE"""),194.0)</f>
        <v>194</v>
      </c>
      <c r="AO9" s="187">
        <f>IFERROR(__xludf.DUMMYFUNCTION("""COMPUTED_VALUE"""),273.0)</f>
        <v>273</v>
      </c>
      <c r="AP9" s="187">
        <f>IFERROR(__xludf.DUMMYFUNCTION("""COMPUTED_VALUE"""),72.0)</f>
        <v>72</v>
      </c>
      <c r="AQ9" s="217">
        <f>IFERROR(__xludf.DUMMYFUNCTION("""COMPUTED_VALUE"""),15025.625)</f>
        <v>15025.625</v>
      </c>
      <c r="AR9" s="188">
        <f>IFERROR(__xludf.DUMMYFUNCTION("""COMPUTED_VALUE"""),3.7916666666666665)</f>
        <v>3.791666667</v>
      </c>
      <c r="AS9" s="217">
        <f>IFERROR(__xludf.DUMMYFUNCTION("""COMPUTED_VALUE"""),114855.0)</f>
        <v>114855</v>
      </c>
      <c r="AT9" s="217"/>
      <c r="AU9" s="218">
        <f>IFERROR(__xludf.DUMMYFUNCTION("""COMPUTED_VALUE"""),0.10616585555232035)</f>
        <v>0.1061658556</v>
      </c>
      <c r="AV9" s="217">
        <f>IFERROR(__xludf.DUMMYFUNCTION("""COMPUTED_VALUE"""),40068.333333333336)</f>
        <v>40068.33333</v>
      </c>
      <c r="AW9" s="219">
        <f>IFERROR(__xludf.DUMMYFUNCTION("""COMPUTED_VALUE"""),61.0)</f>
        <v>61</v>
      </c>
      <c r="AX9" s="219">
        <f>IFERROR(__xludf.DUMMYFUNCTION("""COMPUTED_VALUE"""),555.0)</f>
        <v>555</v>
      </c>
      <c r="AY9" s="220">
        <f>IFERROR(__xludf.DUMMYFUNCTION("""COMPUTED_VALUE"""),2056.66)</f>
        <v>2056.66</v>
      </c>
      <c r="AZ9" s="219">
        <f>IFERROR(__xludf.DUMMYFUNCTION("""COMPUTED_VALUE"""),51.0)</f>
        <v>51</v>
      </c>
      <c r="BA9" s="219">
        <f>IFERROR(__xludf.DUMMYFUNCTION("""COMPUTED_VALUE"""),27.0)</f>
        <v>27</v>
      </c>
      <c r="BB9" s="219">
        <f>IFERROR(__xludf.DUMMYFUNCTION("""COMPUTED_VALUE"""),14.0)</f>
        <v>14</v>
      </c>
      <c r="BC9" s="219">
        <f>IFERROR(__xludf.DUMMYFUNCTION("""COMPUTED_VALUE"""),12.0)</f>
        <v>12</v>
      </c>
      <c r="BD9" s="221"/>
      <c r="BE9" s="98"/>
    </row>
    <row r="10">
      <c r="A10" s="6" t="str">
        <f>IFERROR(__xludf.DUMMYFUNCTION("""COMPUTED_VALUE"""),"Nasir Hussain Khan")</f>
        <v>Nasir Hussain Khan</v>
      </c>
      <c r="B10" s="98" t="str">
        <f>IFERROR(__xludf.DUMMYFUNCTION("""COMPUTED_VALUE"""),"JAMMU AND KASHMIR")</f>
        <v>JAMMU AND KASHMIR</v>
      </c>
      <c r="C10" s="212" t="str">
        <f>IFERROR(__xludf.DUMMYFUNCTION("""COMPUTED_VALUE"""),"Basit Ahmad Pala")</f>
        <v>Basit Ahmad Pala</v>
      </c>
      <c r="D10" s="98" t="str">
        <f>IFERROR(__xludf.DUMMYFUNCTION("""COMPUTED_VALUE"""),"Anantnag")</f>
        <v>Anantnag</v>
      </c>
      <c r="E10" s="213">
        <f>IFERROR(__xludf.DUMMYFUNCTION("""COMPUTED_VALUE"""),45964.0)</f>
        <v>45964</v>
      </c>
      <c r="F10" s="222" t="str">
        <f>IFERROR(__xludf.DUMMYFUNCTION("""COMPUTED_VALUE"""),"JAMMU AND KASHMIR")</f>
        <v>JAMMU AND KASHMIR</v>
      </c>
      <c r="G10" s="215">
        <f>IFERROR(__xludf.DUMMYFUNCTION("""COMPUTED_VALUE"""),1814688.6)</f>
        <v>1814688.6</v>
      </c>
      <c r="H10" s="215">
        <f>IFERROR(__xludf.DUMMYFUNCTION("""COMPUTED_VALUE"""),1917915.0)</f>
        <v>1917915</v>
      </c>
      <c r="I10" s="216">
        <f>IFERROR(__xludf.DUMMYFUNCTION("""COMPUTED_VALUE"""),27260.0)</f>
        <v>27260</v>
      </c>
      <c r="J10" s="216">
        <f>IFERROR(__xludf.DUMMYFUNCTION("""COMPUTED_VALUE"""),833333.0)</f>
        <v>833333</v>
      </c>
      <c r="K10" s="217">
        <f>IFERROR(__xludf.DUMMYFUNCTION("""COMPUTED_VALUE"""),1500000.0)</f>
        <v>1500000</v>
      </c>
      <c r="L10" s="217">
        <f>IFERROR(__xludf.DUMMYFUNCTION("""COMPUTED_VALUE"""),999999.0)</f>
        <v>999999</v>
      </c>
      <c r="M10" s="217">
        <f>IFERROR(__xludf.DUMMYFUNCTION("""COMPUTED_VALUE"""),275867.0)</f>
        <v>275867</v>
      </c>
      <c r="N10" s="217">
        <f>IFERROR(__xludf.DUMMYFUNCTION("""COMPUTED_VALUE"""),455838.35)</f>
        <v>455838.35</v>
      </c>
      <c r="O10" s="217">
        <f>IFERROR(__xludf.DUMMYFUNCTION("""COMPUTED_VALUE"""),787786.0)</f>
        <v>787786</v>
      </c>
      <c r="P10" s="218">
        <f>IFERROR(__xludf.DUMMYFUNCTION("""COMPUTED_VALUE"""),0.2926822570729028)</f>
        <v>0.2926822571</v>
      </c>
      <c r="Q10" s="218">
        <f>IFERROR(__xludf.DUMMYFUNCTION("""COMPUTED_VALUE"""),0.3)</f>
        <v>0.3</v>
      </c>
      <c r="R10" s="218">
        <f>IFERROR(__xludf.DUMMYFUNCTION("""COMPUTED_VALUE"""),0.3151145260458104)</f>
        <v>0.315114526</v>
      </c>
      <c r="S10" s="187">
        <f>IFERROR(__xludf.DUMMYFUNCTION("""COMPUTED_VALUE"""),23.0)</f>
        <v>23</v>
      </c>
      <c r="T10" s="187">
        <f>IFERROR(__xludf.DUMMYFUNCTION("""COMPUTED_VALUE"""),21.0)</f>
        <v>21</v>
      </c>
      <c r="U10" s="187">
        <f>IFERROR(__xludf.DUMMYFUNCTION("""COMPUTED_VALUE"""),0.0)</f>
        <v>0</v>
      </c>
      <c r="V10" s="187">
        <f>IFERROR(__xludf.DUMMYFUNCTION("""COMPUTED_VALUE"""),0.0)</f>
        <v>0</v>
      </c>
      <c r="W10" s="187">
        <f>IFERROR(__xludf.DUMMYFUNCTION("""COMPUTED_VALUE"""),23.0)</f>
        <v>23</v>
      </c>
      <c r="X10" s="187">
        <f>IFERROR(__xludf.DUMMYFUNCTION("""COMPUTED_VALUE"""),2.0)</f>
        <v>2</v>
      </c>
      <c r="Y10" s="188">
        <f>IFERROR(__xludf.DUMMYFUNCTION("""COMPUTED_VALUE"""),275866.8)</f>
        <v>275866.8</v>
      </c>
      <c r="Z10" s="188">
        <f>IFERROR(__xludf.DUMMYFUNCTION("""COMPUTED_VALUE"""),0.0)</f>
        <v>0</v>
      </c>
      <c r="AA10" s="187">
        <f>IFERROR(__xludf.DUMMYFUNCTION("""COMPUTED_VALUE"""),9.0)</f>
        <v>9</v>
      </c>
      <c r="AB10" s="187">
        <f>IFERROR(__xludf.DUMMYFUNCTION("""COMPUTED_VALUE"""),0.0)</f>
        <v>0</v>
      </c>
      <c r="AC10" s="187">
        <f>IFERROR(__xludf.DUMMYFUNCTION("""COMPUTED_VALUE"""),9.0)</f>
        <v>9</v>
      </c>
      <c r="AD10" s="187">
        <f>IFERROR(__xludf.DUMMYFUNCTION("""COMPUTED_VALUE"""),2.0)</f>
        <v>2</v>
      </c>
      <c r="AE10" s="187">
        <f>IFERROR(__xludf.DUMMYFUNCTION("""COMPUTED_VALUE"""),103.0)</f>
        <v>103</v>
      </c>
      <c r="AF10" s="187">
        <f>IFERROR(__xludf.DUMMYFUNCTION("""COMPUTED_VALUE"""),131.0)</f>
        <v>131</v>
      </c>
      <c r="AG10" s="187">
        <f>IFERROR(__xludf.DUMMYFUNCTION("""COMPUTED_VALUE"""),254.0)</f>
        <v>254</v>
      </c>
      <c r="AH10" s="187">
        <f>IFERROR(__xludf.DUMMYFUNCTION("""COMPUTED_VALUE"""),4.0)</f>
        <v>4</v>
      </c>
      <c r="AI10" s="187">
        <f>IFERROR(__xludf.DUMMYFUNCTION("""COMPUTED_VALUE"""),41.0)</f>
        <v>41</v>
      </c>
      <c r="AJ10" s="187">
        <f>IFERROR(__xludf.DUMMYFUNCTION("""COMPUTED_VALUE"""),5.0)</f>
        <v>5</v>
      </c>
      <c r="AK10" s="187">
        <f>IFERROR(__xludf.DUMMYFUNCTION("""COMPUTED_VALUE"""),29.0)</f>
        <v>29</v>
      </c>
      <c r="AL10" s="187">
        <f>IFERROR(__xludf.DUMMYFUNCTION("""COMPUTED_VALUE"""),7.0)</f>
        <v>7</v>
      </c>
      <c r="AM10" s="187">
        <f>IFERROR(__xludf.DUMMYFUNCTION("""COMPUTED_VALUE"""),9.0)</f>
        <v>9</v>
      </c>
      <c r="AN10" s="187">
        <f>IFERROR(__xludf.DUMMYFUNCTION("""COMPUTED_VALUE"""),46.0)</f>
        <v>46</v>
      </c>
      <c r="AO10" s="187">
        <f>IFERROR(__xludf.DUMMYFUNCTION("""COMPUTED_VALUE"""),256.0)</f>
        <v>256</v>
      </c>
      <c r="AP10" s="187">
        <f>IFERROR(__xludf.DUMMYFUNCTION("""COMPUTED_VALUE"""),67.0)</f>
        <v>67</v>
      </c>
      <c r="AQ10" s="217">
        <f>IFERROR(__xludf.DUMMYFUNCTION("""COMPUTED_VALUE"""),10920.975373134328)</f>
        <v>10920.97537</v>
      </c>
      <c r="AR10" s="188">
        <f>IFERROR(__xludf.DUMMYFUNCTION("""COMPUTED_VALUE"""),3.8208955223880596)</f>
        <v>3.820895522</v>
      </c>
      <c r="AS10" s="217">
        <f>IFERROR(__xludf.DUMMYFUNCTION("""COMPUTED_VALUE"""),81780.0)</f>
        <v>81780</v>
      </c>
      <c r="AT10" s="217"/>
      <c r="AU10" s="218">
        <f>IFERROR(__xludf.DUMMYFUNCTION("""COMPUTED_VALUE"""),0.11176630046507109)</f>
        <v>0.1117663005</v>
      </c>
      <c r="AV10" s="217">
        <f>IFERROR(__xludf.DUMMYFUNCTION("""COMPUTED_VALUE"""),30651.88888888889)</f>
        <v>30651.88889</v>
      </c>
      <c r="AW10" s="219">
        <f>IFERROR(__xludf.DUMMYFUNCTION("""COMPUTED_VALUE"""),12.0)</f>
        <v>12</v>
      </c>
      <c r="AX10" s="219">
        <f>IFERROR(__xludf.DUMMYFUNCTION("""COMPUTED_VALUE"""),587.0)</f>
        <v>587</v>
      </c>
      <c r="AY10" s="220">
        <f>IFERROR(__xludf.DUMMYFUNCTION("""COMPUTED_VALUE"""),3162.25)</f>
        <v>3162.25</v>
      </c>
      <c r="AZ10" s="219">
        <f>IFERROR(__xludf.DUMMYFUNCTION("""COMPUTED_VALUE"""),151.0)</f>
        <v>151</v>
      </c>
      <c r="BA10" s="219">
        <f>IFERROR(__xludf.DUMMYFUNCTION("""COMPUTED_VALUE"""),9.0)</f>
        <v>9</v>
      </c>
      <c r="BB10" s="219">
        <f>IFERROR(__xludf.DUMMYFUNCTION("""COMPUTED_VALUE"""),12.0)</f>
        <v>12</v>
      </c>
      <c r="BC10" s="219">
        <f>IFERROR(__xludf.DUMMYFUNCTION("""COMPUTED_VALUE"""),2.0)</f>
        <v>2</v>
      </c>
      <c r="BD10" s="221"/>
      <c r="BE10" s="98"/>
    </row>
    <row r="11">
      <c r="A11" s="6" t="str">
        <f>IFERROR(__xludf.DUMMYFUNCTION("""COMPUTED_VALUE"""),"Nasir Hussain Khan")</f>
        <v>Nasir Hussain Khan</v>
      </c>
      <c r="B11" s="98" t="str">
        <f>IFERROR(__xludf.DUMMYFUNCTION("""COMPUTED_VALUE"""),"JAMMU AND KASHMIR")</f>
        <v>JAMMU AND KASHMIR</v>
      </c>
      <c r="C11" s="212" t="str">
        <f>IFERROR(__xludf.DUMMYFUNCTION("""COMPUTED_VALUE"""),"Deep Kumar")</f>
        <v>Deep Kumar</v>
      </c>
      <c r="D11" s="98" t="str">
        <f>IFERROR(__xludf.DUMMYFUNCTION("""COMPUTED_VALUE"""),"Jammu")</f>
        <v>Jammu</v>
      </c>
      <c r="E11" s="213">
        <f>IFERROR(__xludf.DUMMYFUNCTION("""COMPUTED_VALUE"""),46086.0)</f>
        <v>46086</v>
      </c>
      <c r="F11" s="222" t="str">
        <f>IFERROR(__xludf.DUMMYFUNCTION("""COMPUTED_VALUE"""),"JAMMU AND KASHMIR")</f>
        <v>JAMMU AND KASHMIR</v>
      </c>
      <c r="G11" s="215">
        <f>IFERROR(__xludf.DUMMYFUNCTION("""COMPUTED_VALUE"""),50841.5)</f>
        <v>50841.5</v>
      </c>
      <c r="H11" s="215">
        <f>IFERROR(__xludf.DUMMYFUNCTION("""COMPUTED_VALUE"""),0.0)</f>
        <v>0</v>
      </c>
      <c r="I11" s="216">
        <f>IFERROR(__xludf.DUMMYFUNCTION("""COMPUTED_VALUE"""),27260.0)</f>
        <v>27260</v>
      </c>
      <c r="J11" s="216">
        <f>IFERROR(__xludf.DUMMYFUNCTION("""COMPUTED_VALUE"""),833333.0)</f>
        <v>833333</v>
      </c>
      <c r="K11" s="217">
        <f>IFERROR(__xludf.DUMMYFUNCTION("""COMPUTED_VALUE"""),0.0)</f>
        <v>0</v>
      </c>
      <c r="L11" s="217">
        <f>IFERROR(__xludf.DUMMYFUNCTION("""COMPUTED_VALUE"""),2499999.0)</f>
        <v>2499999</v>
      </c>
      <c r="M11" s="217">
        <f>IFERROR(__xludf.DUMMYFUNCTION("""COMPUTED_VALUE"""),401272.0)</f>
        <v>401272</v>
      </c>
      <c r="N11" s="217">
        <f>IFERROR(__xludf.DUMMYFUNCTION("""COMPUTED_VALUE"""),0.0)</f>
        <v>0</v>
      </c>
      <c r="O11" s="217">
        <f>IFERROR(__xludf.DUMMYFUNCTION("""COMPUTED_VALUE"""),421187.44)</f>
        <v>421187.44</v>
      </c>
      <c r="P11" s="218">
        <f>IFERROR(__xludf.DUMMYFUNCTION("""COMPUTED_VALUE"""),0.16050886420354568)</f>
        <v>0.1605088642</v>
      </c>
      <c r="Q11" s="218">
        <f>IFERROR(__xludf.DUMMYFUNCTION("""COMPUTED_VALUE"""),0.0)</f>
        <v>0</v>
      </c>
      <c r="R11" s="218">
        <f>IFERROR(__xludf.DUMMYFUNCTION("""COMPUTED_VALUE"""),0.16847504339001737)</f>
        <v>0.1684750434</v>
      </c>
      <c r="S11" s="187">
        <f>IFERROR(__xludf.DUMMYFUNCTION("""COMPUTED_VALUE"""),11.0)</f>
        <v>11</v>
      </c>
      <c r="T11" s="187">
        <f>IFERROR(__xludf.DUMMYFUNCTION("""COMPUTED_VALUE"""),12.0)</f>
        <v>12</v>
      </c>
      <c r="U11" s="187">
        <f>IFERROR(__xludf.DUMMYFUNCTION("""COMPUTED_VALUE"""),2.0)</f>
        <v>2</v>
      </c>
      <c r="V11" s="187">
        <f>IFERROR(__xludf.DUMMYFUNCTION("""COMPUTED_VALUE"""),2.0)</f>
        <v>2</v>
      </c>
      <c r="W11" s="187">
        <f>IFERROR(__xludf.DUMMYFUNCTION("""COMPUTED_VALUE"""),13.0)</f>
        <v>13</v>
      </c>
      <c r="X11" s="187">
        <f>IFERROR(__xludf.DUMMYFUNCTION("""COMPUTED_VALUE"""),1.0)</f>
        <v>1</v>
      </c>
      <c r="Y11" s="188">
        <f>IFERROR(__xludf.DUMMYFUNCTION("""COMPUTED_VALUE"""),39435.0)</f>
        <v>39435</v>
      </c>
      <c r="Z11" s="188">
        <f>IFERROR(__xludf.DUMMYFUNCTION("""COMPUTED_VALUE"""),361836.59)</f>
        <v>361836.59</v>
      </c>
      <c r="AA11" s="187">
        <f>IFERROR(__xludf.DUMMYFUNCTION("""COMPUTED_VALUE"""),1.0)</f>
        <v>1</v>
      </c>
      <c r="AB11" s="187">
        <f>IFERROR(__xludf.DUMMYFUNCTION("""COMPUTED_VALUE"""),2.0)</f>
        <v>2</v>
      </c>
      <c r="AC11" s="187">
        <f>IFERROR(__xludf.DUMMYFUNCTION("""COMPUTED_VALUE"""),3.0)</f>
        <v>3</v>
      </c>
      <c r="AD11" s="187">
        <f>IFERROR(__xludf.DUMMYFUNCTION("""COMPUTED_VALUE"""),0.0)</f>
        <v>0</v>
      </c>
      <c r="AE11" s="187">
        <f>IFERROR(__xludf.DUMMYFUNCTION("""COMPUTED_VALUE"""),87.0)</f>
        <v>87</v>
      </c>
      <c r="AF11" s="187">
        <f>IFERROR(__xludf.DUMMYFUNCTION("""COMPUTED_VALUE"""),237.0)</f>
        <v>237</v>
      </c>
      <c r="AG11" s="187">
        <f>IFERROR(__xludf.DUMMYFUNCTION("""COMPUTED_VALUE"""),14.0)</f>
        <v>14</v>
      </c>
      <c r="AH11" s="187">
        <f>IFERROR(__xludf.DUMMYFUNCTION("""COMPUTED_VALUE"""),2.0)</f>
        <v>2</v>
      </c>
      <c r="AI11" s="187">
        <f>IFERROR(__xludf.DUMMYFUNCTION("""COMPUTED_VALUE"""),10.0)</f>
        <v>10</v>
      </c>
      <c r="AJ11" s="187">
        <f>IFERROR(__xludf.DUMMYFUNCTION("""COMPUTED_VALUE"""),0.0)</f>
        <v>0</v>
      </c>
      <c r="AK11" s="187">
        <f>IFERROR(__xludf.DUMMYFUNCTION("""COMPUTED_VALUE"""),0.0)</f>
        <v>0</v>
      </c>
      <c r="AL11" s="187">
        <f>IFERROR(__xludf.DUMMYFUNCTION("""COMPUTED_VALUE"""),0.0)</f>
        <v>0</v>
      </c>
      <c r="AM11" s="187">
        <f>IFERROR(__xludf.DUMMYFUNCTION("""COMPUTED_VALUE"""),0.0)</f>
        <v>0</v>
      </c>
      <c r="AN11" s="187">
        <f>IFERROR(__xludf.DUMMYFUNCTION("""COMPUTED_VALUE"""),52.0)</f>
        <v>52</v>
      </c>
      <c r="AO11" s="187">
        <f>IFERROR(__xludf.DUMMYFUNCTION("""COMPUTED_VALUE"""),299.0)</f>
        <v>299</v>
      </c>
      <c r="AP11" s="187">
        <f>IFERROR(__xludf.DUMMYFUNCTION("""COMPUTED_VALUE"""),66.0)</f>
        <v>66</v>
      </c>
      <c r="AQ11" s="217">
        <f>IFERROR(__xludf.DUMMYFUNCTION("""COMPUTED_VALUE"""),6079.878787878788)</f>
        <v>6079.878788</v>
      </c>
      <c r="AR11" s="188">
        <f>IFERROR(__xludf.DUMMYFUNCTION("""COMPUTED_VALUE"""),4.53030303030303)</f>
        <v>4.53030303</v>
      </c>
      <c r="AS11" s="217">
        <f>IFERROR(__xludf.DUMMYFUNCTION("""COMPUTED_VALUE"""),81780.0)</f>
        <v>81780</v>
      </c>
      <c r="AT11" s="217"/>
      <c r="AU11" s="218">
        <f>IFERROR(__xludf.DUMMYFUNCTION("""COMPUTED_VALUE"""),0.20380190992643393)</f>
        <v>0.2038019099</v>
      </c>
      <c r="AV11" s="217">
        <f>IFERROR(__xludf.DUMMYFUNCTION("""COMPUTED_VALUE"""),133757.33333333334)</f>
        <v>133757.3333</v>
      </c>
      <c r="AW11" s="219">
        <f>IFERROR(__xludf.DUMMYFUNCTION("""COMPUTED_VALUE"""),3.0)</f>
        <v>3</v>
      </c>
      <c r="AX11" s="219">
        <f>IFERROR(__xludf.DUMMYFUNCTION("""COMPUTED_VALUE"""),628.0)</f>
        <v>628</v>
      </c>
      <c r="AY11" s="220">
        <f>IFERROR(__xludf.DUMMYFUNCTION("""COMPUTED_VALUE"""),4048.85)</f>
        <v>4048.85</v>
      </c>
      <c r="AZ11" s="219">
        <f>IFERROR(__xludf.DUMMYFUNCTION("""COMPUTED_VALUE"""),337.0)</f>
        <v>337</v>
      </c>
      <c r="BA11" s="219">
        <f>IFERROR(__xludf.DUMMYFUNCTION("""COMPUTED_VALUE"""),3.0)</f>
        <v>3</v>
      </c>
      <c r="BB11" s="219">
        <f>IFERROR(__xludf.DUMMYFUNCTION("""COMPUTED_VALUE"""),10.0)</f>
        <v>10</v>
      </c>
      <c r="BC11" s="219">
        <f>IFERROR(__xludf.DUMMYFUNCTION("""COMPUTED_VALUE"""),0.0)</f>
        <v>0</v>
      </c>
      <c r="BD11" s="221"/>
      <c r="BE11" s="98"/>
    </row>
    <row r="12">
      <c r="A12" s="6" t="str">
        <f>IFERROR(__xludf.DUMMYFUNCTION("""COMPUTED_VALUE"""),"Prashant Onam Naik")</f>
        <v>Prashant Onam Naik</v>
      </c>
      <c r="B12" s="98" t="str">
        <f>IFERROR(__xludf.DUMMYFUNCTION("""COMPUTED_VALUE"""),"Karnataka")</f>
        <v>Karnataka</v>
      </c>
      <c r="C12" s="212" t="str">
        <f>IFERROR(__xludf.DUMMYFUNCTION("""COMPUTED_VALUE"""),"Milind Ashok Sadanand")</f>
        <v>Milind Ashok Sadanand</v>
      </c>
      <c r="D12" s="98" t="str">
        <f>IFERROR(__xludf.DUMMYFUNCTION("""COMPUTED_VALUE"""),"Hubli")</f>
        <v>Hubli</v>
      </c>
      <c r="E12" s="213">
        <f>IFERROR(__xludf.DUMMYFUNCTION("""COMPUTED_VALUE"""),46041.0)</f>
        <v>46041</v>
      </c>
      <c r="F12" s="222" t="str">
        <f>IFERROR(__xludf.DUMMYFUNCTION("""COMPUTED_VALUE"""),"KARNATAKA")</f>
        <v>KARNATAKA</v>
      </c>
      <c r="G12" s="215">
        <f>IFERROR(__xludf.DUMMYFUNCTION("""COMPUTED_VALUE"""),0.0)</f>
        <v>0</v>
      </c>
      <c r="H12" s="215">
        <f>IFERROR(__xludf.DUMMYFUNCTION("""COMPUTED_VALUE"""),0.0)</f>
        <v>0</v>
      </c>
      <c r="I12" s="216">
        <f>IFERROR(__xludf.DUMMYFUNCTION("""COMPUTED_VALUE"""),68112.0)</f>
        <v>68112</v>
      </c>
      <c r="J12" s="216">
        <f>IFERROR(__xludf.DUMMYFUNCTION("""COMPUTED_VALUE"""),1200000.0)</f>
        <v>1200000</v>
      </c>
      <c r="K12" s="217">
        <f>IFERROR(__xludf.DUMMYFUNCTION("""COMPUTED_VALUE"""),0.0)</f>
        <v>0</v>
      </c>
      <c r="L12" s="217">
        <f>IFERROR(__xludf.DUMMYFUNCTION("""COMPUTED_VALUE"""),2500000.0)</f>
        <v>2500000</v>
      </c>
      <c r="M12" s="217">
        <f>IFERROR(__xludf.DUMMYFUNCTION("""COMPUTED_VALUE"""),538488.0)</f>
        <v>538488</v>
      </c>
      <c r="N12" s="217">
        <f>IFERROR(__xludf.DUMMYFUNCTION("""COMPUTED_VALUE"""),0.0)</f>
        <v>0</v>
      </c>
      <c r="O12" s="217">
        <f>IFERROR(__xludf.DUMMYFUNCTION("""COMPUTED_VALUE"""),325794.0)</f>
        <v>325794</v>
      </c>
      <c r="P12" s="218">
        <f>IFERROR(__xludf.DUMMYFUNCTION("""COMPUTED_VALUE"""),0.2153952)</f>
        <v>0.2153952</v>
      </c>
      <c r="Q12" s="218">
        <f>IFERROR(__xludf.DUMMYFUNCTION("""COMPUTED_VALUE"""),0.0)</f>
        <v>0</v>
      </c>
      <c r="R12" s="218">
        <f>IFERROR(__xludf.DUMMYFUNCTION("""COMPUTED_VALUE"""),0.1303176)</f>
        <v>0.1303176</v>
      </c>
      <c r="S12" s="187">
        <f>IFERROR(__xludf.DUMMYFUNCTION("""COMPUTED_VALUE"""),7.0)</f>
        <v>7</v>
      </c>
      <c r="T12" s="187">
        <f>IFERROR(__xludf.DUMMYFUNCTION("""COMPUTED_VALUE"""),62.0)</f>
        <v>62</v>
      </c>
      <c r="U12" s="187">
        <f>IFERROR(__xludf.DUMMYFUNCTION("""COMPUTED_VALUE"""),57.0)</f>
        <v>57</v>
      </c>
      <c r="V12" s="187">
        <f>IFERROR(__xludf.DUMMYFUNCTION("""COMPUTED_VALUE"""),56.0)</f>
        <v>56</v>
      </c>
      <c r="W12" s="187">
        <f>IFERROR(__xludf.DUMMYFUNCTION("""COMPUTED_VALUE"""),64.0)</f>
        <v>64</v>
      </c>
      <c r="X12" s="187">
        <f>IFERROR(__xludf.DUMMYFUNCTION("""COMPUTED_VALUE"""),2.0)</f>
        <v>2</v>
      </c>
      <c r="Y12" s="188">
        <f>IFERROR(__xludf.DUMMYFUNCTION("""COMPUTED_VALUE"""),3623.88)</f>
        <v>3623.88</v>
      </c>
      <c r="Z12" s="188">
        <f>IFERROR(__xludf.DUMMYFUNCTION("""COMPUTED_VALUE"""),534863.94)</f>
        <v>534863.94</v>
      </c>
      <c r="AA12" s="187">
        <f>IFERROR(__xludf.DUMMYFUNCTION("""COMPUTED_VALUE"""),1.0)</f>
        <v>1</v>
      </c>
      <c r="AB12" s="187">
        <f>IFERROR(__xludf.DUMMYFUNCTION("""COMPUTED_VALUE"""),56.0)</f>
        <v>56</v>
      </c>
      <c r="AC12" s="187">
        <f>IFERROR(__xludf.DUMMYFUNCTION("""COMPUTED_VALUE"""),57.0)</f>
        <v>57</v>
      </c>
      <c r="AD12" s="187">
        <f>IFERROR(__xludf.DUMMYFUNCTION("""COMPUTED_VALUE"""),0.0)</f>
        <v>0</v>
      </c>
      <c r="AE12" s="187">
        <f>IFERROR(__xludf.DUMMYFUNCTION("""COMPUTED_VALUE"""),94.0)</f>
        <v>94</v>
      </c>
      <c r="AF12" s="187">
        <f>IFERROR(__xludf.DUMMYFUNCTION("""COMPUTED_VALUE"""),132.0)</f>
        <v>132</v>
      </c>
      <c r="AG12" s="187">
        <f>IFERROR(__xludf.DUMMYFUNCTION("""COMPUTED_VALUE"""),30.0)</f>
        <v>30</v>
      </c>
      <c r="AH12" s="187">
        <f>IFERROR(__xludf.DUMMYFUNCTION("""COMPUTED_VALUE"""),5.0)</f>
        <v>5</v>
      </c>
      <c r="AI12" s="187">
        <f>IFERROR(__xludf.DUMMYFUNCTION("""COMPUTED_VALUE"""),34.0)</f>
        <v>34</v>
      </c>
      <c r="AJ12" s="187">
        <f>IFERROR(__xludf.DUMMYFUNCTION("""COMPUTED_VALUE"""),0.0)</f>
        <v>0</v>
      </c>
      <c r="AK12" s="187">
        <f>IFERROR(__xludf.DUMMYFUNCTION("""COMPUTED_VALUE"""),0.0)</f>
        <v>0</v>
      </c>
      <c r="AL12" s="187">
        <f>IFERROR(__xludf.DUMMYFUNCTION("""COMPUTED_VALUE"""),45.0)</f>
        <v>45</v>
      </c>
      <c r="AM12" s="187">
        <f>IFERROR(__xludf.DUMMYFUNCTION("""COMPUTED_VALUE"""),104.0)</f>
        <v>104</v>
      </c>
      <c r="AN12" s="187">
        <f>IFERROR(__xludf.DUMMYFUNCTION("""COMPUTED_VALUE"""),153.0)</f>
        <v>153</v>
      </c>
      <c r="AO12" s="187">
        <f>IFERROR(__xludf.DUMMYFUNCTION("""COMPUTED_VALUE"""),423.0)</f>
        <v>423</v>
      </c>
      <c r="AP12" s="187">
        <f>IFERROR(__xludf.DUMMYFUNCTION("""COMPUTED_VALUE"""),72.0)</f>
        <v>72</v>
      </c>
      <c r="AQ12" s="217">
        <f>IFERROR(__xludf.DUMMYFUNCTION("""COMPUTED_VALUE"""),7479.0)</f>
        <v>7479</v>
      </c>
      <c r="AR12" s="188">
        <f>IFERROR(__xludf.DUMMYFUNCTION("""COMPUTED_VALUE"""),5.875)</f>
        <v>5.875</v>
      </c>
      <c r="AS12" s="217">
        <f>IFERROR(__xludf.DUMMYFUNCTION("""COMPUTED_VALUE"""),204336.0)</f>
        <v>204336</v>
      </c>
      <c r="AT12" s="217"/>
      <c r="AU12" s="218">
        <f>IFERROR(__xludf.DUMMYFUNCTION("""COMPUTED_VALUE"""),0.3794624949859607)</f>
        <v>0.379462495</v>
      </c>
      <c r="AV12" s="217">
        <f>IFERROR(__xludf.DUMMYFUNCTION("""COMPUTED_VALUE"""),9447.157894736842)</f>
        <v>9447.157895</v>
      </c>
      <c r="AW12" s="219">
        <f>IFERROR(__xludf.DUMMYFUNCTION("""COMPUTED_VALUE"""),73.0)</f>
        <v>73</v>
      </c>
      <c r="AX12" s="219">
        <f>IFERROR(__xludf.DUMMYFUNCTION("""COMPUTED_VALUE"""),768.0)</f>
        <v>768</v>
      </c>
      <c r="AY12" s="220">
        <f>IFERROR(__xludf.DUMMYFUNCTION("""COMPUTED_VALUE"""),7805.78)</f>
        <v>7805.78</v>
      </c>
      <c r="AZ12" s="219">
        <f>IFERROR(__xludf.DUMMYFUNCTION("""COMPUTED_VALUE"""),126.0)</f>
        <v>126</v>
      </c>
      <c r="BA12" s="219">
        <f>IFERROR(__xludf.DUMMYFUNCTION("""COMPUTED_VALUE"""),57.0)</f>
        <v>57</v>
      </c>
      <c r="BB12" s="219">
        <f>IFERROR(__xludf.DUMMYFUNCTION("""COMPUTED_VALUE"""),6.0)</f>
        <v>6</v>
      </c>
      <c r="BC12" s="219">
        <f>IFERROR(__xludf.DUMMYFUNCTION("""COMPUTED_VALUE"""),1.0)</f>
        <v>1</v>
      </c>
      <c r="BD12" s="221"/>
      <c r="BE12" s="98"/>
    </row>
    <row r="13">
      <c r="A13" s="6" t="str">
        <f>IFERROR(__xludf.DUMMYFUNCTION("""COMPUTED_VALUE"""),"Biju C.O")</f>
        <v>Biju C.O</v>
      </c>
      <c r="B13" s="98" t="str">
        <f>IFERROR(__xludf.DUMMYFUNCTION("""COMPUTED_VALUE"""),"Kerala")</f>
        <v>Kerala</v>
      </c>
      <c r="C13" s="212" t="str">
        <f>IFERROR(__xludf.DUMMYFUNCTION("""COMPUTED_VALUE"""),"SANOJ M.")</f>
        <v>SANOJ M.</v>
      </c>
      <c r="D13" s="98" t="str">
        <f>IFERROR(__xludf.DUMMYFUNCTION("""COMPUTED_VALUE"""),"Palakkad")</f>
        <v>Palakkad</v>
      </c>
      <c r="E13" s="213">
        <f>IFERROR(__xludf.DUMMYFUNCTION("""COMPUTED_VALUE"""),45859.0)</f>
        <v>45859</v>
      </c>
      <c r="F13" s="222" t="str">
        <f>IFERROR(__xludf.DUMMYFUNCTION("""COMPUTED_VALUE"""),"KERALA")</f>
        <v>KERALA</v>
      </c>
      <c r="G13" s="215"/>
      <c r="H13" s="215"/>
      <c r="I13" s="216">
        <f>IFERROR(__xludf.DUMMYFUNCTION("""COMPUTED_VALUE"""),51910.0)</f>
        <v>51910</v>
      </c>
      <c r="J13" s="216">
        <f>IFERROR(__xludf.DUMMYFUNCTION("""COMPUTED_VALUE"""),825000.0)</f>
        <v>825000</v>
      </c>
      <c r="K13" s="217">
        <f>IFERROR(__xludf.DUMMYFUNCTION("""COMPUTED_VALUE"""),0.0)</f>
        <v>0</v>
      </c>
      <c r="L13" s="217">
        <f>IFERROR(__xludf.DUMMYFUNCTION("""COMPUTED_VALUE"""),3600000.0)</f>
        <v>3600000</v>
      </c>
      <c r="M13" s="217">
        <f>IFERROR(__xludf.DUMMYFUNCTION("""COMPUTED_VALUE"""),1433124.0)</f>
        <v>1433124</v>
      </c>
      <c r="N13" s="217">
        <f>IFERROR(__xludf.DUMMYFUNCTION("""COMPUTED_VALUE"""),0.0)</f>
        <v>0</v>
      </c>
      <c r="O13" s="217"/>
      <c r="P13" s="218">
        <f>IFERROR(__xludf.DUMMYFUNCTION("""COMPUTED_VALUE"""),0.39809)</f>
        <v>0.39809</v>
      </c>
      <c r="Q13" s="218">
        <f>IFERROR(__xludf.DUMMYFUNCTION("""COMPUTED_VALUE"""),0.0)</f>
        <v>0</v>
      </c>
      <c r="R13" s="218">
        <f>IFERROR(__xludf.DUMMYFUNCTION("""COMPUTED_VALUE"""),0.0)</f>
        <v>0</v>
      </c>
      <c r="S13" s="187">
        <f>IFERROR(__xludf.DUMMYFUNCTION("""COMPUTED_VALUE"""),213.0)</f>
        <v>213</v>
      </c>
      <c r="T13" s="187">
        <f>IFERROR(__xludf.DUMMYFUNCTION("""COMPUTED_VALUE"""),114.0)</f>
        <v>114</v>
      </c>
      <c r="U13" s="187">
        <f>IFERROR(__xludf.DUMMYFUNCTION("""COMPUTED_VALUE"""),3.0)</f>
        <v>3</v>
      </c>
      <c r="V13" s="187">
        <f>IFERROR(__xludf.DUMMYFUNCTION("""COMPUTED_VALUE"""),0.0)</f>
        <v>0</v>
      </c>
      <c r="W13" s="187">
        <f>IFERROR(__xludf.DUMMYFUNCTION("""COMPUTED_VALUE"""),216.0)</f>
        <v>216</v>
      </c>
      <c r="X13" s="187">
        <f>IFERROR(__xludf.DUMMYFUNCTION("""COMPUTED_VALUE"""),102.0)</f>
        <v>102</v>
      </c>
      <c r="Y13" s="188">
        <f>IFERROR(__xludf.DUMMYFUNCTION("""COMPUTED_VALUE"""),1433124.0)</f>
        <v>1433124</v>
      </c>
      <c r="Z13" s="188">
        <f>IFERROR(__xludf.DUMMYFUNCTION("""COMPUTED_VALUE"""),0.0)</f>
        <v>0</v>
      </c>
      <c r="AA13" s="187">
        <f>IFERROR(__xludf.DUMMYFUNCTION("""COMPUTED_VALUE"""),13.0)</f>
        <v>13</v>
      </c>
      <c r="AB13" s="187">
        <f>IFERROR(__xludf.DUMMYFUNCTION("""COMPUTED_VALUE"""),0.0)</f>
        <v>0</v>
      </c>
      <c r="AC13" s="187">
        <f>IFERROR(__xludf.DUMMYFUNCTION("""COMPUTED_VALUE"""),13.0)</f>
        <v>13</v>
      </c>
      <c r="AD13" s="187">
        <f>IFERROR(__xludf.DUMMYFUNCTION("""COMPUTED_VALUE"""),0.0)</f>
        <v>0</v>
      </c>
      <c r="AE13" s="187">
        <f>IFERROR(__xludf.DUMMYFUNCTION("""COMPUTED_VALUE"""),25.0)</f>
        <v>25</v>
      </c>
      <c r="AF13" s="187">
        <f>IFERROR(__xludf.DUMMYFUNCTION("""COMPUTED_VALUE"""),60.0)</f>
        <v>60</v>
      </c>
      <c r="AG13" s="187">
        <f>IFERROR(__xludf.DUMMYFUNCTION("""COMPUTED_VALUE"""),12.0)</f>
        <v>12</v>
      </c>
      <c r="AH13" s="187">
        <f>IFERROR(__xludf.DUMMYFUNCTION("""COMPUTED_VALUE"""),2.0)</f>
        <v>2</v>
      </c>
      <c r="AI13" s="187">
        <f>IFERROR(__xludf.DUMMYFUNCTION("""COMPUTED_VALUE"""),8.0)</f>
        <v>8</v>
      </c>
      <c r="AJ13" s="187">
        <f>IFERROR(__xludf.DUMMYFUNCTION("""COMPUTED_VALUE"""),0.0)</f>
        <v>0</v>
      </c>
      <c r="AK13" s="187">
        <f>IFERROR(__xludf.DUMMYFUNCTION("""COMPUTED_VALUE"""),0.0)</f>
        <v>0</v>
      </c>
      <c r="AL13" s="187">
        <f>IFERROR(__xludf.DUMMYFUNCTION("""COMPUTED_VALUE"""),0.0)</f>
        <v>0</v>
      </c>
      <c r="AM13" s="187">
        <f>IFERROR(__xludf.DUMMYFUNCTION("""COMPUTED_VALUE"""),0.0)</f>
        <v>0</v>
      </c>
      <c r="AN13" s="187">
        <f>IFERROR(__xludf.DUMMYFUNCTION("""COMPUTED_VALUE"""),307.0)</f>
        <v>307</v>
      </c>
      <c r="AO13" s="187">
        <f>IFERROR(__xludf.DUMMYFUNCTION("""COMPUTED_VALUE"""),375.0)</f>
        <v>375</v>
      </c>
      <c r="AP13" s="187">
        <f>IFERROR(__xludf.DUMMYFUNCTION("""COMPUTED_VALUE"""),69.0)</f>
        <v>69</v>
      </c>
      <c r="AQ13" s="217">
        <f>IFERROR(__xludf.DUMMYFUNCTION("""COMPUTED_VALUE"""),20769.91304347826)</f>
        <v>20769.91304</v>
      </c>
      <c r="AR13" s="188">
        <f>IFERROR(__xludf.DUMMYFUNCTION("""COMPUTED_VALUE"""),5.434782608695652)</f>
        <v>5.434782609</v>
      </c>
      <c r="AS13" s="217">
        <f>IFERROR(__xludf.DUMMYFUNCTION("""COMPUTED_VALUE"""),155730.0)</f>
        <v>155730</v>
      </c>
      <c r="AT13" s="217"/>
      <c r="AU13" s="218">
        <f>IFERROR(__xludf.DUMMYFUNCTION("""COMPUTED_VALUE"""),0.10866470731074213)</f>
        <v>0.1086647073</v>
      </c>
      <c r="AV13" s="217">
        <f>IFERROR(__xludf.DUMMYFUNCTION("""COMPUTED_VALUE"""),110240.30769230769)</f>
        <v>110240.3077</v>
      </c>
      <c r="AW13" s="219">
        <f>IFERROR(__xludf.DUMMYFUNCTION("""COMPUTED_VALUE"""),25.0)</f>
        <v>25</v>
      </c>
      <c r="AX13" s="219">
        <f>IFERROR(__xludf.DUMMYFUNCTION("""COMPUTED_VALUE"""),662.0)</f>
        <v>662</v>
      </c>
      <c r="AY13" s="220">
        <f>IFERROR(__xludf.DUMMYFUNCTION("""COMPUTED_VALUE"""),7464.13)</f>
        <v>7464.13</v>
      </c>
      <c r="AZ13" s="219">
        <f>IFERROR(__xludf.DUMMYFUNCTION("""COMPUTED_VALUE"""),65.0)</f>
        <v>65</v>
      </c>
      <c r="BA13" s="219">
        <f>IFERROR(__xludf.DUMMYFUNCTION("""COMPUTED_VALUE"""),13.0)</f>
        <v>13</v>
      </c>
      <c r="BB13" s="219">
        <f>IFERROR(__xludf.DUMMYFUNCTION("""COMPUTED_VALUE"""),101.0)</f>
        <v>101</v>
      </c>
      <c r="BC13" s="219">
        <f>IFERROR(__xludf.DUMMYFUNCTION("""COMPUTED_VALUE"""),102.0)</f>
        <v>102</v>
      </c>
      <c r="BD13" s="221"/>
      <c r="BE13" s="98"/>
    </row>
    <row r="14">
      <c r="A14" s="6" t="str">
        <f>IFERROR(__xludf.DUMMYFUNCTION("""COMPUTED_VALUE"""),"Syed Aqil Rizvi")</f>
        <v>Syed Aqil Rizvi</v>
      </c>
      <c r="B14" s="98" t="str">
        <f>IFERROR(__xludf.DUMMYFUNCTION("""COMPUTED_VALUE"""),"Madhya Pradesh")</f>
        <v>Madhya Pradesh</v>
      </c>
      <c r="C14" s="212" t="str">
        <f>IFERROR(__xludf.DUMMYFUNCTION("""COMPUTED_VALUE"""),"Neel Kamal choure")</f>
        <v>Neel Kamal choure</v>
      </c>
      <c r="D14" s="98" t="str">
        <f>IFERROR(__xludf.DUMMYFUNCTION("""COMPUTED_VALUE"""),"Jabalpur")</f>
        <v>Jabalpur</v>
      </c>
      <c r="E14" s="213">
        <f>IFERROR(__xludf.DUMMYFUNCTION("""COMPUTED_VALUE"""),44662.0)</f>
        <v>44662</v>
      </c>
      <c r="F14" s="222" t="str">
        <f>IFERROR(__xludf.DUMMYFUNCTION("""COMPUTED_VALUE"""),"MADHYA PRADESH")</f>
        <v>MADHYA PRADESH</v>
      </c>
      <c r="G14" s="215">
        <f>IFERROR(__xludf.DUMMYFUNCTION("""COMPUTED_VALUE"""),1.0642240200000001E7)</f>
        <v>10642240.2</v>
      </c>
      <c r="H14" s="215">
        <f>IFERROR(__xludf.DUMMYFUNCTION("""COMPUTED_VALUE"""),1.1184983379999999E7)</f>
        <v>11184983.38</v>
      </c>
      <c r="I14" s="216">
        <f>IFERROR(__xludf.DUMMYFUNCTION("""COMPUTED_VALUE"""),51950.0)</f>
        <v>51950</v>
      </c>
      <c r="J14" s="216">
        <f>IFERROR(__xludf.DUMMYFUNCTION("""COMPUTED_VALUE"""),2114666.0)</f>
        <v>2114666</v>
      </c>
      <c r="K14" s="217">
        <f>IFERROR(__xludf.DUMMYFUNCTION("""COMPUTED_VALUE"""),300000.0)</f>
        <v>300000</v>
      </c>
      <c r="L14" s="217">
        <f>IFERROR(__xludf.DUMMYFUNCTION("""COMPUTED_VALUE"""),6043998.0)</f>
        <v>6043998</v>
      </c>
      <c r="M14" s="217">
        <f>IFERROR(__xludf.DUMMYFUNCTION("""COMPUTED_VALUE"""),539552.0)</f>
        <v>539552</v>
      </c>
      <c r="N14" s="217">
        <f>IFERROR(__xludf.DUMMYFUNCTION("""COMPUTED_VALUE"""),0.0)</f>
        <v>0</v>
      </c>
      <c r="O14" s="217">
        <f>IFERROR(__xludf.DUMMYFUNCTION("""COMPUTED_VALUE"""),351921.0)</f>
        <v>351921</v>
      </c>
      <c r="P14" s="218">
        <f>IFERROR(__xludf.DUMMYFUNCTION("""COMPUTED_VALUE"""),0.08504920714035534)</f>
        <v>0.08504920714</v>
      </c>
      <c r="Q14" s="218">
        <f>IFERROR(__xludf.DUMMYFUNCTION("""COMPUTED_VALUE"""),0.0)</f>
        <v>0</v>
      </c>
      <c r="R14" s="218">
        <f>IFERROR(__xludf.DUMMYFUNCTION("""COMPUTED_VALUE"""),0.05547306288558099)</f>
        <v>0.05547306289</v>
      </c>
      <c r="S14" s="187">
        <f>IFERROR(__xludf.DUMMYFUNCTION("""COMPUTED_VALUE"""),58.0)</f>
        <v>58</v>
      </c>
      <c r="T14" s="187">
        <f>IFERROR(__xludf.DUMMYFUNCTION("""COMPUTED_VALUE"""),43.0)</f>
        <v>43</v>
      </c>
      <c r="U14" s="187">
        <f>IFERROR(__xludf.DUMMYFUNCTION("""COMPUTED_VALUE"""),2.0)</f>
        <v>2</v>
      </c>
      <c r="V14" s="187">
        <f>IFERROR(__xludf.DUMMYFUNCTION("""COMPUTED_VALUE"""),0.0)</f>
        <v>0</v>
      </c>
      <c r="W14" s="187">
        <f>IFERROR(__xludf.DUMMYFUNCTION("""COMPUTED_VALUE"""),60.0)</f>
        <v>60</v>
      </c>
      <c r="X14" s="187">
        <f>IFERROR(__xludf.DUMMYFUNCTION("""COMPUTED_VALUE"""),17.0)</f>
        <v>17</v>
      </c>
      <c r="Y14" s="188">
        <f>IFERROR(__xludf.DUMMYFUNCTION("""COMPUTED_VALUE"""),539551.9)</f>
        <v>539551.9</v>
      </c>
      <c r="Z14" s="188">
        <f>IFERROR(__xludf.DUMMYFUNCTION("""COMPUTED_VALUE"""),0.0)</f>
        <v>0</v>
      </c>
      <c r="AA14" s="187">
        <f>IFERROR(__xludf.DUMMYFUNCTION("""COMPUTED_VALUE"""),6.0)</f>
        <v>6</v>
      </c>
      <c r="AB14" s="187">
        <f>IFERROR(__xludf.DUMMYFUNCTION("""COMPUTED_VALUE"""),0.0)</f>
        <v>0</v>
      </c>
      <c r="AC14" s="187">
        <f>IFERROR(__xludf.DUMMYFUNCTION("""COMPUTED_VALUE"""),6.0)</f>
        <v>6</v>
      </c>
      <c r="AD14" s="187">
        <f>IFERROR(__xludf.DUMMYFUNCTION("""COMPUTED_VALUE"""),0.0)</f>
        <v>0</v>
      </c>
      <c r="AE14" s="187">
        <f>IFERROR(__xludf.DUMMYFUNCTION("""COMPUTED_VALUE"""),81.0)</f>
        <v>81</v>
      </c>
      <c r="AF14" s="187">
        <f>IFERROR(__xludf.DUMMYFUNCTION("""COMPUTED_VALUE"""),116.0)</f>
        <v>116</v>
      </c>
      <c r="AG14" s="187">
        <f>IFERROR(__xludf.DUMMYFUNCTION("""COMPUTED_VALUE"""),422.0)</f>
        <v>422</v>
      </c>
      <c r="AH14" s="187">
        <f>IFERROR(__xludf.DUMMYFUNCTION("""COMPUTED_VALUE"""),3.0)</f>
        <v>3</v>
      </c>
      <c r="AI14" s="187">
        <f>IFERROR(__xludf.DUMMYFUNCTION("""COMPUTED_VALUE"""),21.0)</f>
        <v>21</v>
      </c>
      <c r="AJ14" s="187">
        <f>IFERROR(__xludf.DUMMYFUNCTION("""COMPUTED_VALUE"""),0.0)</f>
        <v>0</v>
      </c>
      <c r="AK14" s="187">
        <f>IFERROR(__xludf.DUMMYFUNCTION("""COMPUTED_VALUE"""),0.0)</f>
        <v>0</v>
      </c>
      <c r="AL14" s="187">
        <f>IFERROR(__xludf.DUMMYFUNCTION("""COMPUTED_VALUE"""),0.0)</f>
        <v>0</v>
      </c>
      <c r="AM14" s="187">
        <f>IFERROR(__xludf.DUMMYFUNCTION("""COMPUTED_VALUE"""),0.0)</f>
        <v>0</v>
      </c>
      <c r="AN14" s="187">
        <f>IFERROR(__xludf.DUMMYFUNCTION("""COMPUTED_VALUE"""),185.0)</f>
        <v>185</v>
      </c>
      <c r="AO14" s="187">
        <f>IFERROR(__xludf.DUMMYFUNCTION("""COMPUTED_VALUE"""),322.0)</f>
        <v>322</v>
      </c>
      <c r="AP14" s="187">
        <f>IFERROR(__xludf.DUMMYFUNCTION("""COMPUTED_VALUE"""),65.0)</f>
        <v>65</v>
      </c>
      <c r="AQ14" s="217">
        <f>IFERROR(__xludf.DUMMYFUNCTION("""COMPUTED_VALUE"""),8300.8)</f>
        <v>8300.8</v>
      </c>
      <c r="AR14" s="188">
        <f>IFERROR(__xludf.DUMMYFUNCTION("""COMPUTED_VALUE"""),4.953846153846154)</f>
        <v>4.953846154</v>
      </c>
      <c r="AS14" s="217">
        <f>IFERROR(__xludf.DUMMYFUNCTION("""COMPUTED_VALUE"""),155850.0)</f>
        <v>155850</v>
      </c>
      <c r="AT14" s="217"/>
      <c r="AU14" s="218">
        <f>IFERROR(__xludf.DUMMYFUNCTION("""COMPUTED_VALUE"""),0.288850750252061)</f>
        <v>0.2888507503</v>
      </c>
      <c r="AV14" s="217">
        <f>IFERROR(__xludf.DUMMYFUNCTION("""COMPUTED_VALUE"""),89925.33333333333)</f>
        <v>89925.33333</v>
      </c>
      <c r="AW14" s="219">
        <f>IFERROR(__xludf.DUMMYFUNCTION("""COMPUTED_VALUE"""),7.0)</f>
        <v>7</v>
      </c>
      <c r="AX14" s="219">
        <f>IFERROR(__xludf.DUMMYFUNCTION("""COMPUTED_VALUE"""),564.0)</f>
        <v>564</v>
      </c>
      <c r="AY14" s="220">
        <f>IFERROR(__xludf.DUMMYFUNCTION("""COMPUTED_VALUE"""),5522.77)</f>
        <v>5522.77</v>
      </c>
      <c r="AZ14" s="219">
        <f>IFERROR(__xludf.DUMMYFUNCTION("""COMPUTED_VALUE"""),128.0)</f>
        <v>128</v>
      </c>
      <c r="BA14" s="219">
        <f>IFERROR(__xludf.DUMMYFUNCTION("""COMPUTED_VALUE"""),6.0)</f>
        <v>6</v>
      </c>
      <c r="BB14" s="219">
        <f>IFERROR(__xludf.DUMMYFUNCTION("""COMPUTED_VALUE"""),37.0)</f>
        <v>37</v>
      </c>
      <c r="BC14" s="219">
        <f>IFERROR(__xludf.DUMMYFUNCTION("""COMPUTED_VALUE"""),17.0)</f>
        <v>17</v>
      </c>
      <c r="BD14" s="221"/>
      <c r="BE14" s="98"/>
    </row>
    <row r="15">
      <c r="A15" s="6" t="str">
        <f>IFERROR(__xludf.DUMMYFUNCTION("""COMPUTED_VALUE"""),"Syed Aqil Rizvi")</f>
        <v>Syed Aqil Rizvi</v>
      </c>
      <c r="B15" s="98" t="str">
        <f>IFERROR(__xludf.DUMMYFUNCTION("""COMPUTED_VALUE"""),"Madhya Pradesh")</f>
        <v>Madhya Pradesh</v>
      </c>
      <c r="C15" s="212" t="str">
        <f>IFERROR(__xludf.DUMMYFUNCTION("""COMPUTED_VALUE"""),"Manoj Yadav")</f>
        <v>Manoj Yadav</v>
      </c>
      <c r="D15" s="98" t="str">
        <f>IFERROR(__xludf.DUMMYFUNCTION("""COMPUTED_VALUE"""),"Bhopal")</f>
        <v>Bhopal</v>
      </c>
      <c r="E15" s="213">
        <f>IFERROR(__xludf.DUMMYFUNCTION("""COMPUTED_VALUE"""),45658.0)</f>
        <v>45658</v>
      </c>
      <c r="F15" s="222" t="str">
        <f>IFERROR(__xludf.DUMMYFUNCTION("""COMPUTED_VALUE"""),"MADHYA PRADESH")</f>
        <v>MADHYA PRADESH</v>
      </c>
      <c r="G15" s="215">
        <f>IFERROR(__xludf.DUMMYFUNCTION("""COMPUTED_VALUE"""),6786619.64)</f>
        <v>6786619.64</v>
      </c>
      <c r="H15" s="215">
        <f>IFERROR(__xludf.DUMMYFUNCTION("""COMPUTED_VALUE"""),5232734.0)</f>
        <v>5232734</v>
      </c>
      <c r="I15" s="216">
        <f>IFERROR(__xludf.DUMMYFUNCTION("""COMPUTED_VALUE"""),36188.0)</f>
        <v>36188</v>
      </c>
      <c r="J15" s="216">
        <f>IFERROR(__xludf.DUMMYFUNCTION("""COMPUTED_VALUE"""),1200000.0)</f>
        <v>1200000</v>
      </c>
      <c r="K15" s="217">
        <f>IFERROR(__xludf.DUMMYFUNCTION("""COMPUTED_VALUE"""),0.0)</f>
        <v>0</v>
      </c>
      <c r="L15" s="217">
        <f>IFERROR(__xludf.DUMMYFUNCTION("""COMPUTED_VALUE"""),3600000.0)</f>
        <v>3600000</v>
      </c>
      <c r="M15" s="217">
        <f>IFERROR(__xludf.DUMMYFUNCTION("""COMPUTED_VALUE"""),1321966.0)</f>
        <v>1321966</v>
      </c>
      <c r="N15" s="217">
        <f>IFERROR(__xludf.DUMMYFUNCTION("""COMPUTED_VALUE"""),0.0)</f>
        <v>0</v>
      </c>
      <c r="O15" s="217">
        <f>IFERROR(__xludf.DUMMYFUNCTION("""COMPUTED_VALUE"""),549105.0)</f>
        <v>549105</v>
      </c>
      <c r="P15" s="218">
        <f>IFERROR(__xludf.DUMMYFUNCTION("""COMPUTED_VALUE"""),0.3672127777777778)</f>
        <v>0.3672127778</v>
      </c>
      <c r="Q15" s="218">
        <f>IFERROR(__xludf.DUMMYFUNCTION("""COMPUTED_VALUE"""),0.0)</f>
        <v>0</v>
      </c>
      <c r="R15" s="218">
        <f>IFERROR(__xludf.DUMMYFUNCTION("""COMPUTED_VALUE"""),0.15252916666666666)</f>
        <v>0.1525291667</v>
      </c>
      <c r="S15" s="187">
        <f>IFERROR(__xludf.DUMMYFUNCTION("""COMPUTED_VALUE"""),58.0)</f>
        <v>58</v>
      </c>
      <c r="T15" s="187">
        <f>IFERROR(__xludf.DUMMYFUNCTION("""COMPUTED_VALUE"""),51.0)</f>
        <v>51</v>
      </c>
      <c r="U15" s="187">
        <f>IFERROR(__xludf.DUMMYFUNCTION("""COMPUTED_VALUE"""),1.0)</f>
        <v>1</v>
      </c>
      <c r="V15" s="187">
        <f>IFERROR(__xludf.DUMMYFUNCTION("""COMPUTED_VALUE"""),1.0)</f>
        <v>1</v>
      </c>
      <c r="W15" s="187">
        <f>IFERROR(__xludf.DUMMYFUNCTION("""COMPUTED_VALUE"""),59.0)</f>
        <v>59</v>
      </c>
      <c r="X15" s="187">
        <f>IFERROR(__xludf.DUMMYFUNCTION("""COMPUTED_VALUE"""),8.0)</f>
        <v>8</v>
      </c>
      <c r="Y15" s="188">
        <f>IFERROR(__xludf.DUMMYFUNCTION("""COMPUTED_VALUE"""),1242574.77)</f>
        <v>1242574.77</v>
      </c>
      <c r="Z15" s="188">
        <f>IFERROR(__xludf.DUMMYFUNCTION("""COMPUTED_VALUE"""),79391.69)</f>
        <v>79391.69</v>
      </c>
      <c r="AA15" s="187">
        <f>IFERROR(__xludf.DUMMYFUNCTION("""COMPUTED_VALUE"""),18.0)</f>
        <v>18</v>
      </c>
      <c r="AB15" s="187">
        <f>IFERROR(__xludf.DUMMYFUNCTION("""COMPUTED_VALUE"""),1.0)</f>
        <v>1</v>
      </c>
      <c r="AC15" s="187">
        <f>IFERROR(__xludf.DUMMYFUNCTION("""COMPUTED_VALUE"""),19.0)</f>
        <v>19</v>
      </c>
      <c r="AD15" s="187">
        <f>IFERROR(__xludf.DUMMYFUNCTION("""COMPUTED_VALUE"""),0.0)</f>
        <v>0</v>
      </c>
      <c r="AE15" s="187">
        <f>IFERROR(__xludf.DUMMYFUNCTION("""COMPUTED_VALUE"""),63.0)</f>
        <v>63</v>
      </c>
      <c r="AF15" s="187">
        <f>IFERROR(__xludf.DUMMYFUNCTION("""COMPUTED_VALUE"""),110.0)</f>
        <v>110</v>
      </c>
      <c r="AG15" s="187">
        <f>IFERROR(__xludf.DUMMYFUNCTION("""COMPUTED_VALUE"""),268.0)</f>
        <v>268</v>
      </c>
      <c r="AH15" s="187">
        <f>IFERROR(__xludf.DUMMYFUNCTION("""COMPUTED_VALUE"""),1.0)</f>
        <v>1</v>
      </c>
      <c r="AI15" s="187">
        <f>IFERROR(__xludf.DUMMYFUNCTION("""COMPUTED_VALUE"""),7.0)</f>
        <v>7</v>
      </c>
      <c r="AJ15" s="187">
        <f>IFERROR(__xludf.DUMMYFUNCTION("""COMPUTED_VALUE"""),0.0)</f>
        <v>0</v>
      </c>
      <c r="AK15" s="187">
        <f>IFERROR(__xludf.DUMMYFUNCTION("""COMPUTED_VALUE"""),0.0)</f>
        <v>0</v>
      </c>
      <c r="AL15" s="187">
        <f>IFERROR(__xludf.DUMMYFUNCTION("""COMPUTED_VALUE"""),0.0)</f>
        <v>0</v>
      </c>
      <c r="AM15" s="187">
        <f>IFERROR(__xludf.DUMMYFUNCTION("""COMPUTED_VALUE"""),0.0)</f>
        <v>0</v>
      </c>
      <c r="AN15" s="187">
        <f>IFERROR(__xludf.DUMMYFUNCTION("""COMPUTED_VALUE"""),217.0)</f>
        <v>217</v>
      </c>
      <c r="AO15" s="187">
        <f>IFERROR(__xludf.DUMMYFUNCTION("""COMPUTED_VALUE"""),334.0)</f>
        <v>334</v>
      </c>
      <c r="AP15" s="187">
        <f>IFERROR(__xludf.DUMMYFUNCTION("""COMPUTED_VALUE"""),72.0)</f>
        <v>72</v>
      </c>
      <c r="AQ15" s="217">
        <f>IFERROR(__xludf.DUMMYFUNCTION("""COMPUTED_VALUE"""),18360.63888888889)</f>
        <v>18360.63889</v>
      </c>
      <c r="AR15" s="188">
        <f>IFERROR(__xludf.DUMMYFUNCTION("""COMPUTED_VALUE"""),4.638888888888889)</f>
        <v>4.638888889</v>
      </c>
      <c r="AS15" s="217">
        <f>IFERROR(__xludf.DUMMYFUNCTION("""COMPUTED_VALUE"""),108564.0)</f>
        <v>108564</v>
      </c>
      <c r="AT15" s="217"/>
      <c r="AU15" s="218">
        <f>IFERROR(__xludf.DUMMYFUNCTION("""COMPUTED_VALUE"""),0.08212314083720762)</f>
        <v>0.08212314084</v>
      </c>
      <c r="AV15" s="217">
        <f>IFERROR(__xludf.DUMMYFUNCTION("""COMPUTED_VALUE"""),69577.15789473684)</f>
        <v>69577.15789</v>
      </c>
      <c r="AW15" s="219">
        <f>IFERROR(__xludf.DUMMYFUNCTION("""COMPUTED_VALUE"""),43.0)</f>
        <v>43</v>
      </c>
      <c r="AX15" s="219">
        <f>IFERROR(__xludf.DUMMYFUNCTION("""COMPUTED_VALUE"""),512.0)</f>
        <v>512</v>
      </c>
      <c r="AY15" s="220">
        <f>IFERROR(__xludf.DUMMYFUNCTION("""COMPUTED_VALUE"""),5434.88)</f>
        <v>5434.88</v>
      </c>
      <c r="AZ15" s="219">
        <f>IFERROR(__xludf.DUMMYFUNCTION("""COMPUTED_VALUE"""),107.0)</f>
        <v>107</v>
      </c>
      <c r="BA15" s="219">
        <f>IFERROR(__xludf.DUMMYFUNCTION("""COMPUTED_VALUE"""),19.0)</f>
        <v>19</v>
      </c>
      <c r="BB15" s="219">
        <f>IFERROR(__xludf.DUMMYFUNCTION("""COMPUTED_VALUE"""),34.0)</f>
        <v>34</v>
      </c>
      <c r="BC15" s="219">
        <f>IFERROR(__xludf.DUMMYFUNCTION("""COMPUTED_VALUE"""),6.0)</f>
        <v>6</v>
      </c>
      <c r="BD15" s="221"/>
      <c r="BE15" s="98"/>
    </row>
    <row r="16">
      <c r="A16" s="6" t="str">
        <f>IFERROR(__xludf.DUMMYFUNCTION("""COMPUTED_VALUE"""),"Syed Aqil Rizvi")</f>
        <v>Syed Aqil Rizvi</v>
      </c>
      <c r="B16" s="98" t="str">
        <f>IFERROR(__xludf.DUMMYFUNCTION("""COMPUTED_VALUE"""),"Madhya Pradesh")</f>
        <v>Madhya Pradesh</v>
      </c>
      <c r="C16" s="212" t="str">
        <f>IFERROR(__xludf.DUMMYFUNCTION("""COMPUTED_VALUE"""),"Pradeep Kumar Dwivedi")</f>
        <v>Pradeep Kumar Dwivedi</v>
      </c>
      <c r="D16" s="98" t="str">
        <f>IFERROR(__xludf.DUMMYFUNCTION("""COMPUTED_VALUE"""),"Rewa")</f>
        <v>Rewa</v>
      </c>
      <c r="E16" s="213">
        <f>IFERROR(__xludf.DUMMYFUNCTION("""COMPUTED_VALUE"""),45964.0)</f>
        <v>45964</v>
      </c>
      <c r="F16" s="222" t="str">
        <f>IFERROR(__xludf.DUMMYFUNCTION("""COMPUTED_VALUE"""),"MADHYA PRADESH")</f>
        <v>MADHYA PRADESH</v>
      </c>
      <c r="G16" s="215">
        <f>IFERROR(__xludf.DUMMYFUNCTION("""COMPUTED_VALUE"""),1828924.7000000002)</f>
        <v>1828924.7</v>
      </c>
      <c r="H16" s="215">
        <f>IFERROR(__xludf.DUMMYFUNCTION("""COMPUTED_VALUE"""),1336548.0)</f>
        <v>1336548</v>
      </c>
      <c r="I16" s="216">
        <f>IFERROR(__xludf.DUMMYFUNCTION("""COMPUTED_VALUE"""),36190.0)</f>
        <v>36190</v>
      </c>
      <c r="J16" s="216">
        <f>IFERROR(__xludf.DUMMYFUNCTION("""COMPUTED_VALUE"""),1550000.0)</f>
        <v>1550000</v>
      </c>
      <c r="K16" s="217">
        <f>IFERROR(__xludf.DUMMYFUNCTION("""COMPUTED_VALUE"""),0.0)</f>
        <v>0</v>
      </c>
      <c r="L16" s="217">
        <f>IFERROR(__xludf.DUMMYFUNCTION("""COMPUTED_VALUE"""),4650000.0)</f>
        <v>4650000</v>
      </c>
      <c r="M16" s="217">
        <f>IFERROR(__xludf.DUMMYFUNCTION("""COMPUTED_VALUE"""),1324396.0)</f>
        <v>1324396</v>
      </c>
      <c r="N16" s="217">
        <f>IFERROR(__xludf.DUMMYFUNCTION("""COMPUTED_VALUE"""),79373.59)</f>
        <v>79373.59</v>
      </c>
      <c r="O16" s="217">
        <f>IFERROR(__xludf.DUMMYFUNCTION("""COMPUTED_VALUE"""),785257.0)</f>
        <v>785257</v>
      </c>
      <c r="P16" s="218">
        <f>IFERROR(__xludf.DUMMYFUNCTION("""COMPUTED_VALUE"""),0.30188593333333336)</f>
        <v>0.3018859333</v>
      </c>
      <c r="Q16" s="218">
        <f>IFERROR(__xludf.DUMMYFUNCTION("""COMPUTED_VALUE"""),0.0)</f>
        <v>0</v>
      </c>
      <c r="R16" s="218">
        <f>IFERROR(__xludf.DUMMYFUNCTION("""COMPUTED_VALUE"""),0.16887247311827958)</f>
        <v>0.1688724731</v>
      </c>
      <c r="S16" s="187">
        <f>IFERROR(__xludf.DUMMYFUNCTION("""COMPUTED_VALUE"""),82.0)</f>
        <v>82</v>
      </c>
      <c r="T16" s="187">
        <f>IFERROR(__xludf.DUMMYFUNCTION("""COMPUTED_VALUE"""),82.0)</f>
        <v>82</v>
      </c>
      <c r="U16" s="187">
        <f>IFERROR(__xludf.DUMMYFUNCTION("""COMPUTED_VALUE"""),10.0)</f>
        <v>10</v>
      </c>
      <c r="V16" s="187">
        <f>IFERROR(__xludf.DUMMYFUNCTION("""COMPUTED_VALUE"""),10.0)</f>
        <v>10</v>
      </c>
      <c r="W16" s="187">
        <f>IFERROR(__xludf.DUMMYFUNCTION("""COMPUTED_VALUE"""),92.0)</f>
        <v>92</v>
      </c>
      <c r="X16" s="187">
        <f>IFERROR(__xludf.DUMMYFUNCTION("""COMPUTED_VALUE"""),10.0)</f>
        <v>10</v>
      </c>
      <c r="Y16" s="188">
        <f>IFERROR(__xludf.DUMMYFUNCTION("""COMPUTED_VALUE"""),978361.8)</f>
        <v>978361.8</v>
      </c>
      <c r="Z16" s="188">
        <f>IFERROR(__xludf.DUMMYFUNCTION("""COMPUTED_VALUE"""),346033.97)</f>
        <v>346033.97</v>
      </c>
      <c r="AA16" s="187">
        <f>IFERROR(__xludf.DUMMYFUNCTION("""COMPUTED_VALUE"""),37.0)</f>
        <v>37</v>
      </c>
      <c r="AB16" s="187">
        <f>IFERROR(__xludf.DUMMYFUNCTION("""COMPUTED_VALUE"""),10.0)</f>
        <v>10</v>
      </c>
      <c r="AC16" s="187">
        <f>IFERROR(__xludf.DUMMYFUNCTION("""COMPUTED_VALUE"""),47.0)</f>
        <v>47</v>
      </c>
      <c r="AD16" s="187">
        <f>IFERROR(__xludf.DUMMYFUNCTION("""COMPUTED_VALUE"""),1.0)</f>
        <v>1</v>
      </c>
      <c r="AE16" s="187">
        <f>IFERROR(__xludf.DUMMYFUNCTION("""COMPUTED_VALUE"""),160.0)</f>
        <v>160</v>
      </c>
      <c r="AF16" s="187">
        <f>IFERROR(__xludf.DUMMYFUNCTION("""COMPUTED_VALUE"""),175.0)</f>
        <v>175</v>
      </c>
      <c r="AG16" s="187">
        <f>IFERROR(__xludf.DUMMYFUNCTION("""COMPUTED_VALUE"""),196.0)</f>
        <v>196</v>
      </c>
      <c r="AH16" s="187">
        <f>IFERROR(__xludf.DUMMYFUNCTION("""COMPUTED_VALUE"""),2.0)</f>
        <v>2</v>
      </c>
      <c r="AI16" s="187">
        <f>IFERROR(__xludf.DUMMYFUNCTION("""COMPUTED_VALUE"""),36.0)</f>
        <v>36</v>
      </c>
      <c r="AJ16" s="187">
        <f>IFERROR(__xludf.DUMMYFUNCTION("""COMPUTED_VALUE"""),2.0)</f>
        <v>2</v>
      </c>
      <c r="AK16" s="187">
        <f>IFERROR(__xludf.DUMMYFUNCTION("""COMPUTED_VALUE"""),4.0)</f>
        <v>4</v>
      </c>
      <c r="AL16" s="187">
        <f>IFERROR(__xludf.DUMMYFUNCTION("""COMPUTED_VALUE"""),2.0)</f>
        <v>2</v>
      </c>
      <c r="AM16" s="187">
        <f>IFERROR(__xludf.DUMMYFUNCTION("""COMPUTED_VALUE"""),2.0)</f>
        <v>2</v>
      </c>
      <c r="AN16" s="187">
        <f>IFERROR(__xludf.DUMMYFUNCTION("""COMPUTED_VALUE"""),215.0)</f>
        <v>215</v>
      </c>
      <c r="AO16" s="187">
        <f>IFERROR(__xludf.DUMMYFUNCTION("""COMPUTED_VALUE"""),432.0)</f>
        <v>432</v>
      </c>
      <c r="AP16" s="187">
        <f>IFERROR(__xludf.DUMMYFUNCTION("""COMPUTED_VALUE"""),67.0)</f>
        <v>67</v>
      </c>
      <c r="AQ16" s="217">
        <f>IFERROR(__xludf.DUMMYFUNCTION("""COMPUTED_VALUE"""),20951.784925373137)</f>
        <v>20951.78493</v>
      </c>
      <c r="AR16" s="188">
        <f>IFERROR(__xludf.DUMMYFUNCTION("""COMPUTED_VALUE"""),6.447761194029851)</f>
        <v>6.447761194</v>
      </c>
      <c r="AS16" s="217">
        <f>IFERROR(__xludf.DUMMYFUNCTION("""COMPUTED_VALUE"""),108570.0)</f>
        <v>108570</v>
      </c>
      <c r="AT16" s="217"/>
      <c r="AU16" s="218">
        <f>IFERROR(__xludf.DUMMYFUNCTION("""COMPUTED_VALUE"""),0.07734175235980144)</f>
        <v>0.07734175236</v>
      </c>
      <c r="AV16" s="217">
        <f>IFERROR(__xludf.DUMMYFUNCTION("""COMPUTED_VALUE"""),28178.63829787234)</f>
        <v>28178.6383</v>
      </c>
      <c r="AW16" s="219">
        <f>IFERROR(__xludf.DUMMYFUNCTION("""COMPUTED_VALUE"""),83.0)</f>
        <v>83</v>
      </c>
      <c r="AX16" s="219">
        <f>IFERROR(__xludf.DUMMYFUNCTION("""COMPUTED_VALUE"""),699.0)</f>
        <v>699</v>
      </c>
      <c r="AY16" s="220">
        <f>IFERROR(__xludf.DUMMYFUNCTION("""COMPUTED_VALUE"""),5379.72)</f>
        <v>5379.72</v>
      </c>
      <c r="AZ16" s="219">
        <f>IFERROR(__xludf.DUMMYFUNCTION("""COMPUTED_VALUE"""),66.0)</f>
        <v>66</v>
      </c>
      <c r="BA16" s="219">
        <f>IFERROR(__xludf.DUMMYFUNCTION("""COMPUTED_VALUE"""),47.0)</f>
        <v>47</v>
      </c>
      <c r="BB16" s="219">
        <f>IFERROR(__xludf.DUMMYFUNCTION("""COMPUTED_VALUE"""),36.0)</f>
        <v>36</v>
      </c>
      <c r="BC16" s="219">
        <f>IFERROR(__xludf.DUMMYFUNCTION("""COMPUTED_VALUE"""),9.0)</f>
        <v>9</v>
      </c>
      <c r="BD16" s="221"/>
      <c r="BE16" s="98"/>
    </row>
    <row r="17">
      <c r="A17" s="6" t="str">
        <f>IFERROR(__xludf.DUMMYFUNCTION("""COMPUTED_VALUE"""),"Syed Aqil Rizvi")</f>
        <v>Syed Aqil Rizvi</v>
      </c>
      <c r="B17" s="98" t="str">
        <f>IFERROR(__xludf.DUMMYFUNCTION("""COMPUTED_VALUE"""),"Madhya Pradesh")</f>
        <v>Madhya Pradesh</v>
      </c>
      <c r="C17" s="212" t="str">
        <f>IFERROR(__xludf.DUMMYFUNCTION("""COMPUTED_VALUE"""),"Rajesh Patel")</f>
        <v>Rajesh Patel</v>
      </c>
      <c r="D17" s="98" t="str">
        <f>IFERROR(__xludf.DUMMYFUNCTION("""COMPUTED_VALUE"""),"Indore")</f>
        <v>Indore</v>
      </c>
      <c r="E17" s="213">
        <f>IFERROR(__xludf.DUMMYFUNCTION("""COMPUTED_VALUE"""),45971.0)</f>
        <v>45971</v>
      </c>
      <c r="F17" s="222" t="str">
        <f>IFERROR(__xludf.DUMMYFUNCTION("""COMPUTED_VALUE"""),"MADHYA PRADESH")</f>
        <v>MADHYA PRADESH</v>
      </c>
      <c r="G17" s="215">
        <f>IFERROR(__xludf.DUMMYFUNCTION("""COMPUTED_VALUE"""),1311479.6600000001)</f>
        <v>1311479.66</v>
      </c>
      <c r="H17" s="215">
        <f>IFERROR(__xludf.DUMMYFUNCTION("""COMPUTED_VALUE"""),1729053.5499999998)</f>
        <v>1729053.55</v>
      </c>
      <c r="I17" s="216">
        <f>IFERROR(__xludf.DUMMYFUNCTION("""COMPUTED_VALUE"""),32500.0)</f>
        <v>32500</v>
      </c>
      <c r="J17" s="216">
        <f>IFERROR(__xludf.DUMMYFUNCTION("""COMPUTED_VALUE"""),1500000.0)</f>
        <v>1500000</v>
      </c>
      <c r="K17" s="217">
        <f>IFERROR(__xludf.DUMMYFUNCTION("""COMPUTED_VALUE"""),0.0)</f>
        <v>0</v>
      </c>
      <c r="L17" s="217">
        <f>IFERROR(__xludf.DUMMYFUNCTION("""COMPUTED_VALUE"""),4500000.0)</f>
        <v>4500000</v>
      </c>
      <c r="M17" s="217">
        <f>IFERROR(__xludf.DUMMYFUNCTION("""COMPUTED_VALUE"""),1122645.0)</f>
        <v>1122645</v>
      </c>
      <c r="N17" s="217">
        <f>IFERROR(__xludf.DUMMYFUNCTION("""COMPUTED_VALUE"""),0.0)</f>
        <v>0</v>
      </c>
      <c r="O17" s="217">
        <f>IFERROR(__xludf.DUMMYFUNCTION("""COMPUTED_VALUE"""),1023321.0)</f>
        <v>1023321</v>
      </c>
      <c r="P17" s="218">
        <f>IFERROR(__xludf.DUMMYFUNCTION("""COMPUTED_VALUE"""),0.24947666666666668)</f>
        <v>0.2494766667</v>
      </c>
      <c r="Q17" s="218">
        <f>IFERROR(__xludf.DUMMYFUNCTION("""COMPUTED_VALUE"""),0.0)</f>
        <v>0</v>
      </c>
      <c r="R17" s="218">
        <f>IFERROR(__xludf.DUMMYFUNCTION("""COMPUTED_VALUE"""),0.22740466666666667)</f>
        <v>0.2274046667</v>
      </c>
      <c r="S17" s="187">
        <f>IFERROR(__xludf.DUMMYFUNCTION("""COMPUTED_VALUE"""),27.0)</f>
        <v>27</v>
      </c>
      <c r="T17" s="187">
        <f>IFERROR(__xludf.DUMMYFUNCTION("""COMPUTED_VALUE"""),40.0)</f>
        <v>40</v>
      </c>
      <c r="U17" s="187">
        <f>IFERROR(__xludf.DUMMYFUNCTION("""COMPUTED_VALUE"""),16.0)</f>
        <v>16</v>
      </c>
      <c r="V17" s="187">
        <f>IFERROR(__xludf.DUMMYFUNCTION("""COMPUTED_VALUE"""),16.0)</f>
        <v>16</v>
      </c>
      <c r="W17" s="187">
        <f>IFERROR(__xludf.DUMMYFUNCTION("""COMPUTED_VALUE"""),43.0)</f>
        <v>43</v>
      </c>
      <c r="X17" s="187">
        <f>IFERROR(__xludf.DUMMYFUNCTION("""COMPUTED_VALUE"""),3.0)</f>
        <v>3</v>
      </c>
      <c r="Y17" s="188">
        <f>IFERROR(__xludf.DUMMYFUNCTION("""COMPUTED_VALUE"""),660925.67)</f>
        <v>660925.67</v>
      </c>
      <c r="Z17" s="188">
        <f>IFERROR(__xludf.DUMMYFUNCTION("""COMPUTED_VALUE"""),461719.35)</f>
        <v>461719.35</v>
      </c>
      <c r="AA17" s="187">
        <f>IFERROR(__xludf.DUMMYFUNCTION("""COMPUTED_VALUE"""),10.0)</f>
        <v>10</v>
      </c>
      <c r="AB17" s="187">
        <f>IFERROR(__xludf.DUMMYFUNCTION("""COMPUTED_VALUE"""),16.0)</f>
        <v>16</v>
      </c>
      <c r="AC17" s="187">
        <f>IFERROR(__xludf.DUMMYFUNCTION("""COMPUTED_VALUE"""),26.0)</f>
        <v>26</v>
      </c>
      <c r="AD17" s="187">
        <f>IFERROR(__xludf.DUMMYFUNCTION("""COMPUTED_VALUE"""),0.0)</f>
        <v>0</v>
      </c>
      <c r="AE17" s="187">
        <f>IFERROR(__xludf.DUMMYFUNCTION("""COMPUTED_VALUE"""),93.0)</f>
        <v>93</v>
      </c>
      <c r="AF17" s="187">
        <f>IFERROR(__xludf.DUMMYFUNCTION("""COMPUTED_VALUE"""),182.0)</f>
        <v>182</v>
      </c>
      <c r="AG17" s="187">
        <f>IFERROR(__xludf.DUMMYFUNCTION("""COMPUTED_VALUE"""),58.0)</f>
        <v>58</v>
      </c>
      <c r="AH17" s="187">
        <f>IFERROR(__xludf.DUMMYFUNCTION("""COMPUTED_VALUE"""),1.0)</f>
        <v>1</v>
      </c>
      <c r="AI17" s="187">
        <f>IFERROR(__xludf.DUMMYFUNCTION("""COMPUTED_VALUE"""),2.0)</f>
        <v>2</v>
      </c>
      <c r="AJ17" s="187">
        <f>IFERROR(__xludf.DUMMYFUNCTION("""COMPUTED_VALUE"""),0.0)</f>
        <v>0</v>
      </c>
      <c r="AK17" s="187">
        <f>IFERROR(__xludf.DUMMYFUNCTION("""COMPUTED_VALUE"""),0.0)</f>
        <v>0</v>
      </c>
      <c r="AL17" s="187">
        <f>IFERROR(__xludf.DUMMYFUNCTION("""COMPUTED_VALUE"""),0.0)</f>
        <v>0</v>
      </c>
      <c r="AM17" s="187">
        <f>IFERROR(__xludf.DUMMYFUNCTION("""COMPUTED_VALUE"""),0.0)</f>
        <v>0</v>
      </c>
      <c r="AN17" s="187">
        <f>IFERROR(__xludf.DUMMYFUNCTION("""COMPUTED_VALUE"""),145.0)</f>
        <v>145</v>
      </c>
      <c r="AO17" s="187">
        <f>IFERROR(__xludf.DUMMYFUNCTION("""COMPUTED_VALUE"""),329.0)</f>
        <v>329</v>
      </c>
      <c r="AP17" s="187">
        <f>IFERROR(__xludf.DUMMYFUNCTION("""COMPUTED_VALUE"""),71.0)</f>
        <v>71</v>
      </c>
      <c r="AQ17" s="217">
        <f>IFERROR(__xludf.DUMMYFUNCTION("""COMPUTED_VALUE"""),15811.901408450703)</f>
        <v>15811.90141</v>
      </c>
      <c r="AR17" s="188">
        <f>IFERROR(__xludf.DUMMYFUNCTION("""COMPUTED_VALUE"""),4.633802816901408)</f>
        <v>4.633802817</v>
      </c>
      <c r="AS17" s="217">
        <f>IFERROR(__xludf.DUMMYFUNCTION("""COMPUTED_VALUE"""),97500.0)</f>
        <v>97500</v>
      </c>
      <c r="AT17" s="217"/>
      <c r="AU17" s="218">
        <f>IFERROR(__xludf.DUMMYFUNCTION("""COMPUTED_VALUE"""),0.08684846946274201)</f>
        <v>0.08684846946</v>
      </c>
      <c r="AV17" s="217">
        <f>IFERROR(__xludf.DUMMYFUNCTION("""COMPUTED_VALUE"""),43178.653846153844)</f>
        <v>43178.65385</v>
      </c>
      <c r="AW17" s="219">
        <f>IFERROR(__xludf.DUMMYFUNCTION("""COMPUTED_VALUE"""),53.0)</f>
        <v>53</v>
      </c>
      <c r="AX17" s="219">
        <f>IFERROR(__xludf.DUMMYFUNCTION("""COMPUTED_VALUE"""),768.0)</f>
        <v>768</v>
      </c>
      <c r="AY17" s="220">
        <f>IFERROR(__xludf.DUMMYFUNCTION("""COMPUTED_VALUE"""),14659.07)</f>
        <v>14659.07</v>
      </c>
      <c r="AZ17" s="219">
        <f>IFERROR(__xludf.DUMMYFUNCTION("""COMPUTED_VALUE"""),366.0)</f>
        <v>366</v>
      </c>
      <c r="BA17" s="219">
        <f>IFERROR(__xludf.DUMMYFUNCTION("""COMPUTED_VALUE"""),26.0)</f>
        <v>26</v>
      </c>
      <c r="BB17" s="219">
        <f>IFERROR(__xludf.DUMMYFUNCTION("""COMPUTED_VALUE"""),14.0)</f>
        <v>14</v>
      </c>
      <c r="BC17" s="219">
        <f>IFERROR(__xludf.DUMMYFUNCTION("""COMPUTED_VALUE"""),3.0)</f>
        <v>3</v>
      </c>
      <c r="BD17" s="221"/>
      <c r="BE17" s="98"/>
    </row>
    <row r="18">
      <c r="A18" s="6" t="str">
        <f>IFERROR(__xludf.DUMMYFUNCTION("""COMPUTED_VALUE"""),"Syed Aqil Rizvi")</f>
        <v>Syed Aqil Rizvi</v>
      </c>
      <c r="B18" s="98" t="str">
        <f>IFERROR(__xludf.DUMMYFUNCTION("""COMPUTED_VALUE"""),"Madhya Pradesh")</f>
        <v>Madhya Pradesh</v>
      </c>
      <c r="C18" s="212" t="str">
        <f>IFERROR(__xludf.DUMMYFUNCTION("""COMPUTED_VALUE"""),"Shubham Shukla")</f>
        <v>Shubham Shukla</v>
      </c>
      <c r="D18" s="98" t="str">
        <f>IFERROR(__xludf.DUMMYFUNCTION("""COMPUTED_VALUE"""),"Gwalior")</f>
        <v>Gwalior</v>
      </c>
      <c r="E18" s="213">
        <f>IFERROR(__xludf.DUMMYFUNCTION("""COMPUTED_VALUE"""),46023.0)</f>
        <v>46023</v>
      </c>
      <c r="F18" s="222" t="str">
        <f>IFERROR(__xludf.DUMMYFUNCTION("""COMPUTED_VALUE"""),"MADHYA PRADESH")</f>
        <v>MADHYA PRADESH</v>
      </c>
      <c r="G18" s="215">
        <f>IFERROR(__xludf.DUMMYFUNCTION("""COMPUTED_VALUE"""),823085.16)</f>
        <v>823085.16</v>
      </c>
      <c r="H18" s="215">
        <f>IFERROR(__xludf.DUMMYFUNCTION("""COMPUTED_VALUE"""),822330.0)</f>
        <v>822330</v>
      </c>
      <c r="I18" s="216">
        <f>IFERROR(__xludf.DUMMYFUNCTION("""COMPUTED_VALUE"""),38285.0)</f>
        <v>38285</v>
      </c>
      <c r="J18" s="216">
        <f>IFERROR(__xludf.DUMMYFUNCTION("""COMPUTED_VALUE"""),1500000.0)</f>
        <v>1500000</v>
      </c>
      <c r="K18" s="217">
        <f>IFERROR(__xludf.DUMMYFUNCTION("""COMPUTED_VALUE"""),0.0)</f>
        <v>0</v>
      </c>
      <c r="L18" s="217">
        <f>IFERROR(__xludf.DUMMYFUNCTION("""COMPUTED_VALUE"""),4500000.0)</f>
        <v>4500000</v>
      </c>
      <c r="M18" s="217">
        <f>IFERROR(__xludf.DUMMYFUNCTION("""COMPUTED_VALUE"""),1223575.0)</f>
        <v>1223575</v>
      </c>
      <c r="N18" s="217">
        <f>IFERROR(__xludf.DUMMYFUNCTION("""COMPUTED_VALUE"""),0.0)</f>
        <v>0</v>
      </c>
      <c r="O18" s="217">
        <f>IFERROR(__xludf.DUMMYFUNCTION("""COMPUTED_VALUE"""),596797.0)</f>
        <v>596797</v>
      </c>
      <c r="P18" s="218">
        <f>IFERROR(__xludf.DUMMYFUNCTION("""COMPUTED_VALUE"""),0.27190555555555557)</f>
        <v>0.2719055556</v>
      </c>
      <c r="Q18" s="218">
        <f>IFERROR(__xludf.DUMMYFUNCTION("""COMPUTED_VALUE"""),0.0)</f>
        <v>0</v>
      </c>
      <c r="R18" s="218">
        <f>IFERROR(__xludf.DUMMYFUNCTION("""COMPUTED_VALUE"""),0.13262155555555555)</f>
        <v>0.1326215556</v>
      </c>
      <c r="S18" s="187">
        <f>IFERROR(__xludf.DUMMYFUNCTION("""COMPUTED_VALUE"""),39.0)</f>
        <v>39</v>
      </c>
      <c r="T18" s="187">
        <f>IFERROR(__xludf.DUMMYFUNCTION("""COMPUTED_VALUE"""),38.0)</f>
        <v>38</v>
      </c>
      <c r="U18" s="187">
        <f>IFERROR(__xludf.DUMMYFUNCTION("""COMPUTED_VALUE"""),10.0)</f>
        <v>10</v>
      </c>
      <c r="V18" s="187">
        <f>IFERROR(__xludf.DUMMYFUNCTION("""COMPUTED_VALUE"""),10.0)</f>
        <v>10</v>
      </c>
      <c r="W18" s="187">
        <f>IFERROR(__xludf.DUMMYFUNCTION("""COMPUTED_VALUE"""),49.0)</f>
        <v>49</v>
      </c>
      <c r="X18" s="187">
        <f>IFERROR(__xludf.DUMMYFUNCTION("""COMPUTED_VALUE"""),11.0)</f>
        <v>11</v>
      </c>
      <c r="Y18" s="188">
        <f>IFERROR(__xludf.DUMMYFUNCTION("""COMPUTED_VALUE"""),681936.29)</f>
        <v>681936.29</v>
      </c>
      <c r="Z18" s="188">
        <f>IFERROR(__xludf.DUMMYFUNCTION("""COMPUTED_VALUE"""),541638.27)</f>
        <v>541638.27</v>
      </c>
      <c r="AA18" s="187">
        <f>IFERROR(__xludf.DUMMYFUNCTION("""COMPUTED_VALUE"""),16.0)</f>
        <v>16</v>
      </c>
      <c r="AB18" s="187">
        <f>IFERROR(__xludf.DUMMYFUNCTION("""COMPUTED_VALUE"""),10.0)</f>
        <v>10</v>
      </c>
      <c r="AC18" s="187">
        <f>IFERROR(__xludf.DUMMYFUNCTION("""COMPUTED_VALUE"""),26.0)</f>
        <v>26</v>
      </c>
      <c r="AD18" s="187">
        <f>IFERROR(__xludf.DUMMYFUNCTION("""COMPUTED_VALUE"""),0.0)</f>
        <v>0</v>
      </c>
      <c r="AE18" s="187">
        <f>IFERROR(__xludf.DUMMYFUNCTION("""COMPUTED_VALUE"""),54.0)</f>
        <v>54</v>
      </c>
      <c r="AF18" s="187">
        <f>IFERROR(__xludf.DUMMYFUNCTION("""COMPUTED_VALUE"""),131.0)</f>
        <v>131</v>
      </c>
      <c r="AG18" s="187">
        <f>IFERROR(__xludf.DUMMYFUNCTION("""COMPUTED_VALUE"""),65.0)</f>
        <v>65</v>
      </c>
      <c r="AH18" s="187">
        <f>IFERROR(__xludf.DUMMYFUNCTION("""COMPUTED_VALUE"""),1.0)</f>
        <v>1</v>
      </c>
      <c r="AI18" s="187">
        <f>IFERROR(__xludf.DUMMYFUNCTION("""COMPUTED_VALUE"""),24.0)</f>
        <v>24</v>
      </c>
      <c r="AJ18" s="187">
        <f>IFERROR(__xludf.DUMMYFUNCTION("""COMPUTED_VALUE"""),0.0)</f>
        <v>0</v>
      </c>
      <c r="AK18" s="187">
        <f>IFERROR(__xludf.DUMMYFUNCTION("""COMPUTED_VALUE"""),0.0)</f>
        <v>0</v>
      </c>
      <c r="AL18" s="187">
        <f>IFERROR(__xludf.DUMMYFUNCTION("""COMPUTED_VALUE"""),0.0)</f>
        <v>0</v>
      </c>
      <c r="AM18" s="187">
        <f>IFERROR(__xludf.DUMMYFUNCTION("""COMPUTED_VALUE"""),0.0)</f>
        <v>0</v>
      </c>
      <c r="AN18" s="187">
        <f>IFERROR(__xludf.DUMMYFUNCTION("""COMPUTED_VALUE"""),189.0)</f>
        <v>189</v>
      </c>
      <c r="AO18" s="187">
        <f>IFERROR(__xludf.DUMMYFUNCTION("""COMPUTED_VALUE"""),344.0)</f>
        <v>344</v>
      </c>
      <c r="AP18" s="187">
        <f>IFERROR(__xludf.DUMMYFUNCTION("""COMPUTED_VALUE"""),73.0)</f>
        <v>73</v>
      </c>
      <c r="AQ18" s="217">
        <f>IFERROR(__xludf.DUMMYFUNCTION("""COMPUTED_VALUE"""),16761.301369863013)</f>
        <v>16761.30137</v>
      </c>
      <c r="AR18" s="188">
        <f>IFERROR(__xludf.DUMMYFUNCTION("""COMPUTED_VALUE"""),4.712328767123288)</f>
        <v>4.712328767</v>
      </c>
      <c r="AS18" s="217">
        <f>IFERROR(__xludf.DUMMYFUNCTION("""COMPUTED_VALUE"""),114855.0)</f>
        <v>114855</v>
      </c>
      <c r="AT18" s="217"/>
      <c r="AU18" s="218">
        <f>IFERROR(__xludf.DUMMYFUNCTION("""COMPUTED_VALUE"""),0.09386837750035756)</f>
        <v>0.0938683775</v>
      </c>
      <c r="AV18" s="217">
        <f>IFERROR(__xludf.DUMMYFUNCTION("""COMPUTED_VALUE"""),47060.57692307692)</f>
        <v>47060.57692</v>
      </c>
      <c r="AW18" s="219">
        <f>IFERROR(__xludf.DUMMYFUNCTION("""COMPUTED_VALUE"""),55.0)</f>
        <v>55</v>
      </c>
      <c r="AX18" s="219">
        <f>IFERROR(__xludf.DUMMYFUNCTION("""COMPUTED_VALUE"""),734.0)</f>
        <v>734</v>
      </c>
      <c r="AY18" s="220">
        <f>IFERROR(__xludf.DUMMYFUNCTION("""COMPUTED_VALUE"""),5734.64)</f>
        <v>5734.64</v>
      </c>
      <c r="AZ18" s="219">
        <f>IFERROR(__xludf.DUMMYFUNCTION("""COMPUTED_VALUE"""),151.0)</f>
        <v>151</v>
      </c>
      <c r="BA18" s="219">
        <f>IFERROR(__xludf.DUMMYFUNCTION("""COMPUTED_VALUE"""),26.0)</f>
        <v>26</v>
      </c>
      <c r="BB18" s="219">
        <f>IFERROR(__xludf.DUMMYFUNCTION("""COMPUTED_VALUE"""),14.0)</f>
        <v>14</v>
      </c>
      <c r="BC18" s="219">
        <f>IFERROR(__xludf.DUMMYFUNCTION("""COMPUTED_VALUE"""),9.0)</f>
        <v>9</v>
      </c>
      <c r="BD18" s="221"/>
      <c r="BE18" s="98"/>
    </row>
    <row r="19">
      <c r="A19" s="6" t="str">
        <f>IFERROR(__xludf.DUMMYFUNCTION("""COMPUTED_VALUE"""),"Lalan Kumar")</f>
        <v>Lalan Kumar</v>
      </c>
      <c r="B19" s="98" t="str">
        <f>IFERROR(__xludf.DUMMYFUNCTION("""COMPUTED_VALUE"""),"Maharashtra")</f>
        <v>Maharashtra</v>
      </c>
      <c r="C19" s="212" t="str">
        <f>IFERROR(__xludf.DUMMYFUNCTION("""COMPUTED_VALUE"""),"Amit Damodhar Jadhav")</f>
        <v>Amit Damodhar Jadhav</v>
      </c>
      <c r="D19" s="98" t="str">
        <f>IFERROR(__xludf.DUMMYFUNCTION("""COMPUTED_VALUE"""),"Aurangabad")</f>
        <v>Aurangabad</v>
      </c>
      <c r="E19" s="213">
        <f>IFERROR(__xludf.DUMMYFUNCTION("""COMPUTED_VALUE"""),44825.0)</f>
        <v>44825</v>
      </c>
      <c r="F19" s="222" t="str">
        <f>IFERROR(__xludf.DUMMYFUNCTION("""COMPUTED_VALUE"""),"MAHARASHTRA")</f>
        <v>MAHARASHTRA</v>
      </c>
      <c r="G19" s="215">
        <f>IFERROR(__xludf.DUMMYFUNCTION("""COMPUTED_VALUE"""),1.2341859279999997E7)</f>
        <v>12341859.28</v>
      </c>
      <c r="H19" s="215">
        <f>IFERROR(__xludf.DUMMYFUNCTION("""COMPUTED_VALUE"""),1.24686E7)</f>
        <v>12468600</v>
      </c>
      <c r="I19" s="216">
        <f>IFERROR(__xludf.DUMMYFUNCTION("""COMPUTED_VALUE"""),45000.0)</f>
        <v>45000</v>
      </c>
      <c r="J19" s="216">
        <f>IFERROR(__xludf.DUMMYFUNCTION("""COMPUTED_VALUE"""),1800000.0)</f>
        <v>1800000</v>
      </c>
      <c r="K19" s="217">
        <f>IFERROR(__xludf.DUMMYFUNCTION("""COMPUTED_VALUE"""),0.0)</f>
        <v>0</v>
      </c>
      <c r="L19" s="217">
        <f>IFERROR(__xludf.DUMMYFUNCTION("""COMPUTED_VALUE"""),5400000.0)</f>
        <v>5400000</v>
      </c>
      <c r="M19" s="217">
        <f>IFERROR(__xludf.DUMMYFUNCTION("""COMPUTED_VALUE"""),2433829.0)</f>
        <v>2433829</v>
      </c>
      <c r="N19" s="217">
        <f>IFERROR(__xludf.DUMMYFUNCTION("""COMPUTED_VALUE"""),0.0)</f>
        <v>0</v>
      </c>
      <c r="O19" s="217">
        <f>IFERROR(__xludf.DUMMYFUNCTION("""COMPUTED_VALUE"""),2488791.0)</f>
        <v>2488791</v>
      </c>
      <c r="P19" s="218">
        <f>IFERROR(__xludf.DUMMYFUNCTION("""COMPUTED_VALUE"""),0.45070907407407407)</f>
        <v>0.4507090741</v>
      </c>
      <c r="Q19" s="218">
        <f>IFERROR(__xludf.DUMMYFUNCTION("""COMPUTED_VALUE"""),0.0)</f>
        <v>0</v>
      </c>
      <c r="R19" s="218">
        <f>IFERROR(__xludf.DUMMYFUNCTION("""COMPUTED_VALUE"""),0.4608872222222222)</f>
        <v>0.4608872222</v>
      </c>
      <c r="S19" s="187">
        <f>IFERROR(__xludf.DUMMYFUNCTION("""COMPUTED_VALUE"""),86.0)</f>
        <v>86</v>
      </c>
      <c r="T19" s="187">
        <f>IFERROR(__xludf.DUMMYFUNCTION("""COMPUTED_VALUE"""),74.0)</f>
        <v>74</v>
      </c>
      <c r="U19" s="187">
        <f>IFERROR(__xludf.DUMMYFUNCTION("""COMPUTED_VALUE"""),4.0)</f>
        <v>4</v>
      </c>
      <c r="V19" s="187">
        <f>IFERROR(__xludf.DUMMYFUNCTION("""COMPUTED_VALUE"""),2.0)</f>
        <v>2</v>
      </c>
      <c r="W19" s="187">
        <f>IFERROR(__xludf.DUMMYFUNCTION("""COMPUTED_VALUE"""),90.0)</f>
        <v>90</v>
      </c>
      <c r="X19" s="187">
        <f>IFERROR(__xludf.DUMMYFUNCTION("""COMPUTED_VALUE"""),16.0)</f>
        <v>16</v>
      </c>
      <c r="Y19" s="188">
        <f>IFERROR(__xludf.DUMMYFUNCTION("""COMPUTED_VALUE"""),2146813.48)</f>
        <v>2146813.48</v>
      </c>
      <c r="Z19" s="188">
        <f>IFERROR(__xludf.DUMMYFUNCTION("""COMPUTED_VALUE"""),287015.49)</f>
        <v>287015.49</v>
      </c>
      <c r="AA19" s="187">
        <f>IFERROR(__xludf.DUMMYFUNCTION("""COMPUTED_VALUE"""),39.0)</f>
        <v>39</v>
      </c>
      <c r="AB19" s="187">
        <f>IFERROR(__xludf.DUMMYFUNCTION("""COMPUTED_VALUE"""),2.0)</f>
        <v>2</v>
      </c>
      <c r="AC19" s="187">
        <f>IFERROR(__xludf.DUMMYFUNCTION("""COMPUTED_VALUE"""),41.0)</f>
        <v>41</v>
      </c>
      <c r="AD19" s="187">
        <f>IFERROR(__xludf.DUMMYFUNCTION("""COMPUTED_VALUE"""),0.0)</f>
        <v>0</v>
      </c>
      <c r="AE19" s="187">
        <f>IFERROR(__xludf.DUMMYFUNCTION("""COMPUTED_VALUE"""),35.0)</f>
        <v>35</v>
      </c>
      <c r="AF19" s="187">
        <f>IFERROR(__xludf.DUMMYFUNCTION("""COMPUTED_VALUE"""),49.0)</f>
        <v>49</v>
      </c>
      <c r="AG19" s="187">
        <f>IFERROR(__xludf.DUMMYFUNCTION("""COMPUTED_VALUE"""),150.0)</f>
        <v>150</v>
      </c>
      <c r="AH19" s="187">
        <f>IFERROR(__xludf.DUMMYFUNCTION("""COMPUTED_VALUE"""),1.0)</f>
        <v>1</v>
      </c>
      <c r="AI19" s="187">
        <f>IFERROR(__xludf.DUMMYFUNCTION("""COMPUTED_VALUE"""),21.0)</f>
        <v>21</v>
      </c>
      <c r="AJ19" s="187">
        <f>IFERROR(__xludf.DUMMYFUNCTION("""COMPUTED_VALUE"""),0.0)</f>
        <v>0</v>
      </c>
      <c r="AK19" s="187">
        <f>IFERROR(__xludf.DUMMYFUNCTION("""COMPUTED_VALUE"""),0.0)</f>
        <v>0</v>
      </c>
      <c r="AL19" s="187">
        <f>IFERROR(__xludf.DUMMYFUNCTION("""COMPUTED_VALUE"""),0.0)</f>
        <v>0</v>
      </c>
      <c r="AM19" s="187">
        <f>IFERROR(__xludf.DUMMYFUNCTION("""COMPUTED_VALUE"""),0.0)</f>
        <v>0</v>
      </c>
      <c r="AN19" s="187">
        <f>IFERROR(__xludf.DUMMYFUNCTION("""COMPUTED_VALUE"""),317.0)</f>
        <v>317</v>
      </c>
      <c r="AO19" s="187">
        <f>IFERROR(__xludf.DUMMYFUNCTION("""COMPUTED_VALUE"""),387.0)</f>
        <v>387</v>
      </c>
      <c r="AP19" s="187">
        <f>IFERROR(__xludf.DUMMYFUNCTION("""COMPUTED_VALUE"""),76.0)</f>
        <v>76</v>
      </c>
      <c r="AQ19" s="217">
        <f>IFERROR(__xludf.DUMMYFUNCTION("""COMPUTED_VALUE"""),32024.065789473683)</f>
        <v>32024.06579</v>
      </c>
      <c r="AR19" s="188">
        <f>IFERROR(__xludf.DUMMYFUNCTION("""COMPUTED_VALUE"""),5.092105263157895)</f>
        <v>5.092105263</v>
      </c>
      <c r="AS19" s="217">
        <f>IFERROR(__xludf.DUMMYFUNCTION("""COMPUTED_VALUE"""),135000.0)</f>
        <v>135000</v>
      </c>
      <c r="AT19" s="217"/>
      <c r="AU19" s="218">
        <f>IFERROR(__xludf.DUMMYFUNCTION("""COMPUTED_VALUE"""),0.05546815326795761)</f>
        <v>0.05546815327</v>
      </c>
      <c r="AV19" s="217">
        <f>IFERROR(__xludf.DUMMYFUNCTION("""COMPUTED_VALUE"""),59361.68292682927)</f>
        <v>59361.68293</v>
      </c>
      <c r="AW19" s="219">
        <f>IFERROR(__xludf.DUMMYFUNCTION("""COMPUTED_VALUE"""),86.0)</f>
        <v>86</v>
      </c>
      <c r="AX19" s="219">
        <f>IFERROR(__xludf.DUMMYFUNCTION("""COMPUTED_VALUE"""),803.0)</f>
        <v>803</v>
      </c>
      <c r="AY19" s="220">
        <f>IFERROR(__xludf.DUMMYFUNCTION("""COMPUTED_VALUE"""),5849.51)</f>
        <v>5849.51</v>
      </c>
      <c r="AZ19" s="219">
        <f>IFERROR(__xludf.DUMMYFUNCTION("""COMPUTED_VALUE"""),79.0)</f>
        <v>79</v>
      </c>
      <c r="BA19" s="219">
        <f>IFERROR(__xludf.DUMMYFUNCTION("""COMPUTED_VALUE"""),41.0)</f>
        <v>41</v>
      </c>
      <c r="BB19" s="219">
        <f>IFERROR(__xludf.DUMMYFUNCTION("""COMPUTED_VALUE"""),34.0)</f>
        <v>34</v>
      </c>
      <c r="BC19" s="219">
        <f>IFERROR(__xludf.DUMMYFUNCTION("""COMPUTED_VALUE"""),15.0)</f>
        <v>15</v>
      </c>
      <c r="BD19" s="221"/>
      <c r="BE19" s="98"/>
    </row>
    <row r="20">
      <c r="A20" s="6" t="str">
        <f>IFERROR(__xludf.DUMMYFUNCTION("""COMPUTED_VALUE"""),"Lalan Kumar")</f>
        <v>Lalan Kumar</v>
      </c>
      <c r="B20" s="98" t="str">
        <f>IFERROR(__xludf.DUMMYFUNCTION("""COMPUTED_VALUE"""),"Maharashtra")</f>
        <v>Maharashtra</v>
      </c>
      <c r="C20" s="212" t="str">
        <f>IFERROR(__xludf.DUMMYFUNCTION("""COMPUTED_VALUE"""),"Tushar Ravindra Kanthale")</f>
        <v>Tushar Ravindra Kanthale</v>
      </c>
      <c r="D20" s="98" t="str">
        <f>IFERROR(__xludf.DUMMYFUNCTION("""COMPUTED_VALUE"""),"Pune")</f>
        <v>Pune</v>
      </c>
      <c r="E20" s="213">
        <f>IFERROR(__xludf.DUMMYFUNCTION("""COMPUTED_VALUE"""),45047.0)</f>
        <v>45047</v>
      </c>
      <c r="F20" s="222" t="str">
        <f>IFERROR(__xludf.DUMMYFUNCTION("""COMPUTED_VALUE"""),"MAHARASHTRA")</f>
        <v>MAHARASHTRA</v>
      </c>
      <c r="G20" s="215">
        <f>IFERROR(__xludf.DUMMYFUNCTION("""COMPUTED_VALUE"""),7163532.35)</f>
        <v>7163532.35</v>
      </c>
      <c r="H20" s="215">
        <f>IFERROR(__xludf.DUMMYFUNCTION("""COMPUTED_VALUE"""),7943279.0)</f>
        <v>7943279</v>
      </c>
      <c r="I20" s="216">
        <f>IFERROR(__xludf.DUMMYFUNCTION("""COMPUTED_VALUE"""),37990.0)</f>
        <v>37990</v>
      </c>
      <c r="J20" s="216">
        <f>IFERROR(__xludf.DUMMYFUNCTION("""COMPUTED_VALUE"""),1300000.0)</f>
        <v>1300000</v>
      </c>
      <c r="K20" s="217">
        <f>IFERROR(__xludf.DUMMYFUNCTION("""COMPUTED_VALUE"""),0.0)</f>
        <v>0</v>
      </c>
      <c r="L20" s="217">
        <f>IFERROR(__xludf.DUMMYFUNCTION("""COMPUTED_VALUE"""),3900000.0)</f>
        <v>3900000</v>
      </c>
      <c r="M20" s="217">
        <f>IFERROR(__xludf.DUMMYFUNCTION("""COMPUTED_VALUE"""),1779591.0)</f>
        <v>1779591</v>
      </c>
      <c r="N20" s="217">
        <f>IFERROR(__xludf.DUMMYFUNCTION("""COMPUTED_VALUE"""),0.0)</f>
        <v>0</v>
      </c>
      <c r="O20" s="217">
        <f>IFERROR(__xludf.DUMMYFUNCTION("""COMPUTED_VALUE"""),1790792.0)</f>
        <v>1790792</v>
      </c>
      <c r="P20" s="218">
        <f>IFERROR(__xludf.DUMMYFUNCTION("""COMPUTED_VALUE"""),0.4563053846153846)</f>
        <v>0.4563053846</v>
      </c>
      <c r="Q20" s="218">
        <f>IFERROR(__xludf.DUMMYFUNCTION("""COMPUTED_VALUE"""),0.0)</f>
        <v>0</v>
      </c>
      <c r="R20" s="218">
        <f>IFERROR(__xludf.DUMMYFUNCTION("""COMPUTED_VALUE"""),0.45917743589743587)</f>
        <v>0.4591774359</v>
      </c>
      <c r="S20" s="187">
        <f>IFERROR(__xludf.DUMMYFUNCTION("""COMPUTED_VALUE"""),88.0)</f>
        <v>88</v>
      </c>
      <c r="T20" s="187">
        <f>IFERROR(__xludf.DUMMYFUNCTION("""COMPUTED_VALUE"""),77.0)</f>
        <v>77</v>
      </c>
      <c r="U20" s="187">
        <f>IFERROR(__xludf.DUMMYFUNCTION("""COMPUTED_VALUE"""),1.0)</f>
        <v>1</v>
      </c>
      <c r="V20" s="187">
        <f>IFERROR(__xludf.DUMMYFUNCTION("""COMPUTED_VALUE"""),1.0)</f>
        <v>1</v>
      </c>
      <c r="W20" s="187">
        <f>IFERROR(__xludf.DUMMYFUNCTION("""COMPUTED_VALUE"""),89.0)</f>
        <v>89</v>
      </c>
      <c r="X20" s="187">
        <f>IFERROR(__xludf.DUMMYFUNCTION("""COMPUTED_VALUE"""),12.0)</f>
        <v>12</v>
      </c>
      <c r="Y20" s="188">
        <f>IFERROR(__xludf.DUMMYFUNCTION("""COMPUTED_VALUE"""),1763793.81)</f>
        <v>1763793.81</v>
      </c>
      <c r="Z20" s="188">
        <f>IFERROR(__xludf.DUMMYFUNCTION("""COMPUTED_VALUE"""),15796.88)</f>
        <v>15796.88</v>
      </c>
      <c r="AA20" s="187">
        <f>IFERROR(__xludf.DUMMYFUNCTION("""COMPUTED_VALUE"""),64.0)</f>
        <v>64</v>
      </c>
      <c r="AB20" s="187">
        <f>IFERROR(__xludf.DUMMYFUNCTION("""COMPUTED_VALUE"""),1.0)</f>
        <v>1</v>
      </c>
      <c r="AC20" s="187">
        <f>IFERROR(__xludf.DUMMYFUNCTION("""COMPUTED_VALUE"""),65.0)</f>
        <v>65</v>
      </c>
      <c r="AD20" s="187">
        <f>IFERROR(__xludf.DUMMYFUNCTION("""COMPUTED_VALUE"""),0.0)</f>
        <v>0</v>
      </c>
      <c r="AE20" s="187">
        <f>IFERROR(__xludf.DUMMYFUNCTION("""COMPUTED_VALUE"""),1.0)</f>
        <v>1</v>
      </c>
      <c r="AF20" s="187">
        <f>IFERROR(__xludf.DUMMYFUNCTION("""COMPUTED_VALUE"""),1.0)</f>
        <v>1</v>
      </c>
      <c r="AG20" s="187">
        <f>IFERROR(__xludf.DUMMYFUNCTION("""COMPUTED_VALUE"""),166.0)</f>
        <v>166</v>
      </c>
      <c r="AH20" s="187">
        <f>IFERROR(__xludf.DUMMYFUNCTION("""COMPUTED_VALUE"""),2.0)</f>
        <v>2</v>
      </c>
      <c r="AI20" s="187">
        <f>IFERROR(__xludf.DUMMYFUNCTION("""COMPUTED_VALUE"""),17.0)</f>
        <v>17</v>
      </c>
      <c r="AJ20" s="187">
        <f>IFERROR(__xludf.DUMMYFUNCTION("""COMPUTED_VALUE"""),0.0)</f>
        <v>0</v>
      </c>
      <c r="AK20" s="187">
        <f>IFERROR(__xludf.DUMMYFUNCTION("""COMPUTED_VALUE"""),0.0)</f>
        <v>0</v>
      </c>
      <c r="AL20" s="187">
        <f>IFERROR(__xludf.DUMMYFUNCTION("""COMPUTED_VALUE"""),0.0)</f>
        <v>0</v>
      </c>
      <c r="AM20" s="187">
        <f>IFERROR(__xludf.DUMMYFUNCTION("""COMPUTED_VALUE"""),0.0)</f>
        <v>0</v>
      </c>
      <c r="AN20" s="187">
        <f>IFERROR(__xludf.DUMMYFUNCTION("""COMPUTED_VALUE"""),325.0)</f>
        <v>325</v>
      </c>
      <c r="AO20" s="187">
        <f>IFERROR(__xludf.DUMMYFUNCTION("""COMPUTED_VALUE"""),343.0)</f>
        <v>343</v>
      </c>
      <c r="AP20" s="187">
        <f>IFERROR(__xludf.DUMMYFUNCTION("""COMPUTED_VALUE"""),74.0)</f>
        <v>74</v>
      </c>
      <c r="AQ20" s="217">
        <f>IFERROR(__xludf.DUMMYFUNCTION("""COMPUTED_VALUE"""),24048.527027027027)</f>
        <v>24048.52703</v>
      </c>
      <c r="AR20" s="188">
        <f>IFERROR(__xludf.DUMMYFUNCTION("""COMPUTED_VALUE"""),4.635135135135135)</f>
        <v>4.635135135</v>
      </c>
      <c r="AS20" s="217">
        <f>IFERROR(__xludf.DUMMYFUNCTION("""COMPUTED_VALUE"""),113970.0)</f>
        <v>113970</v>
      </c>
      <c r="AT20" s="217"/>
      <c r="AU20" s="218">
        <f>IFERROR(__xludf.DUMMYFUNCTION("""COMPUTED_VALUE"""),0.06404280534122728)</f>
        <v>0.06404280534</v>
      </c>
      <c r="AV20" s="217">
        <f>IFERROR(__xludf.DUMMYFUNCTION("""COMPUTED_VALUE"""),27378.323076923076)</f>
        <v>27378.32308</v>
      </c>
      <c r="AW20" s="219">
        <f>IFERROR(__xludf.DUMMYFUNCTION("""COMPUTED_VALUE"""),138.0)</f>
        <v>138</v>
      </c>
      <c r="AX20" s="219">
        <f>IFERROR(__xludf.DUMMYFUNCTION("""COMPUTED_VALUE"""),745.0)</f>
        <v>745</v>
      </c>
      <c r="AY20" s="220">
        <f>IFERROR(__xludf.DUMMYFUNCTION("""COMPUTED_VALUE"""),4535.66)</f>
        <v>4535.66</v>
      </c>
      <c r="AZ20" s="219">
        <f>IFERROR(__xludf.DUMMYFUNCTION("""COMPUTED_VALUE"""),59.0)</f>
        <v>59</v>
      </c>
      <c r="BA20" s="219">
        <f>IFERROR(__xludf.DUMMYFUNCTION("""COMPUTED_VALUE"""),65.0)</f>
        <v>65</v>
      </c>
      <c r="BB20" s="219">
        <f>IFERROR(__xludf.DUMMYFUNCTION("""COMPUTED_VALUE"""),15.0)</f>
        <v>15</v>
      </c>
      <c r="BC20" s="219">
        <f>IFERROR(__xludf.DUMMYFUNCTION("""COMPUTED_VALUE"""),9.0)</f>
        <v>9</v>
      </c>
      <c r="BD20" s="221"/>
      <c r="BE20" s="98"/>
    </row>
    <row r="21">
      <c r="A21" s="6" t="str">
        <f>IFERROR(__xludf.DUMMYFUNCTION("""COMPUTED_VALUE"""),"Lalan Kumar")</f>
        <v>Lalan Kumar</v>
      </c>
      <c r="B21" s="98" t="str">
        <f>IFERROR(__xludf.DUMMYFUNCTION("""COMPUTED_VALUE"""),"Maharashtra")</f>
        <v>Maharashtra</v>
      </c>
      <c r="C21" s="212" t="str">
        <f>IFERROR(__xludf.DUMMYFUNCTION("""COMPUTED_VALUE"""),"Rahul Ramchandra Bhosale")</f>
        <v>Rahul Ramchandra Bhosale</v>
      </c>
      <c r="D21" s="98" t="str">
        <f>IFERROR(__xludf.DUMMYFUNCTION("""COMPUTED_VALUE"""),"Latur")</f>
        <v>Latur</v>
      </c>
      <c r="E21" s="213">
        <f>IFERROR(__xludf.DUMMYFUNCTION("""COMPUTED_VALUE"""),45887.0)</f>
        <v>45887</v>
      </c>
      <c r="F21" s="222" t="str">
        <f>IFERROR(__xludf.DUMMYFUNCTION("""COMPUTED_VALUE"""),"MAHARASHTRA")</f>
        <v>MAHARASHTRA</v>
      </c>
      <c r="G21" s="215">
        <f>IFERROR(__xludf.DUMMYFUNCTION("""COMPUTED_VALUE"""),3134786.2199999997)</f>
        <v>3134786.22</v>
      </c>
      <c r="H21" s="215">
        <f>IFERROR(__xludf.DUMMYFUNCTION("""COMPUTED_VALUE"""),4631985.0)</f>
        <v>4631985</v>
      </c>
      <c r="I21" s="216">
        <f>IFERROR(__xludf.DUMMYFUNCTION("""COMPUTED_VALUE"""),40885.0)</f>
        <v>40885</v>
      </c>
      <c r="J21" s="216">
        <f>IFERROR(__xludf.DUMMYFUNCTION("""COMPUTED_VALUE"""),1300000.0)</f>
        <v>1300000</v>
      </c>
      <c r="K21" s="217">
        <f>IFERROR(__xludf.DUMMYFUNCTION("""COMPUTED_VALUE"""),0.0)</f>
        <v>0</v>
      </c>
      <c r="L21" s="217">
        <f>IFERROR(__xludf.DUMMYFUNCTION("""COMPUTED_VALUE"""),3900000.0)</f>
        <v>3900000</v>
      </c>
      <c r="M21" s="217">
        <f>IFERROR(__xludf.DUMMYFUNCTION("""COMPUTED_VALUE"""),1384044.0)</f>
        <v>1384044</v>
      </c>
      <c r="N21" s="217">
        <f>IFERROR(__xludf.DUMMYFUNCTION("""COMPUTED_VALUE"""),0.0)</f>
        <v>0</v>
      </c>
      <c r="O21" s="217">
        <f>IFERROR(__xludf.DUMMYFUNCTION("""COMPUTED_VALUE"""),2289708.0)</f>
        <v>2289708</v>
      </c>
      <c r="P21" s="218">
        <f>IFERROR(__xludf.DUMMYFUNCTION("""COMPUTED_VALUE"""),0.3548830769230769)</f>
        <v>0.3548830769</v>
      </c>
      <c r="Q21" s="218">
        <f>IFERROR(__xludf.DUMMYFUNCTION("""COMPUTED_VALUE"""),0.0)</f>
        <v>0</v>
      </c>
      <c r="R21" s="218">
        <f>IFERROR(__xludf.DUMMYFUNCTION("""COMPUTED_VALUE"""),0.5871046153846153)</f>
        <v>0.5871046154</v>
      </c>
      <c r="S21" s="187">
        <f>IFERROR(__xludf.DUMMYFUNCTION("""COMPUTED_VALUE"""),47.0)</f>
        <v>47</v>
      </c>
      <c r="T21" s="187">
        <f>IFERROR(__xludf.DUMMYFUNCTION("""COMPUTED_VALUE"""),41.0)</f>
        <v>41</v>
      </c>
      <c r="U21" s="187">
        <f>IFERROR(__xludf.DUMMYFUNCTION("""COMPUTED_VALUE"""),1.0)</f>
        <v>1</v>
      </c>
      <c r="V21" s="187">
        <f>IFERROR(__xludf.DUMMYFUNCTION("""COMPUTED_VALUE"""),1.0)</f>
        <v>1</v>
      </c>
      <c r="W21" s="187">
        <f>IFERROR(__xludf.DUMMYFUNCTION("""COMPUTED_VALUE"""),48.0)</f>
        <v>48</v>
      </c>
      <c r="X21" s="187">
        <f>IFERROR(__xludf.DUMMYFUNCTION("""COMPUTED_VALUE"""),7.0)</f>
        <v>7</v>
      </c>
      <c r="Y21" s="188">
        <f>IFERROR(__xludf.DUMMYFUNCTION("""COMPUTED_VALUE"""),1380479.64)</f>
        <v>1380479.64</v>
      </c>
      <c r="Z21" s="188">
        <f>IFERROR(__xludf.DUMMYFUNCTION("""COMPUTED_VALUE"""),3564.0)</f>
        <v>3564</v>
      </c>
      <c r="AA21" s="187">
        <f>IFERROR(__xludf.DUMMYFUNCTION("""COMPUTED_VALUE"""),19.0)</f>
        <v>19</v>
      </c>
      <c r="AB21" s="187">
        <f>IFERROR(__xludf.DUMMYFUNCTION("""COMPUTED_VALUE"""),1.0)</f>
        <v>1</v>
      </c>
      <c r="AC21" s="187">
        <f>IFERROR(__xludf.DUMMYFUNCTION("""COMPUTED_VALUE"""),20.0)</f>
        <v>20</v>
      </c>
      <c r="AD21" s="187">
        <f>IFERROR(__xludf.DUMMYFUNCTION("""COMPUTED_VALUE"""),0.0)</f>
        <v>0</v>
      </c>
      <c r="AE21" s="187">
        <f>IFERROR(__xludf.DUMMYFUNCTION("""COMPUTED_VALUE"""),59.0)</f>
        <v>59</v>
      </c>
      <c r="AF21" s="187">
        <f>IFERROR(__xludf.DUMMYFUNCTION("""COMPUTED_VALUE"""),123.0)</f>
        <v>123</v>
      </c>
      <c r="AG21" s="187">
        <f>IFERROR(__xludf.DUMMYFUNCTION("""COMPUTED_VALUE"""),81.0)</f>
        <v>81</v>
      </c>
      <c r="AH21" s="187">
        <f>IFERROR(__xludf.DUMMYFUNCTION("""COMPUTED_VALUE"""),2.0)</f>
        <v>2</v>
      </c>
      <c r="AI21" s="187">
        <f>IFERROR(__xludf.DUMMYFUNCTION("""COMPUTED_VALUE"""),27.0)</f>
        <v>27</v>
      </c>
      <c r="AJ21" s="187">
        <f>IFERROR(__xludf.DUMMYFUNCTION("""COMPUTED_VALUE"""),0.0)</f>
        <v>0</v>
      </c>
      <c r="AK21" s="187">
        <f>IFERROR(__xludf.DUMMYFUNCTION("""COMPUTED_VALUE"""),0.0)</f>
        <v>0</v>
      </c>
      <c r="AL21" s="187">
        <f>IFERROR(__xludf.DUMMYFUNCTION("""COMPUTED_VALUE"""),4.0)</f>
        <v>4</v>
      </c>
      <c r="AM21" s="187">
        <f>IFERROR(__xludf.DUMMYFUNCTION("""COMPUTED_VALUE"""),7.0)</f>
        <v>7</v>
      </c>
      <c r="AN21" s="187">
        <f>IFERROR(__xludf.DUMMYFUNCTION("""COMPUTED_VALUE"""),174.0)</f>
        <v>174</v>
      </c>
      <c r="AO21" s="187">
        <f>IFERROR(__xludf.DUMMYFUNCTION("""COMPUTED_VALUE"""),331.0)</f>
        <v>331</v>
      </c>
      <c r="AP21" s="187">
        <f>IFERROR(__xludf.DUMMYFUNCTION("""COMPUTED_VALUE"""),70.0)</f>
        <v>70</v>
      </c>
      <c r="AQ21" s="217">
        <f>IFERROR(__xludf.DUMMYFUNCTION("""COMPUTED_VALUE"""),19772.057142857142)</f>
        <v>19772.05714</v>
      </c>
      <c r="AR21" s="188">
        <f>IFERROR(__xludf.DUMMYFUNCTION("""COMPUTED_VALUE"""),4.728571428571429)</f>
        <v>4.728571429</v>
      </c>
      <c r="AS21" s="217">
        <f>IFERROR(__xludf.DUMMYFUNCTION("""COMPUTED_VALUE"""),122655.0)</f>
        <v>122655</v>
      </c>
      <c r="AT21" s="217"/>
      <c r="AU21" s="218">
        <f>IFERROR(__xludf.DUMMYFUNCTION("""COMPUTED_VALUE"""),0.08862073749100462)</f>
        <v>0.08862073749</v>
      </c>
      <c r="AV21" s="217">
        <f>IFERROR(__xludf.DUMMYFUNCTION("""COMPUTED_VALUE"""),69202.2)</f>
        <v>69202.2</v>
      </c>
      <c r="AW21" s="219">
        <f>IFERROR(__xludf.DUMMYFUNCTION("""COMPUTED_VALUE"""),47.0)</f>
        <v>47</v>
      </c>
      <c r="AX21" s="219">
        <f>IFERROR(__xludf.DUMMYFUNCTION("""COMPUTED_VALUE"""),794.0)</f>
        <v>794</v>
      </c>
      <c r="AY21" s="220">
        <f>IFERROR(__xludf.DUMMYFUNCTION("""COMPUTED_VALUE"""),9750.7)</f>
        <v>9750.7</v>
      </c>
      <c r="AZ21" s="219">
        <f>IFERROR(__xludf.DUMMYFUNCTION("""COMPUTED_VALUE"""),238.0)</f>
        <v>238</v>
      </c>
      <c r="BA21" s="219">
        <f>IFERROR(__xludf.DUMMYFUNCTION("""COMPUTED_VALUE"""),20.0)</f>
        <v>20</v>
      </c>
      <c r="BB21" s="219">
        <f>IFERROR(__xludf.DUMMYFUNCTION("""COMPUTED_VALUE"""),21.0)</f>
        <v>21</v>
      </c>
      <c r="BC21" s="219">
        <f>IFERROR(__xludf.DUMMYFUNCTION("""COMPUTED_VALUE"""),7.0)</f>
        <v>7</v>
      </c>
      <c r="BD21" s="221"/>
      <c r="BE21" s="98"/>
    </row>
    <row r="22">
      <c r="A22" s="6" t="str">
        <f>IFERROR(__xludf.DUMMYFUNCTION("""COMPUTED_VALUE"""),"Lalan Kumar")</f>
        <v>Lalan Kumar</v>
      </c>
      <c r="B22" s="98" t="str">
        <f>IFERROR(__xludf.DUMMYFUNCTION("""COMPUTED_VALUE"""),"Maharashtra")</f>
        <v>Maharashtra</v>
      </c>
      <c r="C22" s="212" t="str">
        <f>IFERROR(__xludf.DUMMYFUNCTION("""COMPUTED_VALUE"""),"Swapnil Rajput")</f>
        <v>Swapnil Rajput</v>
      </c>
      <c r="D22" s="98" t="str">
        <f>IFERROR(__xludf.DUMMYFUNCTION("""COMPUTED_VALUE"""),"Nashik")</f>
        <v>Nashik</v>
      </c>
      <c r="E22" s="213">
        <f>IFERROR(__xludf.DUMMYFUNCTION("""COMPUTED_VALUE"""),45936.0)</f>
        <v>45936</v>
      </c>
      <c r="F22" s="222" t="str">
        <f>IFERROR(__xludf.DUMMYFUNCTION("""COMPUTED_VALUE"""),"MAHARASHTRA")</f>
        <v>MAHARASHTRA</v>
      </c>
      <c r="G22" s="215">
        <f>IFERROR(__xludf.DUMMYFUNCTION("""COMPUTED_VALUE"""),431144.24)</f>
        <v>431144.24</v>
      </c>
      <c r="H22" s="215">
        <f>IFERROR(__xludf.DUMMYFUNCTION("""COMPUTED_VALUE"""),351396.0)</f>
        <v>351396</v>
      </c>
      <c r="I22" s="216">
        <f>IFERROR(__xludf.DUMMYFUNCTION("""COMPUTED_VALUE"""),34100.0)</f>
        <v>34100</v>
      </c>
      <c r="J22" s="216">
        <f>IFERROR(__xludf.DUMMYFUNCTION("""COMPUTED_VALUE"""),1000000.0)</f>
        <v>1000000</v>
      </c>
      <c r="K22" s="217">
        <f>IFERROR(__xludf.DUMMYFUNCTION("""COMPUTED_VALUE"""),0.0)</f>
        <v>0</v>
      </c>
      <c r="L22" s="217">
        <f>IFERROR(__xludf.DUMMYFUNCTION("""COMPUTED_VALUE"""),3000000.0)</f>
        <v>3000000</v>
      </c>
      <c r="M22" s="217">
        <f>IFERROR(__xludf.DUMMYFUNCTION("""COMPUTED_VALUE"""),977370.0)</f>
        <v>977370</v>
      </c>
      <c r="N22" s="217">
        <f>IFERROR(__xludf.DUMMYFUNCTION("""COMPUTED_VALUE"""),0.0)</f>
        <v>0</v>
      </c>
      <c r="O22" s="217">
        <f>IFERROR(__xludf.DUMMYFUNCTION("""COMPUTED_VALUE"""),864147.0)</f>
        <v>864147</v>
      </c>
      <c r="P22" s="218">
        <f>IFERROR(__xludf.DUMMYFUNCTION("""COMPUTED_VALUE"""),0.32579)</f>
        <v>0.32579</v>
      </c>
      <c r="Q22" s="218">
        <f>IFERROR(__xludf.DUMMYFUNCTION("""COMPUTED_VALUE"""),0.0)</f>
        <v>0</v>
      </c>
      <c r="R22" s="218">
        <f>IFERROR(__xludf.DUMMYFUNCTION("""COMPUTED_VALUE"""),0.288049)</f>
        <v>0.288049</v>
      </c>
      <c r="S22" s="187">
        <f>IFERROR(__xludf.DUMMYFUNCTION("""COMPUTED_VALUE"""),38.0)</f>
        <v>38</v>
      </c>
      <c r="T22" s="187">
        <f>IFERROR(__xludf.DUMMYFUNCTION("""COMPUTED_VALUE"""),46.0)</f>
        <v>46</v>
      </c>
      <c r="U22" s="187">
        <f>IFERROR(__xludf.DUMMYFUNCTION("""COMPUTED_VALUE"""),13.0)</f>
        <v>13</v>
      </c>
      <c r="V22" s="187">
        <f>IFERROR(__xludf.DUMMYFUNCTION("""COMPUTED_VALUE"""),13.0)</f>
        <v>13</v>
      </c>
      <c r="W22" s="187">
        <f>IFERROR(__xludf.DUMMYFUNCTION("""COMPUTED_VALUE"""),51.0)</f>
        <v>51</v>
      </c>
      <c r="X22" s="187">
        <f>IFERROR(__xludf.DUMMYFUNCTION("""COMPUTED_VALUE"""),5.0)</f>
        <v>5</v>
      </c>
      <c r="Y22" s="188">
        <f>IFERROR(__xludf.DUMMYFUNCTION("""COMPUTED_VALUE"""),612431.7)</f>
        <v>612431.7</v>
      </c>
      <c r="Z22" s="188">
        <f>IFERROR(__xludf.DUMMYFUNCTION("""COMPUTED_VALUE"""),364938.54)</f>
        <v>364938.54</v>
      </c>
      <c r="AA22" s="187">
        <f>IFERROR(__xludf.DUMMYFUNCTION("""COMPUTED_VALUE"""),23.0)</f>
        <v>23</v>
      </c>
      <c r="AB22" s="187">
        <f>IFERROR(__xludf.DUMMYFUNCTION("""COMPUTED_VALUE"""),13.0)</f>
        <v>13</v>
      </c>
      <c r="AC22" s="187">
        <f>IFERROR(__xludf.DUMMYFUNCTION("""COMPUTED_VALUE"""),36.0)</f>
        <v>36</v>
      </c>
      <c r="AD22" s="187">
        <f>IFERROR(__xludf.DUMMYFUNCTION("""COMPUTED_VALUE"""),0.0)</f>
        <v>0</v>
      </c>
      <c r="AE22" s="187">
        <f>IFERROR(__xludf.DUMMYFUNCTION("""COMPUTED_VALUE"""),85.0)</f>
        <v>85</v>
      </c>
      <c r="AF22" s="187">
        <f>IFERROR(__xludf.DUMMYFUNCTION("""COMPUTED_VALUE"""),189.0)</f>
        <v>189</v>
      </c>
      <c r="AG22" s="187">
        <f>IFERROR(__xludf.DUMMYFUNCTION("""COMPUTED_VALUE"""),46.0)</f>
        <v>46</v>
      </c>
      <c r="AH22" s="187">
        <f>IFERROR(__xludf.DUMMYFUNCTION("""COMPUTED_VALUE"""),1.0)</f>
        <v>1</v>
      </c>
      <c r="AI22" s="187">
        <f>IFERROR(__xludf.DUMMYFUNCTION("""COMPUTED_VALUE"""),12.0)</f>
        <v>12</v>
      </c>
      <c r="AJ22" s="187">
        <f>IFERROR(__xludf.DUMMYFUNCTION("""COMPUTED_VALUE"""),1.0)</f>
        <v>1</v>
      </c>
      <c r="AK22" s="187">
        <f>IFERROR(__xludf.DUMMYFUNCTION("""COMPUTED_VALUE"""),4.0)</f>
        <v>4</v>
      </c>
      <c r="AL22" s="187">
        <f>IFERROR(__xludf.DUMMYFUNCTION("""COMPUTED_VALUE"""),1.0)</f>
        <v>1</v>
      </c>
      <c r="AM22" s="187">
        <f>IFERROR(__xludf.DUMMYFUNCTION("""COMPUTED_VALUE"""),4.0)</f>
        <v>4</v>
      </c>
      <c r="AN22" s="187">
        <f>IFERROR(__xludf.DUMMYFUNCTION("""COMPUTED_VALUE"""),180.0)</f>
        <v>180</v>
      </c>
      <c r="AO22" s="187">
        <f>IFERROR(__xludf.DUMMYFUNCTION("""COMPUTED_VALUE"""),389.0)</f>
        <v>389</v>
      </c>
      <c r="AP22" s="187">
        <f>IFERROR(__xludf.DUMMYFUNCTION("""COMPUTED_VALUE"""),72.0)</f>
        <v>72</v>
      </c>
      <c r="AQ22" s="217">
        <f>IFERROR(__xludf.DUMMYFUNCTION("""COMPUTED_VALUE"""),13574.583333333334)</f>
        <v>13574.58333</v>
      </c>
      <c r="AR22" s="188">
        <f>IFERROR(__xludf.DUMMYFUNCTION("""COMPUTED_VALUE"""),5.402777777777778)</f>
        <v>5.402777778</v>
      </c>
      <c r="AS22" s="217">
        <f>IFERROR(__xludf.DUMMYFUNCTION("""COMPUTED_VALUE"""),102300.0)</f>
        <v>102300</v>
      </c>
      <c r="AT22" s="217"/>
      <c r="AU22" s="218">
        <f>IFERROR(__xludf.DUMMYFUNCTION("""COMPUTED_VALUE"""),0.10466865158537708)</f>
        <v>0.1046686516</v>
      </c>
      <c r="AV22" s="217">
        <f>IFERROR(__xludf.DUMMYFUNCTION("""COMPUTED_VALUE"""),27149.166666666668)</f>
        <v>27149.16667</v>
      </c>
      <c r="AW22" s="219">
        <f>IFERROR(__xludf.DUMMYFUNCTION("""COMPUTED_VALUE"""),54.0)</f>
        <v>54</v>
      </c>
      <c r="AX22" s="219">
        <f>IFERROR(__xludf.DUMMYFUNCTION("""COMPUTED_VALUE"""),721.0)</f>
        <v>721</v>
      </c>
      <c r="AY22" s="220">
        <f>IFERROR(__xludf.DUMMYFUNCTION("""COMPUTED_VALUE"""),4605.28)</f>
        <v>4605.28</v>
      </c>
      <c r="AZ22" s="219">
        <f>IFERROR(__xludf.DUMMYFUNCTION("""COMPUTED_VALUE"""),100.0)</f>
        <v>100</v>
      </c>
      <c r="BA22" s="219">
        <f>IFERROR(__xludf.DUMMYFUNCTION("""COMPUTED_VALUE"""),36.0)</f>
        <v>36</v>
      </c>
      <c r="BB22" s="219">
        <f>IFERROR(__xludf.DUMMYFUNCTION("""COMPUTED_VALUE"""),11.0)</f>
        <v>11</v>
      </c>
      <c r="BC22" s="219">
        <f>IFERROR(__xludf.DUMMYFUNCTION("""COMPUTED_VALUE"""),4.0)</f>
        <v>4</v>
      </c>
      <c r="BD22" s="221"/>
      <c r="BE22" s="98"/>
    </row>
    <row r="23">
      <c r="A23" s="6" t="str">
        <f>IFERROR(__xludf.DUMMYFUNCTION("""COMPUTED_VALUE"""),"Sandeep Dadheech")</f>
        <v>Sandeep Dadheech</v>
      </c>
      <c r="B23" s="98" t="str">
        <f>IFERROR(__xludf.DUMMYFUNCTION("""COMPUTED_VALUE"""),"North East")</f>
        <v>North East</v>
      </c>
      <c r="C23" s="212" t="str">
        <f>IFERROR(__xludf.DUMMYFUNCTION("""COMPUTED_VALUE"""),"Dipak Sharma")</f>
        <v>Dipak Sharma</v>
      </c>
      <c r="D23" s="98" t="str">
        <f>IFERROR(__xludf.DUMMYFUNCTION("""COMPUTED_VALUE"""),"Silchar")</f>
        <v>Silchar</v>
      </c>
      <c r="E23" s="213">
        <f>IFERROR(__xludf.DUMMYFUNCTION("""COMPUTED_VALUE"""),44868.0)</f>
        <v>44868</v>
      </c>
      <c r="F23" s="222" t="str">
        <f>IFERROR(__xludf.DUMMYFUNCTION("""COMPUTED_VALUE"""),"ARUNACHAL PRADESH, ASSAM, MANIPUR, MEGHALAYA, MIZORAM, NAGALAND, ODISHA, SIKKIM, TRIPURA")</f>
        <v>ARUNACHAL PRADESH, ASSAM, MANIPUR, MEGHALAYA, MIZORAM, NAGALAND, ODISHA, SIKKIM, TRIPURA</v>
      </c>
      <c r="G23" s="215">
        <f>IFERROR(__xludf.DUMMYFUNCTION("""COMPUTED_VALUE"""),9855471.23)</f>
        <v>9855471.23</v>
      </c>
      <c r="H23" s="215">
        <f>IFERROR(__xludf.DUMMYFUNCTION("""COMPUTED_VALUE"""),1.054171306E7)</f>
        <v>10541713.06</v>
      </c>
      <c r="I23" s="216">
        <f>IFERROR(__xludf.DUMMYFUNCTION("""COMPUTED_VALUE"""),31625.0)</f>
        <v>31625</v>
      </c>
      <c r="J23" s="216">
        <f>IFERROR(__xludf.DUMMYFUNCTION("""COMPUTED_VALUE"""),1250000.0)</f>
        <v>1250000</v>
      </c>
      <c r="K23" s="217">
        <f>IFERROR(__xludf.DUMMYFUNCTION("""COMPUTED_VALUE"""),0.0)</f>
        <v>0</v>
      </c>
      <c r="L23" s="217">
        <f>IFERROR(__xludf.DUMMYFUNCTION("""COMPUTED_VALUE"""),3750000.0)</f>
        <v>3750000</v>
      </c>
      <c r="M23" s="217">
        <f>IFERROR(__xludf.DUMMYFUNCTION("""COMPUTED_VALUE"""),577225.0)</f>
        <v>577225</v>
      </c>
      <c r="N23" s="217">
        <f>IFERROR(__xludf.DUMMYFUNCTION("""COMPUTED_VALUE"""),0.0)</f>
        <v>0</v>
      </c>
      <c r="O23" s="217">
        <f>IFERROR(__xludf.DUMMYFUNCTION("""COMPUTED_VALUE"""),1829499.59)</f>
        <v>1829499.59</v>
      </c>
      <c r="P23" s="218">
        <f>IFERROR(__xludf.DUMMYFUNCTION("""COMPUTED_VALUE"""),0.15392666666666666)</f>
        <v>0.1539266667</v>
      </c>
      <c r="Q23" s="218">
        <f>IFERROR(__xludf.DUMMYFUNCTION("""COMPUTED_VALUE"""),0.0)</f>
        <v>0</v>
      </c>
      <c r="R23" s="218">
        <f>IFERROR(__xludf.DUMMYFUNCTION("""COMPUTED_VALUE"""),0.48786655733333334)</f>
        <v>0.4878665573</v>
      </c>
      <c r="S23" s="187">
        <f>IFERROR(__xludf.DUMMYFUNCTION("""COMPUTED_VALUE"""),72.0)</f>
        <v>72</v>
      </c>
      <c r="T23" s="187">
        <f>IFERROR(__xludf.DUMMYFUNCTION("""COMPUTED_VALUE"""),41.0)</f>
        <v>41</v>
      </c>
      <c r="U23" s="187">
        <f>IFERROR(__xludf.DUMMYFUNCTION("""COMPUTED_VALUE"""),0.0)</f>
        <v>0</v>
      </c>
      <c r="V23" s="187">
        <f>IFERROR(__xludf.DUMMYFUNCTION("""COMPUTED_VALUE"""),0.0)</f>
        <v>0</v>
      </c>
      <c r="W23" s="187">
        <f>IFERROR(__xludf.DUMMYFUNCTION("""COMPUTED_VALUE"""),72.0)</f>
        <v>72</v>
      </c>
      <c r="X23" s="187">
        <f>IFERROR(__xludf.DUMMYFUNCTION("""COMPUTED_VALUE"""),31.0)</f>
        <v>31</v>
      </c>
      <c r="Y23" s="188">
        <f>IFERROR(__xludf.DUMMYFUNCTION("""COMPUTED_VALUE"""),577225.17)</f>
        <v>577225.17</v>
      </c>
      <c r="Z23" s="188">
        <f>IFERROR(__xludf.DUMMYFUNCTION("""COMPUTED_VALUE"""),0.0)</f>
        <v>0</v>
      </c>
      <c r="AA23" s="187">
        <f>IFERROR(__xludf.DUMMYFUNCTION("""COMPUTED_VALUE"""),8.0)</f>
        <v>8</v>
      </c>
      <c r="AB23" s="187">
        <f>IFERROR(__xludf.DUMMYFUNCTION("""COMPUTED_VALUE"""),0.0)</f>
        <v>0</v>
      </c>
      <c r="AC23" s="187">
        <f>IFERROR(__xludf.DUMMYFUNCTION("""COMPUTED_VALUE"""),8.0)</f>
        <v>8</v>
      </c>
      <c r="AD23" s="187">
        <f>IFERROR(__xludf.DUMMYFUNCTION("""COMPUTED_VALUE"""),0.0)</f>
        <v>0</v>
      </c>
      <c r="AE23" s="187">
        <f>IFERROR(__xludf.DUMMYFUNCTION("""COMPUTED_VALUE"""),3.0)</f>
        <v>3</v>
      </c>
      <c r="AF23" s="187">
        <f>IFERROR(__xludf.DUMMYFUNCTION("""COMPUTED_VALUE"""),8.0)</f>
        <v>8</v>
      </c>
      <c r="AG23" s="187">
        <f>IFERROR(__xludf.DUMMYFUNCTION("""COMPUTED_VALUE"""),49.0)</f>
        <v>49</v>
      </c>
      <c r="AH23" s="187">
        <f>IFERROR(__xludf.DUMMYFUNCTION("""COMPUTED_VALUE"""),1.0)</f>
        <v>1</v>
      </c>
      <c r="AI23" s="187">
        <f>IFERROR(__xludf.DUMMYFUNCTION("""COMPUTED_VALUE"""),13.0)</f>
        <v>13</v>
      </c>
      <c r="AJ23" s="187">
        <f>IFERROR(__xludf.DUMMYFUNCTION("""COMPUTED_VALUE"""),0.0)</f>
        <v>0</v>
      </c>
      <c r="AK23" s="187">
        <f>IFERROR(__xludf.DUMMYFUNCTION("""COMPUTED_VALUE"""),0.0)</f>
        <v>0</v>
      </c>
      <c r="AL23" s="187">
        <f>IFERROR(__xludf.DUMMYFUNCTION("""COMPUTED_VALUE"""),0.0)</f>
        <v>0</v>
      </c>
      <c r="AM23" s="187">
        <f>IFERROR(__xludf.DUMMYFUNCTION("""COMPUTED_VALUE"""),0.0)</f>
        <v>0</v>
      </c>
      <c r="AN23" s="187">
        <f>IFERROR(__xludf.DUMMYFUNCTION("""COMPUTED_VALUE"""),131.0)</f>
        <v>131</v>
      </c>
      <c r="AO23" s="187">
        <f>IFERROR(__xludf.DUMMYFUNCTION("""COMPUTED_VALUE"""),152.0)</f>
        <v>152</v>
      </c>
      <c r="AP23" s="187">
        <f>IFERROR(__xludf.DUMMYFUNCTION("""COMPUTED_VALUE"""),63.0)</f>
        <v>63</v>
      </c>
      <c r="AQ23" s="217">
        <f>IFERROR(__xludf.DUMMYFUNCTION("""COMPUTED_VALUE"""),9162.301587301587)</f>
        <v>9162.301587</v>
      </c>
      <c r="AR23" s="188">
        <f>IFERROR(__xludf.DUMMYFUNCTION("""COMPUTED_VALUE"""),2.4126984126984126)</f>
        <v>2.412698413</v>
      </c>
      <c r="AS23" s="217">
        <f>IFERROR(__xludf.DUMMYFUNCTION("""COMPUTED_VALUE"""),94875.0)</f>
        <v>94875</v>
      </c>
      <c r="AT23" s="217"/>
      <c r="AU23" s="218">
        <f>IFERROR(__xludf.DUMMYFUNCTION("""COMPUTED_VALUE"""),0.16436398284897571)</f>
        <v>0.1643639828</v>
      </c>
      <c r="AV23" s="217">
        <f>IFERROR(__xludf.DUMMYFUNCTION("""COMPUTED_VALUE"""),72153.125)</f>
        <v>72153.125</v>
      </c>
      <c r="AW23" s="219">
        <f>IFERROR(__xludf.DUMMYFUNCTION("""COMPUTED_VALUE"""),10.0)</f>
        <v>10</v>
      </c>
      <c r="AX23" s="219">
        <f>IFERROR(__xludf.DUMMYFUNCTION("""COMPUTED_VALUE"""),526.0)</f>
        <v>526</v>
      </c>
      <c r="AY23" s="220">
        <f>IFERROR(__xludf.DUMMYFUNCTION("""COMPUTED_VALUE"""),1988.15)</f>
        <v>1988.15</v>
      </c>
      <c r="AZ23" s="219">
        <f>IFERROR(__xludf.DUMMYFUNCTION("""COMPUTED_VALUE"""),48.0)</f>
        <v>48</v>
      </c>
      <c r="BA23" s="219">
        <f>IFERROR(__xludf.DUMMYFUNCTION("""COMPUTED_VALUE"""),8.0)</f>
        <v>8</v>
      </c>
      <c r="BB23" s="219">
        <f>IFERROR(__xludf.DUMMYFUNCTION("""COMPUTED_VALUE"""),35.0)</f>
        <v>35</v>
      </c>
      <c r="BC23" s="219">
        <f>IFERROR(__xludf.DUMMYFUNCTION("""COMPUTED_VALUE"""),29.0)</f>
        <v>29</v>
      </c>
      <c r="BD23" s="221"/>
      <c r="BE23" s="98"/>
    </row>
    <row r="24">
      <c r="A24" s="6" t="str">
        <f>IFERROR(__xludf.DUMMYFUNCTION("""COMPUTED_VALUE"""),"Pawan Sharma")</f>
        <v>Pawan Sharma</v>
      </c>
      <c r="B24" s="98" t="str">
        <f>IFERROR(__xludf.DUMMYFUNCTION("""COMPUTED_VALUE"""),"Rajasthan")</f>
        <v>Rajasthan</v>
      </c>
      <c r="C24" s="212" t="str">
        <f>IFERROR(__xludf.DUMMYFUNCTION("""COMPUTED_VALUE"""),"Kanhaiya Lal Salvi")</f>
        <v>Kanhaiya Lal Salvi</v>
      </c>
      <c r="D24" s="98" t="str">
        <f>IFERROR(__xludf.DUMMYFUNCTION("""COMPUTED_VALUE"""),"Chittorgarh")</f>
        <v>Chittorgarh</v>
      </c>
      <c r="E24" s="213">
        <f>IFERROR(__xludf.DUMMYFUNCTION("""COMPUTED_VALUE"""),45518.0)</f>
        <v>45518</v>
      </c>
      <c r="F24" s="222" t="str">
        <f>IFERROR(__xludf.DUMMYFUNCTION("""COMPUTED_VALUE"""),"RAJASTHAN")</f>
        <v>RAJASTHAN</v>
      </c>
      <c r="G24" s="215">
        <f>IFERROR(__xludf.DUMMYFUNCTION("""COMPUTED_VALUE"""),2887869.8400000003)</f>
        <v>2887869.84</v>
      </c>
      <c r="H24" s="215">
        <f>IFERROR(__xludf.DUMMYFUNCTION("""COMPUTED_VALUE"""),515244.0)</f>
        <v>515244</v>
      </c>
      <c r="I24" s="216">
        <f>IFERROR(__xludf.DUMMYFUNCTION("""COMPUTED_VALUE"""),23570.0)</f>
        <v>23570</v>
      </c>
      <c r="J24" s="216">
        <f>IFERROR(__xludf.DUMMYFUNCTION("""COMPUTED_VALUE"""),800000.0)</f>
        <v>800000</v>
      </c>
      <c r="K24" s="217">
        <f>IFERROR(__xludf.DUMMYFUNCTION("""COMPUTED_VALUE"""),0.0)</f>
        <v>0</v>
      </c>
      <c r="L24" s="217">
        <f>IFERROR(__xludf.DUMMYFUNCTION("""COMPUTED_VALUE"""),2400000.0)</f>
        <v>2400000</v>
      </c>
      <c r="M24" s="217">
        <f>IFERROR(__xludf.DUMMYFUNCTION("""COMPUTED_VALUE"""),669564.0)</f>
        <v>669564</v>
      </c>
      <c r="N24" s="217">
        <f>IFERROR(__xludf.DUMMYFUNCTION("""COMPUTED_VALUE"""),0.0)</f>
        <v>0</v>
      </c>
      <c r="O24" s="217">
        <f>IFERROR(__xludf.DUMMYFUNCTION("""COMPUTED_VALUE"""),250654.0)</f>
        <v>250654</v>
      </c>
      <c r="P24" s="218">
        <f>IFERROR(__xludf.DUMMYFUNCTION("""COMPUTED_VALUE"""),0.278985)</f>
        <v>0.278985</v>
      </c>
      <c r="Q24" s="218">
        <f>IFERROR(__xludf.DUMMYFUNCTION("""COMPUTED_VALUE"""),0.0)</f>
        <v>0</v>
      </c>
      <c r="R24" s="218">
        <f>IFERROR(__xludf.DUMMYFUNCTION("""COMPUTED_VALUE"""),0.10443916666666667)</f>
        <v>0.1044391667</v>
      </c>
      <c r="S24" s="187">
        <f>IFERROR(__xludf.DUMMYFUNCTION("""COMPUTED_VALUE"""),86.0)</f>
        <v>86</v>
      </c>
      <c r="T24" s="187">
        <f>IFERROR(__xludf.DUMMYFUNCTION("""COMPUTED_VALUE"""),76.0)</f>
        <v>76</v>
      </c>
      <c r="U24" s="187">
        <f>IFERROR(__xludf.DUMMYFUNCTION("""COMPUTED_VALUE"""),2.0)</f>
        <v>2</v>
      </c>
      <c r="V24" s="187">
        <f>IFERROR(__xludf.DUMMYFUNCTION("""COMPUTED_VALUE"""),2.0)</f>
        <v>2</v>
      </c>
      <c r="W24" s="187">
        <f>IFERROR(__xludf.DUMMYFUNCTION("""COMPUTED_VALUE"""),88.0)</f>
        <v>88</v>
      </c>
      <c r="X24" s="187">
        <f>IFERROR(__xludf.DUMMYFUNCTION("""COMPUTED_VALUE"""),12.0)</f>
        <v>12</v>
      </c>
      <c r="Y24" s="188">
        <f>IFERROR(__xludf.DUMMYFUNCTION("""COMPUTED_VALUE"""),616628.48)</f>
        <v>616628.48</v>
      </c>
      <c r="Z24" s="188">
        <f>IFERROR(__xludf.DUMMYFUNCTION("""COMPUTED_VALUE"""),52935.68)</f>
        <v>52935.68</v>
      </c>
      <c r="AA24" s="187">
        <f>IFERROR(__xludf.DUMMYFUNCTION("""COMPUTED_VALUE"""),35.0)</f>
        <v>35</v>
      </c>
      <c r="AB24" s="187">
        <f>IFERROR(__xludf.DUMMYFUNCTION("""COMPUTED_VALUE"""),2.0)</f>
        <v>2</v>
      </c>
      <c r="AC24" s="187">
        <f>IFERROR(__xludf.DUMMYFUNCTION("""COMPUTED_VALUE"""),37.0)</f>
        <v>37</v>
      </c>
      <c r="AD24" s="187">
        <f>IFERROR(__xludf.DUMMYFUNCTION("""COMPUTED_VALUE"""),0.0)</f>
        <v>0</v>
      </c>
      <c r="AE24" s="187">
        <f>IFERROR(__xludf.DUMMYFUNCTION("""COMPUTED_VALUE"""),62.0)</f>
        <v>62</v>
      </c>
      <c r="AF24" s="187">
        <f>IFERROR(__xludf.DUMMYFUNCTION("""COMPUTED_VALUE"""),72.0)</f>
        <v>72</v>
      </c>
      <c r="AG24" s="187">
        <f>IFERROR(__xludf.DUMMYFUNCTION("""COMPUTED_VALUE"""),223.0)</f>
        <v>223</v>
      </c>
      <c r="AH24" s="187">
        <f>IFERROR(__xludf.DUMMYFUNCTION("""COMPUTED_VALUE"""),2.0)</f>
        <v>2</v>
      </c>
      <c r="AI24" s="187">
        <f>IFERROR(__xludf.DUMMYFUNCTION("""COMPUTED_VALUE"""),63.0)</f>
        <v>63</v>
      </c>
      <c r="AJ24" s="187">
        <f>IFERROR(__xludf.DUMMYFUNCTION("""COMPUTED_VALUE"""),0.0)</f>
        <v>0</v>
      </c>
      <c r="AK24" s="187">
        <f>IFERROR(__xludf.DUMMYFUNCTION("""COMPUTED_VALUE"""),0.0)</f>
        <v>0</v>
      </c>
      <c r="AL24" s="187">
        <f>IFERROR(__xludf.DUMMYFUNCTION("""COMPUTED_VALUE"""),0.0)</f>
        <v>0</v>
      </c>
      <c r="AM24" s="187">
        <f>IFERROR(__xludf.DUMMYFUNCTION("""COMPUTED_VALUE"""),0.0)</f>
        <v>0</v>
      </c>
      <c r="AN24" s="187">
        <f>IFERROR(__xludf.DUMMYFUNCTION("""COMPUTED_VALUE"""),341.0)</f>
        <v>341</v>
      </c>
      <c r="AO24" s="187">
        <f>IFERROR(__xludf.DUMMYFUNCTION("""COMPUTED_VALUE"""),476.0)</f>
        <v>476</v>
      </c>
      <c r="AP24" s="187">
        <f>IFERROR(__xludf.DUMMYFUNCTION("""COMPUTED_VALUE"""),72.0)</f>
        <v>72</v>
      </c>
      <c r="AQ24" s="217">
        <f>IFERROR(__xludf.DUMMYFUNCTION("""COMPUTED_VALUE"""),9299.5)</f>
        <v>9299.5</v>
      </c>
      <c r="AR24" s="188">
        <f>IFERROR(__xludf.DUMMYFUNCTION("""COMPUTED_VALUE"""),6.611111111111111)</f>
        <v>6.611111111</v>
      </c>
      <c r="AS24" s="217">
        <f>IFERROR(__xludf.DUMMYFUNCTION("""COMPUTED_VALUE"""),70710.0)</f>
        <v>70710</v>
      </c>
      <c r="AT24" s="217"/>
      <c r="AU24" s="218">
        <f>IFERROR(__xludf.DUMMYFUNCTION("""COMPUTED_VALUE"""),0.105606036166819)</f>
        <v>0.1056060362</v>
      </c>
      <c r="AV24" s="217">
        <f>IFERROR(__xludf.DUMMYFUNCTION("""COMPUTED_VALUE"""),18096.324324324323)</f>
        <v>18096.32432</v>
      </c>
      <c r="AW24" s="219">
        <f>IFERROR(__xludf.DUMMYFUNCTION("""COMPUTED_VALUE"""),46.0)</f>
        <v>46</v>
      </c>
      <c r="AX24" s="219">
        <f>IFERROR(__xludf.DUMMYFUNCTION("""COMPUTED_VALUE"""),613.0)</f>
        <v>613</v>
      </c>
      <c r="AY24" s="220">
        <f>IFERROR(__xludf.DUMMYFUNCTION("""COMPUTED_VALUE"""),7869.53)</f>
        <v>7869.53</v>
      </c>
      <c r="AZ24" s="219">
        <f>IFERROR(__xludf.DUMMYFUNCTION("""COMPUTED_VALUE"""),104.0)</f>
        <v>104</v>
      </c>
      <c r="BA24" s="219">
        <f>IFERROR(__xludf.DUMMYFUNCTION("""COMPUTED_VALUE"""),37.0)</f>
        <v>37</v>
      </c>
      <c r="BB24" s="219">
        <f>IFERROR(__xludf.DUMMYFUNCTION("""COMPUTED_VALUE"""),40.0)</f>
        <v>40</v>
      </c>
      <c r="BC24" s="219">
        <f>IFERROR(__xludf.DUMMYFUNCTION("""COMPUTED_VALUE"""),11.0)</f>
        <v>11</v>
      </c>
      <c r="BD24" s="221"/>
      <c r="BE24" s="98"/>
    </row>
    <row r="25">
      <c r="A25" s="6" t="str">
        <f>IFERROR(__xludf.DUMMYFUNCTION("""COMPUTED_VALUE"""),"Pawan Sharma")</f>
        <v>Pawan Sharma</v>
      </c>
      <c r="B25" s="98" t="str">
        <f>IFERROR(__xludf.DUMMYFUNCTION("""COMPUTED_VALUE"""),"Rajasthan")</f>
        <v>Rajasthan</v>
      </c>
      <c r="C25" s="212" t="str">
        <f>IFERROR(__xludf.DUMMYFUNCTION("""COMPUTED_VALUE"""),"SHOYKARAN NAI")</f>
        <v>SHOYKARAN NAI</v>
      </c>
      <c r="D25" s="98" t="str">
        <f>IFERROR(__xludf.DUMMYFUNCTION("""COMPUTED_VALUE"""),"Churu")</f>
        <v>Churu</v>
      </c>
      <c r="E25" s="213">
        <f>IFERROR(__xludf.DUMMYFUNCTION("""COMPUTED_VALUE"""),45861.0)</f>
        <v>45861</v>
      </c>
      <c r="F25" s="222" t="str">
        <f>IFERROR(__xludf.DUMMYFUNCTION("""COMPUTED_VALUE"""),"RAJASTHAN")</f>
        <v>RAJASTHAN</v>
      </c>
      <c r="G25" s="215">
        <f>IFERROR(__xludf.DUMMYFUNCTION("""COMPUTED_VALUE"""),2995134.11)</f>
        <v>2995134.11</v>
      </c>
      <c r="H25" s="215">
        <f>IFERROR(__xludf.DUMMYFUNCTION("""COMPUTED_VALUE"""),1279491.0)</f>
        <v>1279491</v>
      </c>
      <c r="I25" s="216">
        <f>IFERROR(__xludf.DUMMYFUNCTION("""COMPUTED_VALUE"""),24120.0)</f>
        <v>24120</v>
      </c>
      <c r="J25" s="216">
        <f>IFERROR(__xludf.DUMMYFUNCTION("""COMPUTED_VALUE"""),800000.0)</f>
        <v>800000</v>
      </c>
      <c r="K25" s="217">
        <f>IFERROR(__xludf.DUMMYFUNCTION("""COMPUTED_VALUE"""),0.0)</f>
        <v>0</v>
      </c>
      <c r="L25" s="217">
        <f>IFERROR(__xludf.DUMMYFUNCTION("""COMPUTED_VALUE"""),2400000.0)</f>
        <v>2400000</v>
      </c>
      <c r="M25" s="217">
        <f>IFERROR(__xludf.DUMMYFUNCTION("""COMPUTED_VALUE"""),845659.0)</f>
        <v>845659</v>
      </c>
      <c r="N25" s="217">
        <f>IFERROR(__xludf.DUMMYFUNCTION("""COMPUTED_VALUE"""),0.0)</f>
        <v>0</v>
      </c>
      <c r="O25" s="217">
        <f>IFERROR(__xludf.DUMMYFUNCTION("""COMPUTED_VALUE"""),228794.0)</f>
        <v>228794</v>
      </c>
      <c r="P25" s="218">
        <f>IFERROR(__xludf.DUMMYFUNCTION("""COMPUTED_VALUE"""),0.35235791666666666)</f>
        <v>0.3523579167</v>
      </c>
      <c r="Q25" s="218">
        <f>IFERROR(__xludf.DUMMYFUNCTION("""COMPUTED_VALUE"""),0.0)</f>
        <v>0</v>
      </c>
      <c r="R25" s="218">
        <f>IFERROR(__xludf.DUMMYFUNCTION("""COMPUTED_VALUE"""),0.09533083333333334)</f>
        <v>0.09533083333</v>
      </c>
      <c r="S25" s="187">
        <f>IFERROR(__xludf.DUMMYFUNCTION("""COMPUTED_VALUE"""),36.0)</f>
        <v>36</v>
      </c>
      <c r="T25" s="187">
        <f>IFERROR(__xludf.DUMMYFUNCTION("""COMPUTED_VALUE"""),38.0)</f>
        <v>38</v>
      </c>
      <c r="U25" s="187">
        <f>IFERROR(__xludf.DUMMYFUNCTION("""COMPUTED_VALUE"""),5.0)</f>
        <v>5</v>
      </c>
      <c r="V25" s="187">
        <f>IFERROR(__xludf.DUMMYFUNCTION("""COMPUTED_VALUE"""),5.0)</f>
        <v>5</v>
      </c>
      <c r="W25" s="187">
        <f>IFERROR(__xludf.DUMMYFUNCTION("""COMPUTED_VALUE"""),41.0)</f>
        <v>41</v>
      </c>
      <c r="X25" s="187">
        <f>IFERROR(__xludf.DUMMYFUNCTION("""COMPUTED_VALUE"""),3.0)</f>
        <v>3</v>
      </c>
      <c r="Y25" s="188">
        <f>IFERROR(__xludf.DUMMYFUNCTION("""COMPUTED_VALUE"""),644829.6)</f>
        <v>644829.6</v>
      </c>
      <c r="Z25" s="188">
        <f>IFERROR(__xludf.DUMMYFUNCTION("""COMPUTED_VALUE"""),200828.91)</f>
        <v>200828.91</v>
      </c>
      <c r="AA25" s="187">
        <f>IFERROR(__xludf.DUMMYFUNCTION("""COMPUTED_VALUE"""),16.0)</f>
        <v>16</v>
      </c>
      <c r="AB25" s="187">
        <f>IFERROR(__xludf.DUMMYFUNCTION("""COMPUTED_VALUE"""),5.0)</f>
        <v>5</v>
      </c>
      <c r="AC25" s="187">
        <f>IFERROR(__xludf.DUMMYFUNCTION("""COMPUTED_VALUE"""),21.0)</f>
        <v>21</v>
      </c>
      <c r="AD25" s="187">
        <f>IFERROR(__xludf.DUMMYFUNCTION("""COMPUTED_VALUE"""),0.0)</f>
        <v>0</v>
      </c>
      <c r="AE25" s="187">
        <f>IFERROR(__xludf.DUMMYFUNCTION("""COMPUTED_VALUE"""),148.0)</f>
        <v>148</v>
      </c>
      <c r="AF25" s="187">
        <f>IFERROR(__xludf.DUMMYFUNCTION("""COMPUTED_VALUE"""),203.0)</f>
        <v>203</v>
      </c>
      <c r="AG25" s="187">
        <f>IFERROR(__xludf.DUMMYFUNCTION("""COMPUTED_VALUE"""),150.0)</f>
        <v>150</v>
      </c>
      <c r="AH25" s="187">
        <f>IFERROR(__xludf.DUMMYFUNCTION("""COMPUTED_VALUE"""),2.0)</f>
        <v>2</v>
      </c>
      <c r="AI25" s="187">
        <f>IFERROR(__xludf.DUMMYFUNCTION("""COMPUTED_VALUE"""),44.0)</f>
        <v>44</v>
      </c>
      <c r="AJ25" s="187">
        <f>IFERROR(__xludf.DUMMYFUNCTION("""COMPUTED_VALUE"""),0.0)</f>
        <v>0</v>
      </c>
      <c r="AK25" s="187">
        <f>IFERROR(__xludf.DUMMYFUNCTION("""COMPUTED_VALUE"""),0.0)</f>
        <v>0</v>
      </c>
      <c r="AL25" s="187">
        <f>IFERROR(__xludf.DUMMYFUNCTION("""COMPUTED_VALUE"""),2.0)</f>
        <v>2</v>
      </c>
      <c r="AM25" s="187">
        <f>IFERROR(__xludf.DUMMYFUNCTION("""COMPUTED_VALUE"""),3.0)</f>
        <v>3</v>
      </c>
      <c r="AN25" s="187">
        <f>IFERROR(__xludf.DUMMYFUNCTION("""COMPUTED_VALUE"""),148.0)</f>
        <v>148</v>
      </c>
      <c r="AO25" s="187">
        <f>IFERROR(__xludf.DUMMYFUNCTION("""COMPUTED_VALUE"""),398.0)</f>
        <v>398</v>
      </c>
      <c r="AP25" s="187">
        <f>IFERROR(__xludf.DUMMYFUNCTION("""COMPUTED_VALUE"""),70.0)</f>
        <v>70</v>
      </c>
      <c r="AQ25" s="217">
        <f>IFERROR(__xludf.DUMMYFUNCTION("""COMPUTED_VALUE"""),12080.842857142858)</f>
        <v>12080.84286</v>
      </c>
      <c r="AR25" s="188">
        <f>IFERROR(__xludf.DUMMYFUNCTION("""COMPUTED_VALUE"""),5.685714285714286)</f>
        <v>5.685714286</v>
      </c>
      <c r="AS25" s="217">
        <f>IFERROR(__xludf.DUMMYFUNCTION("""COMPUTED_VALUE"""),72360.0)</f>
        <v>72360</v>
      </c>
      <c r="AT25" s="217"/>
      <c r="AU25" s="218">
        <f>IFERROR(__xludf.DUMMYFUNCTION("""COMPUTED_VALUE"""),0.08556640442542443)</f>
        <v>0.08556640443</v>
      </c>
      <c r="AV25" s="217">
        <f>IFERROR(__xludf.DUMMYFUNCTION("""COMPUTED_VALUE"""),40269.47619047619)</f>
        <v>40269.47619</v>
      </c>
      <c r="AW25" s="219">
        <f>IFERROR(__xludf.DUMMYFUNCTION("""COMPUTED_VALUE"""),35.0)</f>
        <v>35</v>
      </c>
      <c r="AX25" s="219">
        <f>IFERROR(__xludf.DUMMYFUNCTION("""COMPUTED_VALUE"""),747.0)</f>
        <v>747</v>
      </c>
      <c r="AY25" s="220">
        <f>IFERROR(__xludf.DUMMYFUNCTION("""COMPUTED_VALUE"""),6027.88)</f>
        <v>6027.88</v>
      </c>
      <c r="AZ25" s="219">
        <f>IFERROR(__xludf.DUMMYFUNCTION("""COMPUTED_VALUE"""),159.0)</f>
        <v>159</v>
      </c>
      <c r="BA25" s="219">
        <f>IFERROR(__xludf.DUMMYFUNCTION("""COMPUTED_VALUE"""),21.0)</f>
        <v>21</v>
      </c>
      <c r="BB25" s="219">
        <f>IFERROR(__xludf.DUMMYFUNCTION("""COMPUTED_VALUE"""),17.0)</f>
        <v>17</v>
      </c>
      <c r="BC25" s="219">
        <f>IFERROR(__xludf.DUMMYFUNCTION("""COMPUTED_VALUE"""),3.0)</f>
        <v>3</v>
      </c>
      <c r="BD25" s="221"/>
      <c r="BE25" s="98"/>
    </row>
    <row r="26">
      <c r="A26" s="6" t="str">
        <f>IFERROR(__xludf.DUMMYFUNCTION("""COMPUTED_VALUE"""),"Biju C.O")</f>
        <v>Biju C.O</v>
      </c>
      <c r="B26" s="98" t="str">
        <f>IFERROR(__xludf.DUMMYFUNCTION("""COMPUTED_VALUE"""),"Tamil Nadu")</f>
        <v>Tamil Nadu</v>
      </c>
      <c r="C26" s="212" t="str">
        <f>IFERROR(__xludf.DUMMYFUNCTION("""COMPUTED_VALUE"""),"K Suresh Kumar")</f>
        <v>K Suresh Kumar</v>
      </c>
      <c r="D26" s="98" t="str">
        <f>IFERROR(__xludf.DUMMYFUNCTION("""COMPUTED_VALUE"""),"Virudhunagar")</f>
        <v>Virudhunagar</v>
      </c>
      <c r="E26" s="213">
        <f>IFERROR(__xludf.DUMMYFUNCTION("""COMPUTED_VALUE"""),46084.0)</f>
        <v>46084</v>
      </c>
      <c r="F26" s="222" t="str">
        <f>IFERROR(__xludf.DUMMYFUNCTION("""COMPUTED_VALUE"""),"TAMIL NADU")</f>
        <v>TAMIL NADU</v>
      </c>
      <c r="G26" s="215">
        <f>IFERROR(__xludf.DUMMYFUNCTION("""COMPUTED_VALUE"""),96357.70000000001)</f>
        <v>96357.7</v>
      </c>
      <c r="H26" s="215">
        <f>IFERROR(__xludf.DUMMYFUNCTION("""COMPUTED_VALUE"""),96360.0)</f>
        <v>96360</v>
      </c>
      <c r="I26" s="216">
        <f>IFERROR(__xludf.DUMMYFUNCTION("""COMPUTED_VALUE"""),34620.0)</f>
        <v>34620</v>
      </c>
      <c r="J26" s="216">
        <f>IFERROR(__xludf.DUMMYFUNCTION("""COMPUTED_VALUE"""),1250000.0)</f>
        <v>1250000</v>
      </c>
      <c r="K26" s="217">
        <f>IFERROR(__xludf.DUMMYFUNCTION("""COMPUTED_VALUE"""),0.0)</f>
        <v>0</v>
      </c>
      <c r="L26" s="217">
        <f>IFERROR(__xludf.DUMMYFUNCTION("""COMPUTED_VALUE"""),3750000.0)</f>
        <v>3750000</v>
      </c>
      <c r="M26" s="217">
        <f>IFERROR(__xludf.DUMMYFUNCTION("""COMPUTED_VALUE"""),1327369.0)</f>
        <v>1327369</v>
      </c>
      <c r="N26" s="217">
        <f>IFERROR(__xludf.DUMMYFUNCTION("""COMPUTED_VALUE"""),0.0)</f>
        <v>0</v>
      </c>
      <c r="O26" s="217">
        <f>IFERROR(__xludf.DUMMYFUNCTION("""COMPUTED_VALUE"""),1347225.2000000002)</f>
        <v>1347225.2</v>
      </c>
      <c r="P26" s="218">
        <f>IFERROR(__xludf.DUMMYFUNCTION("""COMPUTED_VALUE"""),0.35396506666666666)</f>
        <v>0.3539650667</v>
      </c>
      <c r="Q26" s="218">
        <f>IFERROR(__xludf.DUMMYFUNCTION("""COMPUTED_VALUE"""),0.0)</f>
        <v>0</v>
      </c>
      <c r="R26" s="218">
        <f>IFERROR(__xludf.DUMMYFUNCTION("""COMPUTED_VALUE"""),0.3592600533333334)</f>
        <v>0.3592600533</v>
      </c>
      <c r="S26" s="187">
        <f>IFERROR(__xludf.DUMMYFUNCTION("""COMPUTED_VALUE"""),48.0)</f>
        <v>48</v>
      </c>
      <c r="T26" s="187">
        <f>IFERROR(__xludf.DUMMYFUNCTION("""COMPUTED_VALUE"""),70.0)</f>
        <v>70</v>
      </c>
      <c r="U26" s="187">
        <f>IFERROR(__xludf.DUMMYFUNCTION("""COMPUTED_VALUE"""),26.0)</f>
        <v>26</v>
      </c>
      <c r="V26" s="187">
        <f>IFERROR(__xludf.DUMMYFUNCTION("""COMPUTED_VALUE"""),26.0)</f>
        <v>26</v>
      </c>
      <c r="W26" s="187">
        <f>IFERROR(__xludf.DUMMYFUNCTION("""COMPUTED_VALUE"""),74.0)</f>
        <v>74</v>
      </c>
      <c r="X26" s="187">
        <f>IFERROR(__xludf.DUMMYFUNCTION("""COMPUTED_VALUE"""),4.0)</f>
        <v>4</v>
      </c>
      <c r="Y26" s="188">
        <f>IFERROR(__xludf.DUMMYFUNCTION("""COMPUTED_VALUE"""),664624.8)</f>
        <v>664624.8</v>
      </c>
      <c r="Z26" s="188">
        <f>IFERROR(__xludf.DUMMYFUNCTION("""COMPUTED_VALUE"""),662744.2)</f>
        <v>662744.2</v>
      </c>
      <c r="AA26" s="187">
        <f>IFERROR(__xludf.DUMMYFUNCTION("""COMPUTED_VALUE"""),20.0)</f>
        <v>20</v>
      </c>
      <c r="AB26" s="187">
        <f>IFERROR(__xludf.DUMMYFUNCTION("""COMPUTED_VALUE"""),26.0)</f>
        <v>26</v>
      </c>
      <c r="AC26" s="187">
        <f>IFERROR(__xludf.DUMMYFUNCTION("""COMPUTED_VALUE"""),46.0)</f>
        <v>46</v>
      </c>
      <c r="AD26" s="187">
        <f>IFERROR(__xludf.DUMMYFUNCTION("""COMPUTED_VALUE"""),0.0)</f>
        <v>0</v>
      </c>
      <c r="AE26" s="187">
        <f>IFERROR(__xludf.DUMMYFUNCTION("""COMPUTED_VALUE"""),152.0)</f>
        <v>152</v>
      </c>
      <c r="AF26" s="187">
        <f>IFERROR(__xludf.DUMMYFUNCTION("""COMPUTED_VALUE"""),322.0)</f>
        <v>322</v>
      </c>
      <c r="AG26" s="187">
        <f>IFERROR(__xludf.DUMMYFUNCTION("""COMPUTED_VALUE"""),17.0)</f>
        <v>17</v>
      </c>
      <c r="AH26" s="187">
        <f>IFERROR(__xludf.DUMMYFUNCTION("""COMPUTED_VALUE"""),0.0)</f>
        <v>0</v>
      </c>
      <c r="AI26" s="187">
        <f>IFERROR(__xludf.DUMMYFUNCTION("""COMPUTED_VALUE"""),0.0)</f>
        <v>0</v>
      </c>
      <c r="AJ26" s="187">
        <f>IFERROR(__xludf.DUMMYFUNCTION("""COMPUTED_VALUE"""),1.0)</f>
        <v>1</v>
      </c>
      <c r="AK26" s="187">
        <f>IFERROR(__xludf.DUMMYFUNCTION("""COMPUTED_VALUE"""),1.0)</f>
        <v>1</v>
      </c>
      <c r="AL26" s="187">
        <f>IFERROR(__xludf.DUMMYFUNCTION("""COMPUTED_VALUE"""),0.0)</f>
        <v>0</v>
      </c>
      <c r="AM26" s="187">
        <f>IFERROR(__xludf.DUMMYFUNCTION("""COMPUTED_VALUE"""),0.0)</f>
        <v>0</v>
      </c>
      <c r="AN26" s="187">
        <f>IFERROR(__xludf.DUMMYFUNCTION("""COMPUTED_VALUE"""),261.0)</f>
        <v>261</v>
      </c>
      <c r="AO26" s="187">
        <f>IFERROR(__xludf.DUMMYFUNCTION("""COMPUTED_VALUE"""),584.0)</f>
        <v>584</v>
      </c>
      <c r="AP26" s="187">
        <f>IFERROR(__xludf.DUMMYFUNCTION("""COMPUTED_VALUE"""),68.0)</f>
        <v>68</v>
      </c>
      <c r="AQ26" s="217">
        <f>IFERROR(__xludf.DUMMYFUNCTION("""COMPUTED_VALUE"""),19520.132352941175)</f>
        <v>19520.13235</v>
      </c>
      <c r="AR26" s="188">
        <f>IFERROR(__xludf.DUMMYFUNCTION("""COMPUTED_VALUE"""),8.588235294117647)</f>
        <v>8.588235294</v>
      </c>
      <c r="AS26" s="217">
        <f>IFERROR(__xludf.DUMMYFUNCTION("""COMPUTED_VALUE"""),103860.0)</f>
        <v>103860</v>
      </c>
      <c r="AT26" s="217"/>
      <c r="AU26" s="218">
        <f>IFERROR(__xludf.DUMMYFUNCTION("""COMPUTED_VALUE"""),0.07824500948869531)</f>
        <v>0.07824500949</v>
      </c>
      <c r="AV26" s="217">
        <f>IFERROR(__xludf.DUMMYFUNCTION("""COMPUTED_VALUE"""),28855.847826086956)</f>
        <v>28855.84783</v>
      </c>
      <c r="AW26" s="219">
        <f>IFERROR(__xludf.DUMMYFUNCTION("""COMPUTED_VALUE"""),100.0)</f>
        <v>100</v>
      </c>
      <c r="AX26" s="219">
        <f>IFERROR(__xludf.DUMMYFUNCTION("""COMPUTED_VALUE"""),671.0)</f>
        <v>671</v>
      </c>
      <c r="AY26" s="220">
        <f>IFERROR(__xludf.DUMMYFUNCTION("""COMPUTED_VALUE"""),8066.78)</f>
        <v>8066.78</v>
      </c>
      <c r="AZ26" s="219">
        <f>IFERROR(__xludf.DUMMYFUNCTION("""COMPUTED_VALUE"""),115.0)</f>
        <v>115</v>
      </c>
      <c r="BA26" s="219">
        <f>IFERROR(__xludf.DUMMYFUNCTION("""COMPUTED_VALUE"""),46.0)</f>
        <v>46</v>
      </c>
      <c r="BB26" s="219">
        <f>IFERROR(__xludf.DUMMYFUNCTION("""COMPUTED_VALUE"""),24.0)</f>
        <v>24</v>
      </c>
      <c r="BC26" s="219">
        <f>IFERROR(__xludf.DUMMYFUNCTION("""COMPUTED_VALUE"""),4.0)</f>
        <v>4</v>
      </c>
      <c r="BD26" s="221"/>
      <c r="BE26" s="98"/>
    </row>
    <row r="27">
      <c r="A27" s="6" t="str">
        <f>IFERROR(__xludf.DUMMYFUNCTION("""COMPUTED_VALUE"""),"Sandeep Dadheech")</f>
        <v>Sandeep Dadheech</v>
      </c>
      <c r="B27" s="98" t="str">
        <f>IFERROR(__xludf.DUMMYFUNCTION("""COMPUTED_VALUE"""),"West Bengal")</f>
        <v>West Bengal</v>
      </c>
      <c r="C27" s="212" t="str">
        <f>IFERROR(__xludf.DUMMYFUNCTION("""COMPUTED_VALUE"""),"Surojit Mondal")</f>
        <v>Surojit Mondal</v>
      </c>
      <c r="D27" s="98" t="str">
        <f>IFERROR(__xludf.DUMMYFUNCTION("""COMPUTED_VALUE"""),"ANDAL")</f>
        <v>ANDAL</v>
      </c>
      <c r="E27" s="213">
        <f>IFERROR(__xludf.DUMMYFUNCTION("""COMPUTED_VALUE"""),41159.0)</f>
        <v>41159</v>
      </c>
      <c r="F27" s="222" t="str">
        <f>IFERROR(__xludf.DUMMYFUNCTION("""COMPUTED_VALUE"""),"WEST BENGAL")</f>
        <v>WEST BENGAL</v>
      </c>
      <c r="G27" s="215">
        <f>IFERROR(__xludf.DUMMYFUNCTION("""COMPUTED_VALUE"""),3.491004561E7)</f>
        <v>34910045.61</v>
      </c>
      <c r="H27" s="215">
        <f>IFERROR(__xludf.DUMMYFUNCTION("""COMPUTED_VALUE"""),5.1700476E7)</f>
        <v>51700476</v>
      </c>
      <c r="I27" s="216">
        <f>IFERROR(__xludf.DUMMYFUNCTION("""COMPUTED_VALUE"""),78125.0)</f>
        <v>78125</v>
      </c>
      <c r="J27" s="216">
        <f>IFERROR(__xludf.DUMMYFUNCTION("""COMPUTED_VALUE"""),6000000.0)</f>
        <v>6000000</v>
      </c>
      <c r="K27" s="217">
        <f>IFERROR(__xludf.DUMMYFUNCTION("""COMPUTED_VALUE"""),0.0)</f>
        <v>0</v>
      </c>
      <c r="L27" s="217">
        <f>IFERROR(__xludf.DUMMYFUNCTION("""COMPUTED_VALUE"""),1.8E7)</f>
        <v>18000000</v>
      </c>
      <c r="M27" s="217">
        <f>IFERROR(__xludf.DUMMYFUNCTION("""COMPUTED_VALUE"""),4282163.0)</f>
        <v>4282163</v>
      </c>
      <c r="N27" s="217">
        <f>IFERROR(__xludf.DUMMYFUNCTION("""COMPUTED_VALUE"""),0.0)</f>
        <v>0</v>
      </c>
      <c r="O27" s="217">
        <f>IFERROR(__xludf.DUMMYFUNCTION("""COMPUTED_VALUE"""),4775964.0)</f>
        <v>4775964</v>
      </c>
      <c r="P27" s="218">
        <f>IFERROR(__xludf.DUMMYFUNCTION("""COMPUTED_VALUE"""),0.23789794444444445)</f>
        <v>0.2378979444</v>
      </c>
      <c r="Q27" s="218">
        <f>IFERROR(__xludf.DUMMYFUNCTION("""COMPUTED_VALUE"""),0.0)</f>
        <v>0</v>
      </c>
      <c r="R27" s="218">
        <f>IFERROR(__xludf.DUMMYFUNCTION("""COMPUTED_VALUE"""),0.2653313333333333)</f>
        <v>0.2653313333</v>
      </c>
      <c r="S27" s="187">
        <f>IFERROR(__xludf.DUMMYFUNCTION("""COMPUTED_VALUE"""),95.0)</f>
        <v>95</v>
      </c>
      <c r="T27" s="187">
        <f>IFERROR(__xludf.DUMMYFUNCTION("""COMPUTED_VALUE"""),85.0)</f>
        <v>85</v>
      </c>
      <c r="U27" s="187">
        <f>IFERROR(__xludf.DUMMYFUNCTION("""COMPUTED_VALUE"""),2.0)</f>
        <v>2</v>
      </c>
      <c r="V27" s="187">
        <f>IFERROR(__xludf.DUMMYFUNCTION("""COMPUTED_VALUE"""),2.0)</f>
        <v>2</v>
      </c>
      <c r="W27" s="187">
        <f>IFERROR(__xludf.DUMMYFUNCTION("""COMPUTED_VALUE"""),97.0)</f>
        <v>97</v>
      </c>
      <c r="X27" s="187">
        <f>IFERROR(__xludf.DUMMYFUNCTION("""COMPUTED_VALUE"""),12.0)</f>
        <v>12</v>
      </c>
      <c r="Y27" s="188">
        <f>IFERROR(__xludf.DUMMYFUNCTION("""COMPUTED_VALUE"""),4121053.18)</f>
        <v>4121053.18</v>
      </c>
      <c r="Z27" s="188">
        <f>IFERROR(__xludf.DUMMYFUNCTION("""COMPUTED_VALUE"""),161110.08)</f>
        <v>161110.08</v>
      </c>
      <c r="AA27" s="187">
        <f>IFERROR(__xludf.DUMMYFUNCTION("""COMPUTED_VALUE"""),19.0)</f>
        <v>19</v>
      </c>
      <c r="AB27" s="187">
        <f>IFERROR(__xludf.DUMMYFUNCTION("""COMPUTED_VALUE"""),2.0)</f>
        <v>2</v>
      </c>
      <c r="AC27" s="187">
        <f>IFERROR(__xludf.DUMMYFUNCTION("""COMPUTED_VALUE"""),21.0)</f>
        <v>21</v>
      </c>
      <c r="AD27" s="187">
        <f>IFERROR(__xludf.DUMMYFUNCTION("""COMPUTED_VALUE"""),0.0)</f>
        <v>0</v>
      </c>
      <c r="AE27" s="187">
        <f>IFERROR(__xludf.DUMMYFUNCTION("""COMPUTED_VALUE"""),45.0)</f>
        <v>45</v>
      </c>
      <c r="AF27" s="187">
        <f>IFERROR(__xludf.DUMMYFUNCTION("""COMPUTED_VALUE"""),84.0)</f>
        <v>84</v>
      </c>
      <c r="AG27" s="187">
        <f>IFERROR(__xludf.DUMMYFUNCTION("""COMPUTED_VALUE"""),28.0)</f>
        <v>28</v>
      </c>
      <c r="AH27" s="187">
        <f>IFERROR(__xludf.DUMMYFUNCTION("""COMPUTED_VALUE"""),2.0)</f>
        <v>2</v>
      </c>
      <c r="AI27" s="187">
        <f>IFERROR(__xludf.DUMMYFUNCTION("""COMPUTED_VALUE"""),9.0)</f>
        <v>9</v>
      </c>
      <c r="AJ27" s="187">
        <f>IFERROR(__xludf.DUMMYFUNCTION("""COMPUTED_VALUE"""),0.0)</f>
        <v>0</v>
      </c>
      <c r="AK27" s="187">
        <f>IFERROR(__xludf.DUMMYFUNCTION("""COMPUTED_VALUE"""),0.0)</f>
        <v>0</v>
      </c>
      <c r="AL27" s="187">
        <f>IFERROR(__xludf.DUMMYFUNCTION("""COMPUTED_VALUE"""),0.0)</f>
        <v>0</v>
      </c>
      <c r="AM27" s="187">
        <f>IFERROR(__xludf.DUMMYFUNCTION("""COMPUTED_VALUE"""),0.0)</f>
        <v>0</v>
      </c>
      <c r="AN27" s="187">
        <f>IFERROR(__xludf.DUMMYFUNCTION("""COMPUTED_VALUE"""),274.0)</f>
        <v>274</v>
      </c>
      <c r="AO27" s="187">
        <f>IFERROR(__xludf.DUMMYFUNCTION("""COMPUTED_VALUE"""),367.0)</f>
        <v>367</v>
      </c>
      <c r="AP27" s="187">
        <f>IFERROR(__xludf.DUMMYFUNCTION("""COMPUTED_VALUE"""),78.0)</f>
        <v>78</v>
      </c>
      <c r="AQ27" s="217">
        <f>IFERROR(__xludf.DUMMYFUNCTION("""COMPUTED_VALUE"""),54899.52564102564)</f>
        <v>54899.52564</v>
      </c>
      <c r="AR27" s="188">
        <f>IFERROR(__xludf.DUMMYFUNCTION("""COMPUTED_VALUE"""),4.705128205128205)</f>
        <v>4.705128205</v>
      </c>
      <c r="AS27" s="217">
        <f>IFERROR(__xludf.DUMMYFUNCTION("""COMPUTED_VALUE"""),234375.0)</f>
        <v>234375</v>
      </c>
      <c r="AT27" s="217"/>
      <c r="AU27" s="218">
        <f>IFERROR(__xludf.DUMMYFUNCTION("""COMPUTED_VALUE"""),0.054732853466811046)</f>
        <v>0.05473285347</v>
      </c>
      <c r="AV27" s="217">
        <f>IFERROR(__xludf.DUMMYFUNCTION("""COMPUTED_VALUE"""),203912.52380952382)</f>
        <v>203912.5238</v>
      </c>
      <c r="AW27" s="219">
        <f>IFERROR(__xludf.DUMMYFUNCTION("""COMPUTED_VALUE"""),23.0)</f>
        <v>23</v>
      </c>
      <c r="AX27" s="219">
        <f>IFERROR(__xludf.DUMMYFUNCTION("""COMPUTED_VALUE"""),891.0)</f>
        <v>891</v>
      </c>
      <c r="AY27" s="220">
        <f>IFERROR(__xludf.DUMMYFUNCTION("""COMPUTED_VALUE"""),3350.84)</f>
        <v>3350.84</v>
      </c>
      <c r="AZ27" s="219">
        <f>IFERROR(__xludf.DUMMYFUNCTION("""COMPUTED_VALUE"""),39.0)</f>
        <v>39</v>
      </c>
      <c r="BA27" s="219">
        <f>IFERROR(__xludf.DUMMYFUNCTION("""COMPUTED_VALUE"""),21.0)</f>
        <v>21</v>
      </c>
      <c r="BB27" s="219">
        <f>IFERROR(__xludf.DUMMYFUNCTION("""COMPUTED_VALUE"""),64.0)</f>
        <v>64</v>
      </c>
      <c r="BC27" s="219">
        <f>IFERROR(__xludf.DUMMYFUNCTION("""COMPUTED_VALUE"""),12.0)</f>
        <v>12</v>
      </c>
      <c r="BD27" s="221"/>
      <c r="BE27" s="98"/>
    </row>
    <row r="28">
      <c r="A28" s="6" t="str">
        <f>IFERROR(__xludf.DUMMYFUNCTION("""COMPUTED_VALUE"""),"Sandeep Dadheech")</f>
        <v>Sandeep Dadheech</v>
      </c>
      <c r="B28" s="98" t="str">
        <f>IFERROR(__xludf.DUMMYFUNCTION("""COMPUTED_VALUE"""),"West Bengal")</f>
        <v>West Bengal</v>
      </c>
      <c r="C28" s="212" t="str">
        <f>IFERROR(__xludf.DUMMYFUNCTION("""COMPUTED_VALUE"""),"Sudipta Thom")</f>
        <v>Sudipta Thom</v>
      </c>
      <c r="D28" s="98" t="str">
        <f>IFERROR(__xludf.DUMMYFUNCTION("""COMPUTED_VALUE"""),"ANDAL")</f>
        <v>ANDAL</v>
      </c>
      <c r="E28" s="213">
        <f>IFERROR(__xludf.DUMMYFUNCTION("""COMPUTED_VALUE"""),43119.0)</f>
        <v>43119</v>
      </c>
      <c r="F28" s="222" t="str">
        <f>IFERROR(__xludf.DUMMYFUNCTION("""COMPUTED_VALUE"""),"WEST BENGAL")</f>
        <v>WEST BENGAL</v>
      </c>
      <c r="G28" s="215">
        <f>IFERROR(__xludf.DUMMYFUNCTION("""COMPUTED_VALUE"""),2.274684639E7)</f>
        <v>22746846.39</v>
      </c>
      <c r="H28" s="215">
        <f>IFERROR(__xludf.DUMMYFUNCTION("""COMPUTED_VALUE"""),4.4406509E7)</f>
        <v>44406509</v>
      </c>
      <c r="I28" s="216">
        <f>IFERROR(__xludf.DUMMYFUNCTION("""COMPUTED_VALUE"""),56700.0)</f>
        <v>56700</v>
      </c>
      <c r="J28" s="216">
        <f>IFERROR(__xludf.DUMMYFUNCTION("""COMPUTED_VALUE"""),5833333.0)</f>
        <v>5833333</v>
      </c>
      <c r="K28" s="217">
        <f>IFERROR(__xludf.DUMMYFUNCTION("""COMPUTED_VALUE"""),0.0)</f>
        <v>0</v>
      </c>
      <c r="L28" s="217">
        <f>IFERROR(__xludf.DUMMYFUNCTION("""COMPUTED_VALUE"""),1.7499999E7)</f>
        <v>17499999</v>
      </c>
      <c r="M28" s="217">
        <f>IFERROR(__xludf.DUMMYFUNCTION("""COMPUTED_VALUE"""),980666.0)</f>
        <v>980666</v>
      </c>
      <c r="N28" s="217">
        <f>IFERROR(__xludf.DUMMYFUNCTION("""COMPUTED_VALUE"""),0.0)</f>
        <v>0</v>
      </c>
      <c r="O28" s="217">
        <f>IFERROR(__xludf.DUMMYFUNCTION("""COMPUTED_VALUE"""),3078290.0)</f>
        <v>3078290</v>
      </c>
      <c r="P28" s="218">
        <f>IFERROR(__xludf.DUMMYFUNCTION("""COMPUTED_VALUE"""),0.05603806034503202)</f>
        <v>0.05603806035</v>
      </c>
      <c r="Q28" s="218">
        <f>IFERROR(__xludf.DUMMYFUNCTION("""COMPUTED_VALUE"""),0.0)</f>
        <v>0</v>
      </c>
      <c r="R28" s="218">
        <f>IFERROR(__xludf.DUMMYFUNCTION("""COMPUTED_VALUE"""),0.17590229576584548)</f>
        <v>0.1759022958</v>
      </c>
      <c r="S28" s="187">
        <f>IFERROR(__xludf.DUMMYFUNCTION("""COMPUTED_VALUE"""),49.0)</f>
        <v>49</v>
      </c>
      <c r="T28" s="187">
        <f>IFERROR(__xludf.DUMMYFUNCTION("""COMPUTED_VALUE"""),15.0)</f>
        <v>15</v>
      </c>
      <c r="U28" s="187">
        <f>IFERROR(__xludf.DUMMYFUNCTION("""COMPUTED_VALUE"""),1.0)</f>
        <v>1</v>
      </c>
      <c r="V28" s="187">
        <f>IFERROR(__xludf.DUMMYFUNCTION("""COMPUTED_VALUE"""),0.0)</f>
        <v>0</v>
      </c>
      <c r="W28" s="187">
        <f>IFERROR(__xludf.DUMMYFUNCTION("""COMPUTED_VALUE"""),50.0)</f>
        <v>50</v>
      </c>
      <c r="X28" s="187">
        <f>IFERROR(__xludf.DUMMYFUNCTION("""COMPUTED_VALUE"""),35.0)</f>
        <v>35</v>
      </c>
      <c r="Y28" s="188">
        <f>IFERROR(__xludf.DUMMYFUNCTION("""COMPUTED_VALUE"""),980666.0)</f>
        <v>980666</v>
      </c>
      <c r="Z28" s="188">
        <f>IFERROR(__xludf.DUMMYFUNCTION("""COMPUTED_VALUE"""),0.0)</f>
        <v>0</v>
      </c>
      <c r="AA28" s="187">
        <f>IFERROR(__xludf.DUMMYFUNCTION("""COMPUTED_VALUE"""),1.0)</f>
        <v>1</v>
      </c>
      <c r="AB28" s="187">
        <f>IFERROR(__xludf.DUMMYFUNCTION("""COMPUTED_VALUE"""),0.0)</f>
        <v>0</v>
      </c>
      <c r="AC28" s="187">
        <f>IFERROR(__xludf.DUMMYFUNCTION("""COMPUTED_VALUE"""),1.0)</f>
        <v>1</v>
      </c>
      <c r="AD28" s="187">
        <f>IFERROR(__xludf.DUMMYFUNCTION("""COMPUTED_VALUE"""),0.0)</f>
        <v>0</v>
      </c>
      <c r="AE28" s="187">
        <f>IFERROR(__xludf.DUMMYFUNCTION("""COMPUTED_VALUE"""),7.0)</f>
        <v>7</v>
      </c>
      <c r="AF28" s="187">
        <f>IFERROR(__xludf.DUMMYFUNCTION("""COMPUTED_VALUE"""),8.0)</f>
        <v>8</v>
      </c>
      <c r="AG28" s="187">
        <f>IFERROR(__xludf.DUMMYFUNCTION("""COMPUTED_VALUE"""),70.0)</f>
        <v>70</v>
      </c>
      <c r="AH28" s="187">
        <f>IFERROR(__xludf.DUMMYFUNCTION("""COMPUTED_VALUE"""),4.0)</f>
        <v>4</v>
      </c>
      <c r="AI28" s="187">
        <f>IFERROR(__xludf.DUMMYFUNCTION("""COMPUTED_VALUE"""),57.0)</f>
        <v>57</v>
      </c>
      <c r="AJ28" s="187">
        <f>IFERROR(__xludf.DUMMYFUNCTION("""COMPUTED_VALUE"""),0.0)</f>
        <v>0</v>
      </c>
      <c r="AK28" s="187">
        <f>IFERROR(__xludf.DUMMYFUNCTION("""COMPUTED_VALUE"""),0.0)</f>
        <v>0</v>
      </c>
      <c r="AL28" s="187">
        <f>IFERROR(__xludf.DUMMYFUNCTION("""COMPUTED_VALUE"""),0.0)</f>
        <v>0</v>
      </c>
      <c r="AM28" s="187">
        <f>IFERROR(__xludf.DUMMYFUNCTION("""COMPUTED_VALUE"""),0.0)</f>
        <v>0</v>
      </c>
      <c r="AN28" s="187">
        <f>IFERROR(__xludf.DUMMYFUNCTION("""COMPUTED_VALUE"""),37.0)</f>
        <v>37</v>
      </c>
      <c r="AO28" s="187">
        <f>IFERROR(__xludf.DUMMYFUNCTION("""COMPUTED_VALUE"""),102.0)</f>
        <v>102</v>
      </c>
      <c r="AP28" s="187">
        <f>IFERROR(__xludf.DUMMYFUNCTION("""COMPUTED_VALUE"""),69.0)</f>
        <v>69</v>
      </c>
      <c r="AQ28" s="217">
        <f>IFERROR(__xludf.DUMMYFUNCTION("""COMPUTED_VALUE"""),14212.550724637682)</f>
        <v>14212.55072</v>
      </c>
      <c r="AR28" s="188">
        <f>IFERROR(__xludf.DUMMYFUNCTION("""COMPUTED_VALUE"""),1.4782608695652173)</f>
        <v>1.47826087</v>
      </c>
      <c r="AS28" s="217">
        <f>IFERROR(__xludf.DUMMYFUNCTION("""COMPUTED_VALUE"""),170100.0)</f>
        <v>170100</v>
      </c>
      <c r="AT28" s="217"/>
      <c r="AU28" s="218">
        <f>IFERROR(__xludf.DUMMYFUNCTION("""COMPUTED_VALUE"""),0.1734535509541475)</f>
        <v>0.173453551</v>
      </c>
      <c r="AV28" s="217">
        <f>IFERROR(__xludf.DUMMYFUNCTION("""COMPUTED_VALUE"""),980666.0)</f>
        <v>980666</v>
      </c>
      <c r="AW28" s="219">
        <f>IFERROR(__xludf.DUMMYFUNCTION("""COMPUTED_VALUE"""),1.0)</f>
        <v>1</v>
      </c>
      <c r="AX28" s="219">
        <f>IFERROR(__xludf.DUMMYFUNCTION("""COMPUTED_VALUE"""),653.0)</f>
        <v>653</v>
      </c>
      <c r="AY28" s="220">
        <f>IFERROR(__xludf.DUMMYFUNCTION("""COMPUTED_VALUE"""),3889.51)</f>
        <v>3889.51</v>
      </c>
      <c r="AZ28" s="219">
        <f>IFERROR(__xludf.DUMMYFUNCTION("""COMPUTED_VALUE"""),259.0)</f>
        <v>259</v>
      </c>
      <c r="BA28" s="219">
        <f>IFERROR(__xludf.DUMMYFUNCTION("""COMPUTED_VALUE"""),1.0)</f>
        <v>1</v>
      </c>
      <c r="BB28" s="219">
        <f>IFERROR(__xludf.DUMMYFUNCTION("""COMPUTED_VALUE"""),14.0)</f>
        <v>14</v>
      </c>
      <c r="BC28" s="219">
        <f>IFERROR(__xludf.DUMMYFUNCTION("""COMPUTED_VALUE"""),35.0)</f>
        <v>35</v>
      </c>
      <c r="BD28" s="221"/>
      <c r="BE28" s="98"/>
    </row>
    <row r="29">
      <c r="A29" s="6" t="str">
        <f>IFERROR(__xludf.DUMMYFUNCTION("""COMPUTED_VALUE"""),"Sandeep Dadheech")</f>
        <v>Sandeep Dadheech</v>
      </c>
      <c r="B29" s="98" t="str">
        <f>IFERROR(__xludf.DUMMYFUNCTION("""COMPUTED_VALUE"""),"West Bengal")</f>
        <v>West Bengal</v>
      </c>
      <c r="C29" s="212" t="str">
        <f>IFERROR(__xludf.DUMMYFUNCTION("""COMPUTED_VALUE"""),"Aditya Dasgupta")</f>
        <v>Aditya Dasgupta</v>
      </c>
      <c r="D29" s="98" t="str">
        <f>IFERROR(__xludf.DUMMYFUNCTION("""COMPUTED_VALUE"""),"Siliguri")</f>
        <v>Siliguri</v>
      </c>
      <c r="E29" s="213">
        <f>IFERROR(__xludf.DUMMYFUNCTION("""COMPUTED_VALUE"""),46087.0)</f>
        <v>46087</v>
      </c>
      <c r="F29" s="222" t="str">
        <f>IFERROR(__xludf.DUMMYFUNCTION("""COMPUTED_VALUE"""),"WEST BENGAL")</f>
        <v>WEST BENGAL</v>
      </c>
      <c r="G29" s="215">
        <f>IFERROR(__xludf.DUMMYFUNCTION("""COMPUTED_VALUE"""),0.0)</f>
        <v>0</v>
      </c>
      <c r="H29" s="215">
        <f>IFERROR(__xludf.DUMMYFUNCTION("""COMPUTED_VALUE"""),0.0)</f>
        <v>0</v>
      </c>
      <c r="I29" s="216">
        <f>IFERROR(__xludf.DUMMYFUNCTION("""COMPUTED_VALUE"""),42480.0)</f>
        <v>42480</v>
      </c>
      <c r="J29" s="216">
        <f>IFERROR(__xludf.DUMMYFUNCTION("""COMPUTED_VALUE"""),2000000.0)</f>
        <v>2000000</v>
      </c>
      <c r="K29" s="217">
        <f>IFERROR(__xludf.DUMMYFUNCTION("""COMPUTED_VALUE"""),0.0)</f>
        <v>0</v>
      </c>
      <c r="L29" s="217">
        <f>IFERROR(__xludf.DUMMYFUNCTION("""COMPUTED_VALUE"""),6000000.0)</f>
        <v>6000000</v>
      </c>
      <c r="M29" s="217">
        <f>IFERROR(__xludf.DUMMYFUNCTION("""COMPUTED_VALUE"""),174750.0)</f>
        <v>174750</v>
      </c>
      <c r="N29" s="217">
        <f>IFERROR(__xludf.DUMMYFUNCTION("""COMPUTED_VALUE"""),0.0)</f>
        <v>0</v>
      </c>
      <c r="O29" s="217">
        <f>IFERROR(__xludf.DUMMYFUNCTION("""COMPUTED_VALUE"""),0.0)</f>
        <v>0</v>
      </c>
      <c r="P29" s="218">
        <f>IFERROR(__xludf.DUMMYFUNCTION("""COMPUTED_VALUE"""),0.029125)</f>
        <v>0.029125</v>
      </c>
      <c r="Q29" s="218">
        <f>IFERROR(__xludf.DUMMYFUNCTION("""COMPUTED_VALUE"""),0.0)</f>
        <v>0</v>
      </c>
      <c r="R29" s="218">
        <f>IFERROR(__xludf.DUMMYFUNCTION("""COMPUTED_VALUE"""),0.0)</f>
        <v>0</v>
      </c>
      <c r="S29" s="187">
        <f>IFERROR(__xludf.DUMMYFUNCTION("""COMPUTED_VALUE"""),35.0)</f>
        <v>35</v>
      </c>
      <c r="T29" s="187">
        <f>IFERROR(__xludf.DUMMYFUNCTION("""COMPUTED_VALUE"""),36.0)</f>
        <v>36</v>
      </c>
      <c r="U29" s="187">
        <f>IFERROR(__xludf.DUMMYFUNCTION("""COMPUTED_VALUE"""),3.0)</f>
        <v>3</v>
      </c>
      <c r="V29" s="187">
        <f>IFERROR(__xludf.DUMMYFUNCTION("""COMPUTED_VALUE"""),3.0)</f>
        <v>3</v>
      </c>
      <c r="W29" s="187">
        <f>IFERROR(__xludf.DUMMYFUNCTION("""COMPUTED_VALUE"""),38.0)</f>
        <v>38</v>
      </c>
      <c r="X29" s="187">
        <f>IFERROR(__xludf.DUMMYFUNCTION("""COMPUTED_VALUE"""),2.0)</f>
        <v>2</v>
      </c>
      <c r="Y29" s="188">
        <f>IFERROR(__xludf.DUMMYFUNCTION("""COMPUTED_VALUE"""),133014.67)</f>
        <v>133014.67</v>
      </c>
      <c r="Z29" s="188">
        <f>IFERROR(__xludf.DUMMYFUNCTION("""COMPUTED_VALUE"""),41735.14)</f>
        <v>41735.14</v>
      </c>
      <c r="AA29" s="187">
        <f>IFERROR(__xludf.DUMMYFUNCTION("""COMPUTED_VALUE"""),9.0)</f>
        <v>9</v>
      </c>
      <c r="AB29" s="187">
        <f>IFERROR(__xludf.DUMMYFUNCTION("""COMPUTED_VALUE"""),3.0)</f>
        <v>3</v>
      </c>
      <c r="AC29" s="187">
        <f>IFERROR(__xludf.DUMMYFUNCTION("""COMPUTED_VALUE"""),12.0)</f>
        <v>12</v>
      </c>
      <c r="AD29" s="187">
        <f>IFERROR(__xludf.DUMMYFUNCTION("""COMPUTED_VALUE"""),0.0)</f>
        <v>0</v>
      </c>
      <c r="AE29" s="187">
        <f>IFERROR(__xludf.DUMMYFUNCTION("""COMPUTED_VALUE"""),96.0)</f>
        <v>96</v>
      </c>
      <c r="AF29" s="187">
        <f>IFERROR(__xludf.DUMMYFUNCTION("""COMPUTED_VALUE"""),234.0)</f>
        <v>234</v>
      </c>
      <c r="AG29" s="187">
        <f>IFERROR(__xludf.DUMMYFUNCTION("""COMPUTED_VALUE"""),10.0)</f>
        <v>10</v>
      </c>
      <c r="AH29" s="187">
        <f>IFERROR(__xludf.DUMMYFUNCTION("""COMPUTED_VALUE"""),3.0)</f>
        <v>3</v>
      </c>
      <c r="AI29" s="187">
        <f>IFERROR(__xludf.DUMMYFUNCTION("""COMPUTED_VALUE"""),12.0)</f>
        <v>12</v>
      </c>
      <c r="AJ29" s="187">
        <f>IFERROR(__xludf.DUMMYFUNCTION("""COMPUTED_VALUE"""),0.0)</f>
        <v>0</v>
      </c>
      <c r="AK29" s="187">
        <f>IFERROR(__xludf.DUMMYFUNCTION("""COMPUTED_VALUE"""),0.0)</f>
        <v>0</v>
      </c>
      <c r="AL29" s="187">
        <f>IFERROR(__xludf.DUMMYFUNCTION("""COMPUTED_VALUE"""),2.0)</f>
        <v>2</v>
      </c>
      <c r="AM29" s="187">
        <f>IFERROR(__xludf.DUMMYFUNCTION("""COMPUTED_VALUE"""),3.0)</f>
        <v>3</v>
      </c>
      <c r="AN29" s="187">
        <f>IFERROR(__xludf.DUMMYFUNCTION("""COMPUTED_VALUE"""),110.0)</f>
        <v>110</v>
      </c>
      <c r="AO29" s="187">
        <f>IFERROR(__xludf.DUMMYFUNCTION("""COMPUTED_VALUE"""),359.0)</f>
        <v>359</v>
      </c>
      <c r="AP29" s="187">
        <f>IFERROR(__xludf.DUMMYFUNCTION("""COMPUTED_VALUE"""),72.0)</f>
        <v>72</v>
      </c>
      <c r="AQ29" s="217">
        <f>IFERROR(__xludf.DUMMYFUNCTION("""COMPUTED_VALUE"""),2427.0833333333335)</f>
        <v>2427.083333</v>
      </c>
      <c r="AR29" s="188">
        <f>IFERROR(__xludf.DUMMYFUNCTION("""COMPUTED_VALUE"""),4.986111111111111)</f>
        <v>4.986111111</v>
      </c>
      <c r="AS29" s="217">
        <f>IFERROR(__xludf.DUMMYFUNCTION("""COMPUTED_VALUE"""),127440.0)</f>
        <v>127440</v>
      </c>
      <c r="AT29" s="217"/>
      <c r="AU29" s="218">
        <f>IFERROR(__xludf.DUMMYFUNCTION("""COMPUTED_VALUE"""),0.7292703862660944)</f>
        <v>0.7292703863</v>
      </c>
      <c r="AV29" s="217">
        <f>IFERROR(__xludf.DUMMYFUNCTION("""COMPUTED_VALUE"""),14562.5)</f>
        <v>14562.5</v>
      </c>
      <c r="AW29" s="219">
        <f>IFERROR(__xludf.DUMMYFUNCTION("""COMPUTED_VALUE"""),21.0)</f>
        <v>21</v>
      </c>
      <c r="AX29" s="219">
        <f>IFERROR(__xludf.DUMMYFUNCTION("""COMPUTED_VALUE"""),580.0)</f>
        <v>580</v>
      </c>
      <c r="AY29" s="220">
        <f>IFERROR(__xludf.DUMMYFUNCTION("""COMPUTED_VALUE"""),3051.39)</f>
        <v>3051.39</v>
      </c>
      <c r="AZ29" s="219">
        <f>IFERROR(__xludf.DUMMYFUNCTION("""COMPUTED_VALUE"""),85.0)</f>
        <v>85</v>
      </c>
      <c r="BA29" s="219">
        <f>IFERROR(__xludf.DUMMYFUNCTION("""COMPUTED_VALUE"""),12.0)</f>
        <v>12</v>
      </c>
      <c r="BB29" s="219">
        <f>IFERROR(__xludf.DUMMYFUNCTION("""COMPUTED_VALUE"""),24.0)</f>
        <v>24</v>
      </c>
      <c r="BC29" s="219">
        <f>IFERROR(__xludf.DUMMYFUNCTION("""COMPUTED_VALUE"""),2.0)</f>
        <v>2</v>
      </c>
      <c r="BD29" s="221"/>
      <c r="BE29" s="98"/>
    </row>
  </sheetData>
  <mergeCells count="2">
    <mergeCell ref="B1:E1"/>
    <mergeCell ref="G1:I1"/>
  </mergeCells>
  <conditionalFormatting sqref="BD4:BD29">
    <cfRule type="notContainsBlanks" dxfId="1" priority="1">
      <formula>LEN(TRIM(BD4))&gt;0</formula>
    </cfRule>
  </conditionalFormatting>
  <conditionalFormatting sqref="C4:C29">
    <cfRule type="expression" dxfId="1" priority="2">
      <formula>BD4:BD29</formula>
    </cfRule>
  </conditionalFormatting>
  <conditionalFormatting sqref="P2:R29">
    <cfRule type="cellIs" dxfId="1" priority="3" operator="greaterThan">
      <formula>"50%"</formula>
    </cfRule>
  </conditionalFormatting>
  <conditionalFormatting sqref="AU1:AU29">
    <cfRule type="cellIs" dxfId="1" priority="4" operator="lessThan">
      <formula>"5%"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75"/>
    <col customWidth="1" min="3" max="3" width="23.63"/>
    <col customWidth="1" min="4" max="4" width="13.38"/>
    <col customWidth="1" min="5" max="5" width="10.38"/>
    <col hidden="1" min="6" max="8" width="12.63"/>
    <col customWidth="1" min="9" max="9" width="11.63"/>
    <col customWidth="1" min="10" max="10" width="9.5"/>
    <col customWidth="1" min="11" max="11" width="12.5"/>
    <col customWidth="1" min="12" max="12" width="11.13"/>
    <col customWidth="1" min="13" max="14" width="9.38"/>
    <col customWidth="1" min="15" max="15" width="10.5"/>
    <col customWidth="1" min="16" max="16" width="11.88"/>
    <col hidden="1" min="17" max="17" width="12.63"/>
    <col customWidth="1" min="18" max="18" width="11.88"/>
    <col customWidth="1" min="19" max="19" width="8.38"/>
    <col customWidth="1" min="20" max="20" width="6.75"/>
    <col customWidth="1" min="21" max="21" width="8.0"/>
    <col hidden="1" min="22" max="22" width="12.63"/>
    <col customWidth="1" min="23" max="23" width="7.38"/>
    <col customWidth="1" min="24" max="24" width="10.63"/>
    <col hidden="1" min="25" max="28" width="12.63"/>
    <col customWidth="1" min="29" max="29" width="11.13"/>
    <col customWidth="1" min="30" max="30" width="11.88"/>
    <col customWidth="1" min="31" max="32" width="9.38"/>
    <col hidden="1" min="33" max="34" width="12.63"/>
    <col customWidth="1" min="35" max="35" width="10.0"/>
    <col hidden="1" min="36" max="36" width="12.63"/>
    <col customWidth="1" min="37" max="37" width="11.88"/>
    <col hidden="1" min="38" max="38" width="12.63"/>
    <col customWidth="1" min="39" max="39" width="12.63"/>
    <col customWidth="1" min="40" max="40" width="12.25"/>
    <col customWidth="1" min="41" max="41" width="10.0"/>
    <col customWidth="1" min="42" max="42" width="12.38"/>
    <col customWidth="1" min="43" max="43" width="12.63"/>
    <col customWidth="1" min="44" max="44" width="11.75"/>
    <col customWidth="1" min="45" max="45" width="7.0"/>
    <col customWidth="1" min="46" max="46" width="9.88"/>
    <col customWidth="1" min="47" max="47" width="12.5"/>
    <col customWidth="1" min="48" max="48" width="11.38"/>
    <col hidden="1" min="49" max="55" width="12.63"/>
    <col customWidth="1" min="56" max="56" width="8.5"/>
    <col customWidth="1" min="57" max="57" width="9.25"/>
    <col hidden="1" min="58" max="68" width="12.63"/>
  </cols>
  <sheetData>
    <row r="1">
      <c r="A1" s="223"/>
      <c r="B1" s="224" t="s">
        <v>425</v>
      </c>
      <c r="F1" s="18"/>
      <c r="G1" s="18"/>
      <c r="H1" s="18"/>
      <c r="I1" s="225" t="s">
        <v>426</v>
      </c>
      <c r="J1" s="225" t="s">
        <v>427</v>
      </c>
      <c r="K1" s="225" t="s">
        <v>428</v>
      </c>
      <c r="L1" s="225" t="s">
        <v>429</v>
      </c>
      <c r="M1" s="226">
        <f>M5+N5</f>
        <v>598186720.6</v>
      </c>
      <c r="N1" s="226">
        <f>K5+L5</f>
        <v>978606825</v>
      </c>
      <c r="O1" s="6"/>
      <c r="P1" s="227"/>
      <c r="Q1" s="152"/>
      <c r="R1" s="228"/>
      <c r="S1" s="152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229"/>
      <c r="AV1" s="229"/>
      <c r="AW1" s="18"/>
      <c r="AX1" s="230"/>
      <c r="AY1" s="231"/>
      <c r="AZ1" s="18"/>
      <c r="BA1" s="18"/>
      <c r="BB1" s="18"/>
      <c r="BC1" s="18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</row>
    <row r="2">
      <c r="A2" s="232"/>
      <c r="B2" s="233" t="s">
        <v>430</v>
      </c>
      <c r="C2" s="234" t="s">
        <v>369</v>
      </c>
      <c r="D2" s="235" t="s">
        <v>431</v>
      </c>
      <c r="E2" s="235" t="s">
        <v>383</v>
      </c>
      <c r="F2" s="18"/>
      <c r="G2" s="18"/>
      <c r="H2" s="18"/>
      <c r="I2" s="16"/>
      <c r="J2" s="16"/>
      <c r="K2" s="16"/>
      <c r="L2" s="16"/>
      <c r="M2" s="226">
        <f>K5+L5</f>
        <v>978606825</v>
      </c>
      <c r="N2" s="152"/>
      <c r="O2" s="152"/>
      <c r="P2" s="227"/>
      <c r="Q2" s="152"/>
      <c r="R2" s="228"/>
      <c r="S2" s="152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229"/>
      <c r="AV2" s="229"/>
      <c r="AW2" s="18"/>
      <c r="AX2" s="230"/>
      <c r="AY2" s="231"/>
      <c r="AZ2" s="18"/>
      <c r="BA2" s="18"/>
      <c r="BB2" s="18"/>
      <c r="BC2" s="18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</row>
    <row r="3">
      <c r="A3" s="6"/>
      <c r="B3" s="236"/>
      <c r="C3" s="236"/>
      <c r="D3" s="236" t="s">
        <v>432</v>
      </c>
      <c r="E3" s="98"/>
      <c r="F3" s="222"/>
      <c r="G3" s="222"/>
      <c r="H3" s="222"/>
      <c r="I3" s="98"/>
      <c r="J3" s="98"/>
      <c r="K3" s="237"/>
      <c r="L3" s="237"/>
      <c r="M3" s="6"/>
      <c r="N3" s="6"/>
      <c r="O3" s="6"/>
      <c r="P3" s="229"/>
      <c r="Q3" s="6"/>
      <c r="R3" s="229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228">
        <f>sum(AS5:AT5)/SUM(O5)</f>
        <v>0.04890305053</v>
      </c>
      <c r="AV3" s="229"/>
      <c r="AW3" s="18"/>
      <c r="AX3" s="230"/>
      <c r="AY3" s="231"/>
      <c r="AZ3" s="18"/>
      <c r="BA3" s="18"/>
      <c r="BB3" s="18"/>
      <c r="BC3" s="18"/>
      <c r="BD3" s="6"/>
      <c r="BE3" s="6"/>
      <c r="BF3" s="6"/>
      <c r="BG3" s="6"/>
      <c r="BH3" s="6"/>
      <c r="BI3" s="6" t="str">
        <f>IFERROR(__xludf.DUMMYFUNCTION("sort(unique(QUERY(Data!A4:CC1000,""SELECT A,B WHERE A='""&amp;B3&amp;""'"")),2,1)"),"")</f>
        <v/>
      </c>
      <c r="BJ3" s="6" t="str">
        <f>IFERROR(__xludf.DUMMYFUNCTION("""COMPUTED_VALUE"""),"Karnataka")</f>
        <v>Karnataka</v>
      </c>
      <c r="BK3" s="6"/>
      <c r="BL3" s="6"/>
      <c r="BM3" s="6" t="str">
        <f t="array" ref="BM3:BM15">SORT(UNIQUE(Data!A4:A1000),1,2)</f>
        <v>Anant Singh</v>
      </c>
      <c r="BN3" s="6" t="str">
        <f t="array" ref="BN3:BN7">SORT(UNIQUE(Data!BC4:BC1000),1,2)</f>
        <v>50%-70%</v>
      </c>
      <c r="BO3" s="6"/>
      <c r="BP3" s="6"/>
      <c r="BQ3" s="6"/>
      <c r="BR3" s="6"/>
    </row>
    <row r="4">
      <c r="A4" s="238"/>
      <c r="B4" s="239" t="s">
        <v>433</v>
      </c>
      <c r="C4" s="240" t="s">
        <v>434</v>
      </c>
      <c r="D4" s="239" t="s">
        <v>435</v>
      </c>
      <c r="E4" s="239" t="s">
        <v>436</v>
      </c>
      <c r="F4" s="18"/>
      <c r="G4" s="231"/>
      <c r="H4" s="231"/>
      <c r="I4" s="6"/>
      <c r="L4" s="152"/>
      <c r="M4" s="10"/>
      <c r="N4" s="152"/>
      <c r="O4" s="10"/>
      <c r="P4" s="228"/>
      <c r="Q4" s="152"/>
      <c r="R4" s="228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228"/>
      <c r="AV4" s="241"/>
      <c r="AW4" s="6"/>
      <c r="AX4" s="242"/>
      <c r="AY4" s="10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 t="s">
        <v>358</v>
      </c>
      <c r="BN4" s="6" t="s">
        <v>437</v>
      </c>
      <c r="BO4" s="6"/>
      <c r="BP4" s="6"/>
      <c r="BQ4" s="6"/>
      <c r="BR4" s="6"/>
    </row>
    <row r="5">
      <c r="A5" s="197"/>
      <c r="B5" s="243">
        <f>COUNTIF(E:E, "&gt;=" &amp; DATE(2025,4,1))</f>
        <v>55</v>
      </c>
      <c r="C5" s="244">
        <f>COUNTIFS(BD7:BD1000,"",C7:C1000,"&lt;&gt;")</f>
        <v>171</v>
      </c>
      <c r="D5" s="245">
        <f>countif(BD7:BD1000,"&lt;&gt;")</f>
        <v>0</v>
      </c>
      <c r="E5" s="195">
        <f>counta(C7:C1000)</f>
        <v>171</v>
      </c>
      <c r="F5" s="222"/>
      <c r="G5" s="246">
        <f t="shared" ref="G5:O5" si="1">sum(G7:G1000)</f>
        <v>2160011899</v>
      </c>
      <c r="H5" s="246">
        <f t="shared" si="1"/>
        <v>2243929792</v>
      </c>
      <c r="I5" s="247">
        <f t="shared" si="1"/>
        <v>7529250</v>
      </c>
      <c r="J5" s="247">
        <f t="shared" si="1"/>
        <v>330585283</v>
      </c>
      <c r="K5" s="247">
        <f t="shared" si="1"/>
        <v>17075004</v>
      </c>
      <c r="L5" s="247">
        <f t="shared" si="1"/>
        <v>961531821</v>
      </c>
      <c r="M5" s="247">
        <f t="shared" si="1"/>
        <v>586465475</v>
      </c>
      <c r="N5" s="247">
        <f t="shared" si="1"/>
        <v>11721245.6</v>
      </c>
      <c r="O5" s="247">
        <f t="shared" si="1"/>
        <v>442362353.3</v>
      </c>
      <c r="P5" s="248">
        <f>iferror(Sum(M5:N5)/(L5+K5),"")</f>
        <v>0.6112635895</v>
      </c>
      <c r="Q5" s="248">
        <f>iferror(Sum(N5:O5)/M5,"")</f>
        <v>0.7742716635</v>
      </c>
      <c r="R5" s="248">
        <f>iferror(Sum(O5)/(L5+K5),"")</f>
        <v>0.4520327694</v>
      </c>
      <c r="S5" s="247">
        <f t="shared" ref="S5:AP5" si="2">sum(S7:S1000)</f>
        <v>12532</v>
      </c>
      <c r="T5" s="247">
        <f t="shared" si="2"/>
        <v>9885</v>
      </c>
      <c r="U5" s="247">
        <f t="shared" si="2"/>
        <v>829</v>
      </c>
      <c r="V5" s="247">
        <f t="shared" si="2"/>
        <v>730</v>
      </c>
      <c r="W5" s="247">
        <f t="shared" si="2"/>
        <v>13361</v>
      </c>
      <c r="X5" s="247">
        <f t="shared" si="2"/>
        <v>3476</v>
      </c>
      <c r="Y5" s="247">
        <f t="shared" si="2"/>
        <v>546369523.6</v>
      </c>
      <c r="Z5" s="247">
        <f t="shared" si="2"/>
        <v>40095949.19</v>
      </c>
      <c r="AA5" s="247">
        <f t="shared" si="2"/>
        <v>4766</v>
      </c>
      <c r="AB5" s="247">
        <f t="shared" si="2"/>
        <v>730</v>
      </c>
      <c r="AC5" s="247">
        <f t="shared" si="2"/>
        <v>5496</v>
      </c>
      <c r="AD5" s="247">
        <f t="shared" si="2"/>
        <v>42</v>
      </c>
      <c r="AE5" s="247">
        <f t="shared" si="2"/>
        <v>6647</v>
      </c>
      <c r="AF5" s="247">
        <f t="shared" si="2"/>
        <v>11054</v>
      </c>
      <c r="AG5" s="247">
        <f t="shared" si="2"/>
        <v>18772</v>
      </c>
      <c r="AH5" s="247">
        <f t="shared" si="2"/>
        <v>434</v>
      </c>
      <c r="AI5" s="247">
        <f t="shared" si="2"/>
        <v>3948</v>
      </c>
      <c r="AJ5" s="247">
        <f t="shared" si="2"/>
        <v>92</v>
      </c>
      <c r="AK5" s="247">
        <f t="shared" si="2"/>
        <v>475</v>
      </c>
      <c r="AL5" s="247">
        <f t="shared" si="2"/>
        <v>560</v>
      </c>
      <c r="AM5" s="247">
        <f t="shared" si="2"/>
        <v>1307</v>
      </c>
      <c r="AN5" s="247">
        <f t="shared" si="2"/>
        <v>37350</v>
      </c>
      <c r="AO5" s="247">
        <f t="shared" si="2"/>
        <v>54134</v>
      </c>
      <c r="AP5" s="247">
        <f t="shared" si="2"/>
        <v>11318</v>
      </c>
      <c r="AQ5" s="247">
        <f>Sum(M5:N5)/AP5</f>
        <v>52852.68781</v>
      </c>
      <c r="AR5" s="247">
        <f>AO5/AP5</f>
        <v>4.78300053</v>
      </c>
      <c r="AS5" s="247">
        <f t="shared" ref="AS5:AT5" si="3">sum(AS7:AS1000)</f>
        <v>21632868.51</v>
      </c>
      <c r="AT5" s="247">
        <f t="shared" si="3"/>
        <v>0</v>
      </c>
      <c r="AU5" s="248">
        <f>sum(AS5:AT5)/SUM(M5:N5)</f>
        <v>0.03616407347</v>
      </c>
      <c r="AV5" s="247">
        <f>M5/AC5</f>
        <v>106707.692</v>
      </c>
      <c r="AW5" s="222"/>
      <c r="AX5" s="249"/>
      <c r="AY5" s="250"/>
      <c r="AZ5" s="222"/>
      <c r="BA5" s="222"/>
      <c r="BB5" s="222"/>
      <c r="BC5" s="251"/>
      <c r="BD5" s="252"/>
      <c r="BE5" s="17"/>
      <c r="BF5" s="6"/>
      <c r="BG5" s="6"/>
      <c r="BH5" s="6"/>
      <c r="BI5" s="6"/>
      <c r="BJ5" s="6"/>
      <c r="BK5" s="6"/>
      <c r="BL5" s="6"/>
      <c r="BM5" s="6" t="s">
        <v>72</v>
      </c>
      <c r="BN5" s="6" t="s">
        <v>438</v>
      </c>
      <c r="BO5" s="6"/>
      <c r="BP5" s="6"/>
      <c r="BQ5" s="6"/>
      <c r="BR5" s="6"/>
    </row>
    <row r="6">
      <c r="A6" s="199" t="s">
        <v>3</v>
      </c>
      <c r="B6" s="199" t="s">
        <v>369</v>
      </c>
      <c r="C6" s="200" t="s">
        <v>370</v>
      </c>
      <c r="D6" s="200" t="s">
        <v>371</v>
      </c>
      <c r="E6" s="201" t="s">
        <v>372</v>
      </c>
      <c r="F6" s="202" t="s">
        <v>373</v>
      </c>
      <c r="G6" s="203" t="s">
        <v>374</v>
      </c>
      <c r="H6" s="203" t="s">
        <v>375</v>
      </c>
      <c r="I6" s="201" t="s">
        <v>376</v>
      </c>
      <c r="J6" s="201" t="s">
        <v>377</v>
      </c>
      <c r="K6" s="204" t="s">
        <v>378</v>
      </c>
      <c r="L6" s="204" t="s">
        <v>379</v>
      </c>
      <c r="M6" s="204" t="s">
        <v>380</v>
      </c>
      <c r="N6" s="201" t="s">
        <v>381</v>
      </c>
      <c r="O6" s="205" t="s">
        <v>382</v>
      </c>
      <c r="P6" s="206" t="s">
        <v>383</v>
      </c>
      <c r="Q6" s="208" t="s">
        <v>384</v>
      </c>
      <c r="R6" s="201" t="s">
        <v>385</v>
      </c>
      <c r="S6" s="201" t="s">
        <v>386</v>
      </c>
      <c r="T6" s="201" t="s">
        <v>387</v>
      </c>
      <c r="U6" s="201" t="s">
        <v>388</v>
      </c>
      <c r="V6" s="207" t="s">
        <v>389</v>
      </c>
      <c r="W6" s="201" t="s">
        <v>390</v>
      </c>
      <c r="X6" s="201" t="s">
        <v>391</v>
      </c>
      <c r="Y6" s="207" t="s">
        <v>392</v>
      </c>
      <c r="Z6" s="207" t="s">
        <v>393</v>
      </c>
      <c r="AA6" s="208" t="s">
        <v>394</v>
      </c>
      <c r="AB6" s="208" t="s">
        <v>395</v>
      </c>
      <c r="AC6" s="201" t="s">
        <v>396</v>
      </c>
      <c r="AD6" s="201" t="s">
        <v>397</v>
      </c>
      <c r="AE6" s="201" t="s">
        <v>398</v>
      </c>
      <c r="AF6" s="201" t="s">
        <v>399</v>
      </c>
      <c r="AG6" s="208" t="s">
        <v>400</v>
      </c>
      <c r="AH6" s="208" t="s">
        <v>401</v>
      </c>
      <c r="AI6" s="201" t="s">
        <v>402</v>
      </c>
      <c r="AJ6" s="208" t="s">
        <v>403</v>
      </c>
      <c r="AK6" s="201" t="s">
        <v>404</v>
      </c>
      <c r="AL6" s="208" t="s">
        <v>405</v>
      </c>
      <c r="AM6" s="201" t="s">
        <v>406</v>
      </c>
      <c r="AN6" s="201" t="s">
        <v>407</v>
      </c>
      <c r="AO6" s="201" t="s">
        <v>408</v>
      </c>
      <c r="AP6" s="201" t="s">
        <v>409</v>
      </c>
      <c r="AQ6" s="201" t="s">
        <v>410</v>
      </c>
      <c r="AR6" s="201" t="s">
        <v>411</v>
      </c>
      <c r="AS6" s="201" t="s">
        <v>412</v>
      </c>
      <c r="AT6" s="201" t="s">
        <v>413</v>
      </c>
      <c r="AU6" s="206" t="s">
        <v>414</v>
      </c>
      <c r="AV6" s="201" t="s">
        <v>415</v>
      </c>
      <c r="AW6" s="208" t="s">
        <v>416</v>
      </c>
      <c r="AX6" s="210" t="s">
        <v>417</v>
      </c>
      <c r="AY6" s="207" t="s">
        <v>418</v>
      </c>
      <c r="AZ6" s="208" t="s">
        <v>419</v>
      </c>
      <c r="BA6" s="208" t="s">
        <v>420</v>
      </c>
      <c r="BB6" s="208" t="s">
        <v>421</v>
      </c>
      <c r="BC6" s="208" t="s">
        <v>422</v>
      </c>
      <c r="BD6" s="211" t="s">
        <v>423</v>
      </c>
      <c r="BE6" s="211" t="s">
        <v>424</v>
      </c>
      <c r="BF6" s="6"/>
      <c r="BG6" s="6"/>
      <c r="BH6" s="253"/>
      <c r="BI6" s="98"/>
      <c r="BJ6" s="98"/>
      <c r="BK6" s="98"/>
      <c r="BL6" s="98"/>
      <c r="BM6" s="254" t="s">
        <v>273</v>
      </c>
      <c r="BN6" s="254" t="s">
        <v>439</v>
      </c>
      <c r="BO6" s="98"/>
      <c r="BP6" s="98"/>
      <c r="BQ6" s="98"/>
      <c r="BR6" s="98"/>
    </row>
    <row r="7">
      <c r="A7" s="98" t="str">
        <f>IFERROR(__xludf.DUMMYFUNCTION("SORT(QUERY(Data!A4:CI1000,""SELECT A, B,C,E,F,D,BI,BH,AJ,BE,G,H,I,J,AY,AO,AP,BS,K,L,M,AT,N,O,P,Q,R,S,T,U,V,W,X,Y,Z,AA,AB,AC,AD,AE,AF,AG,AH,AI,AK,AL,AM,AN,AQ,AR,AS,AU,AV,AW,AX,AZ,BN WHERE A CONTAINS'""&amp;B3&amp;""' AND B CONTAINS '""&amp;C3&amp;""' AND BA CONTAINS'""&amp;D3"&amp;"&amp;""' AND BC CONTAINS'""&amp;E3&amp;""' AND BB CONTAINS'""&amp;I3&amp;""'AND BG CONTAINS'""&amp;J3&amp;""'AND CG CONTAINS'""&amp;K3&amp;""'AND CH CONTAINS'""&amp;L3&amp;""'""),5,1)"),"Sandeep Dadheech")</f>
        <v>Sandeep Dadheech</v>
      </c>
      <c r="B7" s="98" t="str">
        <f>IFERROR(__xludf.DUMMYFUNCTION("""COMPUTED_VALUE"""),"West Bengal")</f>
        <v>West Bengal</v>
      </c>
      <c r="C7" s="212" t="str">
        <f>IFERROR(__xludf.DUMMYFUNCTION("""COMPUTED_VALUE"""),"Monmon Paul")</f>
        <v>Monmon Paul</v>
      </c>
      <c r="D7" s="98" t="str">
        <f>IFERROR(__xludf.DUMMYFUNCTION("""COMPUTED_VALUE"""),"KOLKATA")</f>
        <v>KOLKATA</v>
      </c>
      <c r="E7" s="213">
        <f>IFERROR(__xludf.DUMMYFUNCTION("""COMPUTED_VALUE"""),39859.0)</f>
        <v>39859</v>
      </c>
      <c r="F7" s="214" t="str">
        <f>IFERROR(__xludf.DUMMYFUNCTION("""COMPUTED_VALUE"""),"WEST BENGAL")</f>
        <v>WEST BENGAL</v>
      </c>
      <c r="G7" s="215">
        <f>IFERROR(__xludf.DUMMYFUNCTION("""COMPUTED_VALUE"""),1199546.0)</f>
        <v>1199546</v>
      </c>
      <c r="H7" s="215">
        <f>IFERROR(__xludf.DUMMYFUNCTION("""COMPUTED_VALUE"""),0.0)</f>
        <v>0</v>
      </c>
      <c r="I7" s="216">
        <f>IFERROR(__xludf.DUMMYFUNCTION("""COMPUTED_VALUE"""),70400.0)</f>
        <v>70400</v>
      </c>
      <c r="J7" s="56"/>
      <c r="K7" s="217">
        <f>IFERROR(__xludf.DUMMYFUNCTION("""COMPUTED_VALUE"""),0.0)</f>
        <v>0</v>
      </c>
      <c r="L7" s="217"/>
      <c r="M7" s="217">
        <f>IFERROR(__xludf.DUMMYFUNCTION("""COMPUTED_VALUE"""),0.0)</f>
        <v>0</v>
      </c>
      <c r="N7" s="217">
        <f>IFERROR(__xludf.DUMMYFUNCTION("""COMPUTED_VALUE"""),0.0)</f>
        <v>0</v>
      </c>
      <c r="O7" s="217"/>
      <c r="P7" s="218"/>
      <c r="Q7" s="218">
        <f>IFERROR(__xludf.DUMMYFUNCTION("""COMPUTED_VALUE"""),0.0)</f>
        <v>0</v>
      </c>
      <c r="R7" s="218"/>
      <c r="S7" s="187">
        <f>IFERROR(__xludf.DUMMYFUNCTION("""COMPUTED_VALUE"""),214.0)</f>
        <v>214</v>
      </c>
      <c r="T7" s="188">
        <f>IFERROR(__xludf.DUMMYFUNCTION("""COMPUTED_VALUE"""),90.0)</f>
        <v>90</v>
      </c>
      <c r="U7" s="187">
        <f>IFERROR(__xludf.DUMMYFUNCTION("""COMPUTED_VALUE"""),4.0)</f>
        <v>4</v>
      </c>
      <c r="V7" s="187">
        <f>IFERROR(__xludf.DUMMYFUNCTION("""COMPUTED_VALUE"""),0.0)</f>
        <v>0</v>
      </c>
      <c r="W7" s="187">
        <f>IFERROR(__xludf.DUMMYFUNCTION("""COMPUTED_VALUE"""),218.0)</f>
        <v>218</v>
      </c>
      <c r="X7" s="187">
        <f>IFERROR(__xludf.DUMMYFUNCTION("""COMPUTED_VALUE"""),128.0)</f>
        <v>128</v>
      </c>
      <c r="Y7" s="188">
        <f>IFERROR(__xludf.DUMMYFUNCTION("""COMPUTED_VALUE"""),0.0)</f>
        <v>0</v>
      </c>
      <c r="Z7" s="188">
        <f>IFERROR(__xludf.DUMMYFUNCTION("""COMPUTED_VALUE"""),0.0)</f>
        <v>0</v>
      </c>
      <c r="AA7" s="187">
        <f>IFERROR(__xludf.DUMMYFUNCTION("""COMPUTED_VALUE"""),0.0)</f>
        <v>0</v>
      </c>
      <c r="AB7" s="187">
        <f>IFERROR(__xludf.DUMMYFUNCTION("""COMPUTED_VALUE"""),0.0)</f>
        <v>0</v>
      </c>
      <c r="AC7" s="187">
        <f>IFERROR(__xludf.DUMMYFUNCTION("""COMPUTED_VALUE"""),0.0)</f>
        <v>0</v>
      </c>
      <c r="AD7" s="187">
        <f>IFERROR(__xludf.DUMMYFUNCTION("""COMPUTED_VALUE"""),0.0)</f>
        <v>0</v>
      </c>
      <c r="AE7" s="187">
        <f>IFERROR(__xludf.DUMMYFUNCTION("""COMPUTED_VALUE"""),3.0)</f>
        <v>3</v>
      </c>
      <c r="AF7" s="187">
        <f>IFERROR(__xludf.DUMMYFUNCTION("""COMPUTED_VALUE"""),3.0)</f>
        <v>3</v>
      </c>
      <c r="AG7" s="187">
        <f>IFERROR(__xludf.DUMMYFUNCTION("""COMPUTED_VALUE"""),83.0)</f>
        <v>83</v>
      </c>
      <c r="AH7" s="187">
        <f>IFERROR(__xludf.DUMMYFUNCTION("""COMPUTED_VALUE"""),6.0)</f>
        <v>6</v>
      </c>
      <c r="AI7" s="187">
        <f>IFERROR(__xludf.DUMMYFUNCTION("""COMPUTED_VALUE"""),55.0)</f>
        <v>55</v>
      </c>
      <c r="AJ7" s="187">
        <f>IFERROR(__xludf.DUMMYFUNCTION("""COMPUTED_VALUE"""),1.0)</f>
        <v>1</v>
      </c>
      <c r="AK7" s="187">
        <f>IFERROR(__xludf.DUMMYFUNCTION("""COMPUTED_VALUE"""),7.0)</f>
        <v>7</v>
      </c>
      <c r="AL7" s="187">
        <f>IFERROR(__xludf.DUMMYFUNCTION("""COMPUTED_VALUE"""),1.0)</f>
        <v>1</v>
      </c>
      <c r="AM7" s="187">
        <f>IFERROR(__xludf.DUMMYFUNCTION("""COMPUTED_VALUE"""),6.0)</f>
        <v>6</v>
      </c>
      <c r="AN7" s="187">
        <f>IFERROR(__xludf.DUMMYFUNCTION("""COMPUTED_VALUE"""),173.0)</f>
        <v>173</v>
      </c>
      <c r="AO7" s="187">
        <f>IFERROR(__xludf.DUMMYFUNCTION("""COMPUTED_VALUE"""),244.0)</f>
        <v>244</v>
      </c>
      <c r="AP7" s="187">
        <f>IFERROR(__xludf.DUMMYFUNCTION("""COMPUTED_VALUE"""),72.0)</f>
        <v>72</v>
      </c>
      <c r="AQ7" s="217">
        <f>IFERROR(__xludf.DUMMYFUNCTION("""COMPUTED_VALUE"""),0.0)</f>
        <v>0</v>
      </c>
      <c r="AR7" s="188">
        <f>IFERROR(__xludf.DUMMYFUNCTION("""COMPUTED_VALUE"""),3.388888888888889)</f>
        <v>3.388888889</v>
      </c>
      <c r="AS7" s="217">
        <f>IFERROR(__xludf.DUMMYFUNCTION("""COMPUTED_VALUE"""),211200.0)</f>
        <v>211200</v>
      </c>
      <c r="AT7" s="217"/>
      <c r="AU7" s="218"/>
      <c r="AV7" s="217"/>
      <c r="AW7" s="219">
        <f>IFERROR(__xludf.DUMMYFUNCTION("""COMPUTED_VALUE"""),0.0)</f>
        <v>0</v>
      </c>
      <c r="AX7" s="219">
        <f>IFERROR(__xludf.DUMMYFUNCTION("""COMPUTED_VALUE"""),840.0)</f>
        <v>840</v>
      </c>
      <c r="AY7" s="220">
        <f>IFERROR(__xludf.DUMMYFUNCTION("""COMPUTED_VALUE"""),9086.43)</f>
        <v>9086.43</v>
      </c>
      <c r="AZ7" s="219">
        <f>IFERROR(__xludf.DUMMYFUNCTION("""COMPUTED_VALUE"""),101.0)</f>
        <v>101</v>
      </c>
      <c r="BA7" s="219">
        <f>IFERROR(__xludf.DUMMYFUNCTION("""COMPUTED_VALUE"""),0.0)</f>
        <v>0</v>
      </c>
      <c r="BB7" s="219">
        <f>IFERROR(__xludf.DUMMYFUNCTION("""COMPUTED_VALUE"""),90.0)</f>
        <v>90</v>
      </c>
      <c r="BC7" s="219">
        <f>IFERROR(__xludf.DUMMYFUNCTION("""COMPUTED_VALUE"""),128.0)</f>
        <v>128</v>
      </c>
      <c r="BD7" s="221"/>
      <c r="BE7" s="98"/>
      <c r="BF7" s="255" t="str">
        <f t="array" ref="BF7:BF230">VLOOKUP($C$7:$C$230,'ORDER BOOKING REPORT 2025-26'!$C:$M,11,0)-VLOOKUP($C$7:$C$230,{C7:C1000,BG7:BG1000},2,0)</f>
        <v>#REF!</v>
      </c>
      <c r="BG7" s="256">
        <f t="shared" ref="BG7:BG230" si="4">M7+N7</f>
        <v>0</v>
      </c>
      <c r="BH7" s="257" t="str">
        <f t="shared" ref="BH7:BH202" si="5">#REF!-sum(M7:N7)</f>
        <v>#REF!</v>
      </c>
      <c r="BI7" s="98"/>
      <c r="BJ7" s="222"/>
      <c r="BK7" s="258"/>
      <c r="BL7" s="98"/>
      <c r="BM7" s="98" t="s">
        <v>62</v>
      </c>
      <c r="BN7" s="98" t="s">
        <v>440</v>
      </c>
      <c r="BO7" s="98"/>
      <c r="BP7" s="98"/>
      <c r="BQ7" s="98"/>
      <c r="BR7" s="98"/>
    </row>
    <row r="8">
      <c r="A8" s="6" t="str">
        <f>IFERROR(__xludf.DUMMYFUNCTION("""COMPUTED_VALUE"""),"Sandeep Dadheech")</f>
        <v>Sandeep Dadheech</v>
      </c>
      <c r="B8" s="98" t="str">
        <f>IFERROR(__xludf.DUMMYFUNCTION("""COMPUTED_VALUE"""),"West Bengal")</f>
        <v>West Bengal</v>
      </c>
      <c r="C8" s="212" t="str">
        <f>IFERROR(__xludf.DUMMYFUNCTION("""COMPUTED_VALUE"""),"Sujan Ghata")</f>
        <v>Sujan Ghata</v>
      </c>
      <c r="D8" s="98" t="str">
        <f>IFERROR(__xludf.DUMMYFUNCTION("""COMPUTED_VALUE"""),"KOLKATA")</f>
        <v>KOLKATA</v>
      </c>
      <c r="E8" s="213">
        <f>IFERROR(__xludf.DUMMYFUNCTION("""COMPUTED_VALUE"""),39859.0)</f>
        <v>39859</v>
      </c>
      <c r="F8" s="222" t="str">
        <f>IFERROR(__xludf.DUMMYFUNCTION("""COMPUTED_VALUE"""),"WEST BENGAL")</f>
        <v>WEST BENGAL</v>
      </c>
      <c r="G8" s="215">
        <f>IFERROR(__xludf.DUMMYFUNCTION("""COMPUTED_VALUE"""),4.135293099000001E7)</f>
        <v>41352930.99</v>
      </c>
      <c r="H8" s="215">
        <f>IFERROR(__xludf.DUMMYFUNCTION("""COMPUTED_VALUE"""),4.7173784E7)</f>
        <v>47173784</v>
      </c>
      <c r="I8" s="216">
        <f>IFERROR(__xludf.DUMMYFUNCTION("""COMPUTED_VALUE"""),60500.0)</f>
        <v>60500</v>
      </c>
      <c r="J8" s="216">
        <f>IFERROR(__xludf.DUMMYFUNCTION("""COMPUTED_VALUE"""),5000000.0)</f>
        <v>5000000</v>
      </c>
      <c r="K8" s="217">
        <f>IFERROR(__xludf.DUMMYFUNCTION("""COMPUTED_VALUE"""),0.0)</f>
        <v>0</v>
      </c>
      <c r="L8" s="217">
        <f>IFERROR(__xludf.DUMMYFUNCTION("""COMPUTED_VALUE"""),1.5E7)</f>
        <v>15000000</v>
      </c>
      <c r="M8" s="217">
        <f>IFERROR(__xludf.DUMMYFUNCTION("""COMPUTED_VALUE"""),8561254.0)</f>
        <v>8561254</v>
      </c>
      <c r="N8" s="217">
        <f>IFERROR(__xludf.DUMMYFUNCTION("""COMPUTED_VALUE"""),0.0)</f>
        <v>0</v>
      </c>
      <c r="O8" s="217">
        <f>IFERROR(__xludf.DUMMYFUNCTION("""COMPUTED_VALUE"""),8863160.0)</f>
        <v>8863160</v>
      </c>
      <c r="P8" s="218">
        <f>IFERROR(__xludf.DUMMYFUNCTION("""COMPUTED_VALUE"""),0.5707502666666666)</f>
        <v>0.5707502667</v>
      </c>
      <c r="Q8" s="218">
        <f>IFERROR(__xludf.DUMMYFUNCTION("""COMPUTED_VALUE"""),0.0)</f>
        <v>0</v>
      </c>
      <c r="R8" s="218">
        <f>IFERROR(__xludf.DUMMYFUNCTION("""COMPUTED_VALUE"""),0.5908773333333334)</f>
        <v>0.5908773333</v>
      </c>
      <c r="S8" s="187">
        <f>IFERROR(__xludf.DUMMYFUNCTION("""COMPUTED_VALUE"""),91.0)</f>
        <v>91</v>
      </c>
      <c r="T8" s="187">
        <f>IFERROR(__xludf.DUMMYFUNCTION("""COMPUTED_VALUE"""),76.0)</f>
        <v>76</v>
      </c>
      <c r="U8" s="187">
        <f>IFERROR(__xludf.DUMMYFUNCTION("""COMPUTED_VALUE"""),3.0)</f>
        <v>3</v>
      </c>
      <c r="V8" s="187">
        <f>IFERROR(__xludf.DUMMYFUNCTION("""COMPUTED_VALUE"""),3.0)</f>
        <v>3</v>
      </c>
      <c r="W8" s="187">
        <f>IFERROR(__xludf.DUMMYFUNCTION("""COMPUTED_VALUE"""),94.0)</f>
        <v>94</v>
      </c>
      <c r="X8" s="187">
        <f>IFERROR(__xludf.DUMMYFUNCTION("""COMPUTED_VALUE"""),18.0)</f>
        <v>18</v>
      </c>
      <c r="Y8" s="188">
        <f>IFERROR(__xludf.DUMMYFUNCTION("""COMPUTED_VALUE"""),8350687.37)</f>
        <v>8350687.37</v>
      </c>
      <c r="Z8" s="188">
        <f>IFERROR(__xludf.DUMMYFUNCTION("""COMPUTED_VALUE"""),210566.88)</f>
        <v>210566.88</v>
      </c>
      <c r="AA8" s="187">
        <f>IFERROR(__xludf.DUMMYFUNCTION("""COMPUTED_VALUE"""),41.0)</f>
        <v>41</v>
      </c>
      <c r="AB8" s="187">
        <f>IFERROR(__xludf.DUMMYFUNCTION("""COMPUTED_VALUE"""),3.0)</f>
        <v>3</v>
      </c>
      <c r="AC8" s="187">
        <f>IFERROR(__xludf.DUMMYFUNCTION("""COMPUTED_VALUE"""),44.0)</f>
        <v>44</v>
      </c>
      <c r="AD8" s="187">
        <f>IFERROR(__xludf.DUMMYFUNCTION("""COMPUTED_VALUE"""),0.0)</f>
        <v>0</v>
      </c>
      <c r="AE8" s="187">
        <f>IFERROR(__xludf.DUMMYFUNCTION("""COMPUTED_VALUE"""),6.0)</f>
        <v>6</v>
      </c>
      <c r="AF8" s="187">
        <f>IFERROR(__xludf.DUMMYFUNCTION("""COMPUTED_VALUE"""),6.0)</f>
        <v>6</v>
      </c>
      <c r="AG8" s="187">
        <f>IFERROR(__xludf.DUMMYFUNCTION("""COMPUTED_VALUE"""),85.0)</f>
        <v>85</v>
      </c>
      <c r="AH8" s="187">
        <f>IFERROR(__xludf.DUMMYFUNCTION("""COMPUTED_VALUE"""),4.0)</f>
        <v>4</v>
      </c>
      <c r="AI8" s="187">
        <f>IFERROR(__xludf.DUMMYFUNCTION("""COMPUTED_VALUE"""),22.0)</f>
        <v>22</v>
      </c>
      <c r="AJ8" s="187">
        <f>IFERROR(__xludf.DUMMYFUNCTION("""COMPUTED_VALUE"""),0.0)</f>
        <v>0</v>
      </c>
      <c r="AK8" s="187">
        <f>IFERROR(__xludf.DUMMYFUNCTION("""COMPUTED_VALUE"""),0.0)</f>
        <v>0</v>
      </c>
      <c r="AL8" s="187">
        <f>IFERROR(__xludf.DUMMYFUNCTION("""COMPUTED_VALUE"""),0.0)</f>
        <v>0</v>
      </c>
      <c r="AM8" s="187">
        <f>IFERROR(__xludf.DUMMYFUNCTION("""COMPUTED_VALUE"""),0.0)</f>
        <v>0</v>
      </c>
      <c r="AN8" s="187">
        <f>IFERROR(__xludf.DUMMYFUNCTION("""COMPUTED_VALUE"""),248.0)</f>
        <v>248</v>
      </c>
      <c r="AO8" s="187">
        <f>IFERROR(__xludf.DUMMYFUNCTION("""COMPUTED_VALUE"""),276.0)</f>
        <v>276</v>
      </c>
      <c r="AP8" s="187">
        <f>IFERROR(__xludf.DUMMYFUNCTION("""COMPUTED_VALUE"""),71.0)</f>
        <v>71</v>
      </c>
      <c r="AQ8" s="217">
        <f>IFERROR(__xludf.DUMMYFUNCTION("""COMPUTED_VALUE"""),120581.04225352113)</f>
        <v>120581.0423</v>
      </c>
      <c r="AR8" s="188">
        <f>IFERROR(__xludf.DUMMYFUNCTION("""COMPUTED_VALUE"""),3.887323943661972)</f>
        <v>3.887323944</v>
      </c>
      <c r="AS8" s="217">
        <f>IFERROR(__xludf.DUMMYFUNCTION("""COMPUTED_VALUE"""),181500.0)</f>
        <v>181500</v>
      </c>
      <c r="AT8" s="217"/>
      <c r="AU8" s="218">
        <f>IFERROR(__xludf.DUMMYFUNCTION("""COMPUTED_VALUE"""),0.021200165302886702)</f>
        <v>0.0212001653</v>
      </c>
      <c r="AV8" s="217">
        <f>IFERROR(__xludf.DUMMYFUNCTION("""COMPUTED_VALUE"""),194573.95454545456)</f>
        <v>194573.9545</v>
      </c>
      <c r="AW8" s="219">
        <f>IFERROR(__xludf.DUMMYFUNCTION("""COMPUTED_VALUE"""),108.0)</f>
        <v>108</v>
      </c>
      <c r="AX8" s="219">
        <f>IFERROR(__xludf.DUMMYFUNCTION("""COMPUTED_VALUE"""),717.0)</f>
        <v>717</v>
      </c>
      <c r="AY8" s="220">
        <f>IFERROR(__xludf.DUMMYFUNCTION("""COMPUTED_VALUE"""),8749.58)</f>
        <v>8749.58</v>
      </c>
      <c r="AZ8" s="219">
        <f>IFERROR(__xludf.DUMMYFUNCTION("""COMPUTED_VALUE"""),115.0)</f>
        <v>115</v>
      </c>
      <c r="BA8" s="219">
        <f>IFERROR(__xludf.DUMMYFUNCTION("""COMPUTED_VALUE"""),44.0)</f>
        <v>44</v>
      </c>
      <c r="BB8" s="219">
        <f>IFERROR(__xludf.DUMMYFUNCTION("""COMPUTED_VALUE"""),38.0)</f>
        <v>38</v>
      </c>
      <c r="BC8" s="219">
        <f>IFERROR(__xludf.DUMMYFUNCTION("""COMPUTED_VALUE"""),12.0)</f>
        <v>12</v>
      </c>
      <c r="BD8" s="221"/>
      <c r="BE8" s="98"/>
      <c r="BF8" s="255" t="e">
        <v>#REF!</v>
      </c>
      <c r="BG8" s="256">
        <f t="shared" si="4"/>
        <v>8561254</v>
      </c>
      <c r="BH8" s="257" t="str">
        <f t="shared" si="5"/>
        <v>#REF!</v>
      </c>
      <c r="BI8" s="98"/>
      <c r="BJ8" s="98"/>
      <c r="BK8" s="98"/>
      <c r="BL8" s="98"/>
      <c r="BM8" s="98" t="s">
        <v>48</v>
      </c>
      <c r="BN8" s="98"/>
      <c r="BO8" s="98"/>
      <c r="BP8" s="98"/>
      <c r="BQ8" s="98"/>
      <c r="BR8" s="98"/>
    </row>
    <row r="9">
      <c r="A9" s="6" t="str">
        <f>IFERROR(__xludf.DUMMYFUNCTION("""COMPUTED_VALUE"""),"Syed Aqil Rizvi")</f>
        <v>Syed Aqil Rizvi</v>
      </c>
      <c r="B9" s="98" t="str">
        <f>IFERROR(__xludf.DUMMYFUNCTION("""COMPUTED_VALUE"""),"East U.P")</f>
        <v>East U.P</v>
      </c>
      <c r="C9" s="212" t="str">
        <f>IFERROR(__xludf.DUMMYFUNCTION("""COMPUTED_VALUE"""),"Rajan Srivastava")</f>
        <v>Rajan Srivastava</v>
      </c>
      <c r="D9" s="98" t="str">
        <f>IFERROR(__xludf.DUMMYFUNCTION("""COMPUTED_VALUE"""),"Varanasi")</f>
        <v>Varanasi</v>
      </c>
      <c r="E9" s="213">
        <f>IFERROR(__xludf.DUMMYFUNCTION("""COMPUTED_VALUE"""),41004.0)</f>
        <v>41004</v>
      </c>
      <c r="F9" s="222" t="str">
        <f>IFERROR(__xludf.DUMMYFUNCTION("""COMPUTED_VALUE"""),"East U.P, MADHYA PRADESH")</f>
        <v>East U.P, MADHYA PRADESH</v>
      </c>
      <c r="G9" s="215">
        <f>IFERROR(__xludf.DUMMYFUNCTION("""COMPUTED_VALUE"""),4.363102502E7)</f>
        <v>43631025.02</v>
      </c>
      <c r="H9" s="215">
        <f>IFERROR(__xludf.DUMMYFUNCTION("""COMPUTED_VALUE"""),4.2965557E7)</f>
        <v>42965557</v>
      </c>
      <c r="I9" s="216">
        <f>IFERROR(__xludf.DUMMYFUNCTION("""COMPUTED_VALUE"""),95834.0)</f>
        <v>95834</v>
      </c>
      <c r="J9" s="216">
        <f>IFERROR(__xludf.DUMMYFUNCTION("""COMPUTED_VALUE"""),4750001.0)</f>
        <v>4750001</v>
      </c>
      <c r="K9" s="217">
        <f>IFERROR(__xludf.DUMMYFUNCTION("""COMPUTED_VALUE"""),2000001.0)</f>
        <v>2000001</v>
      </c>
      <c r="L9" s="217">
        <f>IFERROR(__xludf.DUMMYFUNCTION("""COMPUTED_VALUE"""),1.2250002E7)</f>
        <v>12250002</v>
      </c>
      <c r="M9" s="217">
        <f>IFERROR(__xludf.DUMMYFUNCTION("""COMPUTED_VALUE"""),9123838.0)</f>
        <v>9123838</v>
      </c>
      <c r="N9" s="217">
        <f>IFERROR(__xludf.DUMMYFUNCTION("""COMPUTED_VALUE"""),2248999.4)</f>
        <v>2248999.4</v>
      </c>
      <c r="O9" s="217">
        <f>IFERROR(__xludf.DUMMYFUNCTION("""COMPUTED_VALUE"""),6732717.0)</f>
        <v>6732717</v>
      </c>
      <c r="P9" s="218">
        <f>IFERROR(__xludf.DUMMYFUNCTION("""COMPUTED_VALUE"""),0.7980936846118559)</f>
        <v>0.7980936846</v>
      </c>
      <c r="Q9" s="218">
        <f>IFERROR(__xludf.DUMMYFUNCTION("""COMPUTED_VALUE"""),1.12)</f>
        <v>1.12</v>
      </c>
      <c r="R9" s="218">
        <f>IFERROR(__xludf.DUMMYFUNCTION("""COMPUTED_VALUE"""),0.47247126895341707)</f>
        <v>0.472471269</v>
      </c>
      <c r="S9" s="187">
        <f>IFERROR(__xludf.DUMMYFUNCTION("""COMPUTED_VALUE"""),59.0)</f>
        <v>59</v>
      </c>
      <c r="T9" s="187">
        <f>IFERROR(__xludf.DUMMYFUNCTION("""COMPUTED_VALUE"""),48.0)</f>
        <v>48</v>
      </c>
      <c r="U9" s="187">
        <f>IFERROR(__xludf.DUMMYFUNCTION("""COMPUTED_VALUE"""),2.0)</f>
        <v>2</v>
      </c>
      <c r="V9" s="187">
        <f>IFERROR(__xludf.DUMMYFUNCTION("""COMPUTED_VALUE"""),2.0)</f>
        <v>2</v>
      </c>
      <c r="W9" s="187">
        <f>IFERROR(__xludf.DUMMYFUNCTION("""COMPUTED_VALUE"""),61.0)</f>
        <v>61</v>
      </c>
      <c r="X9" s="187">
        <f>IFERROR(__xludf.DUMMYFUNCTION("""COMPUTED_VALUE"""),13.0)</f>
        <v>13</v>
      </c>
      <c r="Y9" s="188">
        <f>IFERROR(__xludf.DUMMYFUNCTION("""COMPUTED_VALUE"""),8589656.35)</f>
        <v>8589656.35</v>
      </c>
      <c r="Z9" s="188">
        <f>IFERROR(__xludf.DUMMYFUNCTION("""COMPUTED_VALUE"""),534181.65)</f>
        <v>534181.65</v>
      </c>
      <c r="AA9" s="187">
        <f>IFERROR(__xludf.DUMMYFUNCTION("""COMPUTED_VALUE"""),38.0)</f>
        <v>38</v>
      </c>
      <c r="AB9" s="187">
        <f>IFERROR(__xludf.DUMMYFUNCTION("""COMPUTED_VALUE"""),2.0)</f>
        <v>2</v>
      </c>
      <c r="AC9" s="187">
        <f>IFERROR(__xludf.DUMMYFUNCTION("""COMPUTED_VALUE"""),40.0)</f>
        <v>40</v>
      </c>
      <c r="AD9" s="187">
        <f>IFERROR(__xludf.DUMMYFUNCTION("""COMPUTED_VALUE"""),9.0)</f>
        <v>9</v>
      </c>
      <c r="AE9" s="187">
        <f>IFERROR(__xludf.DUMMYFUNCTION("""COMPUTED_VALUE"""),3.0)</f>
        <v>3</v>
      </c>
      <c r="AF9" s="187">
        <f>IFERROR(__xludf.DUMMYFUNCTION("""COMPUTED_VALUE"""),3.0)</f>
        <v>3</v>
      </c>
      <c r="AG9" s="187">
        <f>IFERROR(__xludf.DUMMYFUNCTION("""COMPUTED_VALUE"""),31.0)</f>
        <v>31</v>
      </c>
      <c r="AH9" s="187">
        <f>IFERROR(__xludf.DUMMYFUNCTION("""COMPUTED_VALUE"""),7.0)</f>
        <v>7</v>
      </c>
      <c r="AI9" s="187">
        <f>IFERROR(__xludf.DUMMYFUNCTION("""COMPUTED_VALUE"""),92.0)</f>
        <v>92</v>
      </c>
      <c r="AJ9" s="187">
        <f>IFERROR(__xludf.DUMMYFUNCTION("""COMPUTED_VALUE"""),9.0)</f>
        <v>9</v>
      </c>
      <c r="AK9" s="187">
        <f>IFERROR(__xludf.DUMMYFUNCTION("""COMPUTED_VALUE"""),30.0)</f>
        <v>30</v>
      </c>
      <c r="AL9" s="187">
        <f>IFERROR(__xludf.DUMMYFUNCTION("""COMPUTED_VALUE"""),0.0)</f>
        <v>0</v>
      </c>
      <c r="AM9" s="187">
        <f>IFERROR(__xludf.DUMMYFUNCTION("""COMPUTED_VALUE"""),0.0)</f>
        <v>0</v>
      </c>
      <c r="AN9" s="187">
        <f>IFERROR(__xludf.DUMMYFUNCTION("""COMPUTED_VALUE"""),139.0)</f>
        <v>139</v>
      </c>
      <c r="AO9" s="187">
        <f>IFERROR(__xludf.DUMMYFUNCTION("""COMPUTED_VALUE"""),264.0)</f>
        <v>264</v>
      </c>
      <c r="AP9" s="187">
        <f>IFERROR(__xludf.DUMMYFUNCTION("""COMPUTED_VALUE"""),59.0)</f>
        <v>59</v>
      </c>
      <c r="AQ9" s="217">
        <f>IFERROR(__xludf.DUMMYFUNCTION("""COMPUTED_VALUE"""),192759.9559322034)</f>
        <v>192759.9559</v>
      </c>
      <c r="AR9" s="188">
        <f>IFERROR(__xludf.DUMMYFUNCTION("""COMPUTED_VALUE"""),4.47457627118644)</f>
        <v>4.474576271</v>
      </c>
      <c r="AS9" s="217">
        <f>IFERROR(__xludf.DUMMYFUNCTION("""COMPUTED_VALUE"""),287502.0)</f>
        <v>287502</v>
      </c>
      <c r="AT9" s="217"/>
      <c r="AU9" s="218">
        <f>IFERROR(__xludf.DUMMYFUNCTION("""COMPUTED_VALUE"""),0.025279707243506356)</f>
        <v>0.02527970724</v>
      </c>
      <c r="AV9" s="217">
        <f>IFERROR(__xludf.DUMMYFUNCTION("""COMPUTED_VALUE"""),228095.95)</f>
        <v>228095.95</v>
      </c>
      <c r="AW9" s="219">
        <f>IFERROR(__xludf.DUMMYFUNCTION("""COMPUTED_VALUE"""),126.0)</f>
        <v>126</v>
      </c>
      <c r="AX9" s="219">
        <f>IFERROR(__xludf.DUMMYFUNCTION("""COMPUTED_VALUE"""),479.0)</f>
        <v>479</v>
      </c>
      <c r="AY9" s="220">
        <f>IFERROR(__xludf.DUMMYFUNCTION("""COMPUTED_VALUE"""),4145.0)</f>
        <v>4145</v>
      </c>
      <c r="AZ9" s="219">
        <f>IFERROR(__xludf.DUMMYFUNCTION("""COMPUTED_VALUE"""),86.0)</f>
        <v>86</v>
      </c>
      <c r="BA9" s="219">
        <f>IFERROR(__xludf.DUMMYFUNCTION("""COMPUTED_VALUE"""),40.0)</f>
        <v>40</v>
      </c>
      <c r="BB9" s="219">
        <f>IFERROR(__xludf.DUMMYFUNCTION("""COMPUTED_VALUE"""),11.0)</f>
        <v>11</v>
      </c>
      <c r="BC9" s="219">
        <f>IFERROR(__xludf.DUMMYFUNCTION("""COMPUTED_VALUE"""),10.0)</f>
        <v>10</v>
      </c>
      <c r="BD9" s="221"/>
      <c r="BE9" s="98"/>
      <c r="BF9" s="255" t="e">
        <v>#REF!</v>
      </c>
      <c r="BG9" s="256">
        <f t="shared" si="4"/>
        <v>11372837.4</v>
      </c>
      <c r="BH9" s="257" t="str">
        <f t="shared" si="5"/>
        <v>#REF!</v>
      </c>
      <c r="BI9" s="98"/>
      <c r="BJ9" s="98"/>
      <c r="BK9" s="98"/>
      <c r="BL9" s="98"/>
      <c r="BM9" s="98" t="s">
        <v>441</v>
      </c>
      <c r="BN9" s="98"/>
      <c r="BO9" s="98"/>
      <c r="BP9" s="98"/>
      <c r="BQ9" s="98"/>
      <c r="BR9" s="98"/>
    </row>
    <row r="10">
      <c r="A10" s="6" t="str">
        <f>IFERROR(__xludf.DUMMYFUNCTION("""COMPUTED_VALUE"""),"Sandeep Dadheech")</f>
        <v>Sandeep Dadheech</v>
      </c>
      <c r="B10" s="98" t="str">
        <f>IFERROR(__xludf.DUMMYFUNCTION("""COMPUTED_VALUE"""),"West Bengal")</f>
        <v>West Bengal</v>
      </c>
      <c r="C10" s="212" t="str">
        <f>IFERROR(__xludf.DUMMYFUNCTION("""COMPUTED_VALUE"""),"Surojit Mondal")</f>
        <v>Surojit Mondal</v>
      </c>
      <c r="D10" s="98" t="str">
        <f>IFERROR(__xludf.DUMMYFUNCTION("""COMPUTED_VALUE"""),"ANDAL")</f>
        <v>ANDAL</v>
      </c>
      <c r="E10" s="213">
        <f>IFERROR(__xludf.DUMMYFUNCTION("""COMPUTED_VALUE"""),41159.0)</f>
        <v>41159</v>
      </c>
      <c r="F10" s="222" t="str">
        <f>IFERROR(__xludf.DUMMYFUNCTION("""COMPUTED_VALUE"""),"WEST BENGAL")</f>
        <v>WEST BENGAL</v>
      </c>
      <c r="G10" s="215">
        <f>IFERROR(__xludf.DUMMYFUNCTION("""COMPUTED_VALUE"""),3.491004561E7)</f>
        <v>34910045.61</v>
      </c>
      <c r="H10" s="215">
        <f>IFERROR(__xludf.DUMMYFUNCTION("""COMPUTED_VALUE"""),5.1700476E7)</f>
        <v>51700476</v>
      </c>
      <c r="I10" s="216">
        <f>IFERROR(__xludf.DUMMYFUNCTION("""COMPUTED_VALUE"""),78125.0)</f>
        <v>78125</v>
      </c>
      <c r="J10" s="216">
        <f>IFERROR(__xludf.DUMMYFUNCTION("""COMPUTED_VALUE"""),6000000.0)</f>
        <v>6000000</v>
      </c>
      <c r="K10" s="217">
        <f>IFERROR(__xludf.DUMMYFUNCTION("""COMPUTED_VALUE"""),0.0)</f>
        <v>0</v>
      </c>
      <c r="L10" s="217">
        <f>IFERROR(__xludf.DUMMYFUNCTION("""COMPUTED_VALUE"""),1.8E7)</f>
        <v>18000000</v>
      </c>
      <c r="M10" s="217">
        <f>IFERROR(__xludf.DUMMYFUNCTION("""COMPUTED_VALUE"""),4282163.0)</f>
        <v>4282163</v>
      </c>
      <c r="N10" s="217">
        <f>IFERROR(__xludf.DUMMYFUNCTION("""COMPUTED_VALUE"""),0.0)</f>
        <v>0</v>
      </c>
      <c r="O10" s="217">
        <f>IFERROR(__xludf.DUMMYFUNCTION("""COMPUTED_VALUE"""),4775964.0)</f>
        <v>4775964</v>
      </c>
      <c r="P10" s="218">
        <f>IFERROR(__xludf.DUMMYFUNCTION("""COMPUTED_VALUE"""),0.23789794444444445)</f>
        <v>0.2378979444</v>
      </c>
      <c r="Q10" s="218">
        <f>IFERROR(__xludf.DUMMYFUNCTION("""COMPUTED_VALUE"""),0.0)</f>
        <v>0</v>
      </c>
      <c r="R10" s="218">
        <f>IFERROR(__xludf.DUMMYFUNCTION("""COMPUTED_VALUE"""),0.2653313333333333)</f>
        <v>0.2653313333</v>
      </c>
      <c r="S10" s="187">
        <f>IFERROR(__xludf.DUMMYFUNCTION("""COMPUTED_VALUE"""),95.0)</f>
        <v>95</v>
      </c>
      <c r="T10" s="187">
        <f>IFERROR(__xludf.DUMMYFUNCTION("""COMPUTED_VALUE"""),85.0)</f>
        <v>85</v>
      </c>
      <c r="U10" s="187">
        <f>IFERROR(__xludf.DUMMYFUNCTION("""COMPUTED_VALUE"""),2.0)</f>
        <v>2</v>
      </c>
      <c r="V10" s="187">
        <f>IFERROR(__xludf.DUMMYFUNCTION("""COMPUTED_VALUE"""),2.0)</f>
        <v>2</v>
      </c>
      <c r="W10" s="187">
        <f>IFERROR(__xludf.DUMMYFUNCTION("""COMPUTED_VALUE"""),97.0)</f>
        <v>97</v>
      </c>
      <c r="X10" s="187">
        <f>IFERROR(__xludf.DUMMYFUNCTION("""COMPUTED_VALUE"""),12.0)</f>
        <v>12</v>
      </c>
      <c r="Y10" s="188">
        <f>IFERROR(__xludf.DUMMYFUNCTION("""COMPUTED_VALUE"""),4121053.18)</f>
        <v>4121053.18</v>
      </c>
      <c r="Z10" s="188">
        <f>IFERROR(__xludf.DUMMYFUNCTION("""COMPUTED_VALUE"""),161110.08)</f>
        <v>161110.08</v>
      </c>
      <c r="AA10" s="187">
        <f>IFERROR(__xludf.DUMMYFUNCTION("""COMPUTED_VALUE"""),19.0)</f>
        <v>19</v>
      </c>
      <c r="AB10" s="187">
        <f>IFERROR(__xludf.DUMMYFUNCTION("""COMPUTED_VALUE"""),2.0)</f>
        <v>2</v>
      </c>
      <c r="AC10" s="187">
        <f>IFERROR(__xludf.DUMMYFUNCTION("""COMPUTED_VALUE"""),21.0)</f>
        <v>21</v>
      </c>
      <c r="AD10" s="187">
        <f>IFERROR(__xludf.DUMMYFUNCTION("""COMPUTED_VALUE"""),0.0)</f>
        <v>0</v>
      </c>
      <c r="AE10" s="187">
        <f>IFERROR(__xludf.DUMMYFUNCTION("""COMPUTED_VALUE"""),45.0)</f>
        <v>45</v>
      </c>
      <c r="AF10" s="187">
        <f>IFERROR(__xludf.DUMMYFUNCTION("""COMPUTED_VALUE"""),84.0)</f>
        <v>84</v>
      </c>
      <c r="AG10" s="187">
        <f>IFERROR(__xludf.DUMMYFUNCTION("""COMPUTED_VALUE"""),28.0)</f>
        <v>28</v>
      </c>
      <c r="AH10" s="187">
        <f>IFERROR(__xludf.DUMMYFUNCTION("""COMPUTED_VALUE"""),2.0)</f>
        <v>2</v>
      </c>
      <c r="AI10" s="187">
        <f>IFERROR(__xludf.DUMMYFUNCTION("""COMPUTED_VALUE"""),9.0)</f>
        <v>9</v>
      </c>
      <c r="AJ10" s="187">
        <f>IFERROR(__xludf.DUMMYFUNCTION("""COMPUTED_VALUE"""),0.0)</f>
        <v>0</v>
      </c>
      <c r="AK10" s="187">
        <f>IFERROR(__xludf.DUMMYFUNCTION("""COMPUTED_VALUE"""),0.0)</f>
        <v>0</v>
      </c>
      <c r="AL10" s="187">
        <f>IFERROR(__xludf.DUMMYFUNCTION("""COMPUTED_VALUE"""),0.0)</f>
        <v>0</v>
      </c>
      <c r="AM10" s="187">
        <f>IFERROR(__xludf.DUMMYFUNCTION("""COMPUTED_VALUE"""),0.0)</f>
        <v>0</v>
      </c>
      <c r="AN10" s="187">
        <f>IFERROR(__xludf.DUMMYFUNCTION("""COMPUTED_VALUE"""),274.0)</f>
        <v>274</v>
      </c>
      <c r="AO10" s="187">
        <f>IFERROR(__xludf.DUMMYFUNCTION("""COMPUTED_VALUE"""),367.0)</f>
        <v>367</v>
      </c>
      <c r="AP10" s="187">
        <f>IFERROR(__xludf.DUMMYFUNCTION("""COMPUTED_VALUE"""),78.0)</f>
        <v>78</v>
      </c>
      <c r="AQ10" s="217">
        <f>IFERROR(__xludf.DUMMYFUNCTION("""COMPUTED_VALUE"""),54899.52564102564)</f>
        <v>54899.52564</v>
      </c>
      <c r="AR10" s="188">
        <f>IFERROR(__xludf.DUMMYFUNCTION("""COMPUTED_VALUE"""),4.705128205128205)</f>
        <v>4.705128205</v>
      </c>
      <c r="AS10" s="217">
        <f>IFERROR(__xludf.DUMMYFUNCTION("""COMPUTED_VALUE"""),234375.0)</f>
        <v>234375</v>
      </c>
      <c r="AT10" s="217"/>
      <c r="AU10" s="218">
        <f>IFERROR(__xludf.DUMMYFUNCTION("""COMPUTED_VALUE"""),0.054732853466811046)</f>
        <v>0.05473285347</v>
      </c>
      <c r="AV10" s="217">
        <f>IFERROR(__xludf.DUMMYFUNCTION("""COMPUTED_VALUE"""),203912.52380952382)</f>
        <v>203912.5238</v>
      </c>
      <c r="AW10" s="219">
        <f>IFERROR(__xludf.DUMMYFUNCTION("""COMPUTED_VALUE"""),23.0)</f>
        <v>23</v>
      </c>
      <c r="AX10" s="219">
        <f>IFERROR(__xludf.DUMMYFUNCTION("""COMPUTED_VALUE"""),891.0)</f>
        <v>891</v>
      </c>
      <c r="AY10" s="220">
        <f>IFERROR(__xludf.DUMMYFUNCTION("""COMPUTED_VALUE"""),3350.84)</f>
        <v>3350.84</v>
      </c>
      <c r="AZ10" s="219">
        <f>IFERROR(__xludf.DUMMYFUNCTION("""COMPUTED_VALUE"""),39.0)</f>
        <v>39</v>
      </c>
      <c r="BA10" s="219">
        <f>IFERROR(__xludf.DUMMYFUNCTION("""COMPUTED_VALUE"""),21.0)</f>
        <v>21</v>
      </c>
      <c r="BB10" s="219">
        <f>IFERROR(__xludf.DUMMYFUNCTION("""COMPUTED_VALUE"""),64.0)</f>
        <v>64</v>
      </c>
      <c r="BC10" s="219">
        <f>IFERROR(__xludf.DUMMYFUNCTION("""COMPUTED_VALUE"""),12.0)</f>
        <v>12</v>
      </c>
      <c r="BD10" s="221"/>
      <c r="BE10" s="98"/>
      <c r="BF10" s="255" t="e">
        <v>#REF!</v>
      </c>
      <c r="BG10" s="256">
        <f t="shared" si="4"/>
        <v>4282163</v>
      </c>
      <c r="BH10" s="257" t="str">
        <f t="shared" si="5"/>
        <v>#REF!</v>
      </c>
      <c r="BI10" s="98"/>
      <c r="BJ10" s="98"/>
      <c r="BK10" s="98"/>
      <c r="BL10" s="98"/>
      <c r="BM10" s="98" t="s">
        <v>160</v>
      </c>
      <c r="BN10" s="98"/>
      <c r="BO10" s="98"/>
      <c r="BP10" s="98"/>
      <c r="BQ10" s="98"/>
      <c r="BR10" s="98"/>
    </row>
    <row r="11">
      <c r="A11" s="6" t="str">
        <f>IFERROR(__xludf.DUMMYFUNCTION("""COMPUTED_VALUE"""),"Sandeep Dadheech")</f>
        <v>Sandeep Dadheech</v>
      </c>
      <c r="B11" s="98" t="str">
        <f>IFERROR(__xludf.DUMMYFUNCTION("""COMPUTED_VALUE"""),"West Bengal")</f>
        <v>West Bengal</v>
      </c>
      <c r="C11" s="212" t="str">
        <f>IFERROR(__xludf.DUMMYFUNCTION("""COMPUTED_VALUE"""),"Suven Sengupta")</f>
        <v>Suven Sengupta</v>
      </c>
      <c r="D11" s="98" t="str">
        <f>IFERROR(__xludf.DUMMYFUNCTION("""COMPUTED_VALUE"""),"KOLKATA")</f>
        <v>KOLKATA</v>
      </c>
      <c r="E11" s="213">
        <f>IFERROR(__xludf.DUMMYFUNCTION("""COMPUTED_VALUE"""),41400.0)</f>
        <v>41400</v>
      </c>
      <c r="F11" s="222" t="str">
        <f>IFERROR(__xludf.DUMMYFUNCTION("""COMPUTED_VALUE"""),"WEST BENGAL")</f>
        <v>WEST BENGAL</v>
      </c>
      <c r="G11" s="215">
        <f>IFERROR(__xludf.DUMMYFUNCTION("""COMPUTED_VALUE"""),6.130048567570313E7)</f>
        <v>61300485.68</v>
      </c>
      <c r="H11" s="215">
        <f>IFERROR(__xludf.DUMMYFUNCTION("""COMPUTED_VALUE"""),6.12778106E7)</f>
        <v>61277810.6</v>
      </c>
      <c r="I11" s="216">
        <f>IFERROR(__xludf.DUMMYFUNCTION("""COMPUTED_VALUE"""),83075.0)</f>
        <v>83075</v>
      </c>
      <c r="J11" s="216">
        <f>IFERROR(__xludf.DUMMYFUNCTION("""COMPUTED_VALUE"""),8516667.0)</f>
        <v>8516667</v>
      </c>
      <c r="K11" s="217">
        <f>IFERROR(__xludf.DUMMYFUNCTION("""COMPUTED_VALUE"""),0.0)</f>
        <v>0</v>
      </c>
      <c r="L11" s="217">
        <f>IFERROR(__xludf.DUMMYFUNCTION("""COMPUTED_VALUE"""),2.5550001E7)</f>
        <v>25550001</v>
      </c>
      <c r="M11" s="217">
        <f>IFERROR(__xludf.DUMMYFUNCTION("""COMPUTED_VALUE"""),1.2473294E7)</f>
        <v>12473294</v>
      </c>
      <c r="N11" s="217">
        <f>IFERROR(__xludf.DUMMYFUNCTION("""COMPUTED_VALUE"""),0.0)</f>
        <v>0</v>
      </c>
      <c r="O11" s="217">
        <f>IFERROR(__xludf.DUMMYFUNCTION("""COMPUTED_VALUE"""),7144590.8)</f>
        <v>7144590.8</v>
      </c>
      <c r="P11" s="218">
        <f>IFERROR(__xludf.DUMMYFUNCTION("""COMPUTED_VALUE"""),0.48819152688095785)</f>
        <v>0.4881915269</v>
      </c>
      <c r="Q11" s="218">
        <f>IFERROR(__xludf.DUMMYFUNCTION("""COMPUTED_VALUE"""),0.0)</f>
        <v>0</v>
      </c>
      <c r="R11" s="218">
        <f>IFERROR(__xludf.DUMMYFUNCTION("""COMPUTED_VALUE"""),0.27963172291069577)</f>
        <v>0.2796317229</v>
      </c>
      <c r="S11" s="187">
        <f>IFERROR(__xludf.DUMMYFUNCTION("""COMPUTED_VALUE"""),51.0)</f>
        <v>51</v>
      </c>
      <c r="T11" s="187">
        <f>IFERROR(__xludf.DUMMYFUNCTION("""COMPUTED_VALUE"""),45.0)</f>
        <v>45</v>
      </c>
      <c r="U11" s="187">
        <f>IFERROR(__xludf.DUMMYFUNCTION("""COMPUTED_VALUE"""),4.0)</f>
        <v>4</v>
      </c>
      <c r="V11" s="187">
        <f>IFERROR(__xludf.DUMMYFUNCTION("""COMPUTED_VALUE"""),4.0)</f>
        <v>4</v>
      </c>
      <c r="W11" s="187">
        <f>IFERROR(__xludf.DUMMYFUNCTION("""COMPUTED_VALUE"""),55.0)</f>
        <v>55</v>
      </c>
      <c r="X11" s="187">
        <f>IFERROR(__xludf.DUMMYFUNCTION("""COMPUTED_VALUE"""),10.0)</f>
        <v>10</v>
      </c>
      <c r="Y11" s="188">
        <f>IFERROR(__xludf.DUMMYFUNCTION("""COMPUTED_VALUE"""),1.186153537E7)</f>
        <v>11861535.37</v>
      </c>
      <c r="Z11" s="188">
        <f>IFERROR(__xludf.DUMMYFUNCTION("""COMPUTED_VALUE"""),611758.52)</f>
        <v>611758.52</v>
      </c>
      <c r="AA11" s="187">
        <f>IFERROR(__xludf.DUMMYFUNCTION("""COMPUTED_VALUE"""),31.0)</f>
        <v>31</v>
      </c>
      <c r="AB11" s="187">
        <f>IFERROR(__xludf.DUMMYFUNCTION("""COMPUTED_VALUE"""),4.0)</f>
        <v>4</v>
      </c>
      <c r="AC11" s="187">
        <f>IFERROR(__xludf.DUMMYFUNCTION("""COMPUTED_VALUE"""),35.0)</f>
        <v>35</v>
      </c>
      <c r="AD11" s="187">
        <f>IFERROR(__xludf.DUMMYFUNCTION("""COMPUTED_VALUE"""),0.0)</f>
        <v>0</v>
      </c>
      <c r="AE11" s="187">
        <f>IFERROR(__xludf.DUMMYFUNCTION("""COMPUTED_VALUE"""),0.0)</f>
        <v>0</v>
      </c>
      <c r="AF11" s="187">
        <f>IFERROR(__xludf.DUMMYFUNCTION("""COMPUTED_VALUE"""),0.0)</f>
        <v>0</v>
      </c>
      <c r="AG11" s="187">
        <f>IFERROR(__xludf.DUMMYFUNCTION("""COMPUTED_VALUE"""),18.0)</f>
        <v>18</v>
      </c>
      <c r="AH11" s="187">
        <f>IFERROR(__xludf.DUMMYFUNCTION("""COMPUTED_VALUE"""),2.0)</f>
        <v>2</v>
      </c>
      <c r="AI11" s="187">
        <f>IFERROR(__xludf.DUMMYFUNCTION("""COMPUTED_VALUE"""),41.0)</f>
        <v>41</v>
      </c>
      <c r="AJ11" s="187">
        <f>IFERROR(__xludf.DUMMYFUNCTION("""COMPUTED_VALUE"""),0.0)</f>
        <v>0</v>
      </c>
      <c r="AK11" s="187">
        <f>IFERROR(__xludf.DUMMYFUNCTION("""COMPUTED_VALUE"""),0.0)</f>
        <v>0</v>
      </c>
      <c r="AL11" s="187">
        <f>IFERROR(__xludf.DUMMYFUNCTION("""COMPUTED_VALUE"""),0.0)</f>
        <v>0</v>
      </c>
      <c r="AM11" s="187">
        <f>IFERROR(__xludf.DUMMYFUNCTION("""COMPUTED_VALUE"""),0.0)</f>
        <v>0</v>
      </c>
      <c r="AN11" s="187">
        <f>IFERROR(__xludf.DUMMYFUNCTION("""COMPUTED_VALUE"""),364.0)</f>
        <v>364</v>
      </c>
      <c r="AO11" s="187">
        <f>IFERROR(__xludf.DUMMYFUNCTION("""COMPUTED_VALUE"""),405.0)</f>
        <v>405</v>
      </c>
      <c r="AP11" s="187">
        <f>IFERROR(__xludf.DUMMYFUNCTION("""COMPUTED_VALUE"""),56.0)</f>
        <v>56</v>
      </c>
      <c r="AQ11" s="217">
        <f>IFERROR(__xludf.DUMMYFUNCTION("""COMPUTED_VALUE"""),222737.39285714287)</f>
        <v>222737.3929</v>
      </c>
      <c r="AR11" s="188">
        <f>IFERROR(__xludf.DUMMYFUNCTION("""COMPUTED_VALUE"""),7.232142857142857)</f>
        <v>7.232142857</v>
      </c>
      <c r="AS11" s="217">
        <f>IFERROR(__xludf.DUMMYFUNCTION("""COMPUTED_VALUE"""),249225.0)</f>
        <v>249225</v>
      </c>
      <c r="AT11" s="217"/>
      <c r="AU11" s="218">
        <f>IFERROR(__xludf.DUMMYFUNCTION("""COMPUTED_VALUE"""),0.01998068834102684)</f>
        <v>0.01998068834</v>
      </c>
      <c r="AV11" s="217">
        <f>IFERROR(__xludf.DUMMYFUNCTION("""COMPUTED_VALUE"""),356379.82857142854)</f>
        <v>356379.8286</v>
      </c>
      <c r="AW11" s="219">
        <f>IFERROR(__xludf.DUMMYFUNCTION("""COMPUTED_VALUE"""),254.0)</f>
        <v>254</v>
      </c>
      <c r="AX11" s="219">
        <f>IFERROR(__xludf.DUMMYFUNCTION("""COMPUTED_VALUE"""),524.0)</f>
        <v>524</v>
      </c>
      <c r="AY11" s="220">
        <f>IFERROR(__xludf.DUMMYFUNCTION("""COMPUTED_VALUE"""),1487.91)</f>
        <v>1487.91</v>
      </c>
      <c r="AZ11" s="219">
        <f>IFERROR(__xludf.DUMMYFUNCTION("""COMPUTED_VALUE"""),33.0)</f>
        <v>33</v>
      </c>
      <c r="BA11" s="219">
        <f>IFERROR(__xludf.DUMMYFUNCTION("""COMPUTED_VALUE"""),35.0)</f>
        <v>35</v>
      </c>
      <c r="BB11" s="219">
        <f>IFERROR(__xludf.DUMMYFUNCTION("""COMPUTED_VALUE"""),12.0)</f>
        <v>12</v>
      </c>
      <c r="BC11" s="219">
        <f>IFERROR(__xludf.DUMMYFUNCTION("""COMPUTED_VALUE"""),8.0)</f>
        <v>8</v>
      </c>
      <c r="BD11" s="221"/>
      <c r="BE11" s="98"/>
      <c r="BF11" s="255" t="e">
        <v>#REF!</v>
      </c>
      <c r="BG11" s="256">
        <f t="shared" si="4"/>
        <v>12473294</v>
      </c>
      <c r="BH11" s="257" t="str">
        <f t="shared" si="5"/>
        <v>#REF!</v>
      </c>
      <c r="BI11" s="98"/>
      <c r="BJ11" s="98"/>
      <c r="BK11" s="98"/>
      <c r="BL11" s="98"/>
      <c r="BM11" s="98" t="s">
        <v>43</v>
      </c>
      <c r="BN11" s="98"/>
      <c r="BO11" s="98"/>
      <c r="BP11" s="98"/>
      <c r="BQ11" s="98"/>
      <c r="BR11" s="98"/>
    </row>
    <row r="12">
      <c r="A12" s="6" t="str">
        <f>IFERROR(__xludf.DUMMYFUNCTION("""COMPUTED_VALUE"""),"Sandeep Dadheech")</f>
        <v>Sandeep Dadheech</v>
      </c>
      <c r="B12" s="98" t="str">
        <f>IFERROR(__xludf.DUMMYFUNCTION("""COMPUTED_VALUE"""),"Odisha")</f>
        <v>Odisha</v>
      </c>
      <c r="C12" s="212" t="str">
        <f>IFERROR(__xludf.DUMMYFUNCTION("""COMPUTED_VALUE"""),"Kailash Ch. Ghadei")</f>
        <v>Kailash Ch. Ghadei</v>
      </c>
      <c r="D12" s="98" t="str">
        <f>IFERROR(__xludf.DUMMYFUNCTION("""COMPUTED_VALUE"""),"CUTTACK")</f>
        <v>CUTTACK</v>
      </c>
      <c r="E12" s="213">
        <f>IFERROR(__xludf.DUMMYFUNCTION("""COMPUTED_VALUE"""),41563.0)</f>
        <v>41563</v>
      </c>
      <c r="F12" s="222" t="str">
        <f>IFERROR(__xludf.DUMMYFUNCTION("""COMPUTED_VALUE"""),"ODISHA")</f>
        <v>ODISHA</v>
      </c>
      <c r="G12" s="215">
        <f>IFERROR(__xludf.DUMMYFUNCTION("""COMPUTED_VALUE"""),2.28536648E7)</f>
        <v>22853664.8</v>
      </c>
      <c r="H12" s="215">
        <f>IFERROR(__xludf.DUMMYFUNCTION("""COMPUTED_VALUE"""),1.99497201E7)</f>
        <v>19949720.1</v>
      </c>
      <c r="I12" s="216">
        <f>IFERROR(__xludf.DUMMYFUNCTION("""COMPUTED_VALUE"""),48500.0)</f>
        <v>48500</v>
      </c>
      <c r="J12" s="216">
        <f>IFERROR(__xludf.DUMMYFUNCTION("""COMPUTED_VALUE"""),2500000.0)</f>
        <v>2500000</v>
      </c>
      <c r="K12" s="217">
        <f>IFERROR(__xludf.DUMMYFUNCTION("""COMPUTED_VALUE"""),0.0)</f>
        <v>0</v>
      </c>
      <c r="L12" s="217">
        <f>IFERROR(__xludf.DUMMYFUNCTION("""COMPUTED_VALUE"""),7500000.0)</f>
        <v>7500000</v>
      </c>
      <c r="M12" s="217">
        <f>IFERROR(__xludf.DUMMYFUNCTION("""COMPUTED_VALUE"""),7565298.0)</f>
        <v>7565298</v>
      </c>
      <c r="N12" s="217">
        <f>IFERROR(__xludf.DUMMYFUNCTION("""COMPUTED_VALUE"""),0.0)</f>
        <v>0</v>
      </c>
      <c r="O12" s="217">
        <f>IFERROR(__xludf.DUMMYFUNCTION("""COMPUTED_VALUE"""),5819903.08)</f>
        <v>5819903.08</v>
      </c>
      <c r="P12" s="218">
        <f>IFERROR(__xludf.DUMMYFUNCTION("""COMPUTED_VALUE"""),1.0087064)</f>
        <v>1.0087064</v>
      </c>
      <c r="Q12" s="218">
        <f>IFERROR(__xludf.DUMMYFUNCTION("""COMPUTED_VALUE"""),0.0)</f>
        <v>0</v>
      </c>
      <c r="R12" s="218">
        <f>IFERROR(__xludf.DUMMYFUNCTION("""COMPUTED_VALUE"""),0.7759870773333334)</f>
        <v>0.7759870773</v>
      </c>
      <c r="S12" s="187">
        <f>IFERROR(__xludf.DUMMYFUNCTION("""COMPUTED_VALUE"""),39.0)</f>
        <v>39</v>
      </c>
      <c r="T12" s="187">
        <f>IFERROR(__xludf.DUMMYFUNCTION("""COMPUTED_VALUE"""),40.0)</f>
        <v>40</v>
      </c>
      <c r="U12" s="187">
        <f>IFERROR(__xludf.DUMMYFUNCTION("""COMPUTED_VALUE"""),3.0)</f>
        <v>3</v>
      </c>
      <c r="V12" s="187">
        <f>IFERROR(__xludf.DUMMYFUNCTION("""COMPUTED_VALUE"""),3.0)</f>
        <v>3</v>
      </c>
      <c r="W12" s="187">
        <f>IFERROR(__xludf.DUMMYFUNCTION("""COMPUTED_VALUE"""),42.0)</f>
        <v>42</v>
      </c>
      <c r="X12" s="187">
        <f>IFERROR(__xludf.DUMMYFUNCTION("""COMPUTED_VALUE"""),2.0)</f>
        <v>2</v>
      </c>
      <c r="Y12" s="188">
        <f>IFERROR(__xludf.DUMMYFUNCTION("""COMPUTED_VALUE"""),6977902.1)</f>
        <v>6977902.1</v>
      </c>
      <c r="Z12" s="188">
        <f>IFERROR(__xludf.DUMMYFUNCTION("""COMPUTED_VALUE"""),587396.14)</f>
        <v>587396.14</v>
      </c>
      <c r="AA12" s="187">
        <f>IFERROR(__xludf.DUMMYFUNCTION("""COMPUTED_VALUE"""),17.0)</f>
        <v>17</v>
      </c>
      <c r="AB12" s="187">
        <f>IFERROR(__xludf.DUMMYFUNCTION("""COMPUTED_VALUE"""),3.0)</f>
        <v>3</v>
      </c>
      <c r="AC12" s="187">
        <f>IFERROR(__xludf.DUMMYFUNCTION("""COMPUTED_VALUE"""),20.0)</f>
        <v>20</v>
      </c>
      <c r="AD12" s="187">
        <f>IFERROR(__xludf.DUMMYFUNCTION("""COMPUTED_VALUE"""),0.0)</f>
        <v>0</v>
      </c>
      <c r="AE12" s="187">
        <f>IFERROR(__xludf.DUMMYFUNCTION("""COMPUTED_VALUE"""),9.0)</f>
        <v>9</v>
      </c>
      <c r="AF12" s="187">
        <f>IFERROR(__xludf.DUMMYFUNCTION("""COMPUTED_VALUE"""),9.0)</f>
        <v>9</v>
      </c>
      <c r="AG12" s="187">
        <f>IFERROR(__xludf.DUMMYFUNCTION("""COMPUTED_VALUE"""),22.0)</f>
        <v>22</v>
      </c>
      <c r="AH12" s="187">
        <f>IFERROR(__xludf.DUMMYFUNCTION("""COMPUTED_VALUE"""),1.0)</f>
        <v>1</v>
      </c>
      <c r="AI12" s="187">
        <f>IFERROR(__xludf.DUMMYFUNCTION("""COMPUTED_VALUE"""),4.0)</f>
        <v>4</v>
      </c>
      <c r="AJ12" s="187">
        <f>IFERROR(__xludf.DUMMYFUNCTION("""COMPUTED_VALUE"""),0.0)</f>
        <v>0</v>
      </c>
      <c r="AK12" s="187">
        <f>IFERROR(__xludf.DUMMYFUNCTION("""COMPUTED_VALUE"""),0.0)</f>
        <v>0</v>
      </c>
      <c r="AL12" s="187">
        <f>IFERROR(__xludf.DUMMYFUNCTION("""COMPUTED_VALUE"""),0.0)</f>
        <v>0</v>
      </c>
      <c r="AM12" s="187">
        <f>IFERROR(__xludf.DUMMYFUNCTION("""COMPUTED_VALUE"""),0.0)</f>
        <v>0</v>
      </c>
      <c r="AN12" s="187">
        <f>IFERROR(__xludf.DUMMYFUNCTION("""COMPUTED_VALUE"""),205.0)</f>
        <v>205</v>
      </c>
      <c r="AO12" s="187">
        <f>IFERROR(__xludf.DUMMYFUNCTION("""COMPUTED_VALUE"""),218.0)</f>
        <v>218</v>
      </c>
      <c r="AP12" s="187">
        <f>IFERROR(__xludf.DUMMYFUNCTION("""COMPUTED_VALUE"""),78.0)</f>
        <v>78</v>
      </c>
      <c r="AQ12" s="217">
        <f>IFERROR(__xludf.DUMMYFUNCTION("""COMPUTED_VALUE"""),96991.0)</f>
        <v>96991</v>
      </c>
      <c r="AR12" s="188">
        <f>IFERROR(__xludf.DUMMYFUNCTION("""COMPUTED_VALUE"""),2.7948717948717947)</f>
        <v>2.794871795</v>
      </c>
      <c r="AS12" s="217">
        <f>IFERROR(__xludf.DUMMYFUNCTION("""COMPUTED_VALUE"""),145500.0)</f>
        <v>145500</v>
      </c>
      <c r="AT12" s="217"/>
      <c r="AU12" s="218">
        <f>IFERROR(__xludf.DUMMYFUNCTION("""COMPUTED_VALUE"""),0.01923255369451408)</f>
        <v>0.01923255369</v>
      </c>
      <c r="AV12" s="217">
        <f>IFERROR(__xludf.DUMMYFUNCTION("""COMPUTED_VALUE"""),378264.9)</f>
        <v>378264.9</v>
      </c>
      <c r="AW12" s="219">
        <f>IFERROR(__xludf.DUMMYFUNCTION("""COMPUTED_VALUE"""),75.0)</f>
        <v>75</v>
      </c>
      <c r="AX12" s="219">
        <f>IFERROR(__xludf.DUMMYFUNCTION("""COMPUTED_VALUE"""),932.0)</f>
        <v>932</v>
      </c>
      <c r="AY12" s="220">
        <f>IFERROR(__xludf.DUMMYFUNCTION("""COMPUTED_VALUE"""),9150.26)</f>
        <v>9150.26</v>
      </c>
      <c r="AZ12" s="219">
        <f>IFERROR(__xludf.DUMMYFUNCTION("""COMPUTED_VALUE"""),229.0)</f>
        <v>229</v>
      </c>
      <c r="BA12" s="219">
        <f>IFERROR(__xludf.DUMMYFUNCTION("""COMPUTED_VALUE"""),20.0)</f>
        <v>20</v>
      </c>
      <c r="BB12" s="219">
        <f>IFERROR(__xludf.DUMMYFUNCTION("""COMPUTED_VALUE"""),20.0)</f>
        <v>20</v>
      </c>
      <c r="BC12" s="219">
        <f>IFERROR(__xludf.DUMMYFUNCTION("""COMPUTED_VALUE"""),2.0)</f>
        <v>2</v>
      </c>
      <c r="BD12" s="221"/>
      <c r="BE12" s="98"/>
      <c r="BF12" s="255" t="e">
        <v>#REF!</v>
      </c>
      <c r="BG12" s="256">
        <f t="shared" si="4"/>
        <v>7565298</v>
      </c>
      <c r="BH12" s="257" t="str">
        <f t="shared" si="5"/>
        <v>#REF!</v>
      </c>
      <c r="BI12" s="98"/>
      <c r="BJ12" s="98"/>
      <c r="BK12" s="98"/>
      <c r="BL12" s="98"/>
      <c r="BM12" s="98" t="s">
        <v>357</v>
      </c>
      <c r="BN12" s="98"/>
      <c r="BO12" s="98"/>
      <c r="BP12" s="98"/>
      <c r="BQ12" s="98"/>
      <c r="BR12" s="98"/>
    </row>
    <row r="13">
      <c r="A13" s="6" t="str">
        <f>IFERROR(__xludf.DUMMYFUNCTION("""COMPUTED_VALUE"""),"Sandeep Dadheech")</f>
        <v>Sandeep Dadheech</v>
      </c>
      <c r="B13" s="98" t="str">
        <f>IFERROR(__xludf.DUMMYFUNCTION("""COMPUTED_VALUE"""),"Bihar")</f>
        <v>Bihar</v>
      </c>
      <c r="C13" s="212" t="str">
        <f>IFERROR(__xludf.DUMMYFUNCTION("""COMPUTED_VALUE"""),"Sujeet Singh")</f>
        <v>Sujeet Singh</v>
      </c>
      <c r="D13" s="98" t="str">
        <f>IFERROR(__xludf.DUMMYFUNCTION("""COMPUTED_VALUE"""),"Motihari")</f>
        <v>Motihari</v>
      </c>
      <c r="E13" s="213">
        <f>IFERROR(__xludf.DUMMYFUNCTION("""COMPUTED_VALUE"""),41719.0)</f>
        <v>41719</v>
      </c>
      <c r="F13" s="222" t="str">
        <f>IFERROR(__xludf.DUMMYFUNCTION("""COMPUTED_VALUE"""),"BIHAR")</f>
        <v>BIHAR</v>
      </c>
      <c r="G13" s="259"/>
      <c r="H13" s="259"/>
      <c r="I13" s="216">
        <f>IFERROR(__xludf.DUMMYFUNCTION("""COMPUTED_VALUE"""),88170.0)</f>
        <v>88170</v>
      </c>
      <c r="J13" s="56"/>
      <c r="K13" s="217">
        <f>IFERROR(__xludf.DUMMYFUNCTION("""COMPUTED_VALUE"""),0.0)</f>
        <v>0</v>
      </c>
      <c r="L13" s="217"/>
      <c r="M13" s="217">
        <f>IFERROR(__xludf.DUMMYFUNCTION("""COMPUTED_VALUE"""),0.0)</f>
        <v>0</v>
      </c>
      <c r="N13" s="217">
        <f>IFERROR(__xludf.DUMMYFUNCTION("""COMPUTED_VALUE"""),0.0)</f>
        <v>0</v>
      </c>
      <c r="O13" s="260"/>
      <c r="P13" s="218"/>
      <c r="Q13" s="218">
        <f>IFERROR(__xludf.DUMMYFUNCTION("""COMPUTED_VALUE"""),0.0)</f>
        <v>0</v>
      </c>
      <c r="R13" s="218"/>
      <c r="S13" s="187">
        <f>IFERROR(__xludf.DUMMYFUNCTION("""COMPUTED_VALUE"""),190.0)</f>
        <v>190</v>
      </c>
      <c r="T13" s="187">
        <f>IFERROR(__xludf.DUMMYFUNCTION("""COMPUTED_VALUE"""),36.0)</f>
        <v>36</v>
      </c>
      <c r="U13" s="187">
        <f>IFERROR(__xludf.DUMMYFUNCTION("""COMPUTED_VALUE"""),1.0)</f>
        <v>1</v>
      </c>
      <c r="V13" s="187">
        <f>IFERROR(__xludf.DUMMYFUNCTION("""COMPUTED_VALUE"""),0.0)</f>
        <v>0</v>
      </c>
      <c r="W13" s="187">
        <f>IFERROR(__xludf.DUMMYFUNCTION("""COMPUTED_VALUE"""),191.0)</f>
        <v>191</v>
      </c>
      <c r="X13" s="187">
        <f>IFERROR(__xludf.DUMMYFUNCTION("""COMPUTED_VALUE"""),155.0)</f>
        <v>155</v>
      </c>
      <c r="Y13" s="188">
        <f>IFERROR(__xludf.DUMMYFUNCTION("""COMPUTED_VALUE"""),0.0)</f>
        <v>0</v>
      </c>
      <c r="Z13" s="188">
        <f>IFERROR(__xludf.DUMMYFUNCTION("""COMPUTED_VALUE"""),0.0)</f>
        <v>0</v>
      </c>
      <c r="AA13" s="187">
        <f>IFERROR(__xludf.DUMMYFUNCTION("""COMPUTED_VALUE"""),0.0)</f>
        <v>0</v>
      </c>
      <c r="AB13" s="187">
        <f>IFERROR(__xludf.DUMMYFUNCTION("""COMPUTED_VALUE"""),0.0)</f>
        <v>0</v>
      </c>
      <c r="AC13" s="187">
        <f>IFERROR(__xludf.DUMMYFUNCTION("""COMPUTED_VALUE"""),0.0)</f>
        <v>0</v>
      </c>
      <c r="AD13" s="187">
        <f>IFERROR(__xludf.DUMMYFUNCTION("""COMPUTED_VALUE"""),0.0)</f>
        <v>0</v>
      </c>
      <c r="AE13" s="187">
        <f>IFERROR(__xludf.DUMMYFUNCTION("""COMPUTED_VALUE"""),37.0)</f>
        <v>37</v>
      </c>
      <c r="AF13" s="187">
        <f>IFERROR(__xludf.DUMMYFUNCTION("""COMPUTED_VALUE"""),54.0)</f>
        <v>54</v>
      </c>
      <c r="AG13" s="187">
        <f>IFERROR(__xludf.DUMMYFUNCTION("""COMPUTED_VALUE"""),255.0)</f>
        <v>255</v>
      </c>
      <c r="AH13" s="187">
        <f>IFERROR(__xludf.DUMMYFUNCTION("""COMPUTED_VALUE"""),11.0)</f>
        <v>11</v>
      </c>
      <c r="AI13" s="187">
        <f>IFERROR(__xludf.DUMMYFUNCTION("""COMPUTED_VALUE"""),57.0)</f>
        <v>57</v>
      </c>
      <c r="AJ13" s="187">
        <f>IFERROR(__xludf.DUMMYFUNCTION("""COMPUTED_VALUE"""),3.0)</f>
        <v>3</v>
      </c>
      <c r="AK13" s="187">
        <f>IFERROR(__xludf.DUMMYFUNCTION("""COMPUTED_VALUE"""),7.0)</f>
        <v>7</v>
      </c>
      <c r="AL13" s="187">
        <f>IFERROR(__xludf.DUMMYFUNCTION("""COMPUTED_VALUE"""),1.0)</f>
        <v>1</v>
      </c>
      <c r="AM13" s="187">
        <f>IFERROR(__xludf.DUMMYFUNCTION("""COMPUTED_VALUE"""),5.0)</f>
        <v>5</v>
      </c>
      <c r="AN13" s="187">
        <f>IFERROR(__xludf.DUMMYFUNCTION("""COMPUTED_VALUE"""),41.0)</f>
        <v>41</v>
      </c>
      <c r="AO13" s="187">
        <f>IFERROR(__xludf.DUMMYFUNCTION("""COMPUTED_VALUE"""),164.0)</f>
        <v>164</v>
      </c>
      <c r="AP13" s="187">
        <f>IFERROR(__xludf.DUMMYFUNCTION("""COMPUTED_VALUE"""),75.0)</f>
        <v>75</v>
      </c>
      <c r="AQ13" s="217">
        <f>IFERROR(__xludf.DUMMYFUNCTION("""COMPUTED_VALUE"""),0.0)</f>
        <v>0</v>
      </c>
      <c r="AR13" s="188">
        <f>IFERROR(__xludf.DUMMYFUNCTION("""COMPUTED_VALUE"""),2.1866666666666665)</f>
        <v>2.186666667</v>
      </c>
      <c r="AS13" s="217">
        <f>IFERROR(__xludf.DUMMYFUNCTION("""COMPUTED_VALUE"""),264510.0)</f>
        <v>264510</v>
      </c>
      <c r="AT13" s="217"/>
      <c r="AU13" s="218"/>
      <c r="AV13" s="217"/>
      <c r="AW13" s="219">
        <f>IFERROR(__xludf.DUMMYFUNCTION("""COMPUTED_VALUE"""),0.0)</f>
        <v>0</v>
      </c>
      <c r="AX13" s="219">
        <f>IFERROR(__xludf.DUMMYFUNCTION("""COMPUTED_VALUE"""),703.0)</f>
        <v>703</v>
      </c>
      <c r="AY13" s="220">
        <f>IFERROR(__xludf.DUMMYFUNCTION("""COMPUTED_VALUE"""),7872.43)</f>
        <v>7872.43</v>
      </c>
      <c r="AZ13" s="219">
        <f>IFERROR(__xludf.DUMMYFUNCTION("""COMPUTED_VALUE"""),219.0)</f>
        <v>219</v>
      </c>
      <c r="BA13" s="219">
        <f>IFERROR(__xludf.DUMMYFUNCTION("""COMPUTED_VALUE"""),0.0)</f>
        <v>0</v>
      </c>
      <c r="BB13" s="219">
        <f>IFERROR(__xludf.DUMMYFUNCTION("""COMPUTED_VALUE"""),36.0)</f>
        <v>36</v>
      </c>
      <c r="BC13" s="219">
        <f>IFERROR(__xludf.DUMMYFUNCTION("""COMPUTED_VALUE"""),155.0)</f>
        <v>155</v>
      </c>
      <c r="BD13" s="221"/>
      <c r="BE13" s="98"/>
      <c r="BF13" s="241" t="e">
        <v>#REF!</v>
      </c>
      <c r="BG13" s="256">
        <f t="shared" si="4"/>
        <v>0</v>
      </c>
      <c r="BH13" s="257" t="str">
        <f t="shared" si="5"/>
        <v>#REF!</v>
      </c>
      <c r="BI13" s="98"/>
      <c r="BJ13" s="98"/>
      <c r="BK13" s="98"/>
      <c r="BL13" s="98"/>
      <c r="BM13" s="98" t="s">
        <v>301</v>
      </c>
      <c r="BN13" s="98"/>
      <c r="BO13" s="98"/>
      <c r="BP13" s="98"/>
      <c r="BQ13" s="98"/>
      <c r="BR13" s="98"/>
    </row>
    <row r="14">
      <c r="A14" s="6" t="str">
        <f>IFERROR(__xludf.DUMMYFUNCTION("""COMPUTED_VALUE"""),"Sandeep Dadheech")</f>
        <v>Sandeep Dadheech</v>
      </c>
      <c r="B14" s="98" t="str">
        <f>IFERROR(__xludf.DUMMYFUNCTION("""COMPUTED_VALUE"""),"West Bengal")</f>
        <v>West Bengal</v>
      </c>
      <c r="C14" s="212" t="str">
        <f>IFERROR(__xludf.DUMMYFUNCTION("""COMPUTED_VALUE"""),"Debasish Adhikary")</f>
        <v>Debasish Adhikary</v>
      </c>
      <c r="D14" s="98" t="str">
        <f>IFERROR(__xludf.DUMMYFUNCTION("""COMPUTED_VALUE"""),"MEDNIPORE")</f>
        <v>MEDNIPORE</v>
      </c>
      <c r="E14" s="213">
        <f>IFERROR(__xludf.DUMMYFUNCTION("""COMPUTED_VALUE"""),41791.0)</f>
        <v>41791</v>
      </c>
      <c r="F14" s="222" t="str">
        <f>IFERROR(__xludf.DUMMYFUNCTION("""COMPUTED_VALUE"""),"WEST BENGAL")</f>
        <v>WEST BENGAL</v>
      </c>
      <c r="G14" s="215">
        <f>IFERROR(__xludf.DUMMYFUNCTION("""COMPUTED_VALUE"""),8.001657805999999E7)</f>
        <v>80016578.06</v>
      </c>
      <c r="H14" s="215">
        <f>IFERROR(__xludf.DUMMYFUNCTION("""COMPUTED_VALUE"""),8.1193126E7)</f>
        <v>81193126</v>
      </c>
      <c r="I14" s="216">
        <f>IFERROR(__xludf.DUMMYFUNCTION("""COMPUTED_VALUE"""),87460.0)</f>
        <v>87460</v>
      </c>
      <c r="J14" s="216">
        <f>IFERROR(__xludf.DUMMYFUNCTION("""COMPUTED_VALUE"""),9166667.0)</f>
        <v>9166667</v>
      </c>
      <c r="K14" s="217">
        <f>IFERROR(__xludf.DUMMYFUNCTION("""COMPUTED_VALUE"""),0.0)</f>
        <v>0</v>
      </c>
      <c r="L14" s="217">
        <f>IFERROR(__xludf.DUMMYFUNCTION("""COMPUTED_VALUE"""),2.7500001E7)</f>
        <v>27500001</v>
      </c>
      <c r="M14" s="217">
        <f>IFERROR(__xludf.DUMMYFUNCTION("""COMPUTED_VALUE"""),1.8587947E7)</f>
        <v>18587947</v>
      </c>
      <c r="N14" s="217">
        <f>IFERROR(__xludf.DUMMYFUNCTION("""COMPUTED_VALUE"""),0.0)</f>
        <v>0</v>
      </c>
      <c r="O14" s="217">
        <f>IFERROR(__xludf.DUMMYFUNCTION("""COMPUTED_VALUE"""),1.7583311E7)</f>
        <v>17583311</v>
      </c>
      <c r="P14" s="218">
        <f>IFERROR(__xludf.DUMMYFUNCTION("""COMPUTED_VALUE"""),0.6759253208754429)</f>
        <v>0.6759253209</v>
      </c>
      <c r="Q14" s="218">
        <f>IFERROR(__xludf.DUMMYFUNCTION("""COMPUTED_VALUE"""),0.0)</f>
        <v>0</v>
      </c>
      <c r="R14" s="218">
        <f>IFERROR(__xludf.DUMMYFUNCTION("""COMPUTED_VALUE"""),0.639393104022069)</f>
        <v>0.639393104</v>
      </c>
      <c r="S14" s="187">
        <f>IFERROR(__xludf.DUMMYFUNCTION("""COMPUTED_VALUE"""),104.0)</f>
        <v>104</v>
      </c>
      <c r="T14" s="187">
        <f>IFERROR(__xludf.DUMMYFUNCTION("""COMPUTED_VALUE"""),72.0)</f>
        <v>72</v>
      </c>
      <c r="U14" s="187">
        <f>IFERROR(__xludf.DUMMYFUNCTION("""COMPUTED_VALUE"""),0.0)</f>
        <v>0</v>
      </c>
      <c r="V14" s="187">
        <f>IFERROR(__xludf.DUMMYFUNCTION("""COMPUTED_VALUE"""),0.0)</f>
        <v>0</v>
      </c>
      <c r="W14" s="187">
        <f>IFERROR(__xludf.DUMMYFUNCTION("""COMPUTED_VALUE"""),104.0)</f>
        <v>104</v>
      </c>
      <c r="X14" s="187">
        <f>IFERROR(__xludf.DUMMYFUNCTION("""COMPUTED_VALUE"""),32.0)</f>
        <v>32</v>
      </c>
      <c r="Y14" s="188">
        <f>IFERROR(__xludf.DUMMYFUNCTION("""COMPUTED_VALUE"""),1.858794729E7)</f>
        <v>18587947.29</v>
      </c>
      <c r="Z14" s="188">
        <f>IFERROR(__xludf.DUMMYFUNCTION("""COMPUTED_VALUE"""),0.0)</f>
        <v>0</v>
      </c>
      <c r="AA14" s="187">
        <f>IFERROR(__xludf.DUMMYFUNCTION("""COMPUTED_VALUE"""),61.0)</f>
        <v>61</v>
      </c>
      <c r="AB14" s="187">
        <f>IFERROR(__xludf.DUMMYFUNCTION("""COMPUTED_VALUE"""),0.0)</f>
        <v>0</v>
      </c>
      <c r="AC14" s="187">
        <f>IFERROR(__xludf.DUMMYFUNCTION("""COMPUTED_VALUE"""),61.0)</f>
        <v>61</v>
      </c>
      <c r="AD14" s="187">
        <f>IFERROR(__xludf.DUMMYFUNCTION("""COMPUTED_VALUE"""),0.0)</f>
        <v>0</v>
      </c>
      <c r="AE14" s="187">
        <f>IFERROR(__xludf.DUMMYFUNCTION("""COMPUTED_VALUE"""),0.0)</f>
        <v>0</v>
      </c>
      <c r="AF14" s="187">
        <f>IFERROR(__xludf.DUMMYFUNCTION("""COMPUTED_VALUE"""),0.0)</f>
        <v>0</v>
      </c>
      <c r="AG14" s="187">
        <f>IFERROR(__xludf.DUMMYFUNCTION("""COMPUTED_VALUE"""),31.0)</f>
        <v>31</v>
      </c>
      <c r="AH14" s="187">
        <f>IFERROR(__xludf.DUMMYFUNCTION("""COMPUTED_VALUE"""),3.0)</f>
        <v>3</v>
      </c>
      <c r="AI14" s="187">
        <f>IFERROR(__xludf.DUMMYFUNCTION("""COMPUTED_VALUE"""),68.0)</f>
        <v>68</v>
      </c>
      <c r="AJ14" s="187">
        <f>IFERROR(__xludf.DUMMYFUNCTION("""COMPUTED_VALUE"""),0.0)</f>
        <v>0</v>
      </c>
      <c r="AK14" s="187">
        <f>IFERROR(__xludf.DUMMYFUNCTION("""COMPUTED_VALUE"""),0.0)</f>
        <v>0</v>
      </c>
      <c r="AL14" s="187">
        <f>IFERROR(__xludf.DUMMYFUNCTION("""COMPUTED_VALUE"""),0.0)</f>
        <v>0</v>
      </c>
      <c r="AM14" s="187">
        <f>IFERROR(__xludf.DUMMYFUNCTION("""COMPUTED_VALUE"""),0.0)</f>
        <v>0</v>
      </c>
      <c r="AN14" s="187">
        <f>IFERROR(__xludf.DUMMYFUNCTION("""COMPUTED_VALUE"""),174.0)</f>
        <v>174</v>
      </c>
      <c r="AO14" s="187">
        <f>IFERROR(__xludf.DUMMYFUNCTION("""COMPUTED_VALUE"""),242.0)</f>
        <v>242</v>
      </c>
      <c r="AP14" s="187">
        <f>IFERROR(__xludf.DUMMYFUNCTION("""COMPUTED_VALUE"""),62.0)</f>
        <v>62</v>
      </c>
      <c r="AQ14" s="217">
        <f>IFERROR(__xludf.DUMMYFUNCTION("""COMPUTED_VALUE"""),299805.5967741936)</f>
        <v>299805.5968</v>
      </c>
      <c r="AR14" s="188">
        <f>IFERROR(__xludf.DUMMYFUNCTION("""COMPUTED_VALUE"""),3.903225806451613)</f>
        <v>3.903225806</v>
      </c>
      <c r="AS14" s="217">
        <f>IFERROR(__xludf.DUMMYFUNCTION("""COMPUTED_VALUE"""),262380.0)</f>
        <v>262380</v>
      </c>
      <c r="AT14" s="217"/>
      <c r="AU14" s="218">
        <f>IFERROR(__xludf.DUMMYFUNCTION("""COMPUTED_VALUE"""),0.014115598672623717)</f>
        <v>0.01411559867</v>
      </c>
      <c r="AV14" s="217">
        <f>IFERROR(__xludf.DUMMYFUNCTION("""COMPUTED_VALUE"""),304720.4426229508)</f>
        <v>304720.4426</v>
      </c>
      <c r="AW14" s="219">
        <f>IFERROR(__xludf.DUMMYFUNCTION("""COMPUTED_VALUE"""),166.0)</f>
        <v>166</v>
      </c>
      <c r="AX14" s="219">
        <f>IFERROR(__xludf.DUMMYFUNCTION("""COMPUTED_VALUE"""),759.0)</f>
        <v>759</v>
      </c>
      <c r="AY14" s="220">
        <f>IFERROR(__xludf.DUMMYFUNCTION("""COMPUTED_VALUE"""),10112.66)</f>
        <v>10112.66</v>
      </c>
      <c r="AZ14" s="219">
        <f>IFERROR(__xludf.DUMMYFUNCTION("""COMPUTED_VALUE"""),140.0)</f>
        <v>140</v>
      </c>
      <c r="BA14" s="219">
        <f>IFERROR(__xludf.DUMMYFUNCTION("""COMPUTED_VALUE"""),61.0)</f>
        <v>61</v>
      </c>
      <c r="BB14" s="219">
        <f>IFERROR(__xludf.DUMMYFUNCTION("""COMPUTED_VALUE"""),11.0)</f>
        <v>11</v>
      </c>
      <c r="BC14" s="219">
        <f>IFERROR(__xludf.DUMMYFUNCTION("""COMPUTED_VALUE"""),32.0)</f>
        <v>32</v>
      </c>
      <c r="BD14" s="221"/>
      <c r="BE14" s="98"/>
      <c r="BF14" s="255" t="e">
        <v>#REF!</v>
      </c>
      <c r="BG14" s="256">
        <f t="shared" si="4"/>
        <v>18587947</v>
      </c>
      <c r="BH14" s="257" t="str">
        <f t="shared" si="5"/>
        <v>#REF!</v>
      </c>
      <c r="BI14" s="98"/>
      <c r="BJ14" s="98"/>
      <c r="BK14" s="98"/>
      <c r="BL14" s="98"/>
      <c r="BM14" s="98" t="s">
        <v>103</v>
      </c>
      <c r="BN14" s="98"/>
      <c r="BO14" s="98"/>
      <c r="BP14" s="98"/>
      <c r="BQ14" s="98"/>
      <c r="BR14" s="98"/>
    </row>
    <row r="15">
      <c r="A15" s="6" t="str">
        <f>IFERROR(__xludf.DUMMYFUNCTION("""COMPUTED_VALUE"""),"Sandeep Dadheech")</f>
        <v>Sandeep Dadheech</v>
      </c>
      <c r="B15" s="98" t="str">
        <f>IFERROR(__xludf.DUMMYFUNCTION("""COMPUTED_VALUE"""),"Odisha")</f>
        <v>Odisha</v>
      </c>
      <c r="C15" s="212" t="str">
        <f>IFERROR(__xludf.DUMMYFUNCTION("""COMPUTED_VALUE"""),"Pravat Kumar Dash")</f>
        <v>Pravat Kumar Dash</v>
      </c>
      <c r="D15" s="98" t="str">
        <f>IFERROR(__xludf.DUMMYFUNCTION("""COMPUTED_VALUE"""),"BALASORE")</f>
        <v>BALASORE</v>
      </c>
      <c r="E15" s="213">
        <f>IFERROR(__xludf.DUMMYFUNCTION("""COMPUTED_VALUE"""),42125.0)</f>
        <v>42125</v>
      </c>
      <c r="F15" s="222" t="str">
        <f>IFERROR(__xludf.DUMMYFUNCTION("""COMPUTED_VALUE"""),"ODISHA")</f>
        <v>ODISHA</v>
      </c>
      <c r="G15" s="215">
        <f>IFERROR(__xludf.DUMMYFUNCTION("""COMPUTED_VALUE"""),7.212832463E7)</f>
        <v>72128324.63</v>
      </c>
      <c r="H15" s="215">
        <f>IFERROR(__xludf.DUMMYFUNCTION("""COMPUTED_VALUE"""),7.3119024E7)</f>
        <v>73119024</v>
      </c>
      <c r="I15" s="216">
        <f>IFERROR(__xludf.DUMMYFUNCTION("""COMPUTED_VALUE"""),79340.0)</f>
        <v>79340</v>
      </c>
      <c r="J15" s="216"/>
      <c r="K15" s="217">
        <f>IFERROR(__xludf.DUMMYFUNCTION("""COMPUTED_VALUE"""),0.0)</f>
        <v>0</v>
      </c>
      <c r="L15" s="217"/>
      <c r="M15" s="217">
        <f>IFERROR(__xludf.DUMMYFUNCTION("""COMPUTED_VALUE"""),1.8183079E7)</f>
        <v>18183079</v>
      </c>
      <c r="N15" s="217">
        <f>IFERROR(__xludf.DUMMYFUNCTION("""COMPUTED_VALUE"""),0.0)</f>
        <v>0</v>
      </c>
      <c r="O15" s="217"/>
      <c r="P15" s="218"/>
      <c r="Q15" s="218">
        <f>IFERROR(__xludf.DUMMYFUNCTION("""COMPUTED_VALUE"""),0.0)</f>
        <v>0</v>
      </c>
      <c r="R15" s="218"/>
      <c r="S15" s="187">
        <f>IFERROR(__xludf.DUMMYFUNCTION("""COMPUTED_VALUE"""),154.0)</f>
        <v>154</v>
      </c>
      <c r="T15" s="187">
        <f>IFERROR(__xludf.DUMMYFUNCTION("""COMPUTED_VALUE"""),127.0)</f>
        <v>127</v>
      </c>
      <c r="U15" s="187">
        <f>IFERROR(__xludf.DUMMYFUNCTION("""COMPUTED_VALUE"""),2.0)</f>
        <v>2</v>
      </c>
      <c r="V15" s="187">
        <f>IFERROR(__xludf.DUMMYFUNCTION("""COMPUTED_VALUE"""),1.0)</f>
        <v>1</v>
      </c>
      <c r="W15" s="187">
        <f>IFERROR(__xludf.DUMMYFUNCTION("""COMPUTED_VALUE"""),156.0)</f>
        <v>156</v>
      </c>
      <c r="X15" s="187">
        <f>IFERROR(__xludf.DUMMYFUNCTION("""COMPUTED_VALUE"""),29.0)</f>
        <v>29</v>
      </c>
      <c r="Y15" s="188">
        <f>IFERROR(__xludf.DUMMYFUNCTION("""COMPUTED_VALUE"""),1.809418896E7)</f>
        <v>18094188.96</v>
      </c>
      <c r="Z15" s="188">
        <f>IFERROR(__xludf.DUMMYFUNCTION("""COMPUTED_VALUE"""),88889.74)</f>
        <v>88889.74</v>
      </c>
      <c r="AA15" s="187">
        <f>IFERROR(__xludf.DUMMYFUNCTION("""COMPUTED_VALUE"""),68.0)</f>
        <v>68</v>
      </c>
      <c r="AB15" s="187">
        <f>IFERROR(__xludf.DUMMYFUNCTION("""COMPUTED_VALUE"""),1.0)</f>
        <v>1</v>
      </c>
      <c r="AC15" s="187">
        <f>IFERROR(__xludf.DUMMYFUNCTION("""COMPUTED_VALUE"""),69.0)</f>
        <v>69</v>
      </c>
      <c r="AD15" s="187">
        <f>IFERROR(__xludf.DUMMYFUNCTION("""COMPUTED_VALUE"""),0.0)</f>
        <v>0</v>
      </c>
      <c r="AE15" s="187">
        <f>IFERROR(__xludf.DUMMYFUNCTION("""COMPUTED_VALUE"""),1.0)</f>
        <v>1</v>
      </c>
      <c r="AF15" s="187">
        <f>IFERROR(__xludf.DUMMYFUNCTION("""COMPUTED_VALUE"""),1.0)</f>
        <v>1</v>
      </c>
      <c r="AG15" s="187">
        <f>IFERROR(__xludf.DUMMYFUNCTION("""COMPUTED_VALUE"""),4.0)</f>
        <v>4</v>
      </c>
      <c r="AH15" s="187">
        <f>IFERROR(__xludf.DUMMYFUNCTION("""COMPUTED_VALUE"""),5.0)</f>
        <v>5</v>
      </c>
      <c r="AI15" s="187">
        <f>IFERROR(__xludf.DUMMYFUNCTION("""COMPUTED_VALUE"""),59.0)</f>
        <v>59</v>
      </c>
      <c r="AJ15" s="187">
        <f>IFERROR(__xludf.DUMMYFUNCTION("""COMPUTED_VALUE"""),0.0)</f>
        <v>0</v>
      </c>
      <c r="AK15" s="187">
        <f>IFERROR(__xludf.DUMMYFUNCTION("""COMPUTED_VALUE"""),0.0)</f>
        <v>0</v>
      </c>
      <c r="AL15" s="187">
        <f>IFERROR(__xludf.DUMMYFUNCTION("""COMPUTED_VALUE"""),0.0)</f>
        <v>0</v>
      </c>
      <c r="AM15" s="187">
        <f>IFERROR(__xludf.DUMMYFUNCTION("""COMPUTED_VALUE"""),0.0)</f>
        <v>0</v>
      </c>
      <c r="AN15" s="187">
        <f>IFERROR(__xludf.DUMMYFUNCTION("""COMPUTED_VALUE"""),331.0)</f>
        <v>331</v>
      </c>
      <c r="AO15" s="187">
        <f>IFERROR(__xludf.DUMMYFUNCTION("""COMPUTED_VALUE"""),391.0)</f>
        <v>391</v>
      </c>
      <c r="AP15" s="187">
        <f>IFERROR(__xludf.DUMMYFUNCTION("""COMPUTED_VALUE"""),78.0)</f>
        <v>78</v>
      </c>
      <c r="AQ15" s="217">
        <f>IFERROR(__xludf.DUMMYFUNCTION("""COMPUTED_VALUE"""),233116.39743589744)</f>
        <v>233116.3974</v>
      </c>
      <c r="AR15" s="188">
        <f>IFERROR(__xludf.DUMMYFUNCTION("""COMPUTED_VALUE"""),5.012820512820513)</f>
        <v>5.012820513</v>
      </c>
      <c r="AS15" s="217">
        <f>IFERROR(__xludf.DUMMYFUNCTION("""COMPUTED_VALUE"""),238020.0)</f>
        <v>238020</v>
      </c>
      <c r="AT15" s="217"/>
      <c r="AU15" s="218">
        <f>IFERROR(__xludf.DUMMYFUNCTION("""COMPUTED_VALUE"""),0.013090192260617688)</f>
        <v>0.01309019226</v>
      </c>
      <c r="AV15" s="217">
        <f>IFERROR(__xludf.DUMMYFUNCTION("""COMPUTED_VALUE"""),263522.884057971)</f>
        <v>263522.8841</v>
      </c>
      <c r="AW15" s="219">
        <f>IFERROR(__xludf.DUMMYFUNCTION("""COMPUTED_VALUE"""),340.0)</f>
        <v>340</v>
      </c>
      <c r="AX15" s="219">
        <f>IFERROR(__xludf.DUMMYFUNCTION("""COMPUTED_VALUE"""),938.0)</f>
        <v>938</v>
      </c>
      <c r="AY15" s="220">
        <f>IFERROR(__xludf.DUMMYFUNCTION("""COMPUTED_VALUE"""),9226.84)</f>
        <v>9226.84</v>
      </c>
      <c r="AZ15" s="219">
        <f>IFERROR(__xludf.DUMMYFUNCTION("""COMPUTED_VALUE"""),73.0)</f>
        <v>73</v>
      </c>
      <c r="BA15" s="219">
        <f>IFERROR(__xludf.DUMMYFUNCTION("""COMPUTED_VALUE"""),69.0)</f>
        <v>69</v>
      </c>
      <c r="BB15" s="219">
        <f>IFERROR(__xludf.DUMMYFUNCTION("""COMPUTED_VALUE"""),73.0)</f>
        <v>73</v>
      </c>
      <c r="BC15" s="219">
        <f>IFERROR(__xludf.DUMMYFUNCTION("""COMPUTED_VALUE"""),14.0)</f>
        <v>14</v>
      </c>
      <c r="BD15" s="221"/>
      <c r="BE15" s="98"/>
      <c r="BF15" s="255" t="e">
        <v>#REF!</v>
      </c>
      <c r="BG15" s="256">
        <f t="shared" si="4"/>
        <v>18183079</v>
      </c>
      <c r="BH15" s="257" t="str">
        <f t="shared" si="5"/>
        <v>#REF!</v>
      </c>
      <c r="BI15" s="98"/>
      <c r="BJ15" s="98"/>
      <c r="BK15" s="98"/>
      <c r="BL15" s="98"/>
      <c r="BM15" s="98"/>
      <c r="BN15" s="98"/>
      <c r="BO15" s="98"/>
      <c r="BP15" s="98"/>
      <c r="BQ15" s="98"/>
      <c r="BR15" s="98"/>
    </row>
    <row r="16">
      <c r="A16" s="6" t="str">
        <f>IFERROR(__xludf.DUMMYFUNCTION("""COMPUTED_VALUE"""),"Syed Aqil Rizvi")</f>
        <v>Syed Aqil Rizvi</v>
      </c>
      <c r="B16" s="98" t="str">
        <f>IFERROR(__xludf.DUMMYFUNCTION("""COMPUTED_VALUE"""),"East U.P")</f>
        <v>East U.P</v>
      </c>
      <c r="C16" s="212" t="str">
        <f>IFERROR(__xludf.DUMMYFUNCTION("""COMPUTED_VALUE"""),"Ravi Kumar Verma")</f>
        <v>Ravi Kumar Verma</v>
      </c>
      <c r="D16" s="98" t="str">
        <f>IFERROR(__xludf.DUMMYFUNCTION("""COMPUTED_VALUE"""),"Faizbad")</f>
        <v>Faizbad</v>
      </c>
      <c r="E16" s="213">
        <f>IFERROR(__xludf.DUMMYFUNCTION("""COMPUTED_VALUE"""),42530.0)</f>
        <v>42530</v>
      </c>
      <c r="F16" s="222" t="str">
        <f>IFERROR(__xludf.DUMMYFUNCTION("""COMPUTED_VALUE"""),"East U.P")</f>
        <v>East U.P</v>
      </c>
      <c r="G16" s="215">
        <f>IFERROR(__xludf.DUMMYFUNCTION("""COMPUTED_VALUE"""),2.0294788372968752E7)</f>
        <v>20294788.37</v>
      </c>
      <c r="H16" s="215">
        <f>IFERROR(__xludf.DUMMYFUNCTION("""COMPUTED_VALUE"""),2.08433008E7)</f>
        <v>20843300.8</v>
      </c>
      <c r="I16" s="216">
        <f>IFERROR(__xludf.DUMMYFUNCTION("""COMPUTED_VALUE"""),76210.0)</f>
        <v>76210</v>
      </c>
      <c r="J16" s="216">
        <f>IFERROR(__xludf.DUMMYFUNCTION("""COMPUTED_VALUE"""),3166667.0)</f>
        <v>3166667</v>
      </c>
      <c r="K16" s="217">
        <f>IFERROR(__xludf.DUMMYFUNCTION("""COMPUTED_VALUE"""),1500000.0)</f>
        <v>1500000</v>
      </c>
      <c r="L16" s="217">
        <f>IFERROR(__xludf.DUMMYFUNCTION("""COMPUTED_VALUE"""),8000001.0)</f>
        <v>8000001</v>
      </c>
      <c r="M16" s="217">
        <f>IFERROR(__xludf.DUMMYFUNCTION("""COMPUTED_VALUE"""),4647205.0)</f>
        <v>4647205</v>
      </c>
      <c r="N16" s="217">
        <f>IFERROR(__xludf.DUMMYFUNCTION("""COMPUTED_VALUE"""),0.0)</f>
        <v>0</v>
      </c>
      <c r="O16" s="217">
        <f>IFERROR(__xludf.DUMMYFUNCTION("""COMPUTED_VALUE"""),3195598.0)</f>
        <v>3195598</v>
      </c>
      <c r="P16" s="218">
        <f>IFERROR(__xludf.DUMMYFUNCTION("""COMPUTED_VALUE"""),0.4891794221916398)</f>
        <v>0.4891794222</v>
      </c>
      <c r="Q16" s="218">
        <f>IFERROR(__xludf.DUMMYFUNCTION("""COMPUTED_VALUE"""),0.0)</f>
        <v>0</v>
      </c>
      <c r="R16" s="218">
        <f>IFERROR(__xludf.DUMMYFUNCTION("""COMPUTED_VALUE"""),0.3363787014338209)</f>
        <v>0.3363787014</v>
      </c>
      <c r="S16" s="187">
        <f>IFERROR(__xludf.DUMMYFUNCTION("""COMPUTED_VALUE"""),86.0)</f>
        <v>86</v>
      </c>
      <c r="T16" s="187">
        <f>IFERROR(__xludf.DUMMYFUNCTION("""COMPUTED_VALUE"""),61.0)</f>
        <v>61</v>
      </c>
      <c r="U16" s="187">
        <f>IFERROR(__xludf.DUMMYFUNCTION("""COMPUTED_VALUE"""),1.0)</f>
        <v>1</v>
      </c>
      <c r="V16" s="187">
        <f>IFERROR(__xludf.DUMMYFUNCTION("""COMPUTED_VALUE"""),0.0)</f>
        <v>0</v>
      </c>
      <c r="W16" s="187">
        <f>IFERROR(__xludf.DUMMYFUNCTION("""COMPUTED_VALUE"""),87.0)</f>
        <v>87</v>
      </c>
      <c r="X16" s="187">
        <f>IFERROR(__xludf.DUMMYFUNCTION("""COMPUTED_VALUE"""),26.0)</f>
        <v>26</v>
      </c>
      <c r="Y16" s="188">
        <f>IFERROR(__xludf.DUMMYFUNCTION("""COMPUTED_VALUE"""),4647204.69)</f>
        <v>4647204.69</v>
      </c>
      <c r="Z16" s="188">
        <f>IFERROR(__xludf.DUMMYFUNCTION("""COMPUTED_VALUE"""),0.0)</f>
        <v>0</v>
      </c>
      <c r="AA16" s="187">
        <f>IFERROR(__xludf.DUMMYFUNCTION("""COMPUTED_VALUE"""),22.0)</f>
        <v>22</v>
      </c>
      <c r="AB16" s="187">
        <f>IFERROR(__xludf.DUMMYFUNCTION("""COMPUTED_VALUE"""),0.0)</f>
        <v>0</v>
      </c>
      <c r="AC16" s="187">
        <f>IFERROR(__xludf.DUMMYFUNCTION("""COMPUTED_VALUE"""),22.0)</f>
        <v>22</v>
      </c>
      <c r="AD16" s="187">
        <f>IFERROR(__xludf.DUMMYFUNCTION("""COMPUTED_VALUE"""),0.0)</f>
        <v>0</v>
      </c>
      <c r="AE16" s="187">
        <f>IFERROR(__xludf.DUMMYFUNCTION("""COMPUTED_VALUE"""),33.0)</f>
        <v>33</v>
      </c>
      <c r="AF16" s="187">
        <f>IFERROR(__xludf.DUMMYFUNCTION("""COMPUTED_VALUE"""),44.0)</f>
        <v>44</v>
      </c>
      <c r="AG16" s="187">
        <f>IFERROR(__xludf.DUMMYFUNCTION("""COMPUTED_VALUE"""),173.0)</f>
        <v>173</v>
      </c>
      <c r="AH16" s="187">
        <f>IFERROR(__xludf.DUMMYFUNCTION("""COMPUTED_VALUE"""),6.0)</f>
        <v>6</v>
      </c>
      <c r="AI16" s="187">
        <f>IFERROR(__xludf.DUMMYFUNCTION("""COMPUTED_VALUE"""),36.0)</f>
        <v>36</v>
      </c>
      <c r="AJ16" s="187">
        <f>IFERROR(__xludf.DUMMYFUNCTION("""COMPUTED_VALUE"""),0.0)</f>
        <v>0</v>
      </c>
      <c r="AK16" s="187">
        <f>IFERROR(__xludf.DUMMYFUNCTION("""COMPUTED_VALUE"""),0.0)</f>
        <v>0</v>
      </c>
      <c r="AL16" s="187">
        <f>IFERROR(__xludf.DUMMYFUNCTION("""COMPUTED_VALUE"""),0.0)</f>
        <v>0</v>
      </c>
      <c r="AM16" s="187">
        <f>IFERROR(__xludf.DUMMYFUNCTION("""COMPUTED_VALUE"""),0.0)</f>
        <v>0</v>
      </c>
      <c r="AN16" s="187">
        <f>IFERROR(__xludf.DUMMYFUNCTION("""COMPUTED_VALUE"""),164.0)</f>
        <v>164</v>
      </c>
      <c r="AO16" s="187">
        <f>IFERROR(__xludf.DUMMYFUNCTION("""COMPUTED_VALUE"""),244.0)</f>
        <v>244</v>
      </c>
      <c r="AP16" s="187">
        <f>IFERROR(__xludf.DUMMYFUNCTION("""COMPUTED_VALUE"""),71.0)</f>
        <v>71</v>
      </c>
      <c r="AQ16" s="217">
        <f>IFERROR(__xludf.DUMMYFUNCTION("""COMPUTED_VALUE"""),65453.59154929577)</f>
        <v>65453.59155</v>
      </c>
      <c r="AR16" s="188">
        <f>IFERROR(__xludf.DUMMYFUNCTION("""COMPUTED_VALUE"""),3.436619718309859)</f>
        <v>3.436619718</v>
      </c>
      <c r="AS16" s="217">
        <f>IFERROR(__xludf.DUMMYFUNCTION("""COMPUTED_VALUE"""),228630.0)</f>
        <v>228630</v>
      </c>
      <c r="AT16" s="217"/>
      <c r="AU16" s="218">
        <f>IFERROR(__xludf.DUMMYFUNCTION("""COMPUTED_VALUE"""),0.049197313223754924)</f>
        <v>0.04919731322</v>
      </c>
      <c r="AV16" s="217">
        <f>IFERROR(__xludf.DUMMYFUNCTION("""COMPUTED_VALUE"""),211236.5909090909)</f>
        <v>211236.5909</v>
      </c>
      <c r="AW16" s="219">
        <f>IFERROR(__xludf.DUMMYFUNCTION("""COMPUTED_VALUE"""),32.0)</f>
        <v>32</v>
      </c>
      <c r="AX16" s="219">
        <f>IFERROR(__xludf.DUMMYFUNCTION("""COMPUTED_VALUE"""),583.0)</f>
        <v>583</v>
      </c>
      <c r="AY16" s="220">
        <f>IFERROR(__xludf.DUMMYFUNCTION("""COMPUTED_VALUE"""),7031.07)</f>
        <v>7031.07</v>
      </c>
      <c r="AZ16" s="219">
        <f>IFERROR(__xludf.DUMMYFUNCTION("""COMPUTED_VALUE"""),115.0)</f>
        <v>115</v>
      </c>
      <c r="BA16" s="219">
        <f>IFERROR(__xludf.DUMMYFUNCTION("""COMPUTED_VALUE"""),22.0)</f>
        <v>22</v>
      </c>
      <c r="BB16" s="219">
        <f>IFERROR(__xludf.DUMMYFUNCTION("""COMPUTED_VALUE"""),42.0)</f>
        <v>42</v>
      </c>
      <c r="BC16" s="219">
        <f>IFERROR(__xludf.DUMMYFUNCTION("""COMPUTED_VALUE"""),23.0)</f>
        <v>23</v>
      </c>
      <c r="BD16" s="221"/>
      <c r="BE16" s="98"/>
      <c r="BF16" s="255" t="e">
        <v>#REF!</v>
      </c>
      <c r="BG16" s="256">
        <f t="shared" si="4"/>
        <v>4647205</v>
      </c>
      <c r="BH16" s="257" t="str">
        <f t="shared" si="5"/>
        <v>#REF!</v>
      </c>
      <c r="BI16" s="98"/>
      <c r="BJ16" s="98"/>
      <c r="BK16" s="98"/>
      <c r="BL16" s="98"/>
      <c r="BM16" s="98"/>
      <c r="BN16" s="98"/>
      <c r="BO16" s="98"/>
      <c r="BP16" s="98"/>
      <c r="BQ16" s="98"/>
      <c r="BR16" s="98"/>
    </row>
    <row r="17">
      <c r="A17" s="6" t="str">
        <f>IFERROR(__xludf.DUMMYFUNCTION("""COMPUTED_VALUE"""),"Sandeep Dadheech")</f>
        <v>Sandeep Dadheech</v>
      </c>
      <c r="B17" s="98" t="str">
        <f>IFERROR(__xludf.DUMMYFUNCTION("""COMPUTED_VALUE"""),"West Bengal")</f>
        <v>West Bengal</v>
      </c>
      <c r="C17" s="212" t="str">
        <f>IFERROR(__xludf.DUMMYFUNCTION("""COMPUTED_VALUE"""),"Priyabrata Biswas")</f>
        <v>Priyabrata Biswas</v>
      </c>
      <c r="D17" s="98" t="str">
        <f>IFERROR(__xludf.DUMMYFUNCTION("""COMPUTED_VALUE"""),"BANKURA")</f>
        <v>BANKURA</v>
      </c>
      <c r="E17" s="213">
        <f>IFERROR(__xludf.DUMMYFUNCTION("""COMPUTED_VALUE"""),42660.0)</f>
        <v>42660</v>
      </c>
      <c r="F17" s="222" t="str">
        <f>IFERROR(__xludf.DUMMYFUNCTION("""COMPUTED_VALUE"""),"WEST BENGAL")</f>
        <v>WEST BENGAL</v>
      </c>
      <c r="G17" s="215">
        <f>IFERROR(__xludf.DUMMYFUNCTION("""COMPUTED_VALUE"""),3.314026786E7)</f>
        <v>33140267.86</v>
      </c>
      <c r="H17" s="215">
        <f>IFERROR(__xludf.DUMMYFUNCTION("""COMPUTED_VALUE"""),3.1978384E7)</f>
        <v>31978384</v>
      </c>
      <c r="I17" s="216">
        <f>IFERROR(__xludf.DUMMYFUNCTION("""COMPUTED_VALUE"""),48608.0)</f>
        <v>48608</v>
      </c>
      <c r="J17" s="216">
        <f>IFERROR(__xludf.DUMMYFUNCTION("""COMPUTED_VALUE"""),3750000.0)</f>
        <v>3750000</v>
      </c>
      <c r="K17" s="217">
        <f>IFERROR(__xludf.DUMMYFUNCTION("""COMPUTED_VALUE"""),0.0)</f>
        <v>0</v>
      </c>
      <c r="L17" s="217">
        <f>IFERROR(__xludf.DUMMYFUNCTION("""COMPUTED_VALUE"""),1.125E7)</f>
        <v>11250000</v>
      </c>
      <c r="M17" s="217">
        <f>IFERROR(__xludf.DUMMYFUNCTION("""COMPUTED_VALUE"""),9030102.0)</f>
        <v>9030102</v>
      </c>
      <c r="N17" s="217">
        <f>IFERROR(__xludf.DUMMYFUNCTION("""COMPUTED_VALUE"""),0.0)</f>
        <v>0</v>
      </c>
      <c r="O17" s="217">
        <f>IFERROR(__xludf.DUMMYFUNCTION("""COMPUTED_VALUE"""),3953113.0)</f>
        <v>3953113</v>
      </c>
      <c r="P17" s="218">
        <f>IFERROR(__xludf.DUMMYFUNCTION("""COMPUTED_VALUE"""),0.8026757333333333)</f>
        <v>0.8026757333</v>
      </c>
      <c r="Q17" s="218">
        <f>IFERROR(__xludf.DUMMYFUNCTION("""COMPUTED_VALUE"""),0.0)</f>
        <v>0</v>
      </c>
      <c r="R17" s="218">
        <f>IFERROR(__xludf.DUMMYFUNCTION("""COMPUTED_VALUE"""),0.3513878222222222)</f>
        <v>0.3513878222</v>
      </c>
      <c r="S17" s="187">
        <f>IFERROR(__xludf.DUMMYFUNCTION("""COMPUTED_VALUE"""),41.0)</f>
        <v>41</v>
      </c>
      <c r="T17" s="187">
        <f>IFERROR(__xludf.DUMMYFUNCTION("""COMPUTED_VALUE"""),40.0)</f>
        <v>40</v>
      </c>
      <c r="U17" s="187">
        <f>IFERROR(__xludf.DUMMYFUNCTION("""COMPUTED_VALUE"""),0.0)</f>
        <v>0</v>
      </c>
      <c r="V17" s="187">
        <f>IFERROR(__xludf.DUMMYFUNCTION("""COMPUTED_VALUE"""),0.0)</f>
        <v>0</v>
      </c>
      <c r="W17" s="187">
        <f>IFERROR(__xludf.DUMMYFUNCTION("""COMPUTED_VALUE"""),41.0)</f>
        <v>41</v>
      </c>
      <c r="X17" s="187">
        <f>IFERROR(__xludf.DUMMYFUNCTION("""COMPUTED_VALUE"""),1.0)</f>
        <v>1</v>
      </c>
      <c r="Y17" s="188">
        <f>IFERROR(__xludf.DUMMYFUNCTION("""COMPUTED_VALUE"""),9030102.23)</f>
        <v>9030102.23</v>
      </c>
      <c r="Z17" s="188">
        <f>IFERROR(__xludf.DUMMYFUNCTION("""COMPUTED_VALUE"""),0.0)</f>
        <v>0</v>
      </c>
      <c r="AA17" s="187">
        <f>IFERROR(__xludf.DUMMYFUNCTION("""COMPUTED_VALUE"""),35.0)</f>
        <v>35</v>
      </c>
      <c r="AB17" s="187">
        <f>IFERROR(__xludf.DUMMYFUNCTION("""COMPUTED_VALUE"""),0.0)</f>
        <v>0</v>
      </c>
      <c r="AC17" s="187">
        <f>IFERROR(__xludf.DUMMYFUNCTION("""COMPUTED_VALUE"""),35.0)</f>
        <v>35</v>
      </c>
      <c r="AD17" s="187">
        <f>IFERROR(__xludf.DUMMYFUNCTION("""COMPUTED_VALUE"""),0.0)</f>
        <v>0</v>
      </c>
      <c r="AE17" s="187">
        <f>IFERROR(__xludf.DUMMYFUNCTION("""COMPUTED_VALUE"""),1.0)</f>
        <v>1</v>
      </c>
      <c r="AF17" s="187">
        <f>IFERROR(__xludf.DUMMYFUNCTION("""COMPUTED_VALUE"""),2.0)</f>
        <v>2</v>
      </c>
      <c r="AG17" s="187">
        <f>IFERROR(__xludf.DUMMYFUNCTION("""COMPUTED_VALUE"""),6.0)</f>
        <v>6</v>
      </c>
      <c r="AH17" s="187">
        <f>IFERROR(__xludf.DUMMYFUNCTION("""COMPUTED_VALUE"""),3.0)</f>
        <v>3</v>
      </c>
      <c r="AI17" s="187">
        <f>IFERROR(__xludf.DUMMYFUNCTION("""COMPUTED_VALUE"""),64.0)</f>
        <v>64</v>
      </c>
      <c r="AJ17" s="187">
        <f>IFERROR(__xludf.DUMMYFUNCTION("""COMPUTED_VALUE"""),0.0)</f>
        <v>0</v>
      </c>
      <c r="AK17" s="187">
        <f>IFERROR(__xludf.DUMMYFUNCTION("""COMPUTED_VALUE"""),0.0)</f>
        <v>0</v>
      </c>
      <c r="AL17" s="187">
        <f>IFERROR(__xludf.DUMMYFUNCTION("""COMPUTED_VALUE"""),0.0)</f>
        <v>0</v>
      </c>
      <c r="AM17" s="187">
        <f>IFERROR(__xludf.DUMMYFUNCTION("""COMPUTED_VALUE"""),0.0)</f>
        <v>0</v>
      </c>
      <c r="AN17" s="187">
        <f>IFERROR(__xludf.DUMMYFUNCTION("""COMPUTED_VALUE"""),171.0)</f>
        <v>171</v>
      </c>
      <c r="AO17" s="187">
        <f>IFERROR(__xludf.DUMMYFUNCTION("""COMPUTED_VALUE"""),237.0)</f>
        <v>237</v>
      </c>
      <c r="AP17" s="187">
        <f>IFERROR(__xludf.DUMMYFUNCTION("""COMPUTED_VALUE"""),73.0)</f>
        <v>73</v>
      </c>
      <c r="AQ17" s="217">
        <f>IFERROR(__xludf.DUMMYFUNCTION("""COMPUTED_VALUE"""),123700.02739726027)</f>
        <v>123700.0274</v>
      </c>
      <c r="AR17" s="188">
        <f>IFERROR(__xludf.DUMMYFUNCTION("""COMPUTED_VALUE"""),3.2465753424657535)</f>
        <v>3.246575342</v>
      </c>
      <c r="AS17" s="217">
        <f>IFERROR(__xludf.DUMMYFUNCTION("""COMPUTED_VALUE"""),145824.0)</f>
        <v>145824</v>
      </c>
      <c r="AT17" s="217"/>
      <c r="AU17" s="218">
        <f>IFERROR(__xludf.DUMMYFUNCTION("""COMPUTED_VALUE"""),0.016148654799248114)</f>
        <v>0.0161486548</v>
      </c>
      <c r="AV17" s="217">
        <f>IFERROR(__xludf.DUMMYFUNCTION("""COMPUTED_VALUE"""),258002.91428571427)</f>
        <v>258002.9143</v>
      </c>
      <c r="AW17" s="219">
        <f>IFERROR(__xludf.DUMMYFUNCTION("""COMPUTED_VALUE"""),119.0)</f>
        <v>119</v>
      </c>
      <c r="AX17" s="219">
        <f>IFERROR(__xludf.DUMMYFUNCTION("""COMPUTED_VALUE"""),833.0)</f>
        <v>833</v>
      </c>
      <c r="AY17" s="220">
        <f>IFERROR(__xludf.DUMMYFUNCTION("""COMPUTED_VALUE"""),4989.68)</f>
        <v>4989.68</v>
      </c>
      <c r="AZ17" s="219">
        <f>IFERROR(__xludf.DUMMYFUNCTION("""COMPUTED_VALUE"""),125.0)</f>
        <v>125</v>
      </c>
      <c r="BA17" s="219">
        <f>IFERROR(__xludf.DUMMYFUNCTION("""COMPUTED_VALUE"""),35.0)</f>
        <v>35</v>
      </c>
      <c r="BB17" s="219">
        <f>IFERROR(__xludf.DUMMYFUNCTION("""COMPUTED_VALUE"""),6.0)</f>
        <v>6</v>
      </c>
      <c r="BC17" s="219">
        <f>IFERROR(__xludf.DUMMYFUNCTION("""COMPUTED_VALUE"""),0.0)</f>
        <v>0</v>
      </c>
      <c r="BD17" s="221"/>
      <c r="BE17" s="98"/>
      <c r="BF17" s="255" t="e">
        <v>#REF!</v>
      </c>
      <c r="BG17" s="256">
        <f t="shared" si="4"/>
        <v>9030102</v>
      </c>
      <c r="BH17" s="257" t="str">
        <f t="shared" si="5"/>
        <v>#REF!</v>
      </c>
      <c r="BI17" s="98"/>
      <c r="BJ17" s="98"/>
      <c r="BK17" s="98"/>
      <c r="BL17" s="98"/>
      <c r="BM17" s="98"/>
      <c r="BN17" s="98"/>
      <c r="BO17" s="98"/>
      <c r="BP17" s="98"/>
      <c r="BQ17" s="98"/>
      <c r="BR17" s="98"/>
    </row>
    <row r="18">
      <c r="A18" s="6" t="str">
        <f>IFERROR(__xludf.DUMMYFUNCTION("""COMPUTED_VALUE"""),"Syed Aqil Rizvi")</f>
        <v>Syed Aqil Rizvi</v>
      </c>
      <c r="B18" s="98" t="str">
        <f>IFERROR(__xludf.DUMMYFUNCTION("""COMPUTED_VALUE"""),"Madhya Pradesh")</f>
        <v>Madhya Pradesh</v>
      </c>
      <c r="C18" s="212" t="str">
        <f>IFERROR(__xludf.DUMMYFUNCTION("""COMPUTED_VALUE"""),"Jitender Birla")</f>
        <v>Jitender Birla</v>
      </c>
      <c r="D18" s="98" t="str">
        <f>IFERROR(__xludf.DUMMYFUNCTION("""COMPUTED_VALUE"""),"Indore")</f>
        <v>Indore</v>
      </c>
      <c r="E18" s="213">
        <f>IFERROR(__xludf.DUMMYFUNCTION("""COMPUTED_VALUE"""),42720.0)</f>
        <v>42720</v>
      </c>
      <c r="F18" s="222" t="str">
        <f>IFERROR(__xludf.DUMMYFUNCTION("""COMPUTED_VALUE"""),"MADHYA PRADESH")</f>
        <v>MADHYA PRADESH</v>
      </c>
      <c r="G18" s="215">
        <f>IFERROR(__xludf.DUMMYFUNCTION("""COMPUTED_VALUE"""),2.727047898E7)</f>
        <v>27270478.98</v>
      </c>
      <c r="H18" s="215">
        <f>IFERROR(__xludf.DUMMYFUNCTION("""COMPUTED_VALUE"""),2.7096426E7)</f>
        <v>27096426</v>
      </c>
      <c r="I18" s="216">
        <f>IFERROR(__xludf.DUMMYFUNCTION("""COMPUTED_VALUE"""),61850.0)</f>
        <v>61850</v>
      </c>
      <c r="J18" s="216">
        <f>IFERROR(__xludf.DUMMYFUNCTION("""COMPUTED_VALUE"""),3750000.0)</f>
        <v>3750000</v>
      </c>
      <c r="K18" s="217">
        <f>IFERROR(__xludf.DUMMYFUNCTION("""COMPUTED_VALUE"""),1250001.0)</f>
        <v>1250001</v>
      </c>
      <c r="L18" s="217">
        <f>IFERROR(__xludf.DUMMYFUNCTION("""COMPUTED_VALUE"""),9999999.0)</f>
        <v>9999999</v>
      </c>
      <c r="M18" s="217">
        <f>IFERROR(__xludf.DUMMYFUNCTION("""COMPUTED_VALUE"""),6917352.0)</f>
        <v>6917352</v>
      </c>
      <c r="N18" s="217">
        <f>IFERROR(__xludf.DUMMYFUNCTION("""COMPUTED_VALUE"""),0.0)</f>
        <v>0</v>
      </c>
      <c r="O18" s="217">
        <f>IFERROR(__xludf.DUMMYFUNCTION("""COMPUTED_VALUE"""),4333834.0)</f>
        <v>4333834</v>
      </c>
      <c r="P18" s="218">
        <f>IFERROR(__xludf.DUMMYFUNCTION("""COMPUTED_VALUE"""),0.6148757333333333)</f>
        <v>0.6148757333</v>
      </c>
      <c r="Q18" s="218">
        <f>IFERROR(__xludf.DUMMYFUNCTION("""COMPUTED_VALUE"""),0.0)</f>
        <v>0</v>
      </c>
      <c r="R18" s="218">
        <f>IFERROR(__xludf.DUMMYFUNCTION("""COMPUTED_VALUE"""),0.38522968888888887)</f>
        <v>0.3852296889</v>
      </c>
      <c r="S18" s="187">
        <f>IFERROR(__xludf.DUMMYFUNCTION("""COMPUTED_VALUE"""),70.0)</f>
        <v>70</v>
      </c>
      <c r="T18" s="187">
        <f>IFERROR(__xludf.DUMMYFUNCTION("""COMPUTED_VALUE"""),61.0)</f>
        <v>61</v>
      </c>
      <c r="U18" s="187">
        <f>IFERROR(__xludf.DUMMYFUNCTION("""COMPUTED_VALUE"""),6.0)</f>
        <v>6</v>
      </c>
      <c r="V18" s="187">
        <f>IFERROR(__xludf.DUMMYFUNCTION("""COMPUTED_VALUE"""),6.0)</f>
        <v>6</v>
      </c>
      <c r="W18" s="187">
        <f>IFERROR(__xludf.DUMMYFUNCTION("""COMPUTED_VALUE"""),76.0)</f>
        <v>76</v>
      </c>
      <c r="X18" s="187">
        <f>IFERROR(__xludf.DUMMYFUNCTION("""COMPUTED_VALUE"""),15.0)</f>
        <v>15</v>
      </c>
      <c r="Y18" s="188">
        <f>IFERROR(__xludf.DUMMYFUNCTION("""COMPUTED_VALUE"""),5839388.38)</f>
        <v>5839388.38</v>
      </c>
      <c r="Z18" s="188">
        <f>IFERROR(__xludf.DUMMYFUNCTION("""COMPUTED_VALUE"""),1077963.91)</f>
        <v>1077963.91</v>
      </c>
      <c r="AA18" s="187">
        <f>IFERROR(__xludf.DUMMYFUNCTION("""COMPUTED_VALUE"""),48.0)</f>
        <v>48</v>
      </c>
      <c r="AB18" s="187">
        <f>IFERROR(__xludf.DUMMYFUNCTION("""COMPUTED_VALUE"""),6.0)</f>
        <v>6</v>
      </c>
      <c r="AC18" s="187">
        <f>IFERROR(__xludf.DUMMYFUNCTION("""COMPUTED_VALUE"""),54.0)</f>
        <v>54</v>
      </c>
      <c r="AD18" s="187">
        <f>IFERROR(__xludf.DUMMYFUNCTION("""COMPUTED_VALUE"""),0.0)</f>
        <v>0</v>
      </c>
      <c r="AE18" s="187">
        <f>IFERROR(__xludf.DUMMYFUNCTION("""COMPUTED_VALUE"""),17.0)</f>
        <v>17</v>
      </c>
      <c r="AF18" s="187">
        <f>IFERROR(__xludf.DUMMYFUNCTION("""COMPUTED_VALUE"""),23.0)</f>
        <v>23</v>
      </c>
      <c r="AG18" s="187">
        <f>IFERROR(__xludf.DUMMYFUNCTION("""COMPUTED_VALUE"""),179.0)</f>
        <v>179</v>
      </c>
      <c r="AH18" s="187">
        <f>IFERROR(__xludf.DUMMYFUNCTION("""COMPUTED_VALUE"""),3.0)</f>
        <v>3</v>
      </c>
      <c r="AI18" s="187">
        <f>IFERROR(__xludf.DUMMYFUNCTION("""COMPUTED_VALUE"""),22.0)</f>
        <v>22</v>
      </c>
      <c r="AJ18" s="187">
        <f>IFERROR(__xludf.DUMMYFUNCTION("""COMPUTED_VALUE"""),2.0)</f>
        <v>2</v>
      </c>
      <c r="AK18" s="187">
        <f>IFERROR(__xludf.DUMMYFUNCTION("""COMPUTED_VALUE"""),5.0)</f>
        <v>5</v>
      </c>
      <c r="AL18" s="187">
        <f>IFERROR(__xludf.DUMMYFUNCTION("""COMPUTED_VALUE"""),1.0)</f>
        <v>1</v>
      </c>
      <c r="AM18" s="187">
        <f>IFERROR(__xludf.DUMMYFUNCTION("""COMPUTED_VALUE"""),13.0)</f>
        <v>13</v>
      </c>
      <c r="AN18" s="187">
        <f>IFERROR(__xludf.DUMMYFUNCTION("""COMPUTED_VALUE"""),238.0)</f>
        <v>238</v>
      </c>
      <c r="AO18" s="187">
        <f>IFERROR(__xludf.DUMMYFUNCTION("""COMPUTED_VALUE"""),301.0)</f>
        <v>301</v>
      </c>
      <c r="AP18" s="187">
        <f>IFERROR(__xludf.DUMMYFUNCTION("""COMPUTED_VALUE"""),77.0)</f>
        <v>77</v>
      </c>
      <c r="AQ18" s="217">
        <f>IFERROR(__xludf.DUMMYFUNCTION("""COMPUTED_VALUE"""),89835.74025974025)</f>
        <v>89835.74026</v>
      </c>
      <c r="AR18" s="188">
        <f>IFERROR(__xludf.DUMMYFUNCTION("""COMPUTED_VALUE"""),3.909090909090909)</f>
        <v>3.909090909</v>
      </c>
      <c r="AS18" s="217">
        <f>IFERROR(__xludf.DUMMYFUNCTION("""COMPUTED_VALUE"""),185550.0)</f>
        <v>185550</v>
      </c>
      <c r="AT18" s="217"/>
      <c r="AU18" s="218">
        <f>IFERROR(__xludf.DUMMYFUNCTION("""COMPUTED_VALUE"""),0.02682384820087224)</f>
        <v>0.0268238482</v>
      </c>
      <c r="AV18" s="217">
        <f>IFERROR(__xludf.DUMMYFUNCTION("""COMPUTED_VALUE"""),128099.11111111111)</f>
        <v>128099.1111</v>
      </c>
      <c r="AW18" s="219">
        <f>IFERROR(__xludf.DUMMYFUNCTION("""COMPUTED_VALUE"""),181.0)</f>
        <v>181</v>
      </c>
      <c r="AX18" s="219">
        <f>IFERROR(__xludf.DUMMYFUNCTION("""COMPUTED_VALUE"""),511.0)</f>
        <v>511</v>
      </c>
      <c r="AY18" s="220">
        <f>IFERROR(__xludf.DUMMYFUNCTION("""COMPUTED_VALUE"""),7818.29)</f>
        <v>7818.29</v>
      </c>
      <c r="AZ18" s="219">
        <f>IFERROR(__xludf.DUMMYFUNCTION("""COMPUTED_VALUE"""),128.0)</f>
        <v>128</v>
      </c>
      <c r="BA18" s="219">
        <f>IFERROR(__xludf.DUMMYFUNCTION("""COMPUTED_VALUE"""),54.0)</f>
        <v>54</v>
      </c>
      <c r="BB18" s="219">
        <f>IFERROR(__xludf.DUMMYFUNCTION("""COMPUTED_VALUE"""),13.0)</f>
        <v>13</v>
      </c>
      <c r="BC18" s="219">
        <f>IFERROR(__xludf.DUMMYFUNCTION("""COMPUTED_VALUE"""),9.0)</f>
        <v>9</v>
      </c>
      <c r="BD18" s="221"/>
      <c r="BE18" s="98"/>
      <c r="BF18" s="255" t="e">
        <v>#REF!</v>
      </c>
      <c r="BG18" s="256">
        <f t="shared" si="4"/>
        <v>6917352</v>
      </c>
      <c r="BH18" s="257" t="str">
        <f t="shared" si="5"/>
        <v>#REF!</v>
      </c>
      <c r="BI18" s="98"/>
      <c r="BJ18" s="98"/>
      <c r="BK18" s="98"/>
      <c r="BL18" s="98"/>
      <c r="BM18" s="98"/>
      <c r="BN18" s="98"/>
      <c r="BO18" s="98"/>
      <c r="BP18" s="98"/>
      <c r="BQ18" s="98"/>
      <c r="BR18" s="98"/>
    </row>
    <row r="19">
      <c r="A19" s="6" t="str">
        <f>IFERROR(__xludf.DUMMYFUNCTION("""COMPUTED_VALUE"""),"Sandeep Dadheech")</f>
        <v>Sandeep Dadheech</v>
      </c>
      <c r="B19" s="98" t="str">
        <f>IFERROR(__xludf.DUMMYFUNCTION("""COMPUTED_VALUE"""),"West Bengal")</f>
        <v>West Bengal</v>
      </c>
      <c r="C19" s="212" t="str">
        <f>IFERROR(__xludf.DUMMYFUNCTION("""COMPUTED_VALUE"""),"Sarbjit Singh Chawla")</f>
        <v>Sarbjit Singh Chawla</v>
      </c>
      <c r="D19" s="98" t="str">
        <f>IFERROR(__xludf.DUMMYFUNCTION("""COMPUTED_VALUE"""),"ANDAL")</f>
        <v>ANDAL</v>
      </c>
      <c r="E19" s="213">
        <f>IFERROR(__xludf.DUMMYFUNCTION("""COMPUTED_VALUE"""),42826.0)</f>
        <v>42826</v>
      </c>
      <c r="F19" s="222" t="str">
        <f>IFERROR(__xludf.DUMMYFUNCTION("""COMPUTED_VALUE"""),"WEST BENGAL")</f>
        <v>WEST BENGAL</v>
      </c>
      <c r="G19" s="215">
        <f>IFERROR(__xludf.DUMMYFUNCTION("""COMPUTED_VALUE"""),3.846258895E7)</f>
        <v>38462588.95</v>
      </c>
      <c r="H19" s="215">
        <f>IFERROR(__xludf.DUMMYFUNCTION("""COMPUTED_VALUE"""),2.699524153E7)</f>
        <v>26995241.53</v>
      </c>
      <c r="I19" s="216">
        <f>IFERROR(__xludf.DUMMYFUNCTION("""COMPUTED_VALUE"""),63250.0)</f>
        <v>63250</v>
      </c>
      <c r="J19" s="216">
        <f>IFERROR(__xludf.DUMMYFUNCTION("""COMPUTED_VALUE"""),3333333.0)</f>
        <v>3333333</v>
      </c>
      <c r="K19" s="217">
        <f>IFERROR(__xludf.DUMMYFUNCTION("""COMPUTED_VALUE"""),0.0)</f>
        <v>0</v>
      </c>
      <c r="L19" s="217">
        <f>IFERROR(__xludf.DUMMYFUNCTION("""COMPUTED_VALUE"""),9999999.0)</f>
        <v>9999999</v>
      </c>
      <c r="M19" s="217">
        <f>IFERROR(__xludf.DUMMYFUNCTION("""COMPUTED_VALUE"""),7255692.0)</f>
        <v>7255692</v>
      </c>
      <c r="N19" s="217">
        <f>IFERROR(__xludf.DUMMYFUNCTION("""COMPUTED_VALUE"""),0.0)</f>
        <v>0</v>
      </c>
      <c r="O19" s="217">
        <f>IFERROR(__xludf.DUMMYFUNCTION("""COMPUTED_VALUE"""),2405700.83)</f>
        <v>2405700.83</v>
      </c>
      <c r="P19" s="218">
        <f>IFERROR(__xludf.DUMMYFUNCTION("""COMPUTED_VALUE"""),0.7255692725569273)</f>
        <v>0.7255692726</v>
      </c>
      <c r="Q19" s="218">
        <f>IFERROR(__xludf.DUMMYFUNCTION("""COMPUTED_VALUE"""),0.0)</f>
        <v>0</v>
      </c>
      <c r="R19" s="218">
        <f>IFERROR(__xludf.DUMMYFUNCTION("""COMPUTED_VALUE"""),0.2405701070570107)</f>
        <v>0.2405701071</v>
      </c>
      <c r="S19" s="187">
        <f>IFERROR(__xludf.DUMMYFUNCTION("""COMPUTED_VALUE"""),102.0)</f>
        <v>102</v>
      </c>
      <c r="T19" s="187">
        <f>IFERROR(__xludf.DUMMYFUNCTION("""COMPUTED_VALUE"""),67.0)</f>
        <v>67</v>
      </c>
      <c r="U19" s="187">
        <f>IFERROR(__xludf.DUMMYFUNCTION("""COMPUTED_VALUE"""),2.0)</f>
        <v>2</v>
      </c>
      <c r="V19" s="187">
        <f>IFERROR(__xludf.DUMMYFUNCTION("""COMPUTED_VALUE"""),0.0)</f>
        <v>0</v>
      </c>
      <c r="W19" s="187">
        <f>IFERROR(__xludf.DUMMYFUNCTION("""COMPUTED_VALUE"""),104.0)</f>
        <v>104</v>
      </c>
      <c r="X19" s="187">
        <f>IFERROR(__xludf.DUMMYFUNCTION("""COMPUTED_VALUE"""),37.0)</f>
        <v>37</v>
      </c>
      <c r="Y19" s="188">
        <f>IFERROR(__xludf.DUMMYFUNCTION("""COMPUTED_VALUE"""),7255691.63)</f>
        <v>7255691.63</v>
      </c>
      <c r="Z19" s="188">
        <f>IFERROR(__xludf.DUMMYFUNCTION("""COMPUTED_VALUE"""),0.0)</f>
        <v>0</v>
      </c>
      <c r="AA19" s="187">
        <f>IFERROR(__xludf.DUMMYFUNCTION("""COMPUTED_VALUE"""),14.0)</f>
        <v>14</v>
      </c>
      <c r="AB19" s="187">
        <f>IFERROR(__xludf.DUMMYFUNCTION("""COMPUTED_VALUE"""),0.0)</f>
        <v>0</v>
      </c>
      <c r="AC19" s="187">
        <f>IFERROR(__xludf.DUMMYFUNCTION("""COMPUTED_VALUE"""),14.0)</f>
        <v>14</v>
      </c>
      <c r="AD19" s="187">
        <f>IFERROR(__xludf.DUMMYFUNCTION("""COMPUTED_VALUE"""),0.0)</f>
        <v>0</v>
      </c>
      <c r="AE19" s="187">
        <f>IFERROR(__xludf.DUMMYFUNCTION("""COMPUTED_VALUE"""),8.0)</f>
        <v>8</v>
      </c>
      <c r="AF19" s="187">
        <f>IFERROR(__xludf.DUMMYFUNCTION("""COMPUTED_VALUE"""),9.0)</f>
        <v>9</v>
      </c>
      <c r="AG19" s="187">
        <f>IFERROR(__xludf.DUMMYFUNCTION("""COMPUTED_VALUE"""),35.0)</f>
        <v>35</v>
      </c>
      <c r="AH19" s="187">
        <f>IFERROR(__xludf.DUMMYFUNCTION("""COMPUTED_VALUE"""),2.0)</f>
        <v>2</v>
      </c>
      <c r="AI19" s="187">
        <f>IFERROR(__xludf.DUMMYFUNCTION("""COMPUTED_VALUE"""),23.0)</f>
        <v>23</v>
      </c>
      <c r="AJ19" s="187">
        <f>IFERROR(__xludf.DUMMYFUNCTION("""COMPUTED_VALUE"""),0.0)</f>
        <v>0</v>
      </c>
      <c r="AK19" s="187">
        <f>IFERROR(__xludf.DUMMYFUNCTION("""COMPUTED_VALUE"""),0.0)</f>
        <v>0</v>
      </c>
      <c r="AL19" s="187">
        <f>IFERROR(__xludf.DUMMYFUNCTION("""COMPUTED_VALUE"""),0.0)</f>
        <v>0</v>
      </c>
      <c r="AM19" s="187">
        <f>IFERROR(__xludf.DUMMYFUNCTION("""COMPUTED_VALUE"""),0.0)</f>
        <v>0</v>
      </c>
      <c r="AN19" s="187">
        <f>IFERROR(__xludf.DUMMYFUNCTION("""COMPUTED_VALUE"""),229.0)</f>
        <v>229</v>
      </c>
      <c r="AO19" s="187">
        <f>IFERROR(__xludf.DUMMYFUNCTION("""COMPUTED_VALUE"""),261.0)</f>
        <v>261</v>
      </c>
      <c r="AP19" s="187">
        <f>IFERROR(__xludf.DUMMYFUNCTION("""COMPUTED_VALUE"""),79.0)</f>
        <v>79</v>
      </c>
      <c r="AQ19" s="217">
        <f>IFERROR(__xludf.DUMMYFUNCTION("""COMPUTED_VALUE"""),91844.20253164557)</f>
        <v>91844.20253</v>
      </c>
      <c r="AR19" s="188">
        <f>IFERROR(__xludf.DUMMYFUNCTION("""COMPUTED_VALUE"""),3.3037974683544302)</f>
        <v>3.303797468</v>
      </c>
      <c r="AS19" s="217">
        <f>IFERROR(__xludf.DUMMYFUNCTION("""COMPUTED_VALUE"""),189750.0)</f>
        <v>189750</v>
      </c>
      <c r="AT19" s="217"/>
      <c r="AU19" s="218">
        <f>IFERROR(__xludf.DUMMYFUNCTION("""COMPUTED_VALUE"""),0.026151881860475887)</f>
        <v>0.02615188186</v>
      </c>
      <c r="AV19" s="217">
        <f>IFERROR(__xludf.DUMMYFUNCTION("""COMPUTED_VALUE"""),518263.71428571426)</f>
        <v>518263.7143</v>
      </c>
      <c r="AW19" s="219">
        <f>IFERROR(__xludf.DUMMYFUNCTION("""COMPUTED_VALUE"""),39.0)</f>
        <v>39</v>
      </c>
      <c r="AX19" s="219">
        <f>IFERROR(__xludf.DUMMYFUNCTION("""COMPUTED_VALUE"""),990.0)</f>
        <v>990</v>
      </c>
      <c r="AY19" s="220">
        <f>IFERROR(__xludf.DUMMYFUNCTION("""COMPUTED_VALUE"""),5601.87)</f>
        <v>5601.87</v>
      </c>
      <c r="AZ19" s="219">
        <f>IFERROR(__xludf.DUMMYFUNCTION("""COMPUTED_VALUE"""),84.0)</f>
        <v>84</v>
      </c>
      <c r="BA19" s="219">
        <f>IFERROR(__xludf.DUMMYFUNCTION("""COMPUTED_VALUE"""),14.0)</f>
        <v>14</v>
      </c>
      <c r="BB19" s="219">
        <f>IFERROR(__xludf.DUMMYFUNCTION("""COMPUTED_VALUE"""),53.0)</f>
        <v>53</v>
      </c>
      <c r="BC19" s="219">
        <f>IFERROR(__xludf.DUMMYFUNCTION("""COMPUTED_VALUE"""),37.0)</f>
        <v>37</v>
      </c>
      <c r="BD19" s="261"/>
      <c r="BE19" s="98"/>
      <c r="BF19" s="255" t="e">
        <v>#REF!</v>
      </c>
      <c r="BG19" s="256">
        <f t="shared" si="4"/>
        <v>7255692</v>
      </c>
      <c r="BH19" s="257" t="str">
        <f t="shared" si="5"/>
        <v>#REF!</v>
      </c>
      <c r="BI19" s="98"/>
      <c r="BJ19" s="98"/>
      <c r="BK19" s="98"/>
      <c r="BL19" s="98"/>
      <c r="BM19" s="98"/>
      <c r="BN19" s="98"/>
      <c r="BO19" s="98"/>
      <c r="BP19" s="98"/>
      <c r="BQ19" s="98"/>
      <c r="BR19" s="98"/>
    </row>
    <row r="20">
      <c r="A20" s="6" t="str">
        <f>IFERROR(__xludf.DUMMYFUNCTION("""COMPUTED_VALUE"""),"Lalan Kumar")</f>
        <v>Lalan Kumar</v>
      </c>
      <c r="B20" s="98" t="str">
        <f>IFERROR(__xludf.DUMMYFUNCTION("""COMPUTED_VALUE"""),"Maharashtra")</f>
        <v>Maharashtra</v>
      </c>
      <c r="C20" s="212" t="str">
        <f>IFERROR(__xludf.DUMMYFUNCTION("""COMPUTED_VALUE"""),"Amey Deodhar")</f>
        <v>Amey Deodhar</v>
      </c>
      <c r="D20" s="98" t="str">
        <f>IFERROR(__xludf.DUMMYFUNCTION("""COMPUTED_VALUE"""),"Miraj (Mh)")</f>
        <v>Miraj (Mh)</v>
      </c>
      <c r="E20" s="213">
        <f>IFERROR(__xludf.DUMMYFUNCTION("""COMPUTED_VALUE"""),42926.0)</f>
        <v>42926</v>
      </c>
      <c r="F20" s="222" t="str">
        <f>IFERROR(__xludf.DUMMYFUNCTION("""COMPUTED_VALUE"""),"KARNATAKA, MAHARASHTRA")</f>
        <v>KARNATAKA, MAHARASHTRA</v>
      </c>
      <c r="G20" s="215">
        <f>IFERROR(__xludf.DUMMYFUNCTION("""COMPUTED_VALUE"""),2.079626748E7)</f>
        <v>20796267.48</v>
      </c>
      <c r="H20" s="215">
        <f>IFERROR(__xludf.DUMMYFUNCTION("""COMPUTED_VALUE"""),2.1617812E7)</f>
        <v>21617812</v>
      </c>
      <c r="I20" s="216">
        <f>IFERROR(__xludf.DUMMYFUNCTION("""COMPUTED_VALUE"""),44575.0)</f>
        <v>44575</v>
      </c>
      <c r="J20" s="216">
        <f>IFERROR(__xludf.DUMMYFUNCTION("""COMPUTED_VALUE"""),2000000.0)</f>
        <v>2000000</v>
      </c>
      <c r="K20" s="217">
        <f>IFERROR(__xludf.DUMMYFUNCTION("""COMPUTED_VALUE"""),0.0)</f>
        <v>0</v>
      </c>
      <c r="L20" s="217">
        <f>IFERROR(__xludf.DUMMYFUNCTION("""COMPUTED_VALUE"""),6000000.0)</f>
        <v>6000000</v>
      </c>
      <c r="M20" s="217">
        <f>IFERROR(__xludf.DUMMYFUNCTION("""COMPUTED_VALUE"""),6444165.0)</f>
        <v>6444165</v>
      </c>
      <c r="N20" s="217">
        <f>IFERROR(__xludf.DUMMYFUNCTION("""COMPUTED_VALUE"""),0.0)</f>
        <v>0</v>
      </c>
      <c r="O20" s="217">
        <f>IFERROR(__xludf.DUMMYFUNCTION("""COMPUTED_VALUE"""),6750060.0)</f>
        <v>6750060</v>
      </c>
      <c r="P20" s="218">
        <f>IFERROR(__xludf.DUMMYFUNCTION("""COMPUTED_VALUE"""),1.0740275)</f>
        <v>1.0740275</v>
      </c>
      <c r="Q20" s="218">
        <f>IFERROR(__xludf.DUMMYFUNCTION("""COMPUTED_VALUE"""),0.0)</f>
        <v>0</v>
      </c>
      <c r="R20" s="218">
        <f>IFERROR(__xludf.DUMMYFUNCTION("""COMPUTED_VALUE"""),1.12501)</f>
        <v>1.12501</v>
      </c>
      <c r="S20" s="187">
        <f>IFERROR(__xludf.DUMMYFUNCTION("""COMPUTED_VALUE"""),127.0)</f>
        <v>127</v>
      </c>
      <c r="T20" s="187">
        <f>IFERROR(__xludf.DUMMYFUNCTION("""COMPUTED_VALUE"""),75.0)</f>
        <v>75</v>
      </c>
      <c r="U20" s="187">
        <f>IFERROR(__xludf.DUMMYFUNCTION("""COMPUTED_VALUE"""),2.0)</f>
        <v>2</v>
      </c>
      <c r="V20" s="187">
        <f>IFERROR(__xludf.DUMMYFUNCTION("""COMPUTED_VALUE"""),1.0)</f>
        <v>1</v>
      </c>
      <c r="W20" s="187">
        <f>IFERROR(__xludf.DUMMYFUNCTION("""COMPUTED_VALUE"""),129.0)</f>
        <v>129</v>
      </c>
      <c r="X20" s="187">
        <f>IFERROR(__xludf.DUMMYFUNCTION("""COMPUTED_VALUE"""),54.0)</f>
        <v>54</v>
      </c>
      <c r="Y20" s="188">
        <f>IFERROR(__xludf.DUMMYFUNCTION("""COMPUTED_VALUE"""),6352077.65)</f>
        <v>6352077.65</v>
      </c>
      <c r="Z20" s="188">
        <f>IFERROR(__xludf.DUMMYFUNCTION("""COMPUTED_VALUE"""),92087.6)</f>
        <v>92087.6</v>
      </c>
      <c r="AA20" s="187">
        <f>IFERROR(__xludf.DUMMYFUNCTION("""COMPUTED_VALUE"""),60.0)</f>
        <v>60</v>
      </c>
      <c r="AB20" s="187">
        <f>IFERROR(__xludf.DUMMYFUNCTION("""COMPUTED_VALUE"""),1.0)</f>
        <v>1</v>
      </c>
      <c r="AC20" s="187">
        <f>IFERROR(__xludf.DUMMYFUNCTION("""COMPUTED_VALUE"""),61.0)</f>
        <v>61</v>
      </c>
      <c r="AD20" s="187">
        <f>IFERROR(__xludf.DUMMYFUNCTION("""COMPUTED_VALUE"""),0.0)</f>
        <v>0</v>
      </c>
      <c r="AE20" s="187">
        <f>IFERROR(__xludf.DUMMYFUNCTION("""COMPUTED_VALUE"""),6.0)</f>
        <v>6</v>
      </c>
      <c r="AF20" s="187">
        <f>IFERROR(__xludf.DUMMYFUNCTION("""COMPUTED_VALUE"""),8.0)</f>
        <v>8</v>
      </c>
      <c r="AG20" s="187">
        <f>IFERROR(__xludf.DUMMYFUNCTION("""COMPUTED_VALUE"""),55.0)</f>
        <v>55</v>
      </c>
      <c r="AH20" s="187">
        <f>IFERROR(__xludf.DUMMYFUNCTION("""COMPUTED_VALUE"""),2.0)</f>
        <v>2</v>
      </c>
      <c r="AI20" s="187">
        <f>IFERROR(__xludf.DUMMYFUNCTION("""COMPUTED_VALUE"""),33.0)</f>
        <v>33</v>
      </c>
      <c r="AJ20" s="187">
        <f>IFERROR(__xludf.DUMMYFUNCTION("""COMPUTED_VALUE"""),0.0)</f>
        <v>0</v>
      </c>
      <c r="AK20" s="187">
        <f>IFERROR(__xludf.DUMMYFUNCTION("""COMPUTED_VALUE"""),0.0)</f>
        <v>0</v>
      </c>
      <c r="AL20" s="187">
        <f>IFERROR(__xludf.DUMMYFUNCTION("""COMPUTED_VALUE"""),1.0)</f>
        <v>1</v>
      </c>
      <c r="AM20" s="187">
        <f>IFERROR(__xludf.DUMMYFUNCTION("""COMPUTED_VALUE"""),1.0)</f>
        <v>1</v>
      </c>
      <c r="AN20" s="187">
        <f>IFERROR(__xludf.DUMMYFUNCTION("""COMPUTED_VALUE"""),189.0)</f>
        <v>189</v>
      </c>
      <c r="AO20" s="187">
        <f>IFERROR(__xludf.DUMMYFUNCTION("""COMPUTED_VALUE"""),231.0)</f>
        <v>231</v>
      </c>
      <c r="AP20" s="187">
        <f>IFERROR(__xludf.DUMMYFUNCTION("""COMPUTED_VALUE"""),77.0)</f>
        <v>77</v>
      </c>
      <c r="AQ20" s="217">
        <f>IFERROR(__xludf.DUMMYFUNCTION("""COMPUTED_VALUE"""),83690.45454545454)</f>
        <v>83690.45455</v>
      </c>
      <c r="AR20" s="188">
        <f>IFERROR(__xludf.DUMMYFUNCTION("""COMPUTED_VALUE"""),3.0)</f>
        <v>3</v>
      </c>
      <c r="AS20" s="217">
        <f>IFERROR(__xludf.DUMMYFUNCTION("""COMPUTED_VALUE"""),133725.0)</f>
        <v>133725</v>
      </c>
      <c r="AT20" s="217"/>
      <c r="AU20" s="218">
        <f>IFERROR(__xludf.DUMMYFUNCTION("""COMPUTED_VALUE"""),0.020751330855122426)</f>
        <v>0.02075133086</v>
      </c>
      <c r="AV20" s="217">
        <f>IFERROR(__xludf.DUMMYFUNCTION("""COMPUTED_VALUE"""),105642.04918032787)</f>
        <v>105642.0492</v>
      </c>
      <c r="AW20" s="219">
        <f>IFERROR(__xludf.DUMMYFUNCTION("""COMPUTED_VALUE"""),182.0)</f>
        <v>182</v>
      </c>
      <c r="AX20" s="219">
        <f>IFERROR(__xludf.DUMMYFUNCTION("""COMPUTED_VALUE"""),613.0)</f>
        <v>613</v>
      </c>
      <c r="AY20" s="220">
        <f>IFERROR(__xludf.DUMMYFUNCTION("""COMPUTED_VALUE"""),12041.78)</f>
        <v>12041.78</v>
      </c>
      <c r="AZ20" s="219">
        <f>IFERROR(__xludf.DUMMYFUNCTION("""COMPUTED_VALUE"""),161.0)</f>
        <v>161</v>
      </c>
      <c r="BA20" s="219">
        <f>IFERROR(__xludf.DUMMYFUNCTION("""COMPUTED_VALUE"""),61.0)</f>
        <v>61</v>
      </c>
      <c r="BB20" s="219">
        <f>IFERROR(__xludf.DUMMYFUNCTION("""COMPUTED_VALUE"""),25.0)</f>
        <v>25</v>
      </c>
      <c r="BC20" s="219">
        <f>IFERROR(__xludf.DUMMYFUNCTION("""COMPUTED_VALUE"""),43.0)</f>
        <v>43</v>
      </c>
      <c r="BD20" s="261"/>
      <c r="BE20" s="98"/>
      <c r="BF20" s="255" t="e">
        <v>#REF!</v>
      </c>
      <c r="BG20" s="256">
        <f t="shared" si="4"/>
        <v>6444165</v>
      </c>
      <c r="BH20" s="257" t="str">
        <f t="shared" si="5"/>
        <v>#REF!</v>
      </c>
      <c r="BI20" s="98"/>
      <c r="BJ20" s="98"/>
      <c r="BK20" s="98"/>
      <c r="BL20" s="98"/>
      <c r="BM20" s="98"/>
      <c r="BN20" s="98"/>
      <c r="BO20" s="98"/>
      <c r="BP20" s="98"/>
      <c r="BQ20" s="98"/>
      <c r="BR20" s="98"/>
    </row>
    <row r="21">
      <c r="A21" s="6" t="str">
        <f>IFERROR(__xludf.DUMMYFUNCTION("""COMPUTED_VALUE"""),"Sunil Patel")</f>
        <v>Sunil Patel</v>
      </c>
      <c r="B21" s="98" t="str">
        <f>IFERROR(__xludf.DUMMYFUNCTION("""COMPUTED_VALUE"""),"Gujarat")</f>
        <v>Gujarat</v>
      </c>
      <c r="C21" s="212" t="str">
        <f>IFERROR(__xludf.DUMMYFUNCTION("""COMPUTED_VALUE"""),"Devdutt Joshi")</f>
        <v>Devdutt Joshi</v>
      </c>
      <c r="D21" s="98" t="str">
        <f>IFERROR(__xludf.DUMMYFUNCTION("""COMPUTED_VALUE"""),"Baroda")</f>
        <v>Baroda</v>
      </c>
      <c r="E21" s="213">
        <f>IFERROR(__xludf.DUMMYFUNCTION("""COMPUTED_VALUE"""),42993.0)</f>
        <v>42993</v>
      </c>
      <c r="F21" s="222" t="str">
        <f>IFERROR(__xludf.DUMMYFUNCTION("""COMPUTED_VALUE"""),"GUJARAT")</f>
        <v>GUJARAT</v>
      </c>
      <c r="G21" s="215">
        <f>IFERROR(__xludf.DUMMYFUNCTION("""COMPUTED_VALUE"""),1.09719998E7)</f>
        <v>10971999.8</v>
      </c>
      <c r="H21" s="215">
        <f>IFERROR(__xludf.DUMMYFUNCTION("""COMPUTED_VALUE"""),1.0597925E7)</f>
        <v>10597925</v>
      </c>
      <c r="I21" s="216">
        <f>IFERROR(__xludf.DUMMYFUNCTION("""COMPUTED_VALUE"""),51335.0)</f>
        <v>51335</v>
      </c>
      <c r="J21" s="216">
        <f>IFERROR(__xludf.DUMMYFUNCTION("""COMPUTED_VALUE"""),1250000.0)</f>
        <v>1250000</v>
      </c>
      <c r="K21" s="217">
        <f>IFERROR(__xludf.DUMMYFUNCTION("""COMPUTED_VALUE"""),0.0)</f>
        <v>0</v>
      </c>
      <c r="L21" s="217">
        <f>IFERROR(__xludf.DUMMYFUNCTION("""COMPUTED_VALUE"""),3750000.0)</f>
        <v>3750000</v>
      </c>
      <c r="M21" s="217">
        <f>IFERROR(__xludf.DUMMYFUNCTION("""COMPUTED_VALUE"""),3495534.0)</f>
        <v>3495534</v>
      </c>
      <c r="N21" s="217">
        <f>IFERROR(__xludf.DUMMYFUNCTION("""COMPUTED_VALUE"""),0.0)</f>
        <v>0</v>
      </c>
      <c r="O21" s="217">
        <f>IFERROR(__xludf.DUMMYFUNCTION("""COMPUTED_VALUE"""),3403230.0)</f>
        <v>3403230</v>
      </c>
      <c r="P21" s="218">
        <f>IFERROR(__xludf.DUMMYFUNCTION("""COMPUTED_VALUE"""),0.9321424)</f>
        <v>0.9321424</v>
      </c>
      <c r="Q21" s="218">
        <f>IFERROR(__xludf.DUMMYFUNCTION("""COMPUTED_VALUE"""),0.0)</f>
        <v>0</v>
      </c>
      <c r="R21" s="218">
        <f>IFERROR(__xludf.DUMMYFUNCTION("""COMPUTED_VALUE"""),0.907528)</f>
        <v>0.907528</v>
      </c>
      <c r="S21" s="187">
        <f>IFERROR(__xludf.DUMMYFUNCTION("""COMPUTED_VALUE"""),105.0)</f>
        <v>105</v>
      </c>
      <c r="T21" s="187">
        <f>IFERROR(__xludf.DUMMYFUNCTION("""COMPUTED_VALUE"""),86.0)</f>
        <v>86</v>
      </c>
      <c r="U21" s="187">
        <f>IFERROR(__xludf.DUMMYFUNCTION("""COMPUTED_VALUE"""),1.0)</f>
        <v>1</v>
      </c>
      <c r="V21" s="187">
        <f>IFERROR(__xludf.DUMMYFUNCTION("""COMPUTED_VALUE"""),1.0)</f>
        <v>1</v>
      </c>
      <c r="W21" s="187">
        <f>IFERROR(__xludf.DUMMYFUNCTION("""COMPUTED_VALUE"""),106.0)</f>
        <v>106</v>
      </c>
      <c r="X21" s="187">
        <f>IFERROR(__xludf.DUMMYFUNCTION("""COMPUTED_VALUE"""),20.0)</f>
        <v>20</v>
      </c>
      <c r="Y21" s="188">
        <f>IFERROR(__xludf.DUMMYFUNCTION("""COMPUTED_VALUE"""),3374769.16)</f>
        <v>3374769.16</v>
      </c>
      <c r="Z21" s="188">
        <f>IFERROR(__xludf.DUMMYFUNCTION("""COMPUTED_VALUE"""),120765.0)</f>
        <v>120765</v>
      </c>
      <c r="AA21" s="187">
        <f>IFERROR(__xludf.DUMMYFUNCTION("""COMPUTED_VALUE"""),69.0)</f>
        <v>69</v>
      </c>
      <c r="AB21" s="187">
        <f>IFERROR(__xludf.DUMMYFUNCTION("""COMPUTED_VALUE"""),1.0)</f>
        <v>1</v>
      </c>
      <c r="AC21" s="187">
        <f>IFERROR(__xludf.DUMMYFUNCTION("""COMPUTED_VALUE"""),70.0)</f>
        <v>70</v>
      </c>
      <c r="AD21" s="187">
        <f>IFERROR(__xludf.DUMMYFUNCTION("""COMPUTED_VALUE"""),0.0)</f>
        <v>0</v>
      </c>
      <c r="AE21" s="187">
        <f>IFERROR(__xludf.DUMMYFUNCTION("""COMPUTED_VALUE"""),122.0)</f>
        <v>122</v>
      </c>
      <c r="AF21" s="187">
        <f>IFERROR(__xludf.DUMMYFUNCTION("""COMPUTED_VALUE"""),142.0)</f>
        <v>142</v>
      </c>
      <c r="AG21" s="187">
        <f>IFERROR(__xludf.DUMMYFUNCTION("""COMPUTED_VALUE"""),648.0)</f>
        <v>648</v>
      </c>
      <c r="AH21" s="187">
        <f>IFERROR(__xludf.DUMMYFUNCTION("""COMPUTED_VALUE"""),8.0)</f>
        <v>8</v>
      </c>
      <c r="AI21" s="187">
        <f>IFERROR(__xludf.DUMMYFUNCTION("""COMPUTED_VALUE"""),89.0)</f>
        <v>89</v>
      </c>
      <c r="AJ21" s="187">
        <f>IFERROR(__xludf.DUMMYFUNCTION("""COMPUTED_VALUE"""),0.0)</f>
        <v>0</v>
      </c>
      <c r="AK21" s="187">
        <f>IFERROR(__xludf.DUMMYFUNCTION("""COMPUTED_VALUE"""),0.0)</f>
        <v>0</v>
      </c>
      <c r="AL21" s="187">
        <f>IFERROR(__xludf.DUMMYFUNCTION("""COMPUTED_VALUE"""),0.0)</f>
        <v>0</v>
      </c>
      <c r="AM21" s="187">
        <f>IFERROR(__xludf.DUMMYFUNCTION("""COMPUTED_VALUE"""),0.0)</f>
        <v>0</v>
      </c>
      <c r="AN21" s="187">
        <f>IFERROR(__xludf.DUMMYFUNCTION("""COMPUTED_VALUE"""),206.0)</f>
        <v>206</v>
      </c>
      <c r="AO21" s="187">
        <f>IFERROR(__xludf.DUMMYFUNCTION("""COMPUTED_VALUE"""),437.0)</f>
        <v>437</v>
      </c>
      <c r="AP21" s="187">
        <f>IFERROR(__xludf.DUMMYFUNCTION("""COMPUTED_VALUE"""),77.0)</f>
        <v>77</v>
      </c>
      <c r="AQ21" s="217">
        <f>IFERROR(__xludf.DUMMYFUNCTION("""COMPUTED_VALUE"""),45396.545454545456)</f>
        <v>45396.54545</v>
      </c>
      <c r="AR21" s="188">
        <f>IFERROR(__xludf.DUMMYFUNCTION("""COMPUTED_VALUE"""),5.675324675324675)</f>
        <v>5.675324675</v>
      </c>
      <c r="AS21" s="217">
        <f>IFERROR(__xludf.DUMMYFUNCTION("""COMPUTED_VALUE"""),154005.0)</f>
        <v>154005</v>
      </c>
      <c r="AT21" s="217"/>
      <c r="AU21" s="218">
        <f>IFERROR(__xludf.DUMMYFUNCTION("""COMPUTED_VALUE"""),0.044057646127887755)</f>
        <v>0.04405764613</v>
      </c>
      <c r="AV21" s="217">
        <f>IFERROR(__xludf.DUMMYFUNCTION("""COMPUTED_VALUE"""),49936.2)</f>
        <v>49936.2</v>
      </c>
      <c r="AW21" s="219">
        <f>IFERROR(__xludf.DUMMYFUNCTION("""COMPUTED_VALUE"""),168.0)</f>
        <v>168</v>
      </c>
      <c r="AX21" s="219">
        <f>IFERROR(__xludf.DUMMYFUNCTION("""COMPUTED_VALUE"""),759.0)</f>
        <v>759</v>
      </c>
      <c r="AY21" s="220">
        <f>IFERROR(__xludf.DUMMYFUNCTION("""COMPUTED_VALUE"""),8609.83)</f>
        <v>8609.83</v>
      </c>
      <c r="AZ21" s="219">
        <f>IFERROR(__xludf.DUMMYFUNCTION("""COMPUTED_VALUE"""),100.0)</f>
        <v>100</v>
      </c>
      <c r="BA21" s="219">
        <f>IFERROR(__xludf.DUMMYFUNCTION("""COMPUTED_VALUE"""),70.0)</f>
        <v>70</v>
      </c>
      <c r="BB21" s="219">
        <f>IFERROR(__xludf.DUMMYFUNCTION("""COMPUTED_VALUE"""),22.0)</f>
        <v>22</v>
      </c>
      <c r="BC21" s="219">
        <f>IFERROR(__xludf.DUMMYFUNCTION("""COMPUTED_VALUE"""),14.0)</f>
        <v>14</v>
      </c>
      <c r="BD21" s="221"/>
      <c r="BE21" s="98"/>
      <c r="BF21" s="255" t="e">
        <v>#REF!</v>
      </c>
      <c r="BG21" s="256">
        <f t="shared" si="4"/>
        <v>3495534</v>
      </c>
      <c r="BH21" s="257" t="str">
        <f t="shared" si="5"/>
        <v>#REF!</v>
      </c>
      <c r="BI21" s="98"/>
      <c r="BJ21" s="98"/>
      <c r="BK21" s="98"/>
      <c r="BL21" s="98"/>
      <c r="BM21" s="98"/>
      <c r="BN21" s="98"/>
      <c r="BO21" s="98"/>
      <c r="BP21" s="98"/>
      <c r="BQ21" s="98"/>
      <c r="BR21" s="98"/>
    </row>
    <row r="22">
      <c r="A22" s="6" t="str">
        <f>IFERROR(__xludf.DUMMYFUNCTION("""COMPUTED_VALUE"""),"Sandeep Dadheech")</f>
        <v>Sandeep Dadheech</v>
      </c>
      <c r="B22" s="98" t="str">
        <f>IFERROR(__xludf.DUMMYFUNCTION("""COMPUTED_VALUE"""),"West Bengal")</f>
        <v>West Bengal</v>
      </c>
      <c r="C22" s="98" t="str">
        <f>IFERROR(__xludf.DUMMYFUNCTION("""COMPUTED_VALUE"""),"Soumen Ghosh")</f>
        <v>Soumen Ghosh</v>
      </c>
      <c r="D22" s="98" t="str">
        <f>IFERROR(__xludf.DUMMYFUNCTION("""COMPUTED_VALUE"""),"MECHADA")</f>
        <v>MECHADA</v>
      </c>
      <c r="E22" s="213">
        <f>IFERROR(__xludf.DUMMYFUNCTION("""COMPUTED_VALUE"""),43009.0)</f>
        <v>43009</v>
      </c>
      <c r="F22" s="222" t="str">
        <f>IFERROR(__xludf.DUMMYFUNCTION("""COMPUTED_VALUE"""),"WEST BENGAL")</f>
        <v>WEST BENGAL</v>
      </c>
      <c r="G22" s="215">
        <f>IFERROR(__xludf.DUMMYFUNCTION("""COMPUTED_VALUE"""),1259297.2)</f>
        <v>1259297.2</v>
      </c>
      <c r="H22" s="215">
        <f>IFERROR(__xludf.DUMMYFUNCTION("""COMPUTED_VALUE"""),0.0)</f>
        <v>0</v>
      </c>
      <c r="I22" s="216">
        <f>IFERROR(__xludf.DUMMYFUNCTION("""COMPUTED_VALUE"""),54455.0)</f>
        <v>54455</v>
      </c>
      <c r="J22" s="216"/>
      <c r="K22" s="217">
        <f>IFERROR(__xludf.DUMMYFUNCTION("""COMPUTED_VALUE"""),0.0)</f>
        <v>0</v>
      </c>
      <c r="L22" s="217"/>
      <c r="M22" s="217">
        <f>IFERROR(__xludf.DUMMYFUNCTION("""COMPUTED_VALUE"""),0.0)</f>
        <v>0</v>
      </c>
      <c r="N22" s="217">
        <f>IFERROR(__xludf.DUMMYFUNCTION("""COMPUTED_VALUE"""),0.0)</f>
        <v>0</v>
      </c>
      <c r="O22" s="217"/>
      <c r="P22" s="218"/>
      <c r="Q22" s="218">
        <f>IFERROR(__xludf.DUMMYFUNCTION("""COMPUTED_VALUE"""),0.0)</f>
        <v>0</v>
      </c>
      <c r="R22" s="218"/>
      <c r="S22" s="187">
        <f>IFERROR(__xludf.DUMMYFUNCTION("""COMPUTED_VALUE"""),233.0)</f>
        <v>233</v>
      </c>
      <c r="T22" s="187">
        <f>IFERROR(__xludf.DUMMYFUNCTION("""COMPUTED_VALUE"""),94.0)</f>
        <v>94</v>
      </c>
      <c r="U22" s="187">
        <f>IFERROR(__xludf.DUMMYFUNCTION("""COMPUTED_VALUE"""),0.0)</f>
        <v>0</v>
      </c>
      <c r="V22" s="187">
        <f>IFERROR(__xludf.DUMMYFUNCTION("""COMPUTED_VALUE"""),0.0)</f>
        <v>0</v>
      </c>
      <c r="W22" s="187">
        <f>IFERROR(__xludf.DUMMYFUNCTION("""COMPUTED_VALUE"""),233.0)</f>
        <v>233</v>
      </c>
      <c r="X22" s="187">
        <f>IFERROR(__xludf.DUMMYFUNCTION("""COMPUTED_VALUE"""),139.0)</f>
        <v>139</v>
      </c>
      <c r="Y22" s="188">
        <f>IFERROR(__xludf.DUMMYFUNCTION("""COMPUTED_VALUE"""),0.0)</f>
        <v>0</v>
      </c>
      <c r="Z22" s="188">
        <f>IFERROR(__xludf.DUMMYFUNCTION("""COMPUTED_VALUE"""),0.0)</f>
        <v>0</v>
      </c>
      <c r="AA22" s="187">
        <f>IFERROR(__xludf.DUMMYFUNCTION("""COMPUTED_VALUE"""),0.0)</f>
        <v>0</v>
      </c>
      <c r="AB22" s="187">
        <f>IFERROR(__xludf.DUMMYFUNCTION("""COMPUTED_VALUE"""),0.0)</f>
        <v>0</v>
      </c>
      <c r="AC22" s="187">
        <f>IFERROR(__xludf.DUMMYFUNCTION("""COMPUTED_VALUE"""),0.0)</f>
        <v>0</v>
      </c>
      <c r="AD22" s="187">
        <f>IFERROR(__xludf.DUMMYFUNCTION("""COMPUTED_VALUE"""),0.0)</f>
        <v>0</v>
      </c>
      <c r="AE22" s="187">
        <f>IFERROR(__xludf.DUMMYFUNCTION("""COMPUTED_VALUE"""),2.0)</f>
        <v>2</v>
      </c>
      <c r="AF22" s="187">
        <f>IFERROR(__xludf.DUMMYFUNCTION("""COMPUTED_VALUE"""),2.0)</f>
        <v>2</v>
      </c>
      <c r="AG22" s="187">
        <f>IFERROR(__xludf.DUMMYFUNCTION("""COMPUTED_VALUE"""),36.0)</f>
        <v>36</v>
      </c>
      <c r="AH22" s="187">
        <f>IFERROR(__xludf.DUMMYFUNCTION("""COMPUTED_VALUE"""),3.0)</f>
        <v>3</v>
      </c>
      <c r="AI22" s="187">
        <f>IFERROR(__xludf.DUMMYFUNCTION("""COMPUTED_VALUE"""),43.0)</f>
        <v>43</v>
      </c>
      <c r="AJ22" s="187">
        <f>IFERROR(__xludf.DUMMYFUNCTION("""COMPUTED_VALUE"""),0.0)</f>
        <v>0</v>
      </c>
      <c r="AK22" s="187">
        <f>IFERROR(__xludf.DUMMYFUNCTION("""COMPUTED_VALUE"""),0.0)</f>
        <v>0</v>
      </c>
      <c r="AL22" s="187">
        <f>IFERROR(__xludf.DUMMYFUNCTION("""COMPUTED_VALUE"""),0.0)</f>
        <v>0</v>
      </c>
      <c r="AM22" s="187">
        <f>IFERROR(__xludf.DUMMYFUNCTION("""COMPUTED_VALUE"""),0.0)</f>
        <v>0</v>
      </c>
      <c r="AN22" s="187">
        <f>IFERROR(__xludf.DUMMYFUNCTION("""COMPUTED_VALUE"""),182.0)</f>
        <v>182</v>
      </c>
      <c r="AO22" s="187">
        <f>IFERROR(__xludf.DUMMYFUNCTION("""COMPUTED_VALUE"""),227.0)</f>
        <v>227</v>
      </c>
      <c r="AP22" s="187">
        <f>IFERROR(__xludf.DUMMYFUNCTION("""COMPUTED_VALUE"""),74.0)</f>
        <v>74</v>
      </c>
      <c r="AQ22" s="217">
        <f>IFERROR(__xludf.DUMMYFUNCTION("""COMPUTED_VALUE"""),0.0)</f>
        <v>0</v>
      </c>
      <c r="AR22" s="188">
        <f>IFERROR(__xludf.DUMMYFUNCTION("""COMPUTED_VALUE"""),3.0675675675675675)</f>
        <v>3.067567568</v>
      </c>
      <c r="AS22" s="217">
        <f>IFERROR(__xludf.DUMMYFUNCTION("""COMPUTED_VALUE"""),163365.0)</f>
        <v>163365</v>
      </c>
      <c r="AT22" s="217"/>
      <c r="AU22" s="218"/>
      <c r="AV22" s="217"/>
      <c r="AW22" s="219">
        <f>IFERROR(__xludf.DUMMYFUNCTION("""COMPUTED_VALUE"""),0.0)</f>
        <v>0</v>
      </c>
      <c r="AX22" s="219">
        <f>IFERROR(__xludf.DUMMYFUNCTION("""COMPUTED_VALUE"""),795.0)</f>
        <v>795</v>
      </c>
      <c r="AY22" s="220">
        <f>IFERROR(__xludf.DUMMYFUNCTION("""COMPUTED_VALUE"""),6759.86)</f>
        <v>6759.86</v>
      </c>
      <c r="AZ22" s="219">
        <f>IFERROR(__xludf.DUMMYFUNCTION("""COMPUTED_VALUE"""),72.0)</f>
        <v>72</v>
      </c>
      <c r="BA22" s="219">
        <f>IFERROR(__xludf.DUMMYFUNCTION("""COMPUTED_VALUE"""),0.0)</f>
        <v>0</v>
      </c>
      <c r="BB22" s="219">
        <f>IFERROR(__xludf.DUMMYFUNCTION("""COMPUTED_VALUE"""),94.0)</f>
        <v>94</v>
      </c>
      <c r="BC22" s="219">
        <f>IFERROR(__xludf.DUMMYFUNCTION("""COMPUTED_VALUE"""),139.0)</f>
        <v>139</v>
      </c>
      <c r="BD22" s="221"/>
      <c r="BE22" s="98"/>
      <c r="BF22" s="255" t="e">
        <v>#REF!</v>
      </c>
      <c r="BG22" s="256">
        <f t="shared" si="4"/>
        <v>0</v>
      </c>
      <c r="BH22" s="257" t="str">
        <f t="shared" si="5"/>
        <v>#REF!</v>
      </c>
      <c r="BI22" s="98"/>
      <c r="BJ22" s="98"/>
      <c r="BK22" s="98"/>
      <c r="BL22" s="98"/>
      <c r="BM22" s="98"/>
      <c r="BN22" s="98"/>
      <c r="BO22" s="98"/>
      <c r="BP22" s="98"/>
      <c r="BQ22" s="98"/>
      <c r="BR22" s="98"/>
    </row>
    <row r="23">
      <c r="A23" s="6" t="str">
        <f>IFERROR(__xludf.DUMMYFUNCTION("""COMPUTED_VALUE"""),"Sandeep Dadheech")</f>
        <v>Sandeep Dadheech</v>
      </c>
      <c r="B23" s="98" t="str">
        <f>IFERROR(__xludf.DUMMYFUNCTION("""COMPUTED_VALUE"""),"West Bengal")</f>
        <v>West Bengal</v>
      </c>
      <c r="C23" s="212" t="str">
        <f>IFERROR(__xludf.DUMMYFUNCTION("""COMPUTED_VALUE"""),"Sudipta Thom")</f>
        <v>Sudipta Thom</v>
      </c>
      <c r="D23" s="98" t="str">
        <f>IFERROR(__xludf.DUMMYFUNCTION("""COMPUTED_VALUE"""),"ANDAL")</f>
        <v>ANDAL</v>
      </c>
      <c r="E23" s="213">
        <f>IFERROR(__xludf.DUMMYFUNCTION("""COMPUTED_VALUE"""),43119.0)</f>
        <v>43119</v>
      </c>
      <c r="F23" s="222" t="str">
        <f>IFERROR(__xludf.DUMMYFUNCTION("""COMPUTED_VALUE"""),"WEST BENGAL")</f>
        <v>WEST BENGAL</v>
      </c>
      <c r="G23" s="215">
        <f>IFERROR(__xludf.DUMMYFUNCTION("""COMPUTED_VALUE"""),2.274684639E7)</f>
        <v>22746846.39</v>
      </c>
      <c r="H23" s="215">
        <f>IFERROR(__xludf.DUMMYFUNCTION("""COMPUTED_VALUE"""),4.4406509E7)</f>
        <v>44406509</v>
      </c>
      <c r="I23" s="216">
        <f>IFERROR(__xludf.DUMMYFUNCTION("""COMPUTED_VALUE"""),56700.0)</f>
        <v>56700</v>
      </c>
      <c r="J23" s="216">
        <f>IFERROR(__xludf.DUMMYFUNCTION("""COMPUTED_VALUE"""),5833333.0)</f>
        <v>5833333</v>
      </c>
      <c r="K23" s="217">
        <f>IFERROR(__xludf.DUMMYFUNCTION("""COMPUTED_VALUE"""),0.0)</f>
        <v>0</v>
      </c>
      <c r="L23" s="217">
        <f>IFERROR(__xludf.DUMMYFUNCTION("""COMPUTED_VALUE"""),1.7499999E7)</f>
        <v>17499999</v>
      </c>
      <c r="M23" s="217">
        <f>IFERROR(__xludf.DUMMYFUNCTION("""COMPUTED_VALUE"""),980666.0)</f>
        <v>980666</v>
      </c>
      <c r="N23" s="217">
        <f>IFERROR(__xludf.DUMMYFUNCTION("""COMPUTED_VALUE"""),0.0)</f>
        <v>0</v>
      </c>
      <c r="O23" s="217">
        <f>IFERROR(__xludf.DUMMYFUNCTION("""COMPUTED_VALUE"""),3078290.0)</f>
        <v>3078290</v>
      </c>
      <c r="P23" s="218">
        <f>IFERROR(__xludf.DUMMYFUNCTION("""COMPUTED_VALUE"""),0.05603806034503202)</f>
        <v>0.05603806035</v>
      </c>
      <c r="Q23" s="218">
        <f>IFERROR(__xludf.DUMMYFUNCTION("""COMPUTED_VALUE"""),0.0)</f>
        <v>0</v>
      </c>
      <c r="R23" s="218">
        <f>IFERROR(__xludf.DUMMYFUNCTION("""COMPUTED_VALUE"""),0.17590229576584548)</f>
        <v>0.1759022958</v>
      </c>
      <c r="S23" s="187">
        <f>IFERROR(__xludf.DUMMYFUNCTION("""COMPUTED_VALUE"""),49.0)</f>
        <v>49</v>
      </c>
      <c r="T23" s="187">
        <f>IFERROR(__xludf.DUMMYFUNCTION("""COMPUTED_VALUE"""),15.0)</f>
        <v>15</v>
      </c>
      <c r="U23" s="187">
        <f>IFERROR(__xludf.DUMMYFUNCTION("""COMPUTED_VALUE"""),1.0)</f>
        <v>1</v>
      </c>
      <c r="V23" s="187">
        <f>IFERROR(__xludf.DUMMYFUNCTION("""COMPUTED_VALUE"""),0.0)</f>
        <v>0</v>
      </c>
      <c r="W23" s="187">
        <f>IFERROR(__xludf.DUMMYFUNCTION("""COMPUTED_VALUE"""),50.0)</f>
        <v>50</v>
      </c>
      <c r="X23" s="187">
        <f>IFERROR(__xludf.DUMMYFUNCTION("""COMPUTED_VALUE"""),35.0)</f>
        <v>35</v>
      </c>
      <c r="Y23" s="188">
        <f>IFERROR(__xludf.DUMMYFUNCTION("""COMPUTED_VALUE"""),980666.0)</f>
        <v>980666</v>
      </c>
      <c r="Z23" s="188">
        <f>IFERROR(__xludf.DUMMYFUNCTION("""COMPUTED_VALUE"""),0.0)</f>
        <v>0</v>
      </c>
      <c r="AA23" s="187">
        <f>IFERROR(__xludf.DUMMYFUNCTION("""COMPUTED_VALUE"""),1.0)</f>
        <v>1</v>
      </c>
      <c r="AB23" s="187">
        <f>IFERROR(__xludf.DUMMYFUNCTION("""COMPUTED_VALUE"""),0.0)</f>
        <v>0</v>
      </c>
      <c r="AC23" s="187">
        <f>IFERROR(__xludf.DUMMYFUNCTION("""COMPUTED_VALUE"""),1.0)</f>
        <v>1</v>
      </c>
      <c r="AD23" s="187">
        <f>IFERROR(__xludf.DUMMYFUNCTION("""COMPUTED_VALUE"""),0.0)</f>
        <v>0</v>
      </c>
      <c r="AE23" s="187">
        <f>IFERROR(__xludf.DUMMYFUNCTION("""COMPUTED_VALUE"""),7.0)</f>
        <v>7</v>
      </c>
      <c r="AF23" s="187">
        <f>IFERROR(__xludf.DUMMYFUNCTION("""COMPUTED_VALUE"""),8.0)</f>
        <v>8</v>
      </c>
      <c r="AG23" s="187">
        <f>IFERROR(__xludf.DUMMYFUNCTION("""COMPUTED_VALUE"""),70.0)</f>
        <v>70</v>
      </c>
      <c r="AH23" s="187">
        <f>IFERROR(__xludf.DUMMYFUNCTION("""COMPUTED_VALUE"""),4.0)</f>
        <v>4</v>
      </c>
      <c r="AI23" s="187">
        <f>IFERROR(__xludf.DUMMYFUNCTION("""COMPUTED_VALUE"""),57.0)</f>
        <v>57</v>
      </c>
      <c r="AJ23" s="187">
        <f>IFERROR(__xludf.DUMMYFUNCTION("""COMPUTED_VALUE"""),0.0)</f>
        <v>0</v>
      </c>
      <c r="AK23" s="187">
        <f>IFERROR(__xludf.DUMMYFUNCTION("""COMPUTED_VALUE"""),0.0)</f>
        <v>0</v>
      </c>
      <c r="AL23" s="187">
        <f>IFERROR(__xludf.DUMMYFUNCTION("""COMPUTED_VALUE"""),0.0)</f>
        <v>0</v>
      </c>
      <c r="AM23" s="187">
        <f>IFERROR(__xludf.DUMMYFUNCTION("""COMPUTED_VALUE"""),0.0)</f>
        <v>0</v>
      </c>
      <c r="AN23" s="187">
        <f>IFERROR(__xludf.DUMMYFUNCTION("""COMPUTED_VALUE"""),37.0)</f>
        <v>37</v>
      </c>
      <c r="AO23" s="187">
        <f>IFERROR(__xludf.DUMMYFUNCTION("""COMPUTED_VALUE"""),102.0)</f>
        <v>102</v>
      </c>
      <c r="AP23" s="187">
        <f>IFERROR(__xludf.DUMMYFUNCTION("""COMPUTED_VALUE"""),69.0)</f>
        <v>69</v>
      </c>
      <c r="AQ23" s="217">
        <f>IFERROR(__xludf.DUMMYFUNCTION("""COMPUTED_VALUE"""),14212.550724637682)</f>
        <v>14212.55072</v>
      </c>
      <c r="AR23" s="188">
        <f>IFERROR(__xludf.DUMMYFUNCTION("""COMPUTED_VALUE"""),1.4782608695652173)</f>
        <v>1.47826087</v>
      </c>
      <c r="AS23" s="217">
        <f>IFERROR(__xludf.DUMMYFUNCTION("""COMPUTED_VALUE"""),170100.0)</f>
        <v>170100</v>
      </c>
      <c r="AT23" s="217"/>
      <c r="AU23" s="218">
        <f>IFERROR(__xludf.DUMMYFUNCTION("""COMPUTED_VALUE"""),0.1734535509541475)</f>
        <v>0.173453551</v>
      </c>
      <c r="AV23" s="217">
        <f>IFERROR(__xludf.DUMMYFUNCTION("""COMPUTED_VALUE"""),980666.0)</f>
        <v>980666</v>
      </c>
      <c r="AW23" s="219">
        <f>IFERROR(__xludf.DUMMYFUNCTION("""COMPUTED_VALUE"""),1.0)</f>
        <v>1</v>
      </c>
      <c r="AX23" s="219">
        <f>IFERROR(__xludf.DUMMYFUNCTION("""COMPUTED_VALUE"""),653.0)</f>
        <v>653</v>
      </c>
      <c r="AY23" s="220">
        <f>IFERROR(__xludf.DUMMYFUNCTION("""COMPUTED_VALUE"""),3889.51)</f>
        <v>3889.51</v>
      </c>
      <c r="AZ23" s="219">
        <f>IFERROR(__xludf.DUMMYFUNCTION("""COMPUTED_VALUE"""),259.0)</f>
        <v>259</v>
      </c>
      <c r="BA23" s="219">
        <f>IFERROR(__xludf.DUMMYFUNCTION("""COMPUTED_VALUE"""),1.0)</f>
        <v>1</v>
      </c>
      <c r="BB23" s="219">
        <f>IFERROR(__xludf.DUMMYFUNCTION("""COMPUTED_VALUE"""),14.0)</f>
        <v>14</v>
      </c>
      <c r="BC23" s="219">
        <f>IFERROR(__xludf.DUMMYFUNCTION("""COMPUTED_VALUE"""),35.0)</f>
        <v>35</v>
      </c>
      <c r="BD23" s="221"/>
      <c r="BE23" s="98"/>
      <c r="BF23" s="255" t="e">
        <v>#REF!</v>
      </c>
      <c r="BG23" s="256">
        <f t="shared" si="4"/>
        <v>980666</v>
      </c>
      <c r="BH23" s="257" t="str">
        <f t="shared" si="5"/>
        <v>#REF!</v>
      </c>
      <c r="BI23" s="98"/>
      <c r="BJ23" s="98"/>
      <c r="BK23" s="98"/>
      <c r="BL23" s="98"/>
      <c r="BM23" s="98"/>
      <c r="BN23" s="98"/>
      <c r="BO23" s="98"/>
      <c r="BP23" s="98"/>
      <c r="BQ23" s="98"/>
      <c r="BR23" s="98"/>
    </row>
    <row r="24">
      <c r="A24" s="6" t="str">
        <f>IFERROR(__xludf.DUMMYFUNCTION("""COMPUTED_VALUE"""),"Sandeep Dadheech")</f>
        <v>Sandeep Dadheech</v>
      </c>
      <c r="B24" s="98" t="str">
        <f>IFERROR(__xludf.DUMMYFUNCTION("""COMPUTED_VALUE"""),"Telangana")</f>
        <v>Telangana</v>
      </c>
      <c r="C24" s="212" t="str">
        <f>IFERROR(__xludf.DUMMYFUNCTION("""COMPUTED_VALUE"""),"Jithender Reddy Katukuri")</f>
        <v>Jithender Reddy Katukuri</v>
      </c>
      <c r="D24" s="98" t="str">
        <f>IFERROR(__xludf.DUMMYFUNCTION("""COMPUTED_VALUE"""),"Warangal")</f>
        <v>Warangal</v>
      </c>
      <c r="E24" s="213">
        <f>IFERROR(__xludf.DUMMYFUNCTION("""COMPUTED_VALUE"""),43185.0)</f>
        <v>43185</v>
      </c>
      <c r="F24" s="222" t="str">
        <f>IFERROR(__xludf.DUMMYFUNCTION("""COMPUTED_VALUE"""),"TELANGANA")</f>
        <v>TELANGANA</v>
      </c>
      <c r="G24" s="215">
        <f>IFERROR(__xludf.DUMMYFUNCTION("""COMPUTED_VALUE"""),4732528.91)</f>
        <v>4732528.91</v>
      </c>
      <c r="H24" s="215">
        <f>IFERROR(__xludf.DUMMYFUNCTION("""COMPUTED_VALUE"""),4796658.88)</f>
        <v>4796658.88</v>
      </c>
      <c r="I24" s="216">
        <f>IFERROR(__xludf.DUMMYFUNCTION("""COMPUTED_VALUE"""),34650.0)</f>
        <v>34650</v>
      </c>
      <c r="J24" s="56">
        <f>IFERROR(__xludf.DUMMYFUNCTION("""COMPUTED_VALUE"""),1500000.0)</f>
        <v>1500000</v>
      </c>
      <c r="K24" s="217">
        <f>IFERROR(__xludf.DUMMYFUNCTION("""COMPUTED_VALUE"""),0.0)</f>
        <v>0</v>
      </c>
      <c r="L24" s="217">
        <f>IFERROR(__xludf.DUMMYFUNCTION("""COMPUTED_VALUE"""),4500000.0)</f>
        <v>4500000</v>
      </c>
      <c r="M24" s="217">
        <f>IFERROR(__xludf.DUMMYFUNCTION("""COMPUTED_VALUE"""),2855308.0)</f>
        <v>2855308</v>
      </c>
      <c r="N24" s="217">
        <f>IFERROR(__xludf.DUMMYFUNCTION("""COMPUTED_VALUE"""),0.0)</f>
        <v>0</v>
      </c>
      <c r="O24" s="217">
        <f>IFERROR(__xludf.DUMMYFUNCTION("""COMPUTED_VALUE"""),895316.29)</f>
        <v>895316.29</v>
      </c>
      <c r="P24" s="218">
        <f>IFERROR(__xludf.DUMMYFUNCTION("""COMPUTED_VALUE"""),0.6345128888888889)</f>
        <v>0.6345128889</v>
      </c>
      <c r="Q24" s="218">
        <f>IFERROR(__xludf.DUMMYFUNCTION("""COMPUTED_VALUE"""),0.0)</f>
        <v>0</v>
      </c>
      <c r="R24" s="218">
        <f>IFERROR(__xludf.DUMMYFUNCTION("""COMPUTED_VALUE"""),0.19895917555555556)</f>
        <v>0.1989591756</v>
      </c>
      <c r="S24" s="187">
        <f>IFERROR(__xludf.DUMMYFUNCTION("""COMPUTED_VALUE"""),105.0)</f>
        <v>105</v>
      </c>
      <c r="T24" s="187">
        <f>IFERROR(__xludf.DUMMYFUNCTION("""COMPUTED_VALUE"""),96.0)</f>
        <v>96</v>
      </c>
      <c r="U24" s="187">
        <f>IFERROR(__xludf.DUMMYFUNCTION("""COMPUTED_VALUE"""),2.0)</f>
        <v>2</v>
      </c>
      <c r="V24" s="187">
        <f>IFERROR(__xludf.DUMMYFUNCTION("""COMPUTED_VALUE"""),2.0)</f>
        <v>2</v>
      </c>
      <c r="W24" s="187">
        <f>IFERROR(__xludf.DUMMYFUNCTION("""COMPUTED_VALUE"""),107.0)</f>
        <v>107</v>
      </c>
      <c r="X24" s="187">
        <f>IFERROR(__xludf.DUMMYFUNCTION("""COMPUTED_VALUE"""),11.0)</f>
        <v>11</v>
      </c>
      <c r="Y24" s="188">
        <f>IFERROR(__xludf.DUMMYFUNCTION("""COMPUTED_VALUE"""),2711745.33)</f>
        <v>2711745.33</v>
      </c>
      <c r="Z24" s="188">
        <f>IFERROR(__xludf.DUMMYFUNCTION("""COMPUTED_VALUE"""),143563.05)</f>
        <v>143563.05</v>
      </c>
      <c r="AA24" s="187">
        <f>IFERROR(__xludf.DUMMYFUNCTION("""COMPUTED_VALUE"""),47.0)</f>
        <v>47</v>
      </c>
      <c r="AB24" s="187">
        <f>IFERROR(__xludf.DUMMYFUNCTION("""COMPUTED_VALUE"""),2.0)</f>
        <v>2</v>
      </c>
      <c r="AC24" s="187">
        <f>IFERROR(__xludf.DUMMYFUNCTION("""COMPUTED_VALUE"""),49.0)</f>
        <v>49</v>
      </c>
      <c r="AD24" s="187">
        <f>IFERROR(__xludf.DUMMYFUNCTION("""COMPUTED_VALUE"""),0.0)</f>
        <v>0</v>
      </c>
      <c r="AE24" s="187">
        <f>IFERROR(__xludf.DUMMYFUNCTION("""COMPUTED_VALUE"""),13.0)</f>
        <v>13</v>
      </c>
      <c r="AF24" s="187">
        <f>IFERROR(__xludf.DUMMYFUNCTION("""COMPUTED_VALUE"""),25.0)</f>
        <v>25</v>
      </c>
      <c r="AG24" s="187">
        <f>IFERROR(__xludf.DUMMYFUNCTION("""COMPUTED_VALUE"""),98.0)</f>
        <v>98</v>
      </c>
      <c r="AH24" s="187">
        <f>IFERROR(__xludf.DUMMYFUNCTION("""COMPUTED_VALUE"""),1.0)</f>
        <v>1</v>
      </c>
      <c r="AI24" s="187">
        <f>IFERROR(__xludf.DUMMYFUNCTION("""COMPUTED_VALUE"""),1.0)</f>
        <v>1</v>
      </c>
      <c r="AJ24" s="187">
        <f>IFERROR(__xludf.DUMMYFUNCTION("""COMPUTED_VALUE"""),0.0)</f>
        <v>0</v>
      </c>
      <c r="AK24" s="187">
        <f>IFERROR(__xludf.DUMMYFUNCTION("""COMPUTED_VALUE"""),0.0)</f>
        <v>0</v>
      </c>
      <c r="AL24" s="187">
        <f>IFERROR(__xludf.DUMMYFUNCTION("""COMPUTED_VALUE"""),0.0)</f>
        <v>0</v>
      </c>
      <c r="AM24" s="187">
        <f>IFERROR(__xludf.DUMMYFUNCTION("""COMPUTED_VALUE"""),0.0)</f>
        <v>0</v>
      </c>
      <c r="AN24" s="187">
        <f>IFERROR(__xludf.DUMMYFUNCTION("""COMPUTED_VALUE"""),265.0)</f>
        <v>265</v>
      </c>
      <c r="AO24" s="187">
        <f>IFERROR(__xludf.DUMMYFUNCTION("""COMPUTED_VALUE"""),291.0)</f>
        <v>291</v>
      </c>
      <c r="AP24" s="187">
        <f>IFERROR(__xludf.DUMMYFUNCTION("""COMPUTED_VALUE"""),53.0)</f>
        <v>53</v>
      </c>
      <c r="AQ24" s="217">
        <f>IFERROR(__xludf.DUMMYFUNCTION("""COMPUTED_VALUE"""),53873.735849056604)</f>
        <v>53873.73585</v>
      </c>
      <c r="AR24" s="188">
        <f>IFERROR(__xludf.DUMMYFUNCTION("""COMPUTED_VALUE"""),5.490566037735849)</f>
        <v>5.490566038</v>
      </c>
      <c r="AS24" s="217">
        <f>IFERROR(__xludf.DUMMYFUNCTION("""COMPUTED_VALUE"""),17325.0)</f>
        <v>17325</v>
      </c>
      <c r="AT24" s="217"/>
      <c r="AU24" s="218">
        <f>IFERROR(__xludf.DUMMYFUNCTION("""COMPUTED_VALUE"""),0.006067646642673925)</f>
        <v>0.006067646643</v>
      </c>
      <c r="AV24" s="217">
        <f>IFERROR(__xludf.DUMMYFUNCTION("""COMPUTED_VALUE"""),58271.5918367347)</f>
        <v>58271.59184</v>
      </c>
      <c r="AW24" s="219">
        <f>IFERROR(__xludf.DUMMYFUNCTION("""COMPUTED_VALUE"""),73.0)</f>
        <v>73</v>
      </c>
      <c r="AX24" s="219">
        <f>IFERROR(__xludf.DUMMYFUNCTION("""COMPUTED_VALUE"""),563.0)</f>
        <v>563</v>
      </c>
      <c r="AY24" s="220">
        <f>IFERROR(__xludf.DUMMYFUNCTION("""COMPUTED_VALUE"""),4117.83)</f>
        <v>4117.83</v>
      </c>
      <c r="AZ24" s="219">
        <f>IFERROR(__xludf.DUMMYFUNCTION("""COMPUTED_VALUE"""),43.0)</f>
        <v>43</v>
      </c>
      <c r="BA24" s="219">
        <f>IFERROR(__xludf.DUMMYFUNCTION("""COMPUTED_VALUE"""),49.0)</f>
        <v>49</v>
      </c>
      <c r="BB24" s="219">
        <f>IFERROR(__xludf.DUMMYFUNCTION("""COMPUTED_VALUE"""),49.0)</f>
        <v>49</v>
      </c>
      <c r="BC24" s="219">
        <f>IFERROR(__xludf.DUMMYFUNCTION("""COMPUTED_VALUE"""),9.0)</f>
        <v>9</v>
      </c>
      <c r="BD24" s="221"/>
      <c r="BE24" s="98"/>
      <c r="BF24" s="255" t="e">
        <v>#REF!</v>
      </c>
      <c r="BG24" s="256">
        <f t="shared" si="4"/>
        <v>2855308</v>
      </c>
      <c r="BH24" s="257" t="str">
        <f t="shared" si="5"/>
        <v>#REF!</v>
      </c>
      <c r="BI24" s="98"/>
      <c r="BJ24" s="98"/>
      <c r="BK24" s="98"/>
      <c r="BL24" s="98"/>
      <c r="BM24" s="98"/>
      <c r="BN24" s="98"/>
      <c r="BO24" s="98"/>
      <c r="BP24" s="98"/>
      <c r="BQ24" s="98"/>
      <c r="BR24" s="98"/>
    </row>
    <row r="25">
      <c r="A25" s="6" t="str">
        <f>IFERROR(__xludf.DUMMYFUNCTION("""COMPUTED_VALUE"""),"Sandeep Dadheech")</f>
        <v>Sandeep Dadheech</v>
      </c>
      <c r="B25" s="98" t="str">
        <f>IFERROR(__xludf.DUMMYFUNCTION("""COMPUTED_VALUE"""),"West Bengal")</f>
        <v>West Bengal</v>
      </c>
      <c r="C25" s="212" t="str">
        <f>IFERROR(__xludf.DUMMYFUNCTION("""COMPUTED_VALUE"""),"Sudip Guha Roy")</f>
        <v>Sudip Guha Roy</v>
      </c>
      <c r="D25" s="98" t="str">
        <f>IFERROR(__xludf.DUMMYFUNCTION("""COMPUTED_VALUE"""),"Andal")</f>
        <v>Andal</v>
      </c>
      <c r="E25" s="213">
        <f>IFERROR(__xludf.DUMMYFUNCTION("""COMPUTED_VALUE"""),43255.0)</f>
        <v>43255</v>
      </c>
      <c r="F25" s="222" t="str">
        <f>IFERROR(__xludf.DUMMYFUNCTION("""COMPUTED_VALUE"""),"WEST BENGAL")</f>
        <v>WEST BENGAL</v>
      </c>
      <c r="G25" s="215">
        <f>IFERROR(__xludf.DUMMYFUNCTION("""COMPUTED_VALUE"""),3.20172739515625E7)</f>
        <v>32017273.95</v>
      </c>
      <c r="H25" s="215">
        <f>IFERROR(__xludf.DUMMYFUNCTION("""COMPUTED_VALUE"""),3.133523E7)</f>
        <v>31335230</v>
      </c>
      <c r="I25" s="216">
        <f>IFERROR(__xludf.DUMMYFUNCTION("""COMPUTED_VALUE"""),46670.0)</f>
        <v>46670</v>
      </c>
      <c r="J25" s="216">
        <f>IFERROR(__xludf.DUMMYFUNCTION("""COMPUTED_VALUE"""),4166667.0)</f>
        <v>4166667</v>
      </c>
      <c r="K25" s="217">
        <f>IFERROR(__xludf.DUMMYFUNCTION("""COMPUTED_VALUE"""),0.0)</f>
        <v>0</v>
      </c>
      <c r="L25" s="217">
        <f>IFERROR(__xludf.DUMMYFUNCTION("""COMPUTED_VALUE"""),1.2500001E7)</f>
        <v>12500001</v>
      </c>
      <c r="M25" s="217">
        <f>IFERROR(__xludf.DUMMYFUNCTION("""COMPUTED_VALUE"""),2885213.0)</f>
        <v>2885213</v>
      </c>
      <c r="N25" s="217">
        <f>IFERROR(__xludf.DUMMYFUNCTION("""COMPUTED_VALUE"""),0.0)</f>
        <v>0</v>
      </c>
      <c r="O25" s="217">
        <f>IFERROR(__xludf.DUMMYFUNCTION("""COMPUTED_VALUE"""),3139194.0)</f>
        <v>3139194</v>
      </c>
      <c r="P25" s="218">
        <f>IFERROR(__xludf.DUMMYFUNCTION("""COMPUTED_VALUE"""),0.2308170215346383)</f>
        <v>0.2308170215</v>
      </c>
      <c r="Q25" s="218">
        <f>IFERROR(__xludf.DUMMYFUNCTION("""COMPUTED_VALUE"""),0.0)</f>
        <v>0</v>
      </c>
      <c r="R25" s="218">
        <f>IFERROR(__xludf.DUMMYFUNCTION("""COMPUTED_VALUE"""),0.25113549990916)</f>
        <v>0.2511354999</v>
      </c>
      <c r="S25" s="187">
        <f>IFERROR(__xludf.DUMMYFUNCTION("""COMPUTED_VALUE"""),151.0)</f>
        <v>151</v>
      </c>
      <c r="T25" s="187">
        <f>IFERROR(__xludf.DUMMYFUNCTION("""COMPUTED_VALUE"""),94.0)</f>
        <v>94</v>
      </c>
      <c r="U25" s="187">
        <f>IFERROR(__xludf.DUMMYFUNCTION("""COMPUTED_VALUE"""),0.0)</f>
        <v>0</v>
      </c>
      <c r="V25" s="187">
        <f>IFERROR(__xludf.DUMMYFUNCTION("""COMPUTED_VALUE"""),0.0)</f>
        <v>0</v>
      </c>
      <c r="W25" s="187">
        <f>IFERROR(__xludf.DUMMYFUNCTION("""COMPUTED_VALUE"""),151.0)</f>
        <v>151</v>
      </c>
      <c r="X25" s="187">
        <f>IFERROR(__xludf.DUMMYFUNCTION("""COMPUTED_VALUE"""),57.0)</f>
        <v>57</v>
      </c>
      <c r="Y25" s="188">
        <f>IFERROR(__xludf.DUMMYFUNCTION("""COMPUTED_VALUE"""),2885213.21)</f>
        <v>2885213.21</v>
      </c>
      <c r="Z25" s="188">
        <f>IFERROR(__xludf.DUMMYFUNCTION("""COMPUTED_VALUE"""),0.0)</f>
        <v>0</v>
      </c>
      <c r="AA25" s="187">
        <f>IFERROR(__xludf.DUMMYFUNCTION("""COMPUTED_VALUE"""),18.0)</f>
        <v>18</v>
      </c>
      <c r="AB25" s="187">
        <f>IFERROR(__xludf.DUMMYFUNCTION("""COMPUTED_VALUE"""),0.0)</f>
        <v>0</v>
      </c>
      <c r="AC25" s="187">
        <f>IFERROR(__xludf.DUMMYFUNCTION("""COMPUTED_VALUE"""),18.0)</f>
        <v>18</v>
      </c>
      <c r="AD25" s="187">
        <f>IFERROR(__xludf.DUMMYFUNCTION("""COMPUTED_VALUE"""),0.0)</f>
        <v>0</v>
      </c>
      <c r="AE25" s="187">
        <f>IFERROR(__xludf.DUMMYFUNCTION("""COMPUTED_VALUE"""),5.0)</f>
        <v>5</v>
      </c>
      <c r="AF25" s="187">
        <f>IFERROR(__xludf.DUMMYFUNCTION("""COMPUTED_VALUE"""),5.0)</f>
        <v>5</v>
      </c>
      <c r="AG25" s="187">
        <f>IFERROR(__xludf.DUMMYFUNCTION("""COMPUTED_VALUE"""),45.0)</f>
        <v>45</v>
      </c>
      <c r="AH25" s="187">
        <f>IFERROR(__xludf.DUMMYFUNCTION("""COMPUTED_VALUE"""),1.0)</f>
        <v>1</v>
      </c>
      <c r="AI25" s="187">
        <f>IFERROR(__xludf.DUMMYFUNCTION("""COMPUTED_VALUE"""),12.0)</f>
        <v>12</v>
      </c>
      <c r="AJ25" s="187">
        <f>IFERROR(__xludf.DUMMYFUNCTION("""COMPUTED_VALUE"""),0.0)</f>
        <v>0</v>
      </c>
      <c r="AK25" s="187">
        <f>IFERROR(__xludf.DUMMYFUNCTION("""COMPUTED_VALUE"""),0.0)</f>
        <v>0</v>
      </c>
      <c r="AL25" s="187">
        <f>IFERROR(__xludf.DUMMYFUNCTION("""COMPUTED_VALUE"""),0.0)</f>
        <v>0</v>
      </c>
      <c r="AM25" s="187">
        <f>IFERROR(__xludf.DUMMYFUNCTION("""COMPUTED_VALUE"""),0.0)</f>
        <v>0</v>
      </c>
      <c r="AN25" s="187">
        <f>IFERROR(__xludf.DUMMYFUNCTION("""COMPUTED_VALUE"""),264.0)</f>
        <v>264</v>
      </c>
      <c r="AO25" s="187">
        <f>IFERROR(__xludf.DUMMYFUNCTION("""COMPUTED_VALUE"""),281.0)</f>
        <v>281</v>
      </c>
      <c r="AP25" s="187">
        <f>IFERROR(__xludf.DUMMYFUNCTION("""COMPUTED_VALUE"""),72.0)</f>
        <v>72</v>
      </c>
      <c r="AQ25" s="217">
        <f>IFERROR(__xludf.DUMMYFUNCTION("""COMPUTED_VALUE"""),40072.40277777778)</f>
        <v>40072.40278</v>
      </c>
      <c r="AR25" s="188">
        <f>IFERROR(__xludf.DUMMYFUNCTION("""COMPUTED_VALUE"""),3.9027777777777777)</f>
        <v>3.902777778</v>
      </c>
      <c r="AS25" s="217">
        <f>IFERROR(__xludf.DUMMYFUNCTION("""COMPUTED_VALUE"""),140010.0)</f>
        <v>140010</v>
      </c>
      <c r="AT25" s="217"/>
      <c r="AU25" s="218">
        <f>IFERROR(__xludf.DUMMYFUNCTION("""COMPUTED_VALUE"""),0.048526746552160965)</f>
        <v>0.04852674655</v>
      </c>
      <c r="AV25" s="217">
        <f>IFERROR(__xludf.DUMMYFUNCTION("""COMPUTED_VALUE"""),160289.61111111112)</f>
        <v>160289.6111</v>
      </c>
      <c r="AW25" s="219">
        <f>IFERROR(__xludf.DUMMYFUNCTION("""COMPUTED_VALUE"""),24.0)</f>
        <v>24</v>
      </c>
      <c r="AX25" s="219">
        <f>IFERROR(__xludf.DUMMYFUNCTION("""COMPUTED_VALUE"""),737.0)</f>
        <v>737</v>
      </c>
      <c r="AY25" s="220">
        <f>IFERROR(__xludf.DUMMYFUNCTION("""COMPUTED_VALUE"""),3700.33)</f>
        <v>3700.33</v>
      </c>
      <c r="AZ25" s="219">
        <f>IFERROR(__xludf.DUMMYFUNCTION("""COMPUTED_VALUE"""),39.0)</f>
        <v>39</v>
      </c>
      <c r="BA25" s="219">
        <f>IFERROR(__xludf.DUMMYFUNCTION("""COMPUTED_VALUE"""),18.0)</f>
        <v>18</v>
      </c>
      <c r="BB25" s="219">
        <f>IFERROR(__xludf.DUMMYFUNCTION("""COMPUTED_VALUE"""),76.0)</f>
        <v>76</v>
      </c>
      <c r="BC25" s="219">
        <f>IFERROR(__xludf.DUMMYFUNCTION("""COMPUTED_VALUE"""),57.0)</f>
        <v>57</v>
      </c>
      <c r="BD25" s="221"/>
      <c r="BE25" s="98"/>
      <c r="BF25" s="255" t="e">
        <v>#REF!</v>
      </c>
      <c r="BG25" s="256">
        <f t="shared" si="4"/>
        <v>2885213</v>
      </c>
      <c r="BH25" s="257" t="str">
        <f t="shared" si="5"/>
        <v>#REF!</v>
      </c>
      <c r="BI25" s="98"/>
      <c r="BJ25" s="98"/>
      <c r="BK25" s="98"/>
      <c r="BL25" s="98"/>
      <c r="BM25" s="98"/>
      <c r="BN25" s="98"/>
      <c r="BO25" s="98"/>
      <c r="BP25" s="98"/>
      <c r="BQ25" s="98"/>
      <c r="BR25" s="98"/>
    </row>
    <row r="26">
      <c r="A26" s="6" t="str">
        <f>IFERROR(__xludf.DUMMYFUNCTION("""COMPUTED_VALUE"""),"Syed Aqil Rizvi")</f>
        <v>Syed Aqil Rizvi</v>
      </c>
      <c r="B26" s="98" t="str">
        <f>IFERROR(__xludf.DUMMYFUNCTION("""COMPUTED_VALUE"""),"Madhya Pradesh")</f>
        <v>Madhya Pradesh</v>
      </c>
      <c r="C26" s="212" t="str">
        <f>IFERROR(__xludf.DUMMYFUNCTION("""COMPUTED_VALUE"""),"Faraz Khan")</f>
        <v>Faraz Khan</v>
      </c>
      <c r="D26" s="98" t="str">
        <f>IFERROR(__xludf.DUMMYFUNCTION("""COMPUTED_VALUE"""),"Bhopal")</f>
        <v>Bhopal</v>
      </c>
      <c r="E26" s="213">
        <f>IFERROR(__xludf.DUMMYFUNCTION("""COMPUTED_VALUE"""),43315.0)</f>
        <v>43315</v>
      </c>
      <c r="F26" s="222" t="str">
        <f>IFERROR(__xludf.DUMMYFUNCTION("""COMPUTED_VALUE"""),"MADHYA PRADESH")</f>
        <v>MADHYA PRADESH</v>
      </c>
      <c r="G26" s="215">
        <f>IFERROR(__xludf.DUMMYFUNCTION("""COMPUTED_VALUE"""),4.731294639999999E7)</f>
        <v>47312946.4</v>
      </c>
      <c r="H26" s="215">
        <f>IFERROR(__xludf.DUMMYFUNCTION("""COMPUTED_VALUE"""),4.6407355E7)</f>
        <v>46407355</v>
      </c>
      <c r="I26" s="216">
        <f>IFERROR(__xludf.DUMMYFUNCTION("""COMPUTED_VALUE"""),140000.0)</f>
        <v>140000</v>
      </c>
      <c r="J26" s="216">
        <f>IFERROR(__xludf.DUMMYFUNCTION("""COMPUTED_VALUE"""),4750000.0)</f>
        <v>4750000</v>
      </c>
      <c r="K26" s="217">
        <f>IFERROR(__xludf.DUMMYFUNCTION("""COMPUTED_VALUE"""),249999.0)</f>
        <v>249999</v>
      </c>
      <c r="L26" s="217">
        <f>IFERROR(__xludf.DUMMYFUNCTION("""COMPUTED_VALUE"""),1.4000001E7)</f>
        <v>14000001</v>
      </c>
      <c r="M26" s="217">
        <f>IFERROR(__xludf.DUMMYFUNCTION("""COMPUTED_VALUE"""),1.5027629E7)</f>
        <v>15027629</v>
      </c>
      <c r="N26" s="217">
        <f>IFERROR(__xludf.DUMMYFUNCTION("""COMPUTED_VALUE"""),58602.73)</f>
        <v>58602.73</v>
      </c>
      <c r="O26" s="217">
        <f>IFERROR(__xludf.DUMMYFUNCTION("""COMPUTED_VALUE"""),8479126.0)</f>
        <v>8479126</v>
      </c>
      <c r="P26" s="218">
        <f>IFERROR(__xludf.DUMMYFUNCTION("""COMPUTED_VALUE"""),1.0586829284210526)</f>
        <v>1.058682928</v>
      </c>
      <c r="Q26" s="218">
        <f>IFERROR(__xludf.DUMMYFUNCTION("""COMPUTED_VALUE"""),0.23)</f>
        <v>0.23</v>
      </c>
      <c r="R26" s="218">
        <f>IFERROR(__xludf.DUMMYFUNCTION("""COMPUTED_VALUE"""),0.5950263859649123)</f>
        <v>0.595026386</v>
      </c>
      <c r="S26" s="187">
        <f>IFERROR(__xludf.DUMMYFUNCTION("""COMPUTED_VALUE"""),101.0)</f>
        <v>101</v>
      </c>
      <c r="T26" s="187">
        <f>IFERROR(__xludf.DUMMYFUNCTION("""COMPUTED_VALUE"""),100.0)</f>
        <v>100</v>
      </c>
      <c r="U26" s="187">
        <f>IFERROR(__xludf.DUMMYFUNCTION("""COMPUTED_VALUE"""),4.0)</f>
        <v>4</v>
      </c>
      <c r="V26" s="187">
        <f>IFERROR(__xludf.DUMMYFUNCTION("""COMPUTED_VALUE"""),2.0)</f>
        <v>2</v>
      </c>
      <c r="W26" s="187">
        <f>IFERROR(__xludf.DUMMYFUNCTION("""COMPUTED_VALUE"""),105.0)</f>
        <v>105</v>
      </c>
      <c r="X26" s="187">
        <f>IFERROR(__xludf.DUMMYFUNCTION("""COMPUTED_VALUE"""),5.0)</f>
        <v>5</v>
      </c>
      <c r="Y26" s="188">
        <f>IFERROR(__xludf.DUMMYFUNCTION("""COMPUTED_VALUE"""),1.488189881E7)</f>
        <v>14881898.81</v>
      </c>
      <c r="Z26" s="188">
        <f>IFERROR(__xludf.DUMMYFUNCTION("""COMPUTED_VALUE"""),145730.6)</f>
        <v>145730.6</v>
      </c>
      <c r="AA26" s="187">
        <f>IFERROR(__xludf.DUMMYFUNCTION("""COMPUTED_VALUE"""),81.0)</f>
        <v>81</v>
      </c>
      <c r="AB26" s="187">
        <f>IFERROR(__xludf.DUMMYFUNCTION("""COMPUTED_VALUE"""),2.0)</f>
        <v>2</v>
      </c>
      <c r="AC26" s="187">
        <f>IFERROR(__xludf.DUMMYFUNCTION("""COMPUTED_VALUE"""),83.0)</f>
        <v>83</v>
      </c>
      <c r="AD26" s="187">
        <f>IFERROR(__xludf.DUMMYFUNCTION("""COMPUTED_VALUE"""),1.0)</f>
        <v>1</v>
      </c>
      <c r="AE26" s="187">
        <f>IFERROR(__xludf.DUMMYFUNCTION("""COMPUTED_VALUE"""),3.0)</f>
        <v>3</v>
      </c>
      <c r="AF26" s="187">
        <f>IFERROR(__xludf.DUMMYFUNCTION("""COMPUTED_VALUE"""),6.0)</f>
        <v>6</v>
      </c>
      <c r="AG26" s="187">
        <f>IFERROR(__xludf.DUMMYFUNCTION("""COMPUTED_VALUE"""),23.0)</f>
        <v>23</v>
      </c>
      <c r="AH26" s="187">
        <f>IFERROR(__xludf.DUMMYFUNCTION("""COMPUTED_VALUE"""),7.0)</f>
        <v>7</v>
      </c>
      <c r="AI26" s="187">
        <f>IFERROR(__xludf.DUMMYFUNCTION("""COMPUTED_VALUE"""),17.0)</f>
        <v>17</v>
      </c>
      <c r="AJ26" s="187">
        <f>IFERROR(__xludf.DUMMYFUNCTION("""COMPUTED_VALUE"""),0.0)</f>
        <v>0</v>
      </c>
      <c r="AK26" s="187">
        <f>IFERROR(__xludf.DUMMYFUNCTION("""COMPUTED_VALUE"""),0.0)</f>
        <v>0</v>
      </c>
      <c r="AL26" s="187">
        <f>IFERROR(__xludf.DUMMYFUNCTION("""COMPUTED_VALUE"""),1.0)</f>
        <v>1</v>
      </c>
      <c r="AM26" s="187">
        <f>IFERROR(__xludf.DUMMYFUNCTION("""COMPUTED_VALUE"""),1.0)</f>
        <v>1</v>
      </c>
      <c r="AN26" s="187">
        <f>IFERROR(__xludf.DUMMYFUNCTION("""COMPUTED_VALUE"""),280.0)</f>
        <v>280</v>
      </c>
      <c r="AO26" s="187">
        <f>IFERROR(__xludf.DUMMYFUNCTION("""COMPUTED_VALUE"""),304.0)</f>
        <v>304</v>
      </c>
      <c r="AP26" s="187">
        <f>IFERROR(__xludf.DUMMYFUNCTION("""COMPUTED_VALUE"""),73.0)</f>
        <v>73</v>
      </c>
      <c r="AQ26" s="217">
        <f>IFERROR(__xludf.DUMMYFUNCTION("""COMPUTED_VALUE"""),206660.708630137)</f>
        <v>206660.7086</v>
      </c>
      <c r="AR26" s="188">
        <f>IFERROR(__xludf.DUMMYFUNCTION("""COMPUTED_VALUE"""),4.164383561643835)</f>
        <v>4.164383562</v>
      </c>
      <c r="AS26" s="217">
        <f>IFERROR(__xludf.DUMMYFUNCTION("""COMPUTED_VALUE"""),420000.0)</f>
        <v>420000</v>
      </c>
      <c r="AT26" s="217"/>
      <c r="AU26" s="218">
        <f>IFERROR(__xludf.DUMMYFUNCTION("""COMPUTED_VALUE"""),0.027839954172571894)</f>
        <v>0.02783995417</v>
      </c>
      <c r="AV26" s="217">
        <f>IFERROR(__xludf.DUMMYFUNCTION("""COMPUTED_VALUE"""),181055.77108433735)</f>
        <v>181055.7711</v>
      </c>
      <c r="AW26" s="219">
        <f>IFERROR(__xludf.DUMMYFUNCTION("""COMPUTED_VALUE"""),380.0)</f>
        <v>380</v>
      </c>
      <c r="AX26" s="219">
        <f>IFERROR(__xludf.DUMMYFUNCTION("""COMPUTED_VALUE"""),514.0)</f>
        <v>514</v>
      </c>
      <c r="AY26" s="220">
        <f>IFERROR(__xludf.DUMMYFUNCTION("""COMPUTED_VALUE"""),7625.87)</f>
        <v>7625.87</v>
      </c>
      <c r="AZ26" s="219">
        <f>IFERROR(__xludf.DUMMYFUNCTION("""COMPUTED_VALUE"""),76.0)</f>
        <v>76</v>
      </c>
      <c r="BA26" s="219">
        <f>IFERROR(__xludf.DUMMYFUNCTION("""COMPUTED_VALUE"""),83.0)</f>
        <v>83</v>
      </c>
      <c r="BB26" s="219">
        <f>IFERROR(__xludf.DUMMYFUNCTION("""COMPUTED_VALUE"""),19.0)</f>
        <v>19</v>
      </c>
      <c r="BC26" s="219">
        <f>IFERROR(__xludf.DUMMYFUNCTION("""COMPUTED_VALUE"""),3.0)</f>
        <v>3</v>
      </c>
      <c r="BD26" s="221"/>
      <c r="BE26" s="98"/>
      <c r="BF26" s="255" t="e">
        <v>#REF!</v>
      </c>
      <c r="BG26" s="256">
        <f t="shared" si="4"/>
        <v>15086231.73</v>
      </c>
      <c r="BH26" s="257" t="str">
        <f t="shared" si="5"/>
        <v>#REF!</v>
      </c>
      <c r="BI26" s="98"/>
      <c r="BJ26" s="98"/>
      <c r="BK26" s="98"/>
      <c r="BL26" s="98"/>
      <c r="BM26" s="98"/>
      <c r="BN26" s="98"/>
      <c r="BO26" s="98"/>
      <c r="BP26" s="98"/>
      <c r="BQ26" s="98"/>
      <c r="BR26" s="98"/>
    </row>
    <row r="27">
      <c r="A27" s="6" t="str">
        <f>IFERROR(__xludf.DUMMYFUNCTION("""COMPUTED_VALUE"""),"Sandeep Dadheech")</f>
        <v>Sandeep Dadheech</v>
      </c>
      <c r="B27" s="98" t="str">
        <f>IFERROR(__xludf.DUMMYFUNCTION("""COMPUTED_VALUE"""),"Andhra Pradesh")</f>
        <v>Andhra Pradesh</v>
      </c>
      <c r="C27" s="212" t="str">
        <f>IFERROR(__xludf.DUMMYFUNCTION("""COMPUTED_VALUE"""),"Shaik Jani basha")</f>
        <v>Shaik Jani basha</v>
      </c>
      <c r="D27" s="98" t="str">
        <f>IFERROR(__xludf.DUMMYFUNCTION("""COMPUTED_VALUE"""),"Vijayawada")</f>
        <v>Vijayawada</v>
      </c>
      <c r="E27" s="213">
        <f>IFERROR(__xludf.DUMMYFUNCTION("""COMPUTED_VALUE"""),43424.0)</f>
        <v>43424</v>
      </c>
      <c r="F27" s="222" t="str">
        <f>IFERROR(__xludf.DUMMYFUNCTION("""COMPUTED_VALUE"""),"ANDHRA PRADESH")</f>
        <v>ANDHRA PRADESH</v>
      </c>
      <c r="G27" s="215">
        <f>IFERROR(__xludf.DUMMYFUNCTION("""COMPUTED_VALUE"""),1.3289206029999997E7)</f>
        <v>13289206.03</v>
      </c>
      <c r="H27" s="215">
        <f>IFERROR(__xludf.DUMMYFUNCTION("""COMPUTED_VALUE"""),1.5159872510000002E7)</f>
        <v>15159872.51</v>
      </c>
      <c r="I27" s="216">
        <f>IFERROR(__xludf.DUMMYFUNCTION("""COMPUTED_VALUE"""),41430.0)</f>
        <v>41430</v>
      </c>
      <c r="J27" s="216">
        <f>IFERROR(__xludf.DUMMYFUNCTION("""COMPUTED_VALUE"""),2500000.0)</f>
        <v>2500000</v>
      </c>
      <c r="K27" s="217">
        <f>IFERROR(__xludf.DUMMYFUNCTION("""COMPUTED_VALUE"""),0.0)</f>
        <v>0</v>
      </c>
      <c r="L27" s="217">
        <f>IFERROR(__xludf.DUMMYFUNCTION("""COMPUTED_VALUE"""),7500000.0)</f>
        <v>7500000</v>
      </c>
      <c r="M27" s="217">
        <f>IFERROR(__xludf.DUMMYFUNCTION("""COMPUTED_VALUE"""),7538798.0)</f>
        <v>7538798</v>
      </c>
      <c r="N27" s="217">
        <f>IFERROR(__xludf.DUMMYFUNCTION("""COMPUTED_VALUE"""),0.0)</f>
        <v>0</v>
      </c>
      <c r="O27" s="217">
        <f>IFERROR(__xludf.DUMMYFUNCTION("""COMPUTED_VALUE"""),6325424.4)</f>
        <v>6325424.4</v>
      </c>
      <c r="P27" s="218">
        <f>IFERROR(__xludf.DUMMYFUNCTION("""COMPUTED_VALUE"""),1.0051730666666667)</f>
        <v>1.005173067</v>
      </c>
      <c r="Q27" s="218">
        <f>IFERROR(__xludf.DUMMYFUNCTION("""COMPUTED_VALUE"""),0.0)</f>
        <v>0</v>
      </c>
      <c r="R27" s="218">
        <f>IFERROR(__xludf.DUMMYFUNCTION("""COMPUTED_VALUE"""),0.84338992)</f>
        <v>0.84338992</v>
      </c>
      <c r="S27" s="187">
        <f>IFERROR(__xludf.DUMMYFUNCTION("""COMPUTED_VALUE"""),124.0)</f>
        <v>124</v>
      </c>
      <c r="T27" s="187">
        <f>IFERROR(__xludf.DUMMYFUNCTION("""COMPUTED_VALUE"""),69.0)</f>
        <v>69</v>
      </c>
      <c r="U27" s="187">
        <f>IFERROR(__xludf.DUMMYFUNCTION("""COMPUTED_VALUE"""),4.0)</f>
        <v>4</v>
      </c>
      <c r="V27" s="187">
        <f>IFERROR(__xludf.DUMMYFUNCTION("""COMPUTED_VALUE"""),4.0)</f>
        <v>4</v>
      </c>
      <c r="W27" s="187">
        <f>IFERROR(__xludf.DUMMYFUNCTION("""COMPUTED_VALUE"""),128.0)</f>
        <v>128</v>
      </c>
      <c r="X27" s="187">
        <f>IFERROR(__xludf.DUMMYFUNCTION("""COMPUTED_VALUE"""),59.0)</f>
        <v>59</v>
      </c>
      <c r="Y27" s="188">
        <f>IFERROR(__xludf.DUMMYFUNCTION("""COMPUTED_VALUE"""),7368768.48)</f>
        <v>7368768.48</v>
      </c>
      <c r="Z27" s="188">
        <f>IFERROR(__xludf.DUMMYFUNCTION("""COMPUTED_VALUE"""),170029.6)</f>
        <v>170029.6</v>
      </c>
      <c r="AA27" s="187">
        <f>IFERROR(__xludf.DUMMYFUNCTION("""COMPUTED_VALUE"""),73.0)</f>
        <v>73</v>
      </c>
      <c r="AB27" s="187">
        <f>IFERROR(__xludf.DUMMYFUNCTION("""COMPUTED_VALUE"""),4.0)</f>
        <v>4</v>
      </c>
      <c r="AC27" s="187">
        <f>IFERROR(__xludf.DUMMYFUNCTION("""COMPUTED_VALUE"""),77.0)</f>
        <v>77</v>
      </c>
      <c r="AD27" s="187">
        <f>IFERROR(__xludf.DUMMYFUNCTION("""COMPUTED_VALUE"""),0.0)</f>
        <v>0</v>
      </c>
      <c r="AE27" s="187">
        <f>IFERROR(__xludf.DUMMYFUNCTION("""COMPUTED_VALUE"""),2.0)</f>
        <v>2</v>
      </c>
      <c r="AF27" s="187">
        <f>IFERROR(__xludf.DUMMYFUNCTION("""COMPUTED_VALUE"""),2.0)</f>
        <v>2</v>
      </c>
      <c r="AG27" s="187">
        <f>IFERROR(__xludf.DUMMYFUNCTION("""COMPUTED_VALUE"""),18.0)</f>
        <v>18</v>
      </c>
      <c r="AH27" s="187">
        <f>IFERROR(__xludf.DUMMYFUNCTION("""COMPUTED_VALUE"""),6.0)</f>
        <v>6</v>
      </c>
      <c r="AI27" s="187">
        <f>IFERROR(__xludf.DUMMYFUNCTION("""COMPUTED_VALUE"""),59.0)</f>
        <v>59</v>
      </c>
      <c r="AJ27" s="187">
        <f>IFERROR(__xludf.DUMMYFUNCTION("""COMPUTED_VALUE"""),1.0)</f>
        <v>1</v>
      </c>
      <c r="AK27" s="187">
        <f>IFERROR(__xludf.DUMMYFUNCTION("""COMPUTED_VALUE"""),2.0)</f>
        <v>2</v>
      </c>
      <c r="AL27" s="187">
        <f>IFERROR(__xludf.DUMMYFUNCTION("""COMPUTED_VALUE"""),0.0)</f>
        <v>0</v>
      </c>
      <c r="AM27" s="187">
        <f>IFERROR(__xludf.DUMMYFUNCTION("""COMPUTED_VALUE"""),0.0)</f>
        <v>0</v>
      </c>
      <c r="AN27" s="187">
        <f>IFERROR(__xludf.DUMMYFUNCTION("""COMPUTED_VALUE"""),266.0)</f>
        <v>266</v>
      </c>
      <c r="AO27" s="187">
        <f>IFERROR(__xludf.DUMMYFUNCTION("""COMPUTED_VALUE"""),329.0)</f>
        <v>329</v>
      </c>
      <c r="AP27" s="187">
        <f>IFERROR(__xludf.DUMMYFUNCTION("""COMPUTED_VALUE"""),76.0)</f>
        <v>76</v>
      </c>
      <c r="AQ27" s="217">
        <f>IFERROR(__xludf.DUMMYFUNCTION("""COMPUTED_VALUE"""),99194.71052631579)</f>
        <v>99194.71053</v>
      </c>
      <c r="AR27" s="188">
        <f>IFERROR(__xludf.DUMMYFUNCTION("""COMPUTED_VALUE"""),4.328947368421052)</f>
        <v>4.328947368</v>
      </c>
      <c r="AS27" s="217">
        <f>IFERROR(__xludf.DUMMYFUNCTION("""COMPUTED_VALUE"""),124290.0)</f>
        <v>124290</v>
      </c>
      <c r="AT27" s="217"/>
      <c r="AU27" s="218">
        <f>IFERROR(__xludf.DUMMYFUNCTION("""COMPUTED_VALUE"""),0.016486713133844415)</f>
        <v>0.01648671313</v>
      </c>
      <c r="AV27" s="217">
        <f>IFERROR(__xludf.DUMMYFUNCTION("""COMPUTED_VALUE"""),97906.46753246753)</f>
        <v>97906.46753</v>
      </c>
      <c r="AW27" s="219">
        <f>IFERROR(__xludf.DUMMYFUNCTION("""COMPUTED_VALUE"""),226.0)</f>
        <v>226</v>
      </c>
      <c r="AX27" s="219">
        <f>IFERROR(__xludf.DUMMYFUNCTION("""COMPUTED_VALUE"""),584.0)</f>
        <v>584</v>
      </c>
      <c r="AY27" s="220">
        <f>IFERROR(__xludf.DUMMYFUNCTION("""COMPUTED_VALUE"""),5839.34)</f>
        <v>5839.34</v>
      </c>
      <c r="AZ27" s="219">
        <f>IFERROR(__xludf.DUMMYFUNCTION("""COMPUTED_VALUE"""),85.0)</f>
        <v>85</v>
      </c>
      <c r="BA27" s="219">
        <f>IFERROR(__xludf.DUMMYFUNCTION("""COMPUTED_VALUE"""),77.0)</f>
        <v>77</v>
      </c>
      <c r="BB27" s="219">
        <f>IFERROR(__xludf.DUMMYFUNCTION("""COMPUTED_VALUE"""),18.0)</f>
        <v>18</v>
      </c>
      <c r="BC27" s="219">
        <f>IFERROR(__xludf.DUMMYFUNCTION("""COMPUTED_VALUE"""),33.0)</f>
        <v>33</v>
      </c>
      <c r="BD27" s="221"/>
      <c r="BE27" s="98"/>
      <c r="BF27" s="255" t="e">
        <v>#REF!</v>
      </c>
      <c r="BG27" s="256">
        <f t="shared" si="4"/>
        <v>7538798</v>
      </c>
      <c r="BH27" s="257" t="str">
        <f t="shared" si="5"/>
        <v>#REF!</v>
      </c>
      <c r="BI27" s="98"/>
      <c r="BJ27" s="98"/>
      <c r="BK27" s="98"/>
      <c r="BL27" s="98"/>
      <c r="BM27" s="98"/>
      <c r="BN27" s="98"/>
      <c r="BO27" s="98"/>
      <c r="BP27" s="98"/>
      <c r="BQ27" s="98"/>
      <c r="BR27" s="98"/>
    </row>
    <row r="28">
      <c r="A28" s="6" t="str">
        <f>IFERROR(__xludf.DUMMYFUNCTION("""COMPUTED_VALUE"""),"Sandeep Dadheech")</f>
        <v>Sandeep Dadheech</v>
      </c>
      <c r="B28" s="98" t="str">
        <f>IFERROR(__xludf.DUMMYFUNCTION("""COMPUTED_VALUE"""),"Odisha")</f>
        <v>Odisha</v>
      </c>
      <c r="C28" s="98" t="str">
        <f>IFERROR(__xludf.DUMMYFUNCTION("""COMPUTED_VALUE"""),"Sunil Kumar Pani")</f>
        <v>Sunil Kumar Pani</v>
      </c>
      <c r="D28" s="98" t="str">
        <f>IFERROR(__xludf.DUMMYFUNCTION("""COMPUTED_VALUE"""),"Balasore")</f>
        <v>Balasore</v>
      </c>
      <c r="E28" s="213">
        <f>IFERROR(__xludf.DUMMYFUNCTION("""COMPUTED_VALUE"""),43556.0)</f>
        <v>43556</v>
      </c>
      <c r="F28" s="222" t="str">
        <f>IFERROR(__xludf.DUMMYFUNCTION("""COMPUTED_VALUE"""),"ODISHA")</f>
        <v>ODISHA</v>
      </c>
      <c r="G28" s="215">
        <f>IFERROR(__xludf.DUMMYFUNCTION("""COMPUTED_VALUE"""),1.9321508900000002E7)</f>
        <v>19321508.9</v>
      </c>
      <c r="H28" s="215">
        <f>IFERROR(__xludf.DUMMYFUNCTION("""COMPUTED_VALUE"""),1.97633465E7)</f>
        <v>19763346.5</v>
      </c>
      <c r="I28" s="216">
        <f>IFERROR(__xludf.DUMMYFUNCTION("""COMPUTED_VALUE"""),39070.0)</f>
        <v>39070</v>
      </c>
      <c r="J28" s="216"/>
      <c r="K28" s="217">
        <f>IFERROR(__xludf.DUMMYFUNCTION("""COMPUTED_VALUE"""),0.0)</f>
        <v>0</v>
      </c>
      <c r="L28" s="217">
        <f>IFERROR(__xludf.DUMMYFUNCTION("""COMPUTED_VALUE"""),0.0)</f>
        <v>0</v>
      </c>
      <c r="M28" s="217">
        <f>IFERROR(__xludf.DUMMYFUNCTION("""COMPUTED_VALUE"""),9404291.0)</f>
        <v>9404291</v>
      </c>
      <c r="N28" s="217">
        <f>IFERROR(__xludf.DUMMYFUNCTION("""COMPUTED_VALUE"""),0.0)</f>
        <v>0</v>
      </c>
      <c r="O28" s="217">
        <f>IFERROR(__xludf.DUMMYFUNCTION("""COMPUTED_VALUE"""),4169612.0)</f>
        <v>4169612</v>
      </c>
      <c r="P28" s="218"/>
      <c r="Q28" s="218">
        <f>IFERROR(__xludf.DUMMYFUNCTION("""COMPUTED_VALUE"""),0.0)</f>
        <v>0</v>
      </c>
      <c r="R28" s="218"/>
      <c r="S28" s="187">
        <f>IFERROR(__xludf.DUMMYFUNCTION("""COMPUTED_VALUE"""),74.0)</f>
        <v>74</v>
      </c>
      <c r="T28" s="187">
        <f>IFERROR(__xludf.DUMMYFUNCTION("""COMPUTED_VALUE"""),65.0)</f>
        <v>65</v>
      </c>
      <c r="U28" s="187">
        <f>IFERROR(__xludf.DUMMYFUNCTION("""COMPUTED_VALUE"""),1.0)</f>
        <v>1</v>
      </c>
      <c r="V28" s="187">
        <f>IFERROR(__xludf.DUMMYFUNCTION("""COMPUTED_VALUE"""),1.0)</f>
        <v>1</v>
      </c>
      <c r="W28" s="187">
        <f>IFERROR(__xludf.DUMMYFUNCTION("""COMPUTED_VALUE"""),75.0)</f>
        <v>75</v>
      </c>
      <c r="X28" s="187">
        <f>IFERROR(__xludf.DUMMYFUNCTION("""COMPUTED_VALUE"""),10.0)</f>
        <v>10</v>
      </c>
      <c r="Y28" s="188">
        <f>IFERROR(__xludf.DUMMYFUNCTION("""COMPUTED_VALUE"""),9022788.8)</f>
        <v>9022788.8</v>
      </c>
      <c r="Z28" s="188">
        <f>IFERROR(__xludf.DUMMYFUNCTION("""COMPUTED_VALUE"""),381502.44)</f>
        <v>381502.44</v>
      </c>
      <c r="AA28" s="187">
        <f>IFERROR(__xludf.DUMMYFUNCTION("""COMPUTED_VALUE"""),42.0)</f>
        <v>42</v>
      </c>
      <c r="AB28" s="187">
        <f>IFERROR(__xludf.DUMMYFUNCTION("""COMPUTED_VALUE"""),1.0)</f>
        <v>1</v>
      </c>
      <c r="AC28" s="187">
        <f>IFERROR(__xludf.DUMMYFUNCTION("""COMPUTED_VALUE"""),43.0)</f>
        <v>43</v>
      </c>
      <c r="AD28" s="187">
        <f>IFERROR(__xludf.DUMMYFUNCTION("""COMPUTED_VALUE"""),0.0)</f>
        <v>0</v>
      </c>
      <c r="AE28" s="187">
        <f>IFERROR(__xludf.DUMMYFUNCTION("""COMPUTED_VALUE"""),0.0)</f>
        <v>0</v>
      </c>
      <c r="AF28" s="187">
        <f>IFERROR(__xludf.DUMMYFUNCTION("""COMPUTED_VALUE"""),0.0)</f>
        <v>0</v>
      </c>
      <c r="AG28" s="187">
        <f>IFERROR(__xludf.DUMMYFUNCTION("""COMPUTED_VALUE"""),0.0)</f>
        <v>0</v>
      </c>
      <c r="AH28" s="187">
        <f>IFERROR(__xludf.DUMMYFUNCTION("""COMPUTED_VALUE"""),2.0)</f>
        <v>2</v>
      </c>
      <c r="AI28" s="187">
        <f>IFERROR(__xludf.DUMMYFUNCTION("""COMPUTED_VALUE"""),41.0)</f>
        <v>41</v>
      </c>
      <c r="AJ28" s="187">
        <f>IFERROR(__xludf.DUMMYFUNCTION("""COMPUTED_VALUE"""),0.0)</f>
        <v>0</v>
      </c>
      <c r="AK28" s="187">
        <f>IFERROR(__xludf.DUMMYFUNCTION("""COMPUTED_VALUE"""),0.0)</f>
        <v>0</v>
      </c>
      <c r="AL28" s="187">
        <f>IFERROR(__xludf.DUMMYFUNCTION("""COMPUTED_VALUE"""),0.0)</f>
        <v>0</v>
      </c>
      <c r="AM28" s="187">
        <f>IFERROR(__xludf.DUMMYFUNCTION("""COMPUTED_VALUE"""),0.0)</f>
        <v>0</v>
      </c>
      <c r="AN28" s="187">
        <f>IFERROR(__xludf.DUMMYFUNCTION("""COMPUTED_VALUE"""),295.0)</f>
        <v>295</v>
      </c>
      <c r="AO28" s="187">
        <f>IFERROR(__xludf.DUMMYFUNCTION("""COMPUTED_VALUE"""),336.0)</f>
        <v>336</v>
      </c>
      <c r="AP28" s="187">
        <f>IFERROR(__xludf.DUMMYFUNCTION("""COMPUTED_VALUE"""),75.0)</f>
        <v>75</v>
      </c>
      <c r="AQ28" s="217">
        <f>IFERROR(__xludf.DUMMYFUNCTION("""COMPUTED_VALUE"""),125390.54666666666)</f>
        <v>125390.5467</v>
      </c>
      <c r="AR28" s="188">
        <f>IFERROR(__xludf.DUMMYFUNCTION("""COMPUTED_VALUE"""),4.48)</f>
        <v>4.48</v>
      </c>
      <c r="AS28" s="217">
        <f>IFERROR(__xludf.DUMMYFUNCTION("""COMPUTED_VALUE"""),117210.0)</f>
        <v>117210</v>
      </c>
      <c r="AT28" s="217"/>
      <c r="AU28" s="218">
        <f>IFERROR(__xludf.DUMMYFUNCTION("""COMPUTED_VALUE"""),0.012463459499498687)</f>
        <v>0.0124634595</v>
      </c>
      <c r="AV28" s="217">
        <f>IFERROR(__xludf.DUMMYFUNCTION("""COMPUTED_VALUE"""),218704.44186046513)</f>
        <v>218704.4419</v>
      </c>
      <c r="AW28" s="219">
        <f>IFERROR(__xludf.DUMMYFUNCTION("""COMPUTED_VALUE"""),93.0)</f>
        <v>93</v>
      </c>
      <c r="AX28" s="219">
        <f>IFERROR(__xludf.DUMMYFUNCTION("""COMPUTED_VALUE"""),823.0)</f>
        <v>823</v>
      </c>
      <c r="AY28" s="220">
        <f>IFERROR(__xludf.DUMMYFUNCTION("""COMPUTED_VALUE"""),4826.61)</f>
        <v>4826.61</v>
      </c>
      <c r="AZ28" s="219">
        <f>IFERROR(__xludf.DUMMYFUNCTION("""COMPUTED_VALUE"""),74.0)</f>
        <v>74</v>
      </c>
      <c r="BA28" s="219">
        <f>IFERROR(__xludf.DUMMYFUNCTION("""COMPUTED_VALUE"""),43.0)</f>
        <v>43</v>
      </c>
      <c r="BB28" s="219">
        <f>IFERROR(__xludf.DUMMYFUNCTION("""COMPUTED_VALUE"""),23.0)</f>
        <v>23</v>
      </c>
      <c r="BC28" s="219">
        <f>IFERROR(__xludf.DUMMYFUNCTION("""COMPUTED_VALUE"""),9.0)</f>
        <v>9</v>
      </c>
      <c r="BD28" s="221"/>
      <c r="BE28" s="98"/>
      <c r="BF28" s="255" t="e">
        <v>#REF!</v>
      </c>
      <c r="BG28" s="256">
        <f t="shared" si="4"/>
        <v>9404291</v>
      </c>
      <c r="BH28" s="257" t="str">
        <f t="shared" si="5"/>
        <v>#REF!</v>
      </c>
      <c r="BI28" s="98"/>
      <c r="BJ28" s="98"/>
      <c r="BK28" s="98"/>
      <c r="BL28" s="98"/>
      <c r="BM28" s="98"/>
      <c r="BN28" s="98"/>
      <c r="BO28" s="98"/>
      <c r="BP28" s="98"/>
      <c r="BQ28" s="98"/>
      <c r="BR28" s="98"/>
    </row>
    <row r="29">
      <c r="A29" s="6" t="str">
        <f>IFERROR(__xludf.DUMMYFUNCTION("""COMPUTED_VALUE"""),"Sandeep Dadheech")</f>
        <v>Sandeep Dadheech</v>
      </c>
      <c r="B29" s="98" t="str">
        <f>IFERROR(__xludf.DUMMYFUNCTION("""COMPUTED_VALUE"""),"Bihar")</f>
        <v>Bihar</v>
      </c>
      <c r="C29" s="212" t="str">
        <f>IFERROR(__xludf.DUMMYFUNCTION("""COMPUTED_VALUE"""),"Pramod Kumar")</f>
        <v>Pramod Kumar</v>
      </c>
      <c r="D29" s="98" t="str">
        <f>IFERROR(__xludf.DUMMYFUNCTION("""COMPUTED_VALUE"""),"Purnea")</f>
        <v>Purnea</v>
      </c>
      <c r="E29" s="213">
        <f>IFERROR(__xludf.DUMMYFUNCTION("""COMPUTED_VALUE"""),43647.0)</f>
        <v>43647</v>
      </c>
      <c r="F29" s="222" t="str">
        <f>IFERROR(__xludf.DUMMYFUNCTION("""COMPUTED_VALUE"""),"BIHAR")</f>
        <v>BIHAR</v>
      </c>
      <c r="G29" s="215">
        <f>IFERROR(__xludf.DUMMYFUNCTION("""COMPUTED_VALUE"""),6.494560242E7)</f>
        <v>64945602.42</v>
      </c>
      <c r="H29" s="215">
        <f>IFERROR(__xludf.DUMMYFUNCTION("""COMPUTED_VALUE"""),7.0602696E7)</f>
        <v>70602696</v>
      </c>
      <c r="I29" s="216">
        <f>IFERROR(__xludf.DUMMYFUNCTION("""COMPUTED_VALUE"""),32605.0)</f>
        <v>32605</v>
      </c>
      <c r="J29" s="216">
        <f>IFERROR(__xludf.DUMMYFUNCTION("""COMPUTED_VALUE"""),8250000.0)</f>
        <v>8250000</v>
      </c>
      <c r="K29" s="217">
        <f>IFERROR(__xludf.DUMMYFUNCTION("""COMPUTED_VALUE"""),0.0)</f>
        <v>0</v>
      </c>
      <c r="L29" s="217">
        <f>IFERROR(__xludf.DUMMYFUNCTION("""COMPUTED_VALUE"""),2.475E7)</f>
        <v>24750000</v>
      </c>
      <c r="M29" s="217">
        <f>IFERROR(__xludf.DUMMYFUNCTION("""COMPUTED_VALUE"""),1.2828673E7)</f>
        <v>12828673</v>
      </c>
      <c r="N29" s="217">
        <f>IFERROR(__xludf.DUMMYFUNCTION("""COMPUTED_VALUE"""),0.0)</f>
        <v>0</v>
      </c>
      <c r="O29" s="217">
        <f>IFERROR(__xludf.DUMMYFUNCTION("""COMPUTED_VALUE"""),1.6335968E7)</f>
        <v>16335968</v>
      </c>
      <c r="P29" s="218">
        <f>IFERROR(__xludf.DUMMYFUNCTION("""COMPUTED_VALUE"""),0.5183302222222222)</f>
        <v>0.5183302222</v>
      </c>
      <c r="Q29" s="218">
        <f>IFERROR(__xludf.DUMMYFUNCTION("""COMPUTED_VALUE"""),0.0)</f>
        <v>0</v>
      </c>
      <c r="R29" s="218">
        <f>IFERROR(__xludf.DUMMYFUNCTION("""COMPUTED_VALUE"""),0.6600391111111111)</f>
        <v>0.6600391111</v>
      </c>
      <c r="S29" s="187">
        <f>IFERROR(__xludf.DUMMYFUNCTION("""COMPUTED_VALUE"""),78.0)</f>
        <v>78</v>
      </c>
      <c r="T29" s="187">
        <f>IFERROR(__xludf.DUMMYFUNCTION("""COMPUTED_VALUE"""),76.0)</f>
        <v>76</v>
      </c>
      <c r="U29" s="187">
        <f>IFERROR(__xludf.DUMMYFUNCTION("""COMPUTED_VALUE"""),2.0)</f>
        <v>2</v>
      </c>
      <c r="V29" s="187">
        <f>IFERROR(__xludf.DUMMYFUNCTION("""COMPUTED_VALUE"""),2.0)</f>
        <v>2</v>
      </c>
      <c r="W29" s="187">
        <f>IFERROR(__xludf.DUMMYFUNCTION("""COMPUTED_VALUE"""),80.0)</f>
        <v>80</v>
      </c>
      <c r="X29" s="187">
        <f>IFERROR(__xludf.DUMMYFUNCTION("""COMPUTED_VALUE"""),4.0)</f>
        <v>4</v>
      </c>
      <c r="Y29" s="188">
        <f>IFERROR(__xludf.DUMMYFUNCTION("""COMPUTED_VALUE"""),1.223362007E7)</f>
        <v>12233620.07</v>
      </c>
      <c r="Z29" s="188">
        <f>IFERROR(__xludf.DUMMYFUNCTION("""COMPUTED_VALUE"""),595053.18)</f>
        <v>595053.18</v>
      </c>
      <c r="AA29" s="187">
        <f>IFERROR(__xludf.DUMMYFUNCTION("""COMPUTED_VALUE"""),50.0)</f>
        <v>50</v>
      </c>
      <c r="AB29" s="187">
        <f>IFERROR(__xludf.DUMMYFUNCTION("""COMPUTED_VALUE"""),2.0)</f>
        <v>2</v>
      </c>
      <c r="AC29" s="187">
        <f>IFERROR(__xludf.DUMMYFUNCTION("""COMPUTED_VALUE"""),52.0)</f>
        <v>52</v>
      </c>
      <c r="AD29" s="187">
        <f>IFERROR(__xludf.DUMMYFUNCTION("""COMPUTED_VALUE"""),0.0)</f>
        <v>0</v>
      </c>
      <c r="AE29" s="187">
        <f>IFERROR(__xludf.DUMMYFUNCTION("""COMPUTED_VALUE"""),14.0)</f>
        <v>14</v>
      </c>
      <c r="AF29" s="187">
        <f>IFERROR(__xludf.DUMMYFUNCTION("""COMPUTED_VALUE"""),20.0)</f>
        <v>20</v>
      </c>
      <c r="AG29" s="187">
        <f>IFERROR(__xludf.DUMMYFUNCTION("""COMPUTED_VALUE"""),42.0)</f>
        <v>42</v>
      </c>
      <c r="AH29" s="187">
        <f>IFERROR(__xludf.DUMMYFUNCTION("""COMPUTED_VALUE"""),1.0)</f>
        <v>1</v>
      </c>
      <c r="AI29" s="187">
        <f>IFERROR(__xludf.DUMMYFUNCTION("""COMPUTED_VALUE"""),17.0)</f>
        <v>17</v>
      </c>
      <c r="AJ29" s="187">
        <f>IFERROR(__xludf.DUMMYFUNCTION("""COMPUTED_VALUE"""),0.0)</f>
        <v>0</v>
      </c>
      <c r="AK29" s="187">
        <f>IFERROR(__xludf.DUMMYFUNCTION("""COMPUTED_VALUE"""),0.0)</f>
        <v>0</v>
      </c>
      <c r="AL29" s="187">
        <f>IFERROR(__xludf.DUMMYFUNCTION("""COMPUTED_VALUE"""),0.0)</f>
        <v>0</v>
      </c>
      <c r="AM29" s="187">
        <f>IFERROR(__xludf.DUMMYFUNCTION("""COMPUTED_VALUE"""),0.0)</f>
        <v>0</v>
      </c>
      <c r="AN29" s="187">
        <f>IFERROR(__xludf.DUMMYFUNCTION("""COMPUTED_VALUE"""),312.0)</f>
        <v>312</v>
      </c>
      <c r="AO29" s="187">
        <f>IFERROR(__xludf.DUMMYFUNCTION("""COMPUTED_VALUE"""),349.0)</f>
        <v>349</v>
      </c>
      <c r="AP29" s="187">
        <f>IFERROR(__xludf.DUMMYFUNCTION("""COMPUTED_VALUE"""),78.0)</f>
        <v>78</v>
      </c>
      <c r="AQ29" s="217">
        <f>IFERROR(__xludf.DUMMYFUNCTION("""COMPUTED_VALUE"""),164470.16666666666)</f>
        <v>164470.1667</v>
      </c>
      <c r="AR29" s="188">
        <f>IFERROR(__xludf.DUMMYFUNCTION("""COMPUTED_VALUE"""),4.4743589743589745)</f>
        <v>4.474358974</v>
      </c>
      <c r="AS29" s="217">
        <f>IFERROR(__xludf.DUMMYFUNCTION("""COMPUTED_VALUE"""),97815.0)</f>
        <v>97815</v>
      </c>
      <c r="AT29" s="217"/>
      <c r="AU29" s="218">
        <f>IFERROR(__xludf.DUMMYFUNCTION("""COMPUTED_VALUE"""),0.0076247169134329015)</f>
        <v>0.007624716913</v>
      </c>
      <c r="AV29" s="217">
        <f>IFERROR(__xludf.DUMMYFUNCTION("""COMPUTED_VALUE"""),246705.25)</f>
        <v>246705.25</v>
      </c>
      <c r="AW29" s="219">
        <f>IFERROR(__xludf.DUMMYFUNCTION("""COMPUTED_VALUE"""),184.0)</f>
        <v>184</v>
      </c>
      <c r="AX29" s="219">
        <f>IFERROR(__xludf.DUMMYFUNCTION("""COMPUTED_VALUE"""),858.0)</f>
        <v>858</v>
      </c>
      <c r="AY29" s="220">
        <f>IFERROR(__xludf.DUMMYFUNCTION("""COMPUTED_VALUE"""),7768.21)</f>
        <v>7768.21</v>
      </c>
      <c r="AZ29" s="219">
        <f>IFERROR(__xludf.DUMMYFUNCTION("""COMPUTED_VALUE"""),102.0)</f>
        <v>102</v>
      </c>
      <c r="BA29" s="219">
        <f>IFERROR(__xludf.DUMMYFUNCTION("""COMPUTED_VALUE"""),52.0)</f>
        <v>52</v>
      </c>
      <c r="BB29" s="219">
        <f>IFERROR(__xludf.DUMMYFUNCTION("""COMPUTED_VALUE"""),25.0)</f>
        <v>25</v>
      </c>
      <c r="BC29" s="219">
        <f>IFERROR(__xludf.DUMMYFUNCTION("""COMPUTED_VALUE"""),3.0)</f>
        <v>3</v>
      </c>
      <c r="BD29" s="221"/>
      <c r="BE29" s="98"/>
      <c r="BF29" s="255" t="e">
        <v>#REF!</v>
      </c>
      <c r="BG29" s="256">
        <f t="shared" si="4"/>
        <v>12828673</v>
      </c>
      <c r="BH29" s="257" t="str">
        <f t="shared" si="5"/>
        <v>#REF!</v>
      </c>
      <c r="BI29" s="98"/>
      <c r="BJ29" s="98"/>
      <c r="BK29" s="98"/>
      <c r="BL29" s="98"/>
      <c r="BM29" s="98"/>
      <c r="BN29" s="98"/>
      <c r="BO29" s="98"/>
      <c r="BP29" s="98"/>
      <c r="BQ29" s="98"/>
      <c r="BR29" s="98"/>
    </row>
    <row r="30">
      <c r="A30" s="6" t="str">
        <f>IFERROR(__xludf.DUMMYFUNCTION("""COMPUTED_VALUE"""),"Sandeep Dadheech")</f>
        <v>Sandeep Dadheech</v>
      </c>
      <c r="B30" s="98" t="str">
        <f>IFERROR(__xludf.DUMMYFUNCTION("""COMPUTED_VALUE"""),"Odisha")</f>
        <v>Odisha</v>
      </c>
      <c r="C30" s="98" t="str">
        <f>IFERROR(__xludf.DUMMYFUNCTION("""COMPUTED_VALUE"""),"Sasikant Prasad")</f>
        <v>Sasikant Prasad</v>
      </c>
      <c r="D30" s="98" t="str">
        <f>IFERROR(__xludf.DUMMYFUNCTION("""COMPUTED_VALUE"""),"Raurkela")</f>
        <v>Raurkela</v>
      </c>
      <c r="E30" s="213">
        <f>IFERROR(__xludf.DUMMYFUNCTION("""COMPUTED_VALUE"""),43710.0)</f>
        <v>43710</v>
      </c>
      <c r="F30" s="222" t="str">
        <f>IFERROR(__xludf.DUMMYFUNCTION("""COMPUTED_VALUE"""),"ODISHA")</f>
        <v>ODISHA</v>
      </c>
      <c r="G30" s="215">
        <f>IFERROR(__xludf.DUMMYFUNCTION("""COMPUTED_VALUE"""),1.8956581160000004E7)</f>
        <v>18956581.16</v>
      </c>
      <c r="H30" s="215">
        <f>IFERROR(__xludf.DUMMYFUNCTION("""COMPUTED_VALUE"""),1.6929903E7)</f>
        <v>16929903</v>
      </c>
      <c r="I30" s="216">
        <f>IFERROR(__xludf.DUMMYFUNCTION("""COMPUTED_VALUE"""),50950.0)</f>
        <v>50950</v>
      </c>
      <c r="J30" s="216">
        <f>IFERROR(__xludf.DUMMYFUNCTION("""COMPUTED_VALUE"""),2200000.0)</f>
        <v>2200000</v>
      </c>
      <c r="K30" s="217">
        <f>IFERROR(__xludf.DUMMYFUNCTION("""COMPUTED_VALUE"""),0.0)</f>
        <v>0</v>
      </c>
      <c r="L30" s="217">
        <f>IFERROR(__xludf.DUMMYFUNCTION("""COMPUTED_VALUE"""),6600000.0)</f>
        <v>6600000</v>
      </c>
      <c r="M30" s="217">
        <f>IFERROR(__xludf.DUMMYFUNCTION("""COMPUTED_VALUE"""),5014248.0)</f>
        <v>5014248</v>
      </c>
      <c r="N30" s="217">
        <f>IFERROR(__xludf.DUMMYFUNCTION("""COMPUTED_VALUE"""),140628.33)</f>
        <v>140628.33</v>
      </c>
      <c r="O30" s="217">
        <f>IFERROR(__xludf.DUMMYFUNCTION("""COMPUTED_VALUE"""),2594709.0)</f>
        <v>2594709</v>
      </c>
      <c r="P30" s="218">
        <f>IFERROR(__xludf.DUMMYFUNCTION("""COMPUTED_VALUE"""),0.7810418681818182)</f>
        <v>0.7810418682</v>
      </c>
      <c r="Q30" s="218">
        <f>IFERROR(__xludf.DUMMYFUNCTION("""COMPUTED_VALUE"""),0.0)</f>
        <v>0</v>
      </c>
      <c r="R30" s="218">
        <f>IFERROR(__xludf.DUMMYFUNCTION("""COMPUTED_VALUE"""),0.3931377272727273)</f>
        <v>0.3931377273</v>
      </c>
      <c r="S30" s="187">
        <f>IFERROR(__xludf.DUMMYFUNCTION("""COMPUTED_VALUE"""),47.0)</f>
        <v>47</v>
      </c>
      <c r="T30" s="187">
        <f>IFERROR(__xludf.DUMMYFUNCTION("""COMPUTED_VALUE"""),45.0)</f>
        <v>45</v>
      </c>
      <c r="U30" s="187">
        <f>IFERROR(__xludf.DUMMYFUNCTION("""COMPUTED_VALUE"""),0.0)</f>
        <v>0</v>
      </c>
      <c r="V30" s="187">
        <f>IFERROR(__xludf.DUMMYFUNCTION("""COMPUTED_VALUE"""),0.0)</f>
        <v>0</v>
      </c>
      <c r="W30" s="187">
        <f>IFERROR(__xludf.DUMMYFUNCTION("""COMPUTED_VALUE"""),47.0)</f>
        <v>47</v>
      </c>
      <c r="X30" s="187">
        <f>IFERROR(__xludf.DUMMYFUNCTION("""COMPUTED_VALUE"""),2.0)</f>
        <v>2</v>
      </c>
      <c r="Y30" s="188">
        <f>IFERROR(__xludf.DUMMYFUNCTION("""COMPUTED_VALUE"""),5014247.56)</f>
        <v>5014247.56</v>
      </c>
      <c r="Z30" s="188">
        <f>IFERROR(__xludf.DUMMYFUNCTION("""COMPUTED_VALUE"""),0.0)</f>
        <v>0</v>
      </c>
      <c r="AA30" s="187">
        <f>IFERROR(__xludf.DUMMYFUNCTION("""COMPUTED_VALUE"""),43.0)</f>
        <v>43</v>
      </c>
      <c r="AB30" s="187">
        <f>IFERROR(__xludf.DUMMYFUNCTION("""COMPUTED_VALUE"""),0.0)</f>
        <v>0</v>
      </c>
      <c r="AC30" s="187">
        <f>IFERROR(__xludf.DUMMYFUNCTION("""COMPUTED_VALUE"""),43.0)</f>
        <v>43</v>
      </c>
      <c r="AD30" s="187">
        <f>IFERROR(__xludf.DUMMYFUNCTION("""COMPUTED_VALUE"""),1.0)</f>
        <v>1</v>
      </c>
      <c r="AE30" s="187">
        <f>IFERROR(__xludf.DUMMYFUNCTION("""COMPUTED_VALUE"""),0.0)</f>
        <v>0</v>
      </c>
      <c r="AF30" s="187">
        <f>IFERROR(__xludf.DUMMYFUNCTION("""COMPUTED_VALUE"""),0.0)</f>
        <v>0</v>
      </c>
      <c r="AG30" s="187">
        <f>IFERROR(__xludf.DUMMYFUNCTION("""COMPUTED_VALUE"""),38.0)</f>
        <v>38</v>
      </c>
      <c r="AH30" s="187">
        <f>IFERROR(__xludf.DUMMYFUNCTION("""COMPUTED_VALUE"""),0.0)</f>
        <v>0</v>
      </c>
      <c r="AI30" s="187">
        <f>IFERROR(__xludf.DUMMYFUNCTION("""COMPUTED_VALUE"""),0.0)</f>
        <v>0</v>
      </c>
      <c r="AJ30" s="187">
        <f>IFERROR(__xludf.DUMMYFUNCTION("""COMPUTED_VALUE"""),2.0)</f>
        <v>2</v>
      </c>
      <c r="AK30" s="187">
        <f>IFERROR(__xludf.DUMMYFUNCTION("""COMPUTED_VALUE"""),28.0)</f>
        <v>28</v>
      </c>
      <c r="AL30" s="187">
        <f>IFERROR(__xludf.DUMMYFUNCTION("""COMPUTED_VALUE"""),0.0)</f>
        <v>0</v>
      </c>
      <c r="AM30" s="187">
        <f>IFERROR(__xludf.DUMMYFUNCTION("""COMPUTED_VALUE"""),0.0)</f>
        <v>0</v>
      </c>
      <c r="AN30" s="187">
        <f>IFERROR(__xludf.DUMMYFUNCTION("""COMPUTED_VALUE"""),263.0)</f>
        <v>263</v>
      </c>
      <c r="AO30" s="187">
        <f>IFERROR(__xludf.DUMMYFUNCTION("""COMPUTED_VALUE"""),291.0)</f>
        <v>291</v>
      </c>
      <c r="AP30" s="187">
        <f>IFERROR(__xludf.DUMMYFUNCTION("""COMPUTED_VALUE"""),73.0)</f>
        <v>73</v>
      </c>
      <c r="AQ30" s="217">
        <f>IFERROR(__xludf.DUMMYFUNCTION("""COMPUTED_VALUE"""),70614.74424657534)</f>
        <v>70614.74425</v>
      </c>
      <c r="AR30" s="188">
        <f>IFERROR(__xludf.DUMMYFUNCTION("""COMPUTED_VALUE"""),3.9863013698630136)</f>
        <v>3.98630137</v>
      </c>
      <c r="AS30" s="217">
        <f>IFERROR(__xludf.DUMMYFUNCTION("""COMPUTED_VALUE"""),152850.0)</f>
        <v>152850</v>
      </c>
      <c r="AT30" s="217"/>
      <c r="AU30" s="218">
        <f>IFERROR(__xludf.DUMMYFUNCTION("""COMPUTED_VALUE"""),0.02965153579154827)</f>
        <v>0.02965153579</v>
      </c>
      <c r="AV30" s="217">
        <f>IFERROR(__xludf.DUMMYFUNCTION("""COMPUTED_VALUE"""),116610.41860465116)</f>
        <v>116610.4186</v>
      </c>
      <c r="AW30" s="219">
        <f>IFERROR(__xludf.DUMMYFUNCTION("""COMPUTED_VALUE"""),145.0)</f>
        <v>145</v>
      </c>
      <c r="AX30" s="219">
        <f>IFERROR(__xludf.DUMMYFUNCTION("""COMPUTED_VALUE"""),792.0)</f>
        <v>792</v>
      </c>
      <c r="AY30" s="220">
        <f>IFERROR(__xludf.DUMMYFUNCTION("""COMPUTED_VALUE"""),12153.79)</f>
        <v>12153.79</v>
      </c>
      <c r="AZ30" s="219">
        <f>IFERROR(__xludf.DUMMYFUNCTION("""COMPUTED_VALUE"""),270.0)</f>
        <v>270</v>
      </c>
      <c r="BA30" s="219">
        <f>IFERROR(__xludf.DUMMYFUNCTION("""COMPUTED_VALUE"""),43.0)</f>
        <v>43</v>
      </c>
      <c r="BB30" s="219">
        <f>IFERROR(__xludf.DUMMYFUNCTION("""COMPUTED_VALUE"""),4.0)</f>
        <v>4</v>
      </c>
      <c r="BC30" s="219">
        <f>IFERROR(__xludf.DUMMYFUNCTION("""COMPUTED_VALUE"""),0.0)</f>
        <v>0</v>
      </c>
      <c r="BD30" s="221"/>
      <c r="BE30" s="98"/>
      <c r="BF30" s="255" t="e">
        <v>#REF!</v>
      </c>
      <c r="BG30" s="256">
        <f t="shared" si="4"/>
        <v>5154876.33</v>
      </c>
      <c r="BH30" s="257" t="str">
        <f t="shared" si="5"/>
        <v>#REF!</v>
      </c>
      <c r="BI30" s="98"/>
      <c r="BJ30" s="98"/>
      <c r="BK30" s="98"/>
      <c r="BL30" s="98"/>
      <c r="BM30" s="98"/>
      <c r="BN30" s="98"/>
      <c r="BO30" s="98"/>
      <c r="BP30" s="98"/>
      <c r="BQ30" s="98"/>
      <c r="BR30" s="98"/>
    </row>
    <row r="31">
      <c r="A31" s="6" t="str">
        <f>IFERROR(__xludf.DUMMYFUNCTION("""COMPUTED_VALUE"""),"Sandeep Dadheech")</f>
        <v>Sandeep Dadheech</v>
      </c>
      <c r="B31" s="98" t="str">
        <f>IFERROR(__xludf.DUMMYFUNCTION("""COMPUTED_VALUE"""),"North East")</f>
        <v>North East</v>
      </c>
      <c r="C31" s="212" t="str">
        <f>IFERROR(__xludf.DUMMYFUNCTION("""COMPUTED_VALUE"""),"Litan Saha")</f>
        <v>Litan Saha</v>
      </c>
      <c r="D31" s="98" t="str">
        <f>IFERROR(__xludf.DUMMYFUNCTION("""COMPUTED_VALUE"""),"Agartala")</f>
        <v>Agartala</v>
      </c>
      <c r="E31" s="213">
        <f>IFERROR(__xludf.DUMMYFUNCTION("""COMPUTED_VALUE"""),43710.0)</f>
        <v>43710</v>
      </c>
      <c r="F31" s="222" t="str">
        <f>IFERROR(__xludf.DUMMYFUNCTION("""COMPUTED_VALUE"""),"ARUNACHAL PRADESH, ASSAM, MANIPUR, MEGHALAYA, MIZORAM, NAGALAND, SIKKIM, TRIPURA")</f>
        <v>ARUNACHAL PRADESH, ASSAM, MANIPUR, MEGHALAYA, MIZORAM, NAGALAND, SIKKIM, TRIPURA</v>
      </c>
      <c r="G31" s="215">
        <f>IFERROR(__xludf.DUMMYFUNCTION("""COMPUTED_VALUE"""),1.228557987E7)</f>
        <v>12285579.87</v>
      </c>
      <c r="H31" s="215">
        <f>IFERROR(__xludf.DUMMYFUNCTION("""COMPUTED_VALUE"""),1.1054935E7)</f>
        <v>11054935</v>
      </c>
      <c r="I31" s="216">
        <f>IFERROR(__xludf.DUMMYFUNCTION("""COMPUTED_VALUE"""),28050.0)</f>
        <v>28050</v>
      </c>
      <c r="J31" s="216">
        <f>IFERROR(__xludf.DUMMYFUNCTION("""COMPUTED_VALUE"""),1333333.0)</f>
        <v>1333333</v>
      </c>
      <c r="K31" s="217">
        <f>IFERROR(__xludf.DUMMYFUNCTION("""COMPUTED_VALUE"""),0.0)</f>
        <v>0</v>
      </c>
      <c r="L31" s="217">
        <f>IFERROR(__xludf.DUMMYFUNCTION("""COMPUTED_VALUE"""),3999999.0)</f>
        <v>3999999</v>
      </c>
      <c r="M31" s="217">
        <f>IFERROR(__xludf.DUMMYFUNCTION("""COMPUTED_VALUE"""),2755752.0)</f>
        <v>2755752</v>
      </c>
      <c r="N31" s="217">
        <f>IFERROR(__xludf.DUMMYFUNCTION("""COMPUTED_VALUE"""),0.0)</f>
        <v>0</v>
      </c>
      <c r="O31" s="217">
        <f>IFERROR(__xludf.DUMMYFUNCTION("""COMPUTED_VALUE"""),1937318.0)</f>
        <v>1937318</v>
      </c>
      <c r="P31" s="218">
        <f>IFERROR(__xludf.DUMMYFUNCTION("""COMPUTED_VALUE"""),0.688938172234543)</f>
        <v>0.6889381722</v>
      </c>
      <c r="Q31" s="218">
        <f>IFERROR(__xludf.DUMMYFUNCTION("""COMPUTED_VALUE"""),0.0)</f>
        <v>0</v>
      </c>
      <c r="R31" s="218">
        <f>IFERROR(__xludf.DUMMYFUNCTION("""COMPUTED_VALUE"""),0.4843296210824053)</f>
        <v>0.4843296211</v>
      </c>
      <c r="S31" s="187">
        <f>IFERROR(__xludf.DUMMYFUNCTION("""COMPUTED_VALUE"""),77.0)</f>
        <v>77</v>
      </c>
      <c r="T31" s="187">
        <f>IFERROR(__xludf.DUMMYFUNCTION("""COMPUTED_VALUE"""),66.0)</f>
        <v>66</v>
      </c>
      <c r="U31" s="187">
        <f>IFERROR(__xludf.DUMMYFUNCTION("""COMPUTED_VALUE"""),6.0)</f>
        <v>6</v>
      </c>
      <c r="V31" s="187">
        <f>IFERROR(__xludf.DUMMYFUNCTION("""COMPUTED_VALUE"""),6.0)</f>
        <v>6</v>
      </c>
      <c r="W31" s="187">
        <f>IFERROR(__xludf.DUMMYFUNCTION("""COMPUTED_VALUE"""),83.0)</f>
        <v>83</v>
      </c>
      <c r="X31" s="187">
        <f>IFERROR(__xludf.DUMMYFUNCTION("""COMPUTED_VALUE"""),17.0)</f>
        <v>17</v>
      </c>
      <c r="Y31" s="188">
        <f>IFERROR(__xludf.DUMMYFUNCTION("""COMPUTED_VALUE"""),2473799.59)</f>
        <v>2473799.59</v>
      </c>
      <c r="Z31" s="188">
        <f>IFERROR(__xludf.DUMMYFUNCTION("""COMPUTED_VALUE"""),281952.44)</f>
        <v>281952.44</v>
      </c>
      <c r="AA31" s="187">
        <f>IFERROR(__xludf.DUMMYFUNCTION("""COMPUTED_VALUE"""),31.0)</f>
        <v>31</v>
      </c>
      <c r="AB31" s="187">
        <f>IFERROR(__xludf.DUMMYFUNCTION("""COMPUTED_VALUE"""),6.0)</f>
        <v>6</v>
      </c>
      <c r="AC31" s="187">
        <f>IFERROR(__xludf.DUMMYFUNCTION("""COMPUTED_VALUE"""),37.0)</f>
        <v>37</v>
      </c>
      <c r="AD31" s="187">
        <f>IFERROR(__xludf.DUMMYFUNCTION("""COMPUTED_VALUE"""),0.0)</f>
        <v>0</v>
      </c>
      <c r="AE31" s="187">
        <f>IFERROR(__xludf.DUMMYFUNCTION("""COMPUTED_VALUE"""),13.0)</f>
        <v>13</v>
      </c>
      <c r="AF31" s="187">
        <f>IFERROR(__xludf.DUMMYFUNCTION("""COMPUTED_VALUE"""),17.0)</f>
        <v>17</v>
      </c>
      <c r="AG31" s="187">
        <f>IFERROR(__xludf.DUMMYFUNCTION("""COMPUTED_VALUE"""),63.0)</f>
        <v>63</v>
      </c>
      <c r="AH31" s="187">
        <f>IFERROR(__xludf.DUMMYFUNCTION("""COMPUTED_VALUE"""),2.0)</f>
        <v>2</v>
      </c>
      <c r="AI31" s="187">
        <f>IFERROR(__xludf.DUMMYFUNCTION("""COMPUTED_VALUE"""),29.0)</f>
        <v>29</v>
      </c>
      <c r="AJ31" s="187">
        <f>IFERROR(__xludf.DUMMYFUNCTION("""COMPUTED_VALUE"""),0.0)</f>
        <v>0</v>
      </c>
      <c r="AK31" s="187">
        <f>IFERROR(__xludf.DUMMYFUNCTION("""COMPUTED_VALUE"""),0.0)</f>
        <v>0</v>
      </c>
      <c r="AL31" s="187">
        <f>IFERROR(__xludf.DUMMYFUNCTION("""COMPUTED_VALUE"""),0.0)</f>
        <v>0</v>
      </c>
      <c r="AM31" s="187">
        <f>IFERROR(__xludf.DUMMYFUNCTION("""COMPUTED_VALUE"""),0.0)</f>
        <v>0</v>
      </c>
      <c r="AN31" s="187">
        <f>IFERROR(__xludf.DUMMYFUNCTION("""COMPUTED_VALUE"""),203.0)</f>
        <v>203</v>
      </c>
      <c r="AO31" s="187">
        <f>IFERROR(__xludf.DUMMYFUNCTION("""COMPUTED_VALUE"""),249.0)</f>
        <v>249</v>
      </c>
      <c r="AP31" s="187">
        <f>IFERROR(__xludf.DUMMYFUNCTION("""COMPUTED_VALUE"""),75.0)</f>
        <v>75</v>
      </c>
      <c r="AQ31" s="217">
        <f>IFERROR(__xludf.DUMMYFUNCTION("""COMPUTED_VALUE"""),36743.36)</f>
        <v>36743.36</v>
      </c>
      <c r="AR31" s="188">
        <f>IFERROR(__xludf.DUMMYFUNCTION("""COMPUTED_VALUE"""),3.32)</f>
        <v>3.32</v>
      </c>
      <c r="AS31" s="217">
        <f>IFERROR(__xludf.DUMMYFUNCTION("""COMPUTED_VALUE"""),84150.0)</f>
        <v>84150</v>
      </c>
      <c r="AT31" s="217"/>
      <c r="AU31" s="218">
        <f>IFERROR(__xludf.DUMMYFUNCTION("""COMPUTED_VALUE"""),0.03053612952108898)</f>
        <v>0.03053612952</v>
      </c>
      <c r="AV31" s="217">
        <f>IFERROR(__xludf.DUMMYFUNCTION("""COMPUTED_VALUE"""),74479.78378378379)</f>
        <v>74479.78378</v>
      </c>
      <c r="AW31" s="219">
        <f>IFERROR(__xludf.DUMMYFUNCTION("""COMPUTED_VALUE"""),88.0)</f>
        <v>88</v>
      </c>
      <c r="AX31" s="219">
        <f>IFERROR(__xludf.DUMMYFUNCTION("""COMPUTED_VALUE"""),592.0)</f>
        <v>592</v>
      </c>
      <c r="AY31" s="220">
        <f>IFERROR(__xludf.DUMMYFUNCTION("""COMPUTED_VALUE"""),2733.19)</f>
        <v>2733.19</v>
      </c>
      <c r="AZ31" s="219">
        <f>IFERROR(__xludf.DUMMYFUNCTION("""COMPUTED_VALUE"""),41.0)</f>
        <v>41</v>
      </c>
      <c r="BA31" s="219">
        <f>IFERROR(__xludf.DUMMYFUNCTION("""COMPUTED_VALUE"""),37.0)</f>
        <v>37</v>
      </c>
      <c r="BB31" s="219">
        <f>IFERROR(__xludf.DUMMYFUNCTION("""COMPUTED_VALUE"""),31.0)</f>
        <v>31</v>
      </c>
      <c r="BC31" s="219">
        <f>IFERROR(__xludf.DUMMYFUNCTION("""COMPUTED_VALUE"""),15.0)</f>
        <v>15</v>
      </c>
      <c r="BD31" s="221"/>
      <c r="BE31" s="98"/>
      <c r="BF31" s="255" t="e">
        <v>#REF!</v>
      </c>
      <c r="BG31" s="256">
        <f t="shared" si="4"/>
        <v>2755752</v>
      </c>
      <c r="BH31" s="257" t="str">
        <f t="shared" si="5"/>
        <v>#REF!</v>
      </c>
      <c r="BI31" s="98"/>
      <c r="BJ31" s="98"/>
      <c r="BK31" s="98"/>
      <c r="BL31" s="98"/>
      <c r="BM31" s="98"/>
      <c r="BN31" s="98"/>
      <c r="BO31" s="98"/>
      <c r="BP31" s="98"/>
      <c r="BQ31" s="98"/>
      <c r="BR31" s="98"/>
    </row>
    <row r="32">
      <c r="A32" s="6" t="str">
        <f>IFERROR(__xludf.DUMMYFUNCTION("""COMPUTED_VALUE"""),"Biju C.O")</f>
        <v>Biju C.O</v>
      </c>
      <c r="B32" s="98" t="str">
        <f>IFERROR(__xludf.DUMMYFUNCTION("""COMPUTED_VALUE"""),"Tamil Nadu")</f>
        <v>Tamil Nadu</v>
      </c>
      <c r="C32" s="98" t="str">
        <f>IFERROR(__xludf.DUMMYFUNCTION("""COMPUTED_VALUE"""),"K.V.THAMIZHSELVAN")</f>
        <v>K.V.THAMIZHSELVAN</v>
      </c>
      <c r="D32" s="98" t="str">
        <f>IFERROR(__xludf.DUMMYFUNCTION("""COMPUTED_VALUE"""),"VELLORE")</f>
        <v>VELLORE</v>
      </c>
      <c r="E32" s="213">
        <f>IFERROR(__xludf.DUMMYFUNCTION("""COMPUTED_VALUE"""),44046.0)</f>
        <v>44046</v>
      </c>
      <c r="F32" s="222" t="str">
        <f>IFERROR(__xludf.DUMMYFUNCTION("""COMPUTED_VALUE"""),"TAMIL NADU")</f>
        <v>TAMIL NADU</v>
      </c>
      <c r="G32" s="215">
        <f>IFERROR(__xludf.DUMMYFUNCTION("""COMPUTED_VALUE"""),1.6007147949999997E7)</f>
        <v>16007147.95</v>
      </c>
      <c r="H32" s="215">
        <f>IFERROR(__xludf.DUMMYFUNCTION("""COMPUTED_VALUE"""),1.8954658E7)</f>
        <v>18954658</v>
      </c>
      <c r="I32" s="216">
        <f>IFERROR(__xludf.DUMMYFUNCTION("""COMPUTED_VALUE"""),40380.0)</f>
        <v>40380</v>
      </c>
      <c r="J32" s="216">
        <f>IFERROR(__xludf.DUMMYFUNCTION("""COMPUTED_VALUE"""),1875000.0)</f>
        <v>1875000</v>
      </c>
      <c r="K32" s="217">
        <f>IFERROR(__xludf.DUMMYFUNCTION("""COMPUTED_VALUE"""),0.0)</f>
        <v>0</v>
      </c>
      <c r="L32" s="217">
        <f>IFERROR(__xludf.DUMMYFUNCTION("""COMPUTED_VALUE"""),5625000.0)</f>
        <v>5625000</v>
      </c>
      <c r="M32" s="217">
        <f>IFERROR(__xludf.DUMMYFUNCTION("""COMPUTED_VALUE"""),4493312.0)</f>
        <v>4493312</v>
      </c>
      <c r="N32" s="217">
        <f>IFERROR(__xludf.DUMMYFUNCTION("""COMPUTED_VALUE"""),0.0)</f>
        <v>0</v>
      </c>
      <c r="O32" s="217">
        <f>IFERROR(__xludf.DUMMYFUNCTION("""COMPUTED_VALUE"""),4573655.710000001)</f>
        <v>4573655.71</v>
      </c>
      <c r="P32" s="218">
        <f>IFERROR(__xludf.DUMMYFUNCTION("""COMPUTED_VALUE"""),0.7988110222222222)</f>
        <v>0.7988110222</v>
      </c>
      <c r="Q32" s="218">
        <f>IFERROR(__xludf.DUMMYFUNCTION("""COMPUTED_VALUE"""),0.0)</f>
        <v>0</v>
      </c>
      <c r="R32" s="218">
        <f>IFERROR(__xludf.DUMMYFUNCTION("""COMPUTED_VALUE"""),0.8130943484444446)</f>
        <v>0.8130943484</v>
      </c>
      <c r="S32" s="187">
        <f>IFERROR(__xludf.DUMMYFUNCTION("""COMPUTED_VALUE"""),106.0)</f>
        <v>106</v>
      </c>
      <c r="T32" s="187">
        <f>IFERROR(__xludf.DUMMYFUNCTION("""COMPUTED_VALUE"""),107.0)</f>
        <v>107</v>
      </c>
      <c r="U32" s="187">
        <f>IFERROR(__xludf.DUMMYFUNCTION("""COMPUTED_VALUE"""),1.0)</f>
        <v>1</v>
      </c>
      <c r="V32" s="187">
        <f>IFERROR(__xludf.DUMMYFUNCTION("""COMPUTED_VALUE"""),1.0)</f>
        <v>1</v>
      </c>
      <c r="W32" s="187">
        <f>IFERROR(__xludf.DUMMYFUNCTION("""COMPUTED_VALUE"""),107.0)</f>
        <v>107</v>
      </c>
      <c r="X32" s="187">
        <f>IFERROR(__xludf.DUMMYFUNCTION("""COMPUTED_VALUE"""),0.0)</f>
        <v>0</v>
      </c>
      <c r="Y32" s="188">
        <f>IFERROR(__xludf.DUMMYFUNCTION("""COMPUTED_VALUE"""),4481120.03)</f>
        <v>4481120.03</v>
      </c>
      <c r="Z32" s="188">
        <f>IFERROR(__xludf.DUMMYFUNCTION("""COMPUTED_VALUE"""),12192.4)</f>
        <v>12192.4</v>
      </c>
      <c r="AA32" s="187">
        <f>IFERROR(__xludf.DUMMYFUNCTION("""COMPUTED_VALUE"""),66.0)</f>
        <v>66</v>
      </c>
      <c r="AB32" s="187">
        <f>IFERROR(__xludf.DUMMYFUNCTION("""COMPUTED_VALUE"""),1.0)</f>
        <v>1</v>
      </c>
      <c r="AC32" s="187">
        <f>IFERROR(__xludf.DUMMYFUNCTION("""COMPUTED_VALUE"""),67.0)</f>
        <v>67</v>
      </c>
      <c r="AD32" s="187">
        <f>IFERROR(__xludf.DUMMYFUNCTION("""COMPUTED_VALUE"""),0.0)</f>
        <v>0</v>
      </c>
      <c r="AE32" s="187">
        <f>IFERROR(__xludf.DUMMYFUNCTION("""COMPUTED_VALUE"""),3.0)</f>
        <v>3</v>
      </c>
      <c r="AF32" s="187">
        <f>IFERROR(__xludf.DUMMYFUNCTION("""COMPUTED_VALUE"""),13.0)</f>
        <v>13</v>
      </c>
      <c r="AG32" s="187">
        <f>IFERROR(__xludf.DUMMYFUNCTION("""COMPUTED_VALUE"""),1.0)</f>
        <v>1</v>
      </c>
      <c r="AH32" s="187">
        <f>IFERROR(__xludf.DUMMYFUNCTION("""COMPUTED_VALUE"""),1.0)</f>
        <v>1</v>
      </c>
      <c r="AI32" s="187">
        <f>IFERROR(__xludf.DUMMYFUNCTION("""COMPUTED_VALUE"""),2.0)</f>
        <v>2</v>
      </c>
      <c r="AJ32" s="187">
        <f>IFERROR(__xludf.DUMMYFUNCTION("""COMPUTED_VALUE"""),0.0)</f>
        <v>0</v>
      </c>
      <c r="AK32" s="187">
        <f>IFERROR(__xludf.DUMMYFUNCTION("""COMPUTED_VALUE"""),0.0)</f>
        <v>0</v>
      </c>
      <c r="AL32" s="187">
        <f>IFERROR(__xludf.DUMMYFUNCTION("""COMPUTED_VALUE"""),0.0)</f>
        <v>0</v>
      </c>
      <c r="AM32" s="187">
        <f>IFERROR(__xludf.DUMMYFUNCTION("""COMPUTED_VALUE"""),0.0)</f>
        <v>0</v>
      </c>
      <c r="AN32" s="187">
        <f>IFERROR(__xludf.DUMMYFUNCTION("""COMPUTED_VALUE"""),485.0)</f>
        <v>485</v>
      </c>
      <c r="AO32" s="187">
        <f>IFERROR(__xludf.DUMMYFUNCTION("""COMPUTED_VALUE"""),500.0)</f>
        <v>500</v>
      </c>
      <c r="AP32" s="187">
        <f>IFERROR(__xludf.DUMMYFUNCTION("""COMPUTED_VALUE"""),72.0)</f>
        <v>72</v>
      </c>
      <c r="AQ32" s="217">
        <f>IFERROR(__xludf.DUMMYFUNCTION("""COMPUTED_VALUE"""),62407.11111111111)</f>
        <v>62407.11111</v>
      </c>
      <c r="AR32" s="188">
        <f>IFERROR(__xludf.DUMMYFUNCTION("""COMPUTED_VALUE"""),6.944444444444445)</f>
        <v>6.944444444</v>
      </c>
      <c r="AS32" s="217">
        <f>IFERROR(__xludf.DUMMYFUNCTION("""COMPUTED_VALUE"""),121140.0)</f>
        <v>121140</v>
      </c>
      <c r="AT32" s="217"/>
      <c r="AU32" s="218">
        <f>IFERROR(__xludf.DUMMYFUNCTION("""COMPUTED_VALUE"""),0.02696006865314494)</f>
        <v>0.02696006865</v>
      </c>
      <c r="AV32" s="217">
        <f>IFERROR(__xludf.DUMMYFUNCTION("""COMPUTED_VALUE"""),67064.35820895522)</f>
        <v>67064.35821</v>
      </c>
      <c r="AW32" s="219">
        <f>IFERROR(__xludf.DUMMYFUNCTION("""COMPUTED_VALUE"""),166.0)</f>
        <v>166</v>
      </c>
      <c r="AX32" s="219">
        <f>IFERROR(__xludf.DUMMYFUNCTION("""COMPUTED_VALUE"""),818.0)</f>
        <v>818</v>
      </c>
      <c r="AY32" s="220">
        <f>IFERROR(__xludf.DUMMYFUNCTION("""COMPUTED_VALUE"""),10244.81)</f>
        <v>10244.81</v>
      </c>
      <c r="AZ32" s="219">
        <f>IFERROR(__xludf.DUMMYFUNCTION("""COMPUTED_VALUE"""),96.0)</f>
        <v>96</v>
      </c>
      <c r="BA32" s="219">
        <f>IFERROR(__xludf.DUMMYFUNCTION("""COMPUTED_VALUE"""),67.0)</f>
        <v>67</v>
      </c>
      <c r="BB32" s="219">
        <f>IFERROR(__xludf.DUMMYFUNCTION("""COMPUTED_VALUE"""),40.0)</f>
        <v>40</v>
      </c>
      <c r="BC32" s="219">
        <f>IFERROR(__xludf.DUMMYFUNCTION("""COMPUTED_VALUE"""),0.0)</f>
        <v>0</v>
      </c>
      <c r="BD32" s="221"/>
      <c r="BE32" s="98"/>
      <c r="BF32" s="255" t="e">
        <v>#REF!</v>
      </c>
      <c r="BG32" s="256">
        <f t="shared" si="4"/>
        <v>4493312</v>
      </c>
      <c r="BH32" s="257" t="str">
        <f t="shared" si="5"/>
        <v>#REF!</v>
      </c>
      <c r="BI32" s="98"/>
      <c r="BJ32" s="98"/>
      <c r="BK32" s="98"/>
      <c r="BL32" s="98"/>
      <c r="BM32" s="98"/>
      <c r="BN32" s="98"/>
      <c r="BO32" s="98"/>
      <c r="BP32" s="98"/>
      <c r="BQ32" s="98"/>
      <c r="BR32" s="98"/>
    </row>
    <row r="33">
      <c r="A33" s="6" t="str">
        <f>IFERROR(__xludf.DUMMYFUNCTION("""COMPUTED_VALUE"""),"Sandeep Dadheech")</f>
        <v>Sandeep Dadheech</v>
      </c>
      <c r="B33" s="98" t="str">
        <f>IFERROR(__xludf.DUMMYFUNCTION("""COMPUTED_VALUE"""),"Bihar")</f>
        <v>Bihar</v>
      </c>
      <c r="C33" s="212" t="str">
        <f>IFERROR(__xludf.DUMMYFUNCTION("""COMPUTED_VALUE"""),"Pradeep Kumar")</f>
        <v>Pradeep Kumar</v>
      </c>
      <c r="D33" s="98" t="str">
        <f>IFERROR(__xludf.DUMMYFUNCTION("""COMPUTED_VALUE"""),"Aurangabad")</f>
        <v>Aurangabad</v>
      </c>
      <c r="E33" s="213">
        <f>IFERROR(__xludf.DUMMYFUNCTION("""COMPUTED_VALUE"""),44166.0)</f>
        <v>44166</v>
      </c>
      <c r="F33" s="222" t="str">
        <f>IFERROR(__xludf.DUMMYFUNCTION("""COMPUTED_VALUE"""),"BIHAR")</f>
        <v>BIHAR</v>
      </c>
      <c r="G33" s="215">
        <f>IFERROR(__xludf.DUMMYFUNCTION("""COMPUTED_VALUE"""),9992477.38)</f>
        <v>9992477.38</v>
      </c>
      <c r="H33" s="215">
        <f>IFERROR(__xludf.DUMMYFUNCTION("""COMPUTED_VALUE"""),2.2287781E7)</f>
        <v>22287781</v>
      </c>
      <c r="I33" s="216">
        <f>IFERROR(__xludf.DUMMYFUNCTION("""COMPUTED_VALUE"""),27200.0)</f>
        <v>27200</v>
      </c>
      <c r="J33" s="216">
        <f>IFERROR(__xludf.DUMMYFUNCTION("""COMPUTED_VALUE"""),2666667.0)</f>
        <v>2666667</v>
      </c>
      <c r="K33" s="217">
        <f>IFERROR(__xludf.DUMMYFUNCTION("""COMPUTED_VALUE"""),0.0)</f>
        <v>0</v>
      </c>
      <c r="L33" s="217">
        <f>IFERROR(__xludf.DUMMYFUNCTION("""COMPUTED_VALUE"""),8000001.0)</f>
        <v>8000001</v>
      </c>
      <c r="M33" s="217">
        <f>IFERROR(__xludf.DUMMYFUNCTION("""COMPUTED_VALUE"""),2478576.0)</f>
        <v>2478576</v>
      </c>
      <c r="N33" s="217">
        <f>IFERROR(__xludf.DUMMYFUNCTION("""COMPUTED_VALUE"""),0.0)</f>
        <v>0</v>
      </c>
      <c r="O33" s="217">
        <f>IFERROR(__xludf.DUMMYFUNCTION("""COMPUTED_VALUE"""),2409818.0)</f>
        <v>2409818</v>
      </c>
      <c r="P33" s="218">
        <f>IFERROR(__xludf.DUMMYFUNCTION("""COMPUTED_VALUE"""),0.30982196127225486)</f>
        <v>0.3098219613</v>
      </c>
      <c r="Q33" s="218">
        <f>IFERROR(__xludf.DUMMYFUNCTION("""COMPUTED_VALUE"""),0.0)</f>
        <v>0</v>
      </c>
      <c r="R33" s="218">
        <f>IFERROR(__xludf.DUMMYFUNCTION("""COMPUTED_VALUE"""),0.30122721234659844)</f>
        <v>0.3012272123</v>
      </c>
      <c r="S33" s="187">
        <f>IFERROR(__xludf.DUMMYFUNCTION("""COMPUTED_VALUE"""),39.0)</f>
        <v>39</v>
      </c>
      <c r="T33" s="187">
        <f>IFERROR(__xludf.DUMMYFUNCTION("""COMPUTED_VALUE"""),37.0)</f>
        <v>37</v>
      </c>
      <c r="U33" s="187">
        <f>IFERROR(__xludf.DUMMYFUNCTION("""COMPUTED_VALUE"""),1.0)</f>
        <v>1</v>
      </c>
      <c r="V33" s="187">
        <f>IFERROR(__xludf.DUMMYFUNCTION("""COMPUTED_VALUE"""),1.0)</f>
        <v>1</v>
      </c>
      <c r="W33" s="187">
        <f>IFERROR(__xludf.DUMMYFUNCTION("""COMPUTED_VALUE"""),40.0)</f>
        <v>40</v>
      </c>
      <c r="X33" s="187">
        <f>IFERROR(__xludf.DUMMYFUNCTION("""COMPUTED_VALUE"""),3.0)</f>
        <v>3</v>
      </c>
      <c r="Y33" s="188">
        <f>IFERROR(__xludf.DUMMYFUNCTION("""COMPUTED_VALUE"""),2243369.69)</f>
        <v>2243369.69</v>
      </c>
      <c r="Z33" s="188">
        <f>IFERROR(__xludf.DUMMYFUNCTION("""COMPUTED_VALUE"""),235206.0)</f>
        <v>235206</v>
      </c>
      <c r="AA33" s="187">
        <f>IFERROR(__xludf.DUMMYFUNCTION("""COMPUTED_VALUE"""),12.0)</f>
        <v>12</v>
      </c>
      <c r="AB33" s="187">
        <f>IFERROR(__xludf.DUMMYFUNCTION("""COMPUTED_VALUE"""),1.0)</f>
        <v>1</v>
      </c>
      <c r="AC33" s="187">
        <f>IFERROR(__xludf.DUMMYFUNCTION("""COMPUTED_VALUE"""),13.0)</f>
        <v>13</v>
      </c>
      <c r="AD33" s="187">
        <f>IFERROR(__xludf.DUMMYFUNCTION("""COMPUTED_VALUE"""),0.0)</f>
        <v>0</v>
      </c>
      <c r="AE33" s="187">
        <f>IFERROR(__xludf.DUMMYFUNCTION("""COMPUTED_VALUE"""),18.0)</f>
        <v>18</v>
      </c>
      <c r="AF33" s="187">
        <f>IFERROR(__xludf.DUMMYFUNCTION("""COMPUTED_VALUE"""),27.0)</f>
        <v>27</v>
      </c>
      <c r="AG33" s="187">
        <f>IFERROR(__xludf.DUMMYFUNCTION("""COMPUTED_VALUE"""),15.0)</f>
        <v>15</v>
      </c>
      <c r="AH33" s="187">
        <f>IFERROR(__xludf.DUMMYFUNCTION("""COMPUTED_VALUE"""),2.0)</f>
        <v>2</v>
      </c>
      <c r="AI33" s="187">
        <f>IFERROR(__xludf.DUMMYFUNCTION("""COMPUTED_VALUE"""),7.0)</f>
        <v>7</v>
      </c>
      <c r="AJ33" s="187">
        <f>IFERROR(__xludf.DUMMYFUNCTION("""COMPUTED_VALUE"""),0.0)</f>
        <v>0</v>
      </c>
      <c r="AK33" s="187">
        <f>IFERROR(__xludf.DUMMYFUNCTION("""COMPUTED_VALUE"""),0.0)</f>
        <v>0</v>
      </c>
      <c r="AL33" s="187">
        <f>IFERROR(__xludf.DUMMYFUNCTION("""COMPUTED_VALUE"""),0.0)</f>
        <v>0</v>
      </c>
      <c r="AM33" s="187">
        <f>IFERROR(__xludf.DUMMYFUNCTION("""COMPUTED_VALUE"""),0.0)</f>
        <v>0</v>
      </c>
      <c r="AN33" s="187">
        <f>IFERROR(__xludf.DUMMYFUNCTION("""COMPUTED_VALUE"""),164.0)</f>
        <v>164</v>
      </c>
      <c r="AO33" s="187">
        <f>IFERROR(__xludf.DUMMYFUNCTION("""COMPUTED_VALUE"""),198.0)</f>
        <v>198</v>
      </c>
      <c r="AP33" s="187">
        <f>IFERROR(__xludf.DUMMYFUNCTION("""COMPUTED_VALUE"""),76.0)</f>
        <v>76</v>
      </c>
      <c r="AQ33" s="217">
        <f>IFERROR(__xludf.DUMMYFUNCTION("""COMPUTED_VALUE"""),32612.842105263157)</f>
        <v>32612.84211</v>
      </c>
      <c r="AR33" s="188">
        <f>IFERROR(__xludf.DUMMYFUNCTION("""COMPUTED_VALUE"""),2.6052631578947367)</f>
        <v>2.605263158</v>
      </c>
      <c r="AS33" s="217">
        <f>IFERROR(__xludf.DUMMYFUNCTION("""COMPUTED_VALUE"""),81600.0)</f>
        <v>81600</v>
      </c>
      <c r="AT33" s="217"/>
      <c r="AU33" s="218">
        <f>IFERROR(__xludf.DUMMYFUNCTION("""COMPUTED_VALUE"""),0.03292212948079865)</f>
        <v>0.03292212948</v>
      </c>
      <c r="AV33" s="217">
        <f>IFERROR(__xludf.DUMMYFUNCTION("""COMPUTED_VALUE"""),190659.6923076923)</f>
        <v>190659.6923</v>
      </c>
      <c r="AW33" s="219">
        <f>IFERROR(__xludf.DUMMYFUNCTION("""COMPUTED_VALUE"""),18.0)</f>
        <v>18</v>
      </c>
      <c r="AX33" s="219">
        <f>IFERROR(__xludf.DUMMYFUNCTION("""COMPUTED_VALUE"""),563.0)</f>
        <v>563</v>
      </c>
      <c r="AY33" s="220">
        <f>IFERROR(__xludf.DUMMYFUNCTION("""COMPUTED_VALUE"""),2305.87)</f>
        <v>2305.87</v>
      </c>
      <c r="AZ33" s="219">
        <f>IFERROR(__xludf.DUMMYFUNCTION("""COMPUTED_VALUE"""),62.0)</f>
        <v>62</v>
      </c>
      <c r="BA33" s="219">
        <f>IFERROR(__xludf.DUMMYFUNCTION("""COMPUTED_VALUE"""),13.0)</f>
        <v>13</v>
      </c>
      <c r="BB33" s="219">
        <f>IFERROR(__xludf.DUMMYFUNCTION("""COMPUTED_VALUE"""),24.0)</f>
        <v>24</v>
      </c>
      <c r="BC33" s="219">
        <f>IFERROR(__xludf.DUMMYFUNCTION("""COMPUTED_VALUE"""),3.0)</f>
        <v>3</v>
      </c>
      <c r="BD33" s="221"/>
      <c r="BE33" s="98"/>
      <c r="BF33" s="255" t="e">
        <v>#REF!</v>
      </c>
      <c r="BG33" s="256">
        <f t="shared" si="4"/>
        <v>2478576</v>
      </c>
      <c r="BH33" s="257" t="str">
        <f t="shared" si="5"/>
        <v>#REF!</v>
      </c>
      <c r="BI33" s="98"/>
      <c r="BJ33" s="98"/>
      <c r="BK33" s="98"/>
      <c r="BL33" s="98"/>
      <c r="BM33" s="98"/>
      <c r="BN33" s="98"/>
      <c r="BO33" s="98"/>
      <c r="BP33" s="98"/>
      <c r="BQ33" s="98"/>
      <c r="BR33" s="98"/>
    </row>
    <row r="34">
      <c r="A34" s="6" t="str">
        <f>IFERROR(__xludf.DUMMYFUNCTION("""COMPUTED_VALUE"""),"Sandeep Dadheech")</f>
        <v>Sandeep Dadheech</v>
      </c>
      <c r="B34" s="98" t="str">
        <f>IFERROR(__xludf.DUMMYFUNCTION("""COMPUTED_VALUE"""),"Jharkhand")</f>
        <v>Jharkhand</v>
      </c>
      <c r="C34" s="212" t="str">
        <f>IFERROR(__xludf.DUMMYFUNCTION("""COMPUTED_VALUE"""),"Ashutosh Kumar")</f>
        <v>Ashutosh Kumar</v>
      </c>
      <c r="D34" s="98" t="str">
        <f>IFERROR(__xludf.DUMMYFUNCTION("""COMPUTED_VALUE"""),"Dhanbad")</f>
        <v>Dhanbad</v>
      </c>
      <c r="E34" s="213">
        <f>IFERROR(__xludf.DUMMYFUNCTION("""COMPUTED_VALUE"""),44228.0)</f>
        <v>44228</v>
      </c>
      <c r="F34" s="222" t="str">
        <f>IFERROR(__xludf.DUMMYFUNCTION("""COMPUTED_VALUE"""),"JHARKHAND")</f>
        <v>JHARKHAND</v>
      </c>
      <c r="G34" s="215">
        <f>IFERROR(__xludf.DUMMYFUNCTION("""COMPUTED_VALUE"""),1.7398691019999996E7)</f>
        <v>17398691.02</v>
      </c>
      <c r="H34" s="215">
        <f>IFERROR(__xludf.DUMMYFUNCTION("""COMPUTED_VALUE"""),2.9463262E7)</f>
        <v>29463262</v>
      </c>
      <c r="I34" s="216">
        <f>IFERROR(__xludf.DUMMYFUNCTION("""COMPUTED_VALUE"""),40500.0)</f>
        <v>40500</v>
      </c>
      <c r="J34" s="216">
        <f>IFERROR(__xludf.DUMMYFUNCTION("""COMPUTED_VALUE"""),3500000.0)</f>
        <v>3500000</v>
      </c>
      <c r="K34" s="217">
        <f>IFERROR(__xludf.DUMMYFUNCTION("""COMPUTED_VALUE"""),0.0)</f>
        <v>0</v>
      </c>
      <c r="L34" s="217">
        <f>IFERROR(__xludf.DUMMYFUNCTION("""COMPUTED_VALUE"""),1.05E7)</f>
        <v>10500000</v>
      </c>
      <c r="M34" s="217">
        <f>IFERROR(__xludf.DUMMYFUNCTION("""COMPUTED_VALUE"""),4361159.0)</f>
        <v>4361159</v>
      </c>
      <c r="N34" s="217">
        <f>IFERROR(__xludf.DUMMYFUNCTION("""COMPUTED_VALUE"""),0.0)</f>
        <v>0</v>
      </c>
      <c r="O34" s="217">
        <f>IFERROR(__xludf.DUMMYFUNCTION("""COMPUTED_VALUE"""),5979073.0)</f>
        <v>5979073</v>
      </c>
      <c r="P34" s="218">
        <f>IFERROR(__xludf.DUMMYFUNCTION("""COMPUTED_VALUE"""),0.4153484761904762)</f>
        <v>0.4153484762</v>
      </c>
      <c r="Q34" s="218">
        <f>IFERROR(__xludf.DUMMYFUNCTION("""COMPUTED_VALUE"""),0.0)</f>
        <v>0</v>
      </c>
      <c r="R34" s="218">
        <f>IFERROR(__xludf.DUMMYFUNCTION("""COMPUTED_VALUE"""),0.5694355238095238)</f>
        <v>0.5694355238</v>
      </c>
      <c r="S34" s="187">
        <f>IFERROR(__xludf.DUMMYFUNCTION("""COMPUTED_VALUE"""),61.0)</f>
        <v>61</v>
      </c>
      <c r="T34" s="187">
        <f>IFERROR(__xludf.DUMMYFUNCTION("""COMPUTED_VALUE"""),58.0)</f>
        <v>58</v>
      </c>
      <c r="U34" s="187">
        <f>IFERROR(__xludf.DUMMYFUNCTION("""COMPUTED_VALUE"""),4.0)</f>
        <v>4</v>
      </c>
      <c r="V34" s="187">
        <f>IFERROR(__xludf.DUMMYFUNCTION("""COMPUTED_VALUE"""),4.0)</f>
        <v>4</v>
      </c>
      <c r="W34" s="187">
        <f>IFERROR(__xludf.DUMMYFUNCTION("""COMPUTED_VALUE"""),65.0)</f>
        <v>65</v>
      </c>
      <c r="X34" s="187">
        <f>IFERROR(__xludf.DUMMYFUNCTION("""COMPUTED_VALUE"""),7.0)</f>
        <v>7</v>
      </c>
      <c r="Y34" s="188">
        <f>IFERROR(__xludf.DUMMYFUNCTION("""COMPUTED_VALUE"""),3982558.43)</f>
        <v>3982558.43</v>
      </c>
      <c r="Z34" s="188">
        <f>IFERROR(__xludf.DUMMYFUNCTION("""COMPUTED_VALUE"""),378600.82)</f>
        <v>378600.82</v>
      </c>
      <c r="AA34" s="187">
        <f>IFERROR(__xludf.DUMMYFUNCTION("""COMPUTED_VALUE"""),37.0)</f>
        <v>37</v>
      </c>
      <c r="AB34" s="187">
        <f>IFERROR(__xludf.DUMMYFUNCTION("""COMPUTED_VALUE"""),4.0)</f>
        <v>4</v>
      </c>
      <c r="AC34" s="187">
        <f>IFERROR(__xludf.DUMMYFUNCTION("""COMPUTED_VALUE"""),41.0)</f>
        <v>41</v>
      </c>
      <c r="AD34" s="187">
        <f>IFERROR(__xludf.DUMMYFUNCTION("""COMPUTED_VALUE"""),0.0)</f>
        <v>0</v>
      </c>
      <c r="AE34" s="187">
        <f>IFERROR(__xludf.DUMMYFUNCTION("""COMPUTED_VALUE"""),25.0)</f>
        <v>25</v>
      </c>
      <c r="AF34" s="187">
        <f>IFERROR(__xludf.DUMMYFUNCTION("""COMPUTED_VALUE"""),27.0)</f>
        <v>27</v>
      </c>
      <c r="AG34" s="187">
        <f>IFERROR(__xludf.DUMMYFUNCTION("""COMPUTED_VALUE"""),128.0)</f>
        <v>128</v>
      </c>
      <c r="AH34" s="187">
        <f>IFERROR(__xludf.DUMMYFUNCTION("""COMPUTED_VALUE"""),1.0)</f>
        <v>1</v>
      </c>
      <c r="AI34" s="187">
        <f>IFERROR(__xludf.DUMMYFUNCTION("""COMPUTED_VALUE"""),60.0)</f>
        <v>60</v>
      </c>
      <c r="AJ34" s="187">
        <f>IFERROR(__xludf.DUMMYFUNCTION("""COMPUTED_VALUE"""),0.0)</f>
        <v>0</v>
      </c>
      <c r="AK34" s="187">
        <f>IFERROR(__xludf.DUMMYFUNCTION("""COMPUTED_VALUE"""),0.0)</f>
        <v>0</v>
      </c>
      <c r="AL34" s="187">
        <f>IFERROR(__xludf.DUMMYFUNCTION("""COMPUTED_VALUE"""),1.0)</f>
        <v>1</v>
      </c>
      <c r="AM34" s="187">
        <f>IFERROR(__xludf.DUMMYFUNCTION("""COMPUTED_VALUE"""),1.0)</f>
        <v>1</v>
      </c>
      <c r="AN34" s="187">
        <f>IFERROR(__xludf.DUMMYFUNCTION("""COMPUTED_VALUE"""),134.0)</f>
        <v>134</v>
      </c>
      <c r="AO34" s="187">
        <f>IFERROR(__xludf.DUMMYFUNCTION("""COMPUTED_VALUE"""),222.0)</f>
        <v>222</v>
      </c>
      <c r="AP34" s="187">
        <f>IFERROR(__xludf.DUMMYFUNCTION("""COMPUTED_VALUE"""),78.0)</f>
        <v>78</v>
      </c>
      <c r="AQ34" s="217">
        <f>IFERROR(__xludf.DUMMYFUNCTION("""COMPUTED_VALUE"""),55912.294871794875)</f>
        <v>55912.29487</v>
      </c>
      <c r="AR34" s="188">
        <f>IFERROR(__xludf.DUMMYFUNCTION("""COMPUTED_VALUE"""),2.8461538461538463)</f>
        <v>2.846153846</v>
      </c>
      <c r="AS34" s="217">
        <f>IFERROR(__xludf.DUMMYFUNCTION("""COMPUTED_VALUE"""),121500.0)</f>
        <v>121500</v>
      </c>
      <c r="AT34" s="217"/>
      <c r="AU34" s="218">
        <f>IFERROR(__xludf.DUMMYFUNCTION("""COMPUTED_VALUE"""),0.027859566688579803)</f>
        <v>0.02785956669</v>
      </c>
      <c r="AV34" s="217">
        <f>IFERROR(__xludf.DUMMYFUNCTION("""COMPUTED_VALUE"""),106369.73170731707)</f>
        <v>106369.7317</v>
      </c>
      <c r="AW34" s="219">
        <f>IFERROR(__xludf.DUMMYFUNCTION("""COMPUTED_VALUE"""),78.0)</f>
        <v>78</v>
      </c>
      <c r="AX34" s="219">
        <f>IFERROR(__xludf.DUMMYFUNCTION("""COMPUTED_VALUE"""),819.0)</f>
        <v>819</v>
      </c>
      <c r="AY34" s="220">
        <f>IFERROR(__xludf.DUMMYFUNCTION("""COMPUTED_VALUE"""),5030.83)</f>
        <v>5030.83</v>
      </c>
      <c r="AZ34" s="219">
        <f>IFERROR(__xludf.DUMMYFUNCTION("""COMPUTED_VALUE"""),87.0)</f>
        <v>87</v>
      </c>
      <c r="BA34" s="219">
        <f>IFERROR(__xludf.DUMMYFUNCTION("""COMPUTED_VALUE"""),41.0)</f>
        <v>41</v>
      </c>
      <c r="BB34" s="219">
        <f>IFERROR(__xludf.DUMMYFUNCTION("""COMPUTED_VALUE"""),21.0)</f>
        <v>21</v>
      </c>
      <c r="BC34" s="219">
        <f>IFERROR(__xludf.DUMMYFUNCTION("""COMPUTED_VALUE"""),3.0)</f>
        <v>3</v>
      </c>
      <c r="BD34" s="221"/>
      <c r="BE34" s="98"/>
      <c r="BF34" s="255" t="e">
        <v>#REF!</v>
      </c>
      <c r="BG34" s="256">
        <f t="shared" si="4"/>
        <v>4361159</v>
      </c>
      <c r="BH34" s="257" t="str">
        <f t="shared" si="5"/>
        <v>#REF!</v>
      </c>
      <c r="BI34" s="98"/>
      <c r="BJ34" s="98"/>
      <c r="BK34" s="98"/>
      <c r="BL34" s="98"/>
      <c r="BM34" s="98"/>
      <c r="BN34" s="98"/>
      <c r="BO34" s="98"/>
      <c r="BP34" s="98"/>
      <c r="BQ34" s="98"/>
      <c r="BR34" s="98"/>
    </row>
    <row r="35">
      <c r="A35" s="6" t="str">
        <f>IFERROR(__xludf.DUMMYFUNCTION("""COMPUTED_VALUE"""),"Syed Aqil Rizvi")</f>
        <v>Syed Aqil Rizvi</v>
      </c>
      <c r="B35" s="98" t="str">
        <f>IFERROR(__xludf.DUMMYFUNCTION("""COMPUTED_VALUE"""),"Chattisgarh")</f>
        <v>Chattisgarh</v>
      </c>
      <c r="C35" s="212" t="str">
        <f>IFERROR(__xludf.DUMMYFUNCTION("""COMPUTED_VALUE"""),"Nitin prasad baghel")</f>
        <v>Nitin prasad baghel</v>
      </c>
      <c r="D35" s="98" t="str">
        <f>IFERROR(__xludf.DUMMYFUNCTION("""COMPUTED_VALUE"""),"Raipur")</f>
        <v>Raipur</v>
      </c>
      <c r="E35" s="213">
        <f>IFERROR(__xludf.DUMMYFUNCTION("""COMPUTED_VALUE"""),44245.0)</f>
        <v>44245</v>
      </c>
      <c r="F35" s="222" t="str">
        <f>IFERROR(__xludf.DUMMYFUNCTION("""COMPUTED_VALUE"""),"CHATTISGARH")</f>
        <v>CHATTISGARH</v>
      </c>
      <c r="G35" s="215">
        <f>IFERROR(__xludf.DUMMYFUNCTION("""COMPUTED_VALUE"""),1.419252961E7)</f>
        <v>14192529.61</v>
      </c>
      <c r="H35" s="215">
        <f>IFERROR(__xludf.DUMMYFUNCTION("""COMPUTED_VALUE"""),1.6891187E7)</f>
        <v>16891187</v>
      </c>
      <c r="I35" s="216">
        <f>IFERROR(__xludf.DUMMYFUNCTION("""COMPUTED_VALUE"""),41690.0)</f>
        <v>41690</v>
      </c>
      <c r="J35" s="216">
        <f>IFERROR(__xludf.DUMMYFUNCTION("""COMPUTED_VALUE"""),2800000.0)</f>
        <v>2800000</v>
      </c>
      <c r="K35" s="217">
        <f>IFERROR(__xludf.DUMMYFUNCTION("""COMPUTED_VALUE"""),0.0)</f>
        <v>0</v>
      </c>
      <c r="L35" s="217">
        <f>IFERROR(__xludf.DUMMYFUNCTION("""COMPUTED_VALUE"""),8400000.0)</f>
        <v>8400000</v>
      </c>
      <c r="M35" s="217">
        <f>IFERROR(__xludf.DUMMYFUNCTION("""COMPUTED_VALUE"""),4632220.0)</f>
        <v>4632220</v>
      </c>
      <c r="N35" s="217">
        <f>IFERROR(__xludf.DUMMYFUNCTION("""COMPUTED_VALUE"""),0.0)</f>
        <v>0</v>
      </c>
      <c r="O35" s="217">
        <f>IFERROR(__xludf.DUMMYFUNCTION("""COMPUTED_VALUE"""),3105475.0)</f>
        <v>3105475</v>
      </c>
      <c r="P35" s="218">
        <f>IFERROR(__xludf.DUMMYFUNCTION("""COMPUTED_VALUE"""),0.551454761904762)</f>
        <v>0.5514547619</v>
      </c>
      <c r="Q35" s="218">
        <f>IFERROR(__xludf.DUMMYFUNCTION("""COMPUTED_VALUE"""),0.0)</f>
        <v>0</v>
      </c>
      <c r="R35" s="218">
        <f>IFERROR(__xludf.DUMMYFUNCTION("""COMPUTED_VALUE"""),0.36969940476190477)</f>
        <v>0.3696994048</v>
      </c>
      <c r="S35" s="187">
        <f>IFERROR(__xludf.DUMMYFUNCTION("""COMPUTED_VALUE"""),109.0)</f>
        <v>109</v>
      </c>
      <c r="T35" s="187">
        <f>IFERROR(__xludf.DUMMYFUNCTION("""COMPUTED_VALUE"""),91.0)</f>
        <v>91</v>
      </c>
      <c r="U35" s="187">
        <f>IFERROR(__xludf.DUMMYFUNCTION("""COMPUTED_VALUE"""),1.0)</f>
        <v>1</v>
      </c>
      <c r="V35" s="187">
        <f>IFERROR(__xludf.DUMMYFUNCTION("""COMPUTED_VALUE"""),1.0)</f>
        <v>1</v>
      </c>
      <c r="W35" s="187">
        <f>IFERROR(__xludf.DUMMYFUNCTION("""COMPUTED_VALUE"""),110.0)</f>
        <v>110</v>
      </c>
      <c r="X35" s="187">
        <f>IFERROR(__xludf.DUMMYFUNCTION("""COMPUTED_VALUE"""),19.0)</f>
        <v>19</v>
      </c>
      <c r="Y35" s="188">
        <f>IFERROR(__xludf.DUMMYFUNCTION("""COMPUTED_VALUE"""),4473041.02)</f>
        <v>4473041.02</v>
      </c>
      <c r="Z35" s="188">
        <f>IFERROR(__xludf.DUMMYFUNCTION("""COMPUTED_VALUE"""),159178.56)</f>
        <v>159178.56</v>
      </c>
      <c r="AA35" s="187">
        <f>IFERROR(__xludf.DUMMYFUNCTION("""COMPUTED_VALUE"""),41.0)</f>
        <v>41</v>
      </c>
      <c r="AB35" s="187">
        <f>IFERROR(__xludf.DUMMYFUNCTION("""COMPUTED_VALUE"""),1.0)</f>
        <v>1</v>
      </c>
      <c r="AC35" s="187">
        <f>IFERROR(__xludf.DUMMYFUNCTION("""COMPUTED_VALUE"""),42.0)</f>
        <v>42</v>
      </c>
      <c r="AD35" s="187">
        <f>IFERROR(__xludf.DUMMYFUNCTION("""COMPUTED_VALUE"""),0.0)</f>
        <v>0</v>
      </c>
      <c r="AE35" s="187">
        <f>IFERROR(__xludf.DUMMYFUNCTION("""COMPUTED_VALUE"""),14.0)</f>
        <v>14</v>
      </c>
      <c r="AF35" s="187">
        <f>IFERROR(__xludf.DUMMYFUNCTION("""COMPUTED_VALUE"""),22.0)</f>
        <v>22</v>
      </c>
      <c r="AG35" s="187">
        <f>IFERROR(__xludf.DUMMYFUNCTION("""COMPUTED_VALUE"""),126.0)</f>
        <v>126</v>
      </c>
      <c r="AH35" s="187">
        <f>IFERROR(__xludf.DUMMYFUNCTION("""COMPUTED_VALUE"""),1.0)</f>
        <v>1</v>
      </c>
      <c r="AI35" s="187">
        <f>IFERROR(__xludf.DUMMYFUNCTION("""COMPUTED_VALUE"""),7.0)</f>
        <v>7</v>
      </c>
      <c r="AJ35" s="187">
        <f>IFERROR(__xludf.DUMMYFUNCTION("""COMPUTED_VALUE"""),0.0)</f>
        <v>0</v>
      </c>
      <c r="AK35" s="187">
        <f>IFERROR(__xludf.DUMMYFUNCTION("""COMPUTED_VALUE"""),0.0)</f>
        <v>0</v>
      </c>
      <c r="AL35" s="187">
        <f>IFERROR(__xludf.DUMMYFUNCTION("""COMPUTED_VALUE"""),0.0)</f>
        <v>0</v>
      </c>
      <c r="AM35" s="187">
        <f>IFERROR(__xludf.DUMMYFUNCTION("""COMPUTED_VALUE"""),0.0)</f>
        <v>0</v>
      </c>
      <c r="AN35" s="187">
        <f>IFERROR(__xludf.DUMMYFUNCTION("""COMPUTED_VALUE"""),290.0)</f>
        <v>290</v>
      </c>
      <c r="AO35" s="187">
        <f>IFERROR(__xludf.DUMMYFUNCTION("""COMPUTED_VALUE"""),319.0)</f>
        <v>319</v>
      </c>
      <c r="AP35" s="187">
        <f>IFERROR(__xludf.DUMMYFUNCTION("""COMPUTED_VALUE"""),75.0)</f>
        <v>75</v>
      </c>
      <c r="AQ35" s="217">
        <f>IFERROR(__xludf.DUMMYFUNCTION("""COMPUTED_VALUE"""),61762.933333333334)</f>
        <v>61762.93333</v>
      </c>
      <c r="AR35" s="188">
        <f>IFERROR(__xludf.DUMMYFUNCTION("""COMPUTED_VALUE"""),4.253333333333333)</f>
        <v>4.253333333</v>
      </c>
      <c r="AS35" s="217">
        <f>IFERROR(__xludf.DUMMYFUNCTION("""COMPUTED_VALUE"""),125070.0)</f>
        <v>125070</v>
      </c>
      <c r="AT35" s="217"/>
      <c r="AU35" s="218">
        <f>IFERROR(__xludf.DUMMYFUNCTION("""COMPUTED_VALUE"""),0.027000012952752676)</f>
        <v>0.02700001295</v>
      </c>
      <c r="AV35" s="217">
        <f>IFERROR(__xludf.DUMMYFUNCTION("""COMPUTED_VALUE"""),110290.95238095238)</f>
        <v>110290.9524</v>
      </c>
      <c r="AW35" s="219">
        <f>IFERROR(__xludf.DUMMYFUNCTION("""COMPUTED_VALUE"""),106.0)</f>
        <v>106</v>
      </c>
      <c r="AX35" s="219">
        <f>IFERROR(__xludf.DUMMYFUNCTION("""COMPUTED_VALUE"""),774.0)</f>
        <v>774</v>
      </c>
      <c r="AY35" s="220">
        <f>IFERROR(__xludf.DUMMYFUNCTION("""COMPUTED_VALUE"""),7389.98)</f>
        <v>7389.98</v>
      </c>
      <c r="AZ35" s="219">
        <f>IFERROR(__xludf.DUMMYFUNCTION("""COMPUTED_VALUE"""),81.0)</f>
        <v>81</v>
      </c>
      <c r="BA35" s="219">
        <f>IFERROR(__xludf.DUMMYFUNCTION("""COMPUTED_VALUE"""),42.0)</f>
        <v>42</v>
      </c>
      <c r="BB35" s="219">
        <f>IFERROR(__xludf.DUMMYFUNCTION("""COMPUTED_VALUE"""),51.0)</f>
        <v>51</v>
      </c>
      <c r="BC35" s="219">
        <f>IFERROR(__xludf.DUMMYFUNCTION("""COMPUTED_VALUE"""),17.0)</f>
        <v>17</v>
      </c>
      <c r="BD35" s="221"/>
      <c r="BE35" s="98"/>
      <c r="BF35" s="255" t="e">
        <v>#REF!</v>
      </c>
      <c r="BG35" s="256">
        <f t="shared" si="4"/>
        <v>4632220</v>
      </c>
      <c r="BH35" s="257" t="str">
        <f t="shared" si="5"/>
        <v>#REF!</v>
      </c>
      <c r="BI35" s="98"/>
      <c r="BJ35" s="98"/>
      <c r="BK35" s="98"/>
      <c r="BL35" s="98"/>
      <c r="BM35" s="98"/>
      <c r="BN35" s="98"/>
      <c r="BO35" s="98"/>
      <c r="BP35" s="98"/>
      <c r="BQ35" s="98"/>
      <c r="BR35" s="98"/>
    </row>
    <row r="36">
      <c r="A36" s="6" t="str">
        <f>IFERROR(__xludf.DUMMYFUNCTION("""COMPUTED_VALUE"""),"Syed Aqil Rizvi")</f>
        <v>Syed Aqil Rizvi</v>
      </c>
      <c r="B36" s="98" t="str">
        <f>IFERROR(__xludf.DUMMYFUNCTION("""COMPUTED_VALUE"""),"East U.P")</f>
        <v>East U.P</v>
      </c>
      <c r="C36" s="212" t="str">
        <f>IFERROR(__xludf.DUMMYFUNCTION("""COMPUTED_VALUE"""),"Hemant kumar srivastava")</f>
        <v>Hemant kumar srivastava</v>
      </c>
      <c r="D36" s="98" t="str">
        <f>IFERROR(__xludf.DUMMYFUNCTION("""COMPUTED_VALUE"""),"Gorakhpur")</f>
        <v>Gorakhpur</v>
      </c>
      <c r="E36" s="213">
        <f>IFERROR(__xludf.DUMMYFUNCTION("""COMPUTED_VALUE"""),44247.0)</f>
        <v>44247</v>
      </c>
      <c r="F36" s="222" t="str">
        <f>IFERROR(__xludf.DUMMYFUNCTION("""COMPUTED_VALUE"""),"East U.P")</f>
        <v>East U.P</v>
      </c>
      <c r="G36" s="215">
        <f>IFERROR(__xludf.DUMMYFUNCTION("""COMPUTED_VALUE"""),2.8197453032999996E7)</f>
        <v>28197453.03</v>
      </c>
      <c r="H36" s="215">
        <f>IFERROR(__xludf.DUMMYFUNCTION("""COMPUTED_VALUE"""),1.7231444336E7)</f>
        <v>17231444.34</v>
      </c>
      <c r="I36" s="216">
        <f>IFERROR(__xludf.DUMMYFUNCTION("""COMPUTED_VALUE"""),45515.0)</f>
        <v>45515</v>
      </c>
      <c r="J36" s="216">
        <f>IFERROR(__xludf.DUMMYFUNCTION("""COMPUTED_VALUE"""),3800000.0)</f>
        <v>3800000</v>
      </c>
      <c r="K36" s="217">
        <f>IFERROR(__xludf.DUMMYFUNCTION("""COMPUTED_VALUE"""),750000.0)</f>
        <v>750000</v>
      </c>
      <c r="L36" s="217">
        <f>IFERROR(__xludf.DUMMYFUNCTION("""COMPUTED_VALUE"""),1.065E7)</f>
        <v>10650000</v>
      </c>
      <c r="M36" s="217">
        <f>IFERROR(__xludf.DUMMYFUNCTION("""COMPUTED_VALUE"""),5984671.0)</f>
        <v>5984671</v>
      </c>
      <c r="N36" s="217">
        <f>IFERROR(__xludf.DUMMYFUNCTION("""COMPUTED_VALUE"""),0.0)</f>
        <v>0</v>
      </c>
      <c r="O36" s="217">
        <f>IFERROR(__xludf.DUMMYFUNCTION("""COMPUTED_VALUE"""),2711532.0)</f>
        <v>2711532</v>
      </c>
      <c r="P36" s="218">
        <f>IFERROR(__xludf.DUMMYFUNCTION("""COMPUTED_VALUE"""),0.5249711403508772)</f>
        <v>0.5249711404</v>
      </c>
      <c r="Q36" s="218">
        <f>IFERROR(__xludf.DUMMYFUNCTION("""COMPUTED_VALUE"""),0.0)</f>
        <v>0</v>
      </c>
      <c r="R36" s="218">
        <f>IFERROR(__xludf.DUMMYFUNCTION("""COMPUTED_VALUE"""),0.23785368421052633)</f>
        <v>0.2378536842</v>
      </c>
      <c r="S36" s="187">
        <f>IFERROR(__xludf.DUMMYFUNCTION("""COMPUTED_VALUE"""),110.0)</f>
        <v>110</v>
      </c>
      <c r="T36" s="187">
        <f>IFERROR(__xludf.DUMMYFUNCTION("""COMPUTED_VALUE"""),57.0)</f>
        <v>57</v>
      </c>
      <c r="U36" s="187">
        <f>IFERROR(__xludf.DUMMYFUNCTION("""COMPUTED_VALUE"""),5.0)</f>
        <v>5</v>
      </c>
      <c r="V36" s="187">
        <f>IFERROR(__xludf.DUMMYFUNCTION("""COMPUTED_VALUE"""),2.0)</f>
        <v>2</v>
      </c>
      <c r="W36" s="187">
        <f>IFERROR(__xludf.DUMMYFUNCTION("""COMPUTED_VALUE"""),115.0)</f>
        <v>115</v>
      </c>
      <c r="X36" s="187">
        <f>IFERROR(__xludf.DUMMYFUNCTION("""COMPUTED_VALUE"""),58.0)</f>
        <v>58</v>
      </c>
      <c r="Y36" s="188">
        <f>IFERROR(__xludf.DUMMYFUNCTION("""COMPUTED_VALUE"""),5894905.98)</f>
        <v>5894905.98</v>
      </c>
      <c r="Z36" s="188">
        <f>IFERROR(__xludf.DUMMYFUNCTION("""COMPUTED_VALUE"""),89764.59)</f>
        <v>89764.59</v>
      </c>
      <c r="AA36" s="187">
        <f>IFERROR(__xludf.DUMMYFUNCTION("""COMPUTED_VALUE"""),49.0)</f>
        <v>49</v>
      </c>
      <c r="AB36" s="187">
        <f>IFERROR(__xludf.DUMMYFUNCTION("""COMPUTED_VALUE"""),2.0)</f>
        <v>2</v>
      </c>
      <c r="AC36" s="187">
        <f>IFERROR(__xludf.DUMMYFUNCTION("""COMPUTED_VALUE"""),51.0)</f>
        <v>51</v>
      </c>
      <c r="AD36" s="187">
        <f>IFERROR(__xludf.DUMMYFUNCTION("""COMPUTED_VALUE"""),0.0)</f>
        <v>0</v>
      </c>
      <c r="AE36" s="187">
        <f>IFERROR(__xludf.DUMMYFUNCTION("""COMPUTED_VALUE"""),5.0)</f>
        <v>5</v>
      </c>
      <c r="AF36" s="187">
        <f>IFERROR(__xludf.DUMMYFUNCTION("""COMPUTED_VALUE"""),8.0)</f>
        <v>8</v>
      </c>
      <c r="AG36" s="187">
        <f>IFERROR(__xludf.DUMMYFUNCTION("""COMPUTED_VALUE"""),45.0)</f>
        <v>45</v>
      </c>
      <c r="AH36" s="187">
        <f>IFERROR(__xludf.DUMMYFUNCTION("""COMPUTED_VALUE"""),3.0)</f>
        <v>3</v>
      </c>
      <c r="AI36" s="187">
        <f>IFERROR(__xludf.DUMMYFUNCTION("""COMPUTED_VALUE"""),60.0)</f>
        <v>60</v>
      </c>
      <c r="AJ36" s="187">
        <f>IFERROR(__xludf.DUMMYFUNCTION("""COMPUTED_VALUE"""),0.0)</f>
        <v>0</v>
      </c>
      <c r="AK36" s="187">
        <f>IFERROR(__xludf.DUMMYFUNCTION("""COMPUTED_VALUE"""),0.0)</f>
        <v>0</v>
      </c>
      <c r="AL36" s="187">
        <f>IFERROR(__xludf.DUMMYFUNCTION("""COMPUTED_VALUE"""),2.0)</f>
        <v>2</v>
      </c>
      <c r="AM36" s="187">
        <f>IFERROR(__xludf.DUMMYFUNCTION("""COMPUTED_VALUE"""),4.0)</f>
        <v>4</v>
      </c>
      <c r="AN36" s="187">
        <f>IFERROR(__xludf.DUMMYFUNCTION("""COMPUTED_VALUE"""),219.0)</f>
        <v>219</v>
      </c>
      <c r="AO36" s="187">
        <f>IFERROR(__xludf.DUMMYFUNCTION("""COMPUTED_VALUE"""),291.0)</f>
        <v>291</v>
      </c>
      <c r="AP36" s="187">
        <f>IFERROR(__xludf.DUMMYFUNCTION("""COMPUTED_VALUE"""),71.0)</f>
        <v>71</v>
      </c>
      <c r="AQ36" s="217">
        <f>IFERROR(__xludf.DUMMYFUNCTION("""COMPUTED_VALUE"""),84291.14084507042)</f>
        <v>84291.14085</v>
      </c>
      <c r="AR36" s="188">
        <f>IFERROR(__xludf.DUMMYFUNCTION("""COMPUTED_VALUE"""),4.098591549295775)</f>
        <v>4.098591549</v>
      </c>
      <c r="AS36" s="217">
        <f>IFERROR(__xludf.DUMMYFUNCTION("""COMPUTED_VALUE"""),136545.0)</f>
        <v>136545</v>
      </c>
      <c r="AT36" s="217"/>
      <c r="AU36" s="218">
        <f>IFERROR(__xludf.DUMMYFUNCTION("""COMPUTED_VALUE"""),0.022815790542203573)</f>
        <v>0.02281579054</v>
      </c>
      <c r="AV36" s="217">
        <f>IFERROR(__xludf.DUMMYFUNCTION("""COMPUTED_VALUE"""),117346.49019607843)</f>
        <v>117346.4902</v>
      </c>
      <c r="AW36" s="219">
        <f>IFERROR(__xludf.DUMMYFUNCTION("""COMPUTED_VALUE"""),198.0)</f>
        <v>198</v>
      </c>
      <c r="AX36" s="219">
        <f>IFERROR(__xludf.DUMMYFUNCTION("""COMPUTED_VALUE"""),770.0)</f>
        <v>770</v>
      </c>
      <c r="AY36" s="220">
        <f>IFERROR(__xludf.DUMMYFUNCTION("""COMPUTED_VALUE"""),6744.46)</f>
        <v>6744.46</v>
      </c>
      <c r="AZ36" s="219">
        <f>IFERROR(__xludf.DUMMYFUNCTION("""COMPUTED_VALUE"""),118.0)</f>
        <v>118</v>
      </c>
      <c r="BA36" s="219">
        <f>IFERROR(__xludf.DUMMYFUNCTION("""COMPUTED_VALUE"""),51.0)</f>
        <v>51</v>
      </c>
      <c r="BB36" s="219">
        <f>IFERROR(__xludf.DUMMYFUNCTION("""COMPUTED_VALUE"""),13.0)</f>
        <v>13</v>
      </c>
      <c r="BC36" s="219">
        <f>IFERROR(__xludf.DUMMYFUNCTION("""COMPUTED_VALUE"""),51.0)</f>
        <v>51</v>
      </c>
      <c r="BD36" s="221"/>
      <c r="BE36" s="98"/>
      <c r="BF36" s="255" t="e">
        <v>#REF!</v>
      </c>
      <c r="BG36" s="256">
        <f t="shared" si="4"/>
        <v>5984671</v>
      </c>
      <c r="BH36" s="257" t="str">
        <f t="shared" si="5"/>
        <v>#REF!</v>
      </c>
      <c r="BI36" s="98"/>
      <c r="BJ36" s="98"/>
      <c r="BK36" s="98"/>
      <c r="BL36" s="98"/>
      <c r="BM36" s="98"/>
      <c r="BN36" s="98"/>
      <c r="BO36" s="98"/>
      <c r="BP36" s="98"/>
      <c r="BQ36" s="98"/>
      <c r="BR36" s="98"/>
    </row>
    <row r="37">
      <c r="A37" s="6" t="str">
        <f>IFERROR(__xludf.DUMMYFUNCTION("""COMPUTED_VALUE"""),"Sandeep Dadheech")</f>
        <v>Sandeep Dadheech</v>
      </c>
      <c r="B37" s="98" t="str">
        <f>IFERROR(__xludf.DUMMYFUNCTION("""COMPUTED_VALUE"""),"Bihar")</f>
        <v>Bihar</v>
      </c>
      <c r="C37" s="212" t="str">
        <f>IFERROR(__xludf.DUMMYFUNCTION("""COMPUTED_VALUE"""),"Prabhakar Pratap Singh")</f>
        <v>Prabhakar Pratap Singh</v>
      </c>
      <c r="D37" s="98" t="str">
        <f>IFERROR(__xludf.DUMMYFUNCTION("""COMPUTED_VALUE"""),"Patna")</f>
        <v>Patna</v>
      </c>
      <c r="E37" s="213">
        <f>IFERROR(__xludf.DUMMYFUNCTION("""COMPUTED_VALUE"""),44396.0)</f>
        <v>44396</v>
      </c>
      <c r="F37" s="222" t="str">
        <f>IFERROR(__xludf.DUMMYFUNCTION("""COMPUTED_VALUE"""),"BIHAR")</f>
        <v>BIHAR</v>
      </c>
      <c r="G37" s="215">
        <f>IFERROR(__xludf.DUMMYFUNCTION("""COMPUTED_VALUE"""),3.476221499999999E7)</f>
        <v>34762215</v>
      </c>
      <c r="H37" s="215">
        <f>IFERROR(__xludf.DUMMYFUNCTION("""COMPUTED_VALUE"""),5.002761368E7)</f>
        <v>50027613.68</v>
      </c>
      <c r="I37" s="216">
        <f>IFERROR(__xludf.DUMMYFUNCTION("""COMPUTED_VALUE"""),49690.0)</f>
        <v>49690</v>
      </c>
      <c r="J37" s="56">
        <f>IFERROR(__xludf.DUMMYFUNCTION("""COMPUTED_VALUE"""),5916667.0)</f>
        <v>5916667</v>
      </c>
      <c r="K37" s="217">
        <f>IFERROR(__xludf.DUMMYFUNCTION("""COMPUTED_VALUE"""),0.0)</f>
        <v>0</v>
      </c>
      <c r="L37" s="217">
        <f>IFERROR(__xludf.DUMMYFUNCTION("""COMPUTED_VALUE"""),1.7750001E7)</f>
        <v>17750001</v>
      </c>
      <c r="M37" s="217">
        <f>IFERROR(__xludf.DUMMYFUNCTION("""COMPUTED_VALUE"""),1.0623118E7)</f>
        <v>10623118</v>
      </c>
      <c r="N37" s="217">
        <f>IFERROR(__xludf.DUMMYFUNCTION("""COMPUTED_VALUE"""),0.0)</f>
        <v>0</v>
      </c>
      <c r="O37" s="217">
        <f>IFERROR(__xludf.DUMMYFUNCTION("""COMPUTED_VALUE"""),9818672.0)</f>
        <v>9818672</v>
      </c>
      <c r="P37" s="218">
        <f>IFERROR(__xludf.DUMMYFUNCTION("""COMPUTED_VALUE"""),0.5984854874092683)</f>
        <v>0.5984854874</v>
      </c>
      <c r="Q37" s="218">
        <f>IFERROR(__xludf.DUMMYFUNCTION("""COMPUTED_VALUE"""),0.0)</f>
        <v>0</v>
      </c>
      <c r="R37" s="218">
        <f>IFERROR(__xludf.DUMMYFUNCTION("""COMPUTED_VALUE"""),0.5531645885541077)</f>
        <v>0.5531645886</v>
      </c>
      <c r="S37" s="187">
        <f>IFERROR(__xludf.DUMMYFUNCTION("""COMPUTED_VALUE"""),214.0)</f>
        <v>214</v>
      </c>
      <c r="T37" s="187">
        <f>IFERROR(__xludf.DUMMYFUNCTION("""COMPUTED_VALUE"""),99.0)</f>
        <v>99</v>
      </c>
      <c r="U37" s="187">
        <f>IFERROR(__xludf.DUMMYFUNCTION("""COMPUTED_VALUE"""),2.0)</f>
        <v>2</v>
      </c>
      <c r="V37" s="187">
        <f>IFERROR(__xludf.DUMMYFUNCTION("""COMPUTED_VALUE"""),2.0)</f>
        <v>2</v>
      </c>
      <c r="W37" s="187">
        <f>IFERROR(__xludf.DUMMYFUNCTION("""COMPUTED_VALUE"""),216.0)</f>
        <v>216</v>
      </c>
      <c r="X37" s="187">
        <f>IFERROR(__xludf.DUMMYFUNCTION("""COMPUTED_VALUE"""),117.0)</f>
        <v>117</v>
      </c>
      <c r="Y37" s="188">
        <f>IFERROR(__xludf.DUMMYFUNCTION("""COMPUTED_VALUE"""),1.040243083E7)</f>
        <v>10402430.83</v>
      </c>
      <c r="Z37" s="188">
        <f>IFERROR(__xludf.DUMMYFUNCTION("""COMPUTED_VALUE"""),220687.64)</f>
        <v>220687.64</v>
      </c>
      <c r="AA37" s="187">
        <f>IFERROR(__xludf.DUMMYFUNCTION("""COMPUTED_VALUE"""),60.0)</f>
        <v>60</v>
      </c>
      <c r="AB37" s="187">
        <f>IFERROR(__xludf.DUMMYFUNCTION("""COMPUTED_VALUE"""),2.0)</f>
        <v>2</v>
      </c>
      <c r="AC37" s="187">
        <f>IFERROR(__xludf.DUMMYFUNCTION("""COMPUTED_VALUE"""),62.0)</f>
        <v>62</v>
      </c>
      <c r="AD37" s="187">
        <f>IFERROR(__xludf.DUMMYFUNCTION("""COMPUTED_VALUE"""),0.0)</f>
        <v>0</v>
      </c>
      <c r="AE37" s="187">
        <f>IFERROR(__xludf.DUMMYFUNCTION("""COMPUTED_VALUE"""),29.0)</f>
        <v>29</v>
      </c>
      <c r="AF37" s="187">
        <f>IFERROR(__xludf.DUMMYFUNCTION("""COMPUTED_VALUE"""),32.0)</f>
        <v>32</v>
      </c>
      <c r="AG37" s="187">
        <f>IFERROR(__xludf.DUMMYFUNCTION("""COMPUTED_VALUE"""),507.0)</f>
        <v>507</v>
      </c>
      <c r="AH37" s="187">
        <f>IFERROR(__xludf.DUMMYFUNCTION("""COMPUTED_VALUE"""),4.0)</f>
        <v>4</v>
      </c>
      <c r="AI37" s="187">
        <f>IFERROR(__xludf.DUMMYFUNCTION("""COMPUTED_VALUE"""),22.0)</f>
        <v>22</v>
      </c>
      <c r="AJ37" s="187">
        <f>IFERROR(__xludf.DUMMYFUNCTION("""COMPUTED_VALUE"""),0.0)</f>
        <v>0</v>
      </c>
      <c r="AK37" s="187">
        <f>IFERROR(__xludf.DUMMYFUNCTION("""COMPUTED_VALUE"""),0.0)</f>
        <v>0</v>
      </c>
      <c r="AL37" s="187">
        <f>IFERROR(__xludf.DUMMYFUNCTION("""COMPUTED_VALUE"""),1.0)</f>
        <v>1</v>
      </c>
      <c r="AM37" s="187">
        <f>IFERROR(__xludf.DUMMYFUNCTION("""COMPUTED_VALUE"""),1.0)</f>
        <v>1</v>
      </c>
      <c r="AN37" s="187">
        <f>IFERROR(__xludf.DUMMYFUNCTION("""COMPUTED_VALUE"""),185.0)</f>
        <v>185</v>
      </c>
      <c r="AO37" s="187">
        <f>IFERROR(__xludf.DUMMYFUNCTION("""COMPUTED_VALUE"""),240.0)</f>
        <v>240</v>
      </c>
      <c r="AP37" s="187">
        <f>IFERROR(__xludf.DUMMYFUNCTION("""COMPUTED_VALUE"""),58.0)</f>
        <v>58</v>
      </c>
      <c r="AQ37" s="217">
        <f>IFERROR(__xludf.DUMMYFUNCTION("""COMPUTED_VALUE"""),183157.2068965517)</f>
        <v>183157.2069</v>
      </c>
      <c r="AR37" s="188">
        <f>IFERROR(__xludf.DUMMYFUNCTION("""COMPUTED_VALUE"""),4.137931034482759)</f>
        <v>4.137931034</v>
      </c>
      <c r="AS37" s="217">
        <f>IFERROR(__xludf.DUMMYFUNCTION("""COMPUTED_VALUE"""),149070.0)</f>
        <v>149070</v>
      </c>
      <c r="AT37" s="217"/>
      <c r="AU37" s="218">
        <f>IFERROR(__xludf.DUMMYFUNCTION("""COMPUTED_VALUE"""),0.014032603233815156)</f>
        <v>0.01403260323</v>
      </c>
      <c r="AV37" s="217">
        <f>IFERROR(__xludf.DUMMYFUNCTION("""COMPUTED_VALUE"""),171340.61290322582)</f>
        <v>171340.6129</v>
      </c>
      <c r="AW37" s="219">
        <f>IFERROR(__xludf.DUMMYFUNCTION("""COMPUTED_VALUE"""),105.0)</f>
        <v>105</v>
      </c>
      <c r="AX37" s="219">
        <f>IFERROR(__xludf.DUMMYFUNCTION("""COMPUTED_VALUE"""),580.0)</f>
        <v>580</v>
      </c>
      <c r="AY37" s="220">
        <f>IFERROR(__xludf.DUMMYFUNCTION("""COMPUTED_VALUE"""),5579.9)</f>
        <v>5579.9</v>
      </c>
      <c r="AZ37" s="219">
        <f>IFERROR(__xludf.DUMMYFUNCTION("""COMPUTED_VALUE"""),56.0)</f>
        <v>56</v>
      </c>
      <c r="BA37" s="219">
        <f>IFERROR(__xludf.DUMMYFUNCTION("""COMPUTED_VALUE"""),62.0)</f>
        <v>62</v>
      </c>
      <c r="BB37" s="219">
        <f>IFERROR(__xludf.DUMMYFUNCTION("""COMPUTED_VALUE"""),41.0)</f>
        <v>41</v>
      </c>
      <c r="BC37" s="219">
        <f>IFERROR(__xludf.DUMMYFUNCTION("""COMPUTED_VALUE"""),113.0)</f>
        <v>113</v>
      </c>
      <c r="BD37" s="261"/>
      <c r="BE37" s="98"/>
      <c r="BF37" s="255" t="e">
        <v>#REF!</v>
      </c>
      <c r="BG37" s="256">
        <f t="shared" si="4"/>
        <v>10623118</v>
      </c>
      <c r="BH37" s="257" t="str">
        <f t="shared" si="5"/>
        <v>#REF!</v>
      </c>
      <c r="BI37" s="98"/>
      <c r="BJ37" s="98"/>
      <c r="BK37" s="98"/>
      <c r="BL37" s="98"/>
      <c r="BM37" s="98"/>
      <c r="BN37" s="98"/>
      <c r="BO37" s="98"/>
      <c r="BP37" s="98"/>
      <c r="BQ37" s="98"/>
      <c r="BR37" s="98"/>
    </row>
    <row r="38">
      <c r="A38" s="6" t="str">
        <f>IFERROR(__xludf.DUMMYFUNCTION("""COMPUTED_VALUE"""),"Sandeep Dadheech")</f>
        <v>Sandeep Dadheech</v>
      </c>
      <c r="B38" s="98" t="str">
        <f>IFERROR(__xludf.DUMMYFUNCTION("""COMPUTED_VALUE"""),"Jharkhand")</f>
        <v>Jharkhand</v>
      </c>
      <c r="C38" s="212" t="str">
        <f>IFERROR(__xludf.DUMMYFUNCTION("""COMPUTED_VALUE"""),"Rakesh Kumar Sinha")</f>
        <v>Rakesh Kumar Sinha</v>
      </c>
      <c r="D38" s="98" t="str">
        <f>IFERROR(__xludf.DUMMYFUNCTION("""COMPUTED_VALUE"""),"Deoghar")</f>
        <v>Deoghar</v>
      </c>
      <c r="E38" s="213">
        <f>IFERROR(__xludf.DUMMYFUNCTION("""COMPUTED_VALUE"""),44424.0)</f>
        <v>44424</v>
      </c>
      <c r="F38" s="222" t="str">
        <f>IFERROR(__xludf.DUMMYFUNCTION("""COMPUTED_VALUE"""),"BIHAR, JHARKHAND")</f>
        <v>BIHAR, JHARKHAND</v>
      </c>
      <c r="G38" s="259">
        <f>IFERROR(__xludf.DUMMYFUNCTION("""COMPUTED_VALUE"""),5.261190539E7)</f>
        <v>52611905.39</v>
      </c>
      <c r="H38" s="259">
        <f>IFERROR(__xludf.DUMMYFUNCTION("""COMPUTED_VALUE"""),7.16878E7)</f>
        <v>71687800</v>
      </c>
      <c r="I38" s="216">
        <f>IFERROR(__xludf.DUMMYFUNCTION("""COMPUTED_VALUE"""),51393.0)</f>
        <v>51393</v>
      </c>
      <c r="J38" s="56">
        <f>IFERROR(__xludf.DUMMYFUNCTION("""COMPUTED_VALUE"""),8416667.0)</f>
        <v>8416667</v>
      </c>
      <c r="K38" s="217">
        <f>IFERROR(__xludf.DUMMYFUNCTION("""COMPUTED_VALUE"""),0.0)</f>
        <v>0</v>
      </c>
      <c r="L38" s="217">
        <f>IFERROR(__xludf.DUMMYFUNCTION("""COMPUTED_VALUE"""),2.5250001E7)</f>
        <v>25250001</v>
      </c>
      <c r="M38" s="217">
        <f>IFERROR(__xludf.DUMMYFUNCTION("""COMPUTED_VALUE"""),1.3364566E7)</f>
        <v>13364566</v>
      </c>
      <c r="N38" s="217">
        <f>IFERROR(__xludf.DUMMYFUNCTION("""COMPUTED_VALUE"""),0.0)</f>
        <v>0</v>
      </c>
      <c r="O38" s="260">
        <f>IFERROR(__xludf.DUMMYFUNCTION("""COMPUTED_VALUE"""),1.1572478E7)</f>
        <v>11572478</v>
      </c>
      <c r="P38" s="218">
        <f>IFERROR(__xludf.DUMMYFUNCTION("""COMPUTED_VALUE"""),0.5292897216122883)</f>
        <v>0.5292897216</v>
      </c>
      <c r="Q38" s="218">
        <f>IFERROR(__xludf.DUMMYFUNCTION("""COMPUTED_VALUE"""),0.0)</f>
        <v>0</v>
      </c>
      <c r="R38" s="218">
        <f>IFERROR(__xludf.DUMMYFUNCTION("""COMPUTED_VALUE"""),0.4583159422449132)</f>
        <v>0.4583159422</v>
      </c>
      <c r="S38" s="187">
        <f>IFERROR(__xludf.DUMMYFUNCTION("""COMPUTED_VALUE"""),67.0)</f>
        <v>67</v>
      </c>
      <c r="T38" s="187">
        <f>IFERROR(__xludf.DUMMYFUNCTION("""COMPUTED_VALUE"""),68.0)</f>
        <v>68</v>
      </c>
      <c r="U38" s="187">
        <f>IFERROR(__xludf.DUMMYFUNCTION("""COMPUTED_VALUE"""),2.0)</f>
        <v>2</v>
      </c>
      <c r="V38" s="187">
        <f>IFERROR(__xludf.DUMMYFUNCTION("""COMPUTED_VALUE"""),1.0)</f>
        <v>1</v>
      </c>
      <c r="W38" s="187">
        <f>IFERROR(__xludf.DUMMYFUNCTION("""COMPUTED_VALUE"""),69.0)</f>
        <v>69</v>
      </c>
      <c r="X38" s="187">
        <f>IFERROR(__xludf.DUMMYFUNCTION("""COMPUTED_VALUE"""),1.0)</f>
        <v>1</v>
      </c>
      <c r="Y38" s="188">
        <f>IFERROR(__xludf.DUMMYFUNCTION("""COMPUTED_VALUE"""),1.288900703E7)</f>
        <v>12889007.03</v>
      </c>
      <c r="Z38" s="188">
        <f>IFERROR(__xludf.DUMMYFUNCTION("""COMPUTED_VALUE"""),475559.25)</f>
        <v>475559.25</v>
      </c>
      <c r="AA38" s="187">
        <f>IFERROR(__xludf.DUMMYFUNCTION("""COMPUTED_VALUE"""),55.0)</f>
        <v>55</v>
      </c>
      <c r="AB38" s="187">
        <f>IFERROR(__xludf.DUMMYFUNCTION("""COMPUTED_VALUE"""),1.0)</f>
        <v>1</v>
      </c>
      <c r="AC38" s="187">
        <f>IFERROR(__xludf.DUMMYFUNCTION("""COMPUTED_VALUE"""),56.0)</f>
        <v>56</v>
      </c>
      <c r="AD38" s="187">
        <f>IFERROR(__xludf.DUMMYFUNCTION("""COMPUTED_VALUE"""),0.0)</f>
        <v>0</v>
      </c>
      <c r="AE38" s="187">
        <f>IFERROR(__xludf.DUMMYFUNCTION("""COMPUTED_VALUE"""),0.0)</f>
        <v>0</v>
      </c>
      <c r="AF38" s="187">
        <f>IFERROR(__xludf.DUMMYFUNCTION("""COMPUTED_VALUE"""),0.0)</f>
        <v>0</v>
      </c>
      <c r="AG38" s="187">
        <f>IFERROR(__xludf.DUMMYFUNCTION("""COMPUTED_VALUE"""),51.0)</f>
        <v>51</v>
      </c>
      <c r="AH38" s="187">
        <f>IFERROR(__xludf.DUMMYFUNCTION("""COMPUTED_VALUE"""),1.0)</f>
        <v>1</v>
      </c>
      <c r="AI38" s="187">
        <f>IFERROR(__xludf.DUMMYFUNCTION("""COMPUTED_VALUE"""),32.0)</f>
        <v>32</v>
      </c>
      <c r="AJ38" s="187">
        <f>IFERROR(__xludf.DUMMYFUNCTION("""COMPUTED_VALUE"""),0.0)</f>
        <v>0</v>
      </c>
      <c r="AK38" s="187">
        <f>IFERROR(__xludf.DUMMYFUNCTION("""COMPUTED_VALUE"""),0.0)</f>
        <v>0</v>
      </c>
      <c r="AL38" s="187">
        <f>IFERROR(__xludf.DUMMYFUNCTION("""COMPUTED_VALUE"""),0.0)</f>
        <v>0</v>
      </c>
      <c r="AM38" s="187">
        <f>IFERROR(__xludf.DUMMYFUNCTION("""COMPUTED_VALUE"""),0.0)</f>
        <v>0</v>
      </c>
      <c r="AN38" s="187">
        <f>IFERROR(__xludf.DUMMYFUNCTION("""COMPUTED_VALUE"""),243.0)</f>
        <v>243</v>
      </c>
      <c r="AO38" s="187">
        <f>IFERROR(__xludf.DUMMYFUNCTION("""COMPUTED_VALUE"""),275.0)</f>
        <v>275</v>
      </c>
      <c r="AP38" s="187">
        <f>IFERROR(__xludf.DUMMYFUNCTION("""COMPUTED_VALUE"""),62.0)</f>
        <v>62</v>
      </c>
      <c r="AQ38" s="217">
        <f>IFERROR(__xludf.DUMMYFUNCTION("""COMPUTED_VALUE"""),215557.51612903227)</f>
        <v>215557.5161</v>
      </c>
      <c r="AR38" s="188">
        <f>IFERROR(__xludf.DUMMYFUNCTION("""COMPUTED_VALUE"""),4.435483870967742)</f>
        <v>4.435483871</v>
      </c>
      <c r="AS38" s="217">
        <f>IFERROR(__xludf.DUMMYFUNCTION("""COMPUTED_VALUE"""),154179.0)</f>
        <v>154179</v>
      </c>
      <c r="AT38" s="217"/>
      <c r="AU38" s="218">
        <f>IFERROR(__xludf.DUMMYFUNCTION("""COMPUTED_VALUE"""),0.011536401556174738)</f>
        <v>0.01153640156</v>
      </c>
      <c r="AV38" s="217">
        <f>IFERROR(__xludf.DUMMYFUNCTION("""COMPUTED_VALUE"""),238652.9642857143)</f>
        <v>238652.9643</v>
      </c>
      <c r="AW38" s="219">
        <f>IFERROR(__xludf.DUMMYFUNCTION("""COMPUTED_VALUE"""),148.0)</f>
        <v>148</v>
      </c>
      <c r="AX38" s="219">
        <f>IFERROR(__xludf.DUMMYFUNCTION("""COMPUTED_VALUE"""),684.0)</f>
        <v>684</v>
      </c>
      <c r="AY38" s="220">
        <f>IFERROR(__xludf.DUMMYFUNCTION("""COMPUTED_VALUE"""),7415.05)</f>
        <v>7415.05</v>
      </c>
      <c r="AZ38" s="219">
        <f>IFERROR(__xludf.DUMMYFUNCTION("""COMPUTED_VALUE"""),109.0)</f>
        <v>109</v>
      </c>
      <c r="BA38" s="219">
        <f>IFERROR(__xludf.DUMMYFUNCTION("""COMPUTED_VALUE"""),56.0)</f>
        <v>56</v>
      </c>
      <c r="BB38" s="219">
        <f>IFERROR(__xludf.DUMMYFUNCTION("""COMPUTED_VALUE"""),12.0)</f>
        <v>12</v>
      </c>
      <c r="BC38" s="219">
        <f>IFERROR(__xludf.DUMMYFUNCTION("""COMPUTED_VALUE"""),1.0)</f>
        <v>1</v>
      </c>
      <c r="BD38" s="261"/>
      <c r="BE38" s="98"/>
      <c r="BF38" s="241" t="e">
        <v>#REF!</v>
      </c>
      <c r="BG38" s="256">
        <f t="shared" si="4"/>
        <v>13364566</v>
      </c>
      <c r="BH38" s="257" t="str">
        <f t="shared" si="5"/>
        <v>#REF!</v>
      </c>
      <c r="BI38" s="98"/>
      <c r="BJ38" s="98"/>
      <c r="BK38" s="98"/>
      <c r="BL38" s="98"/>
      <c r="BM38" s="98"/>
      <c r="BN38" s="98"/>
      <c r="BO38" s="98"/>
      <c r="BP38" s="98"/>
      <c r="BQ38" s="98"/>
      <c r="BR38" s="98"/>
    </row>
    <row r="39">
      <c r="A39" s="6" t="str">
        <f>IFERROR(__xludf.DUMMYFUNCTION("""COMPUTED_VALUE"""),"Lalan Kumar")</f>
        <v>Lalan Kumar</v>
      </c>
      <c r="B39" s="98" t="str">
        <f>IFERROR(__xludf.DUMMYFUNCTION("""COMPUTED_VALUE"""),"Maharashtra")</f>
        <v>Maharashtra</v>
      </c>
      <c r="C39" s="98" t="str">
        <f>IFERROR(__xludf.DUMMYFUNCTION("""COMPUTED_VALUE"""),"Tejas Lunawat")</f>
        <v>Tejas Lunawat</v>
      </c>
      <c r="D39" s="98" t="str">
        <f>IFERROR(__xludf.DUMMYFUNCTION("""COMPUTED_VALUE"""),"Pune")</f>
        <v>Pune</v>
      </c>
      <c r="E39" s="213">
        <f>IFERROR(__xludf.DUMMYFUNCTION("""COMPUTED_VALUE"""),44459.0)</f>
        <v>44459</v>
      </c>
      <c r="F39" s="222" t="str">
        <f>IFERROR(__xludf.DUMMYFUNCTION("""COMPUTED_VALUE"""),"MAHARASHTRA")</f>
        <v>MAHARASHTRA</v>
      </c>
      <c r="G39" s="215">
        <f>IFERROR(__xludf.DUMMYFUNCTION("""COMPUTED_VALUE"""),1.8278833789999995E7)</f>
        <v>18278833.79</v>
      </c>
      <c r="H39" s="215">
        <f>IFERROR(__xludf.DUMMYFUNCTION("""COMPUTED_VALUE"""),2.8229618E7)</f>
        <v>28229618</v>
      </c>
      <c r="I39" s="216">
        <f>IFERROR(__xludf.DUMMYFUNCTION("""COMPUTED_VALUE"""),49585.0)</f>
        <v>49585</v>
      </c>
      <c r="J39" s="216">
        <f>IFERROR(__xludf.DUMMYFUNCTION("""COMPUTED_VALUE"""),2000000.0)</f>
        <v>2000000</v>
      </c>
      <c r="K39" s="217">
        <f>IFERROR(__xludf.DUMMYFUNCTION("""COMPUTED_VALUE"""),0.0)</f>
        <v>0</v>
      </c>
      <c r="L39" s="217">
        <f>IFERROR(__xludf.DUMMYFUNCTION("""COMPUTED_VALUE"""),6000000.0)</f>
        <v>6000000</v>
      </c>
      <c r="M39" s="217">
        <f>IFERROR(__xludf.DUMMYFUNCTION("""COMPUTED_VALUE"""),2982647.0)</f>
        <v>2982647</v>
      </c>
      <c r="N39" s="217">
        <f>IFERROR(__xludf.DUMMYFUNCTION("""COMPUTED_VALUE"""),0.0)</f>
        <v>0</v>
      </c>
      <c r="O39" s="217">
        <f>IFERROR(__xludf.DUMMYFUNCTION("""COMPUTED_VALUE"""),1716225.6599999997)</f>
        <v>1716225.66</v>
      </c>
      <c r="P39" s="218">
        <f>IFERROR(__xludf.DUMMYFUNCTION("""COMPUTED_VALUE"""),0.49710783333333336)</f>
        <v>0.4971078333</v>
      </c>
      <c r="Q39" s="218">
        <f>IFERROR(__xludf.DUMMYFUNCTION("""COMPUTED_VALUE"""),0.0)</f>
        <v>0</v>
      </c>
      <c r="R39" s="218">
        <f>IFERROR(__xludf.DUMMYFUNCTION("""COMPUTED_VALUE"""),0.28603760999999994)</f>
        <v>0.28603761</v>
      </c>
      <c r="S39" s="187">
        <f>IFERROR(__xludf.DUMMYFUNCTION("""COMPUTED_VALUE"""),67.0)</f>
        <v>67</v>
      </c>
      <c r="T39" s="187">
        <f>IFERROR(__xludf.DUMMYFUNCTION("""COMPUTED_VALUE"""),35.0)</f>
        <v>35</v>
      </c>
      <c r="U39" s="187">
        <f>IFERROR(__xludf.DUMMYFUNCTION("""COMPUTED_VALUE"""),0.0)</f>
        <v>0</v>
      </c>
      <c r="V39" s="187">
        <f>IFERROR(__xludf.DUMMYFUNCTION("""COMPUTED_VALUE"""),0.0)</f>
        <v>0</v>
      </c>
      <c r="W39" s="187">
        <f>IFERROR(__xludf.DUMMYFUNCTION("""COMPUTED_VALUE"""),67.0)</f>
        <v>67</v>
      </c>
      <c r="X39" s="187">
        <f>IFERROR(__xludf.DUMMYFUNCTION("""COMPUTED_VALUE"""),32.0)</f>
        <v>32</v>
      </c>
      <c r="Y39" s="188">
        <f>IFERROR(__xludf.DUMMYFUNCTION("""COMPUTED_VALUE"""),2982646.83)</f>
        <v>2982646.83</v>
      </c>
      <c r="Z39" s="188">
        <f>IFERROR(__xludf.DUMMYFUNCTION("""COMPUTED_VALUE"""),0.0)</f>
        <v>0</v>
      </c>
      <c r="AA39" s="187">
        <f>IFERROR(__xludf.DUMMYFUNCTION("""COMPUTED_VALUE"""),28.0)</f>
        <v>28</v>
      </c>
      <c r="AB39" s="187">
        <f>IFERROR(__xludf.DUMMYFUNCTION("""COMPUTED_VALUE"""),0.0)</f>
        <v>0</v>
      </c>
      <c r="AC39" s="187">
        <f>IFERROR(__xludf.DUMMYFUNCTION("""COMPUTED_VALUE"""),28.0)</f>
        <v>28</v>
      </c>
      <c r="AD39" s="187">
        <f>IFERROR(__xludf.DUMMYFUNCTION("""COMPUTED_VALUE"""),0.0)</f>
        <v>0</v>
      </c>
      <c r="AE39" s="187">
        <f>IFERROR(__xludf.DUMMYFUNCTION("""COMPUTED_VALUE"""),2.0)</f>
        <v>2</v>
      </c>
      <c r="AF39" s="187">
        <f>IFERROR(__xludf.DUMMYFUNCTION("""COMPUTED_VALUE"""),2.0)</f>
        <v>2</v>
      </c>
      <c r="AG39" s="187">
        <f>IFERROR(__xludf.DUMMYFUNCTION("""COMPUTED_VALUE"""),74.0)</f>
        <v>74</v>
      </c>
      <c r="AH39" s="187">
        <f>IFERROR(__xludf.DUMMYFUNCTION("""COMPUTED_VALUE"""),5.0)</f>
        <v>5</v>
      </c>
      <c r="AI39" s="187">
        <f>IFERROR(__xludf.DUMMYFUNCTION("""COMPUTED_VALUE"""),65.0)</f>
        <v>65</v>
      </c>
      <c r="AJ39" s="187">
        <f>IFERROR(__xludf.DUMMYFUNCTION("""COMPUTED_VALUE"""),0.0)</f>
        <v>0</v>
      </c>
      <c r="AK39" s="187">
        <f>IFERROR(__xludf.DUMMYFUNCTION("""COMPUTED_VALUE"""),0.0)</f>
        <v>0</v>
      </c>
      <c r="AL39" s="187">
        <f>IFERROR(__xludf.DUMMYFUNCTION("""COMPUTED_VALUE"""),1.0)</f>
        <v>1</v>
      </c>
      <c r="AM39" s="187">
        <f>IFERROR(__xludf.DUMMYFUNCTION("""COMPUTED_VALUE"""),1.0)</f>
        <v>1</v>
      </c>
      <c r="AN39" s="187">
        <f>IFERROR(__xludf.DUMMYFUNCTION("""COMPUTED_VALUE"""),74.0)</f>
        <v>74</v>
      </c>
      <c r="AO39" s="187">
        <f>IFERROR(__xludf.DUMMYFUNCTION("""COMPUTED_VALUE"""),142.0)</f>
        <v>142</v>
      </c>
      <c r="AP39" s="187">
        <f>IFERROR(__xludf.DUMMYFUNCTION("""COMPUTED_VALUE"""),71.0)</f>
        <v>71</v>
      </c>
      <c r="AQ39" s="217">
        <f>IFERROR(__xludf.DUMMYFUNCTION("""COMPUTED_VALUE"""),42009.112676056335)</f>
        <v>42009.11268</v>
      </c>
      <c r="AR39" s="188">
        <f>IFERROR(__xludf.DUMMYFUNCTION("""COMPUTED_VALUE"""),2.0)</f>
        <v>2</v>
      </c>
      <c r="AS39" s="217">
        <f>IFERROR(__xludf.DUMMYFUNCTION("""COMPUTED_VALUE"""),148755.0)</f>
        <v>148755</v>
      </c>
      <c r="AT39" s="217"/>
      <c r="AU39" s="218">
        <f>IFERROR(__xludf.DUMMYFUNCTION("""COMPUTED_VALUE"""),0.04987348486093058)</f>
        <v>0.04987348486</v>
      </c>
      <c r="AV39" s="217">
        <f>IFERROR(__xludf.DUMMYFUNCTION("""COMPUTED_VALUE"""),106523.10714285714)</f>
        <v>106523.1071</v>
      </c>
      <c r="AW39" s="219">
        <f>IFERROR(__xludf.DUMMYFUNCTION("""COMPUTED_VALUE"""),67.0)</f>
        <v>67</v>
      </c>
      <c r="AX39" s="219">
        <f>IFERROR(__xludf.DUMMYFUNCTION("""COMPUTED_VALUE"""),646.0)</f>
        <v>646</v>
      </c>
      <c r="AY39" s="220">
        <f>IFERROR(__xludf.DUMMYFUNCTION("""COMPUTED_VALUE"""),2853.82)</f>
        <v>2853.82</v>
      </c>
      <c r="AZ39" s="219">
        <f>IFERROR(__xludf.DUMMYFUNCTION("""COMPUTED_VALUE"""),82.0)</f>
        <v>82</v>
      </c>
      <c r="BA39" s="219">
        <f>IFERROR(__xludf.DUMMYFUNCTION("""COMPUTED_VALUE"""),28.0)</f>
        <v>28</v>
      </c>
      <c r="BB39" s="219">
        <f>IFERROR(__xludf.DUMMYFUNCTION("""COMPUTED_VALUE"""),16.0)</f>
        <v>16</v>
      </c>
      <c r="BC39" s="219">
        <f>IFERROR(__xludf.DUMMYFUNCTION("""COMPUTED_VALUE"""),23.0)</f>
        <v>23</v>
      </c>
      <c r="BD39" s="221"/>
      <c r="BE39" s="98"/>
      <c r="BF39" s="255" t="e">
        <v>#REF!</v>
      </c>
      <c r="BG39" s="256">
        <f t="shared" si="4"/>
        <v>2982647</v>
      </c>
      <c r="BH39" s="257" t="str">
        <f t="shared" si="5"/>
        <v>#REF!</v>
      </c>
      <c r="BI39" s="98"/>
      <c r="BJ39" s="98"/>
      <c r="BK39" s="98"/>
      <c r="BL39" s="98"/>
      <c r="BM39" s="98"/>
      <c r="BN39" s="98"/>
      <c r="BO39" s="98"/>
      <c r="BP39" s="98"/>
      <c r="BQ39" s="98"/>
      <c r="BR39" s="98"/>
    </row>
    <row r="40">
      <c r="A40" s="6" t="str">
        <f>IFERROR(__xludf.DUMMYFUNCTION("""COMPUTED_VALUE"""),"Sandeep Dadheech")</f>
        <v>Sandeep Dadheech</v>
      </c>
      <c r="B40" s="98" t="str">
        <f>IFERROR(__xludf.DUMMYFUNCTION("""COMPUTED_VALUE"""),"North East")</f>
        <v>North East</v>
      </c>
      <c r="C40" s="212" t="str">
        <f>IFERROR(__xludf.DUMMYFUNCTION("""COMPUTED_VALUE"""),"Santanu Kalita")</f>
        <v>Santanu Kalita</v>
      </c>
      <c r="D40" s="98" t="str">
        <f>IFERROR(__xludf.DUMMYFUNCTION("""COMPUTED_VALUE"""),"Tezpur")</f>
        <v>Tezpur</v>
      </c>
      <c r="E40" s="213">
        <f>IFERROR(__xludf.DUMMYFUNCTION("""COMPUTED_VALUE"""),44501.0)</f>
        <v>44501</v>
      </c>
      <c r="F40" s="222" t="str">
        <f>IFERROR(__xludf.DUMMYFUNCTION("""COMPUTED_VALUE"""),"ARUNACHAL PRADESH, ASSAM, MANIPUR, MEGHALAYA, MIZORAM, NAGALAND, SIKKIM, TRIPURA")</f>
        <v>ARUNACHAL PRADESH, ASSAM, MANIPUR, MEGHALAYA, MIZORAM, NAGALAND, SIKKIM, TRIPURA</v>
      </c>
      <c r="G40" s="215">
        <f>IFERROR(__xludf.DUMMYFUNCTION("""COMPUTED_VALUE"""),4.090203499999999E7)</f>
        <v>40902035</v>
      </c>
      <c r="H40" s="215">
        <f>IFERROR(__xludf.DUMMYFUNCTION("""COMPUTED_VALUE"""),4.0877028E7)</f>
        <v>40877028</v>
      </c>
      <c r="I40" s="216">
        <f>IFERROR(__xludf.DUMMYFUNCTION("""COMPUTED_VALUE"""),58700.0)</f>
        <v>58700</v>
      </c>
      <c r="J40" s="216">
        <f>IFERROR(__xludf.DUMMYFUNCTION("""COMPUTED_VALUE"""),4833333.0)</f>
        <v>4833333</v>
      </c>
      <c r="K40" s="217">
        <f>IFERROR(__xludf.DUMMYFUNCTION("""COMPUTED_VALUE"""),0.0)</f>
        <v>0</v>
      </c>
      <c r="L40" s="217">
        <f>IFERROR(__xludf.DUMMYFUNCTION("""COMPUTED_VALUE"""),1.4499999E7)</f>
        <v>14499999</v>
      </c>
      <c r="M40" s="217">
        <f>IFERROR(__xludf.DUMMYFUNCTION("""COMPUTED_VALUE"""),1.0661815E7)</f>
        <v>10661815</v>
      </c>
      <c r="N40" s="217">
        <f>IFERROR(__xludf.DUMMYFUNCTION("""COMPUTED_VALUE"""),0.0)</f>
        <v>0</v>
      </c>
      <c r="O40" s="217">
        <f>IFERROR(__xludf.DUMMYFUNCTION("""COMPUTED_VALUE"""),1.064813E7)</f>
        <v>10648130</v>
      </c>
      <c r="P40" s="218">
        <f>IFERROR(__xludf.DUMMYFUNCTION("""COMPUTED_VALUE"""),0.7352976369170784)</f>
        <v>0.7352976369</v>
      </c>
      <c r="Q40" s="218">
        <f>IFERROR(__xludf.DUMMYFUNCTION("""COMPUTED_VALUE"""),0.0)</f>
        <v>0</v>
      </c>
      <c r="R40" s="218">
        <f>IFERROR(__xludf.DUMMYFUNCTION("""COMPUTED_VALUE"""),0.734353843748541)</f>
        <v>0.7343538437</v>
      </c>
      <c r="S40" s="187">
        <f>IFERROR(__xludf.DUMMYFUNCTION("""COMPUTED_VALUE"""),111.0)</f>
        <v>111</v>
      </c>
      <c r="T40" s="187">
        <f>IFERROR(__xludf.DUMMYFUNCTION("""COMPUTED_VALUE"""),88.0)</f>
        <v>88</v>
      </c>
      <c r="U40" s="187">
        <f>IFERROR(__xludf.DUMMYFUNCTION("""COMPUTED_VALUE"""),4.0)</f>
        <v>4</v>
      </c>
      <c r="V40" s="187">
        <f>IFERROR(__xludf.DUMMYFUNCTION("""COMPUTED_VALUE"""),0.0)</f>
        <v>0</v>
      </c>
      <c r="W40" s="187">
        <f>IFERROR(__xludf.DUMMYFUNCTION("""COMPUTED_VALUE"""),115.0)</f>
        <v>115</v>
      </c>
      <c r="X40" s="187">
        <f>IFERROR(__xludf.DUMMYFUNCTION("""COMPUTED_VALUE"""),27.0)</f>
        <v>27</v>
      </c>
      <c r="Y40" s="188">
        <f>IFERROR(__xludf.DUMMYFUNCTION("""COMPUTED_VALUE"""),1.066181455E7)</f>
        <v>10661814.55</v>
      </c>
      <c r="Z40" s="188">
        <f>IFERROR(__xludf.DUMMYFUNCTION("""COMPUTED_VALUE"""),0.0)</f>
        <v>0</v>
      </c>
      <c r="AA40" s="187">
        <f>IFERROR(__xludf.DUMMYFUNCTION("""COMPUTED_VALUE"""),30.0)</f>
        <v>30</v>
      </c>
      <c r="AB40" s="187">
        <f>IFERROR(__xludf.DUMMYFUNCTION("""COMPUTED_VALUE"""),0.0)</f>
        <v>0</v>
      </c>
      <c r="AC40" s="187">
        <f>IFERROR(__xludf.DUMMYFUNCTION("""COMPUTED_VALUE"""),30.0)</f>
        <v>30</v>
      </c>
      <c r="AD40" s="187">
        <f>IFERROR(__xludf.DUMMYFUNCTION("""COMPUTED_VALUE"""),0.0)</f>
        <v>0</v>
      </c>
      <c r="AE40" s="187">
        <f>IFERROR(__xludf.DUMMYFUNCTION("""COMPUTED_VALUE"""),73.0)</f>
        <v>73</v>
      </c>
      <c r="AF40" s="187">
        <f>IFERROR(__xludf.DUMMYFUNCTION("""COMPUTED_VALUE"""),108.0)</f>
        <v>108</v>
      </c>
      <c r="AG40" s="187">
        <f>IFERROR(__xludf.DUMMYFUNCTION("""COMPUTED_VALUE"""),77.0)</f>
        <v>77</v>
      </c>
      <c r="AH40" s="187">
        <f>IFERROR(__xludf.DUMMYFUNCTION("""COMPUTED_VALUE"""),2.0)</f>
        <v>2</v>
      </c>
      <c r="AI40" s="187">
        <f>IFERROR(__xludf.DUMMYFUNCTION("""COMPUTED_VALUE"""),4.0)</f>
        <v>4</v>
      </c>
      <c r="AJ40" s="187">
        <f>IFERROR(__xludf.DUMMYFUNCTION("""COMPUTED_VALUE"""),0.0)</f>
        <v>0</v>
      </c>
      <c r="AK40" s="187">
        <f>IFERROR(__xludf.DUMMYFUNCTION("""COMPUTED_VALUE"""),0.0)</f>
        <v>0</v>
      </c>
      <c r="AL40" s="187">
        <f>IFERROR(__xludf.DUMMYFUNCTION("""COMPUTED_VALUE"""),0.0)</f>
        <v>0</v>
      </c>
      <c r="AM40" s="187">
        <f>IFERROR(__xludf.DUMMYFUNCTION("""COMPUTED_VALUE"""),0.0)</f>
        <v>0</v>
      </c>
      <c r="AN40" s="187">
        <f>IFERROR(__xludf.DUMMYFUNCTION("""COMPUTED_VALUE"""),368.0)</f>
        <v>368</v>
      </c>
      <c r="AO40" s="187">
        <f>IFERROR(__xludf.DUMMYFUNCTION("""COMPUTED_VALUE"""),480.0)</f>
        <v>480</v>
      </c>
      <c r="AP40" s="187">
        <f>IFERROR(__xludf.DUMMYFUNCTION("""COMPUTED_VALUE"""),76.0)</f>
        <v>76</v>
      </c>
      <c r="AQ40" s="217">
        <f>IFERROR(__xludf.DUMMYFUNCTION("""COMPUTED_VALUE"""),140287.0394736842)</f>
        <v>140287.0395</v>
      </c>
      <c r="AR40" s="188">
        <f>IFERROR(__xludf.DUMMYFUNCTION("""COMPUTED_VALUE"""),6.315789473684211)</f>
        <v>6.315789474</v>
      </c>
      <c r="AS40" s="217">
        <f>IFERROR(__xludf.DUMMYFUNCTION("""COMPUTED_VALUE"""),176100.0)</f>
        <v>176100</v>
      </c>
      <c r="AT40" s="217"/>
      <c r="AU40" s="218">
        <f>IFERROR(__xludf.DUMMYFUNCTION("""COMPUTED_VALUE"""),0.01651688760309572)</f>
        <v>0.0165168876</v>
      </c>
      <c r="AV40" s="217">
        <f>IFERROR(__xludf.DUMMYFUNCTION("""COMPUTED_VALUE"""),355393.8333333333)</f>
        <v>355393.8333</v>
      </c>
      <c r="AW40" s="219">
        <f>IFERROR(__xludf.DUMMYFUNCTION("""COMPUTED_VALUE"""),67.0)</f>
        <v>67</v>
      </c>
      <c r="AX40" s="219">
        <f>IFERROR(__xludf.DUMMYFUNCTION("""COMPUTED_VALUE"""),691.0)</f>
        <v>691</v>
      </c>
      <c r="AY40" s="220">
        <f>IFERROR(__xludf.DUMMYFUNCTION("""COMPUTED_VALUE"""),7505.15)</f>
        <v>7505.15</v>
      </c>
      <c r="AZ40" s="219">
        <f>IFERROR(__xludf.DUMMYFUNCTION("""COMPUTED_VALUE"""),85.0)</f>
        <v>85</v>
      </c>
      <c r="BA40" s="219">
        <f>IFERROR(__xludf.DUMMYFUNCTION("""COMPUTED_VALUE"""),30.0)</f>
        <v>30</v>
      </c>
      <c r="BB40" s="219">
        <f>IFERROR(__xludf.DUMMYFUNCTION("""COMPUTED_VALUE"""),59.0)</f>
        <v>59</v>
      </c>
      <c r="BC40" s="219">
        <f>IFERROR(__xludf.DUMMYFUNCTION("""COMPUTED_VALUE"""),26.0)</f>
        <v>26</v>
      </c>
      <c r="BD40" s="221"/>
      <c r="BE40" s="98"/>
      <c r="BF40" s="255" t="e">
        <v>#REF!</v>
      </c>
      <c r="BG40" s="256">
        <f t="shared" si="4"/>
        <v>10661815</v>
      </c>
      <c r="BH40" s="257" t="str">
        <f t="shared" si="5"/>
        <v>#REF!</v>
      </c>
      <c r="BI40" s="98"/>
      <c r="BJ40" s="98"/>
      <c r="BK40" s="98"/>
      <c r="BL40" s="98"/>
      <c r="BM40" s="98"/>
      <c r="BN40" s="98"/>
      <c r="BO40" s="98"/>
      <c r="BP40" s="98"/>
      <c r="BQ40" s="98"/>
      <c r="BR40" s="98"/>
    </row>
    <row r="41">
      <c r="A41" s="6" t="str">
        <f>IFERROR(__xludf.DUMMYFUNCTION("""COMPUTED_VALUE"""),"Syed Aqil Rizvi")</f>
        <v>Syed Aqil Rizvi</v>
      </c>
      <c r="B41" s="98" t="str">
        <f>IFERROR(__xludf.DUMMYFUNCTION("""COMPUTED_VALUE"""),"Maharashtra 2")</f>
        <v>Maharashtra 2</v>
      </c>
      <c r="C41" s="212" t="str">
        <f>IFERROR(__xludf.DUMMYFUNCTION("""COMPUTED_VALUE"""),"Himanshu Sable")</f>
        <v>Himanshu Sable</v>
      </c>
      <c r="D41" s="98" t="str">
        <f>IFERROR(__xludf.DUMMYFUNCTION("""COMPUTED_VALUE"""),"Amravati")</f>
        <v>Amravati</v>
      </c>
      <c r="E41" s="213">
        <f>IFERROR(__xludf.DUMMYFUNCTION("""COMPUTED_VALUE"""),44501.0)</f>
        <v>44501</v>
      </c>
      <c r="F41" s="222" t="str">
        <f>IFERROR(__xludf.DUMMYFUNCTION("""COMPUTED_VALUE"""),"MAHARASHTRA")</f>
        <v>MAHARASHTRA</v>
      </c>
      <c r="G41" s="215">
        <f>IFERROR(__xludf.DUMMYFUNCTION("""COMPUTED_VALUE"""),9779119.53)</f>
        <v>9779119.53</v>
      </c>
      <c r="H41" s="215">
        <f>IFERROR(__xludf.DUMMYFUNCTION("""COMPUTED_VALUE"""),8111959.82)</f>
        <v>8111959.82</v>
      </c>
      <c r="I41" s="216">
        <f>IFERROR(__xludf.DUMMYFUNCTION("""COMPUTED_VALUE"""),28500.0)</f>
        <v>28500</v>
      </c>
      <c r="J41" s="216">
        <f>IFERROR(__xludf.DUMMYFUNCTION("""COMPUTED_VALUE"""),1971200.0)</f>
        <v>1971200</v>
      </c>
      <c r="K41" s="217">
        <f>IFERROR(__xludf.DUMMYFUNCTION("""COMPUTED_VALUE"""),0.0)</f>
        <v>0</v>
      </c>
      <c r="L41" s="217">
        <f>IFERROR(__xludf.DUMMYFUNCTION("""COMPUTED_VALUE"""),5913600.0)</f>
        <v>5913600</v>
      </c>
      <c r="M41" s="217">
        <f>IFERROR(__xludf.DUMMYFUNCTION("""COMPUTED_VALUE"""),3126987.0)</f>
        <v>3126987</v>
      </c>
      <c r="N41" s="217">
        <f>IFERROR(__xludf.DUMMYFUNCTION("""COMPUTED_VALUE"""),0.0)</f>
        <v>0</v>
      </c>
      <c r="O41" s="217">
        <f>IFERROR(__xludf.DUMMYFUNCTION("""COMPUTED_VALUE"""),656702.21)</f>
        <v>656702.21</v>
      </c>
      <c r="P41" s="218">
        <f>IFERROR(__xludf.DUMMYFUNCTION("""COMPUTED_VALUE"""),0.5287789163961039)</f>
        <v>0.5287789164</v>
      </c>
      <c r="Q41" s="218">
        <f>IFERROR(__xludf.DUMMYFUNCTION("""COMPUTED_VALUE"""),0.0)</f>
        <v>0</v>
      </c>
      <c r="R41" s="218">
        <f>IFERROR(__xludf.DUMMYFUNCTION("""COMPUTED_VALUE"""),0.11104948085768397)</f>
        <v>0.1110494809</v>
      </c>
      <c r="S41" s="187">
        <f>IFERROR(__xludf.DUMMYFUNCTION("""COMPUTED_VALUE"""),72.0)</f>
        <v>72</v>
      </c>
      <c r="T41" s="187">
        <f>IFERROR(__xludf.DUMMYFUNCTION("""COMPUTED_VALUE"""),54.0)</f>
        <v>54</v>
      </c>
      <c r="U41" s="187">
        <f>IFERROR(__xludf.DUMMYFUNCTION("""COMPUTED_VALUE"""),0.0)</f>
        <v>0</v>
      </c>
      <c r="V41" s="187">
        <f>IFERROR(__xludf.DUMMYFUNCTION("""COMPUTED_VALUE"""),0.0)</f>
        <v>0</v>
      </c>
      <c r="W41" s="187">
        <f>IFERROR(__xludf.DUMMYFUNCTION("""COMPUTED_VALUE"""),72.0)</f>
        <v>72</v>
      </c>
      <c r="X41" s="187">
        <f>IFERROR(__xludf.DUMMYFUNCTION("""COMPUTED_VALUE"""),18.0)</f>
        <v>18</v>
      </c>
      <c r="Y41" s="188">
        <f>IFERROR(__xludf.DUMMYFUNCTION("""COMPUTED_VALUE"""),3126987.47)</f>
        <v>3126987.47</v>
      </c>
      <c r="Z41" s="188">
        <f>IFERROR(__xludf.DUMMYFUNCTION("""COMPUTED_VALUE"""),0.0)</f>
        <v>0</v>
      </c>
      <c r="AA41" s="187">
        <f>IFERROR(__xludf.DUMMYFUNCTION("""COMPUTED_VALUE"""),28.0)</f>
        <v>28</v>
      </c>
      <c r="AB41" s="187">
        <f>IFERROR(__xludf.DUMMYFUNCTION("""COMPUTED_VALUE"""),0.0)</f>
        <v>0</v>
      </c>
      <c r="AC41" s="187">
        <f>IFERROR(__xludf.DUMMYFUNCTION("""COMPUTED_VALUE"""),28.0)</f>
        <v>28</v>
      </c>
      <c r="AD41" s="187">
        <f>IFERROR(__xludf.DUMMYFUNCTION("""COMPUTED_VALUE"""),0.0)</f>
        <v>0</v>
      </c>
      <c r="AE41" s="187">
        <f>IFERROR(__xludf.DUMMYFUNCTION("""COMPUTED_VALUE"""),38.0)</f>
        <v>38</v>
      </c>
      <c r="AF41" s="187">
        <f>IFERROR(__xludf.DUMMYFUNCTION("""COMPUTED_VALUE"""),44.0)</f>
        <v>44</v>
      </c>
      <c r="AG41" s="187">
        <f>IFERROR(__xludf.DUMMYFUNCTION("""COMPUTED_VALUE"""),273.0)</f>
        <v>273</v>
      </c>
      <c r="AH41" s="187">
        <f>IFERROR(__xludf.DUMMYFUNCTION("""COMPUTED_VALUE"""),1.0)</f>
        <v>1</v>
      </c>
      <c r="AI41" s="187">
        <f>IFERROR(__xludf.DUMMYFUNCTION("""COMPUTED_VALUE"""),1.0)</f>
        <v>1</v>
      </c>
      <c r="AJ41" s="187">
        <f>IFERROR(__xludf.DUMMYFUNCTION("""COMPUTED_VALUE"""),0.0)</f>
        <v>0</v>
      </c>
      <c r="AK41" s="187">
        <f>IFERROR(__xludf.DUMMYFUNCTION("""COMPUTED_VALUE"""),0.0)</f>
        <v>0</v>
      </c>
      <c r="AL41" s="187">
        <f>IFERROR(__xludf.DUMMYFUNCTION("""COMPUTED_VALUE"""),0.0)</f>
        <v>0</v>
      </c>
      <c r="AM41" s="187">
        <f>IFERROR(__xludf.DUMMYFUNCTION("""COMPUTED_VALUE"""),0.0)</f>
        <v>0</v>
      </c>
      <c r="AN41" s="187">
        <f>IFERROR(__xludf.DUMMYFUNCTION("""COMPUTED_VALUE"""),215.0)</f>
        <v>215</v>
      </c>
      <c r="AO41" s="187">
        <f>IFERROR(__xludf.DUMMYFUNCTION("""COMPUTED_VALUE"""),260.0)</f>
        <v>260</v>
      </c>
      <c r="AP41" s="187">
        <f>IFERROR(__xludf.DUMMYFUNCTION("""COMPUTED_VALUE"""),73.0)</f>
        <v>73</v>
      </c>
      <c r="AQ41" s="217">
        <f>IFERROR(__xludf.DUMMYFUNCTION("""COMPUTED_VALUE"""),42835.438356164384)</f>
        <v>42835.43836</v>
      </c>
      <c r="AR41" s="188">
        <f>IFERROR(__xludf.DUMMYFUNCTION("""COMPUTED_VALUE"""),3.5616438356164384)</f>
        <v>3.561643836</v>
      </c>
      <c r="AS41" s="217">
        <f>IFERROR(__xludf.DUMMYFUNCTION("""COMPUTED_VALUE"""),85500.0)</f>
        <v>85500</v>
      </c>
      <c r="AT41" s="217"/>
      <c r="AU41" s="218">
        <f>IFERROR(__xludf.DUMMYFUNCTION("""COMPUTED_VALUE"""),0.027342614472014113)</f>
        <v>0.02734261447</v>
      </c>
      <c r="AV41" s="217">
        <f>IFERROR(__xludf.DUMMYFUNCTION("""COMPUTED_VALUE"""),111678.10714285714)</f>
        <v>111678.1071</v>
      </c>
      <c r="AW41" s="219">
        <f>IFERROR(__xludf.DUMMYFUNCTION("""COMPUTED_VALUE"""),91.0)</f>
        <v>91</v>
      </c>
      <c r="AX41" s="219">
        <f>IFERROR(__xludf.DUMMYFUNCTION("""COMPUTED_VALUE"""),845.0)</f>
        <v>845</v>
      </c>
      <c r="AY41" s="220">
        <f>IFERROR(__xludf.DUMMYFUNCTION("""COMPUTED_VALUE"""),5164.72)</f>
        <v>5164.72</v>
      </c>
      <c r="AZ41" s="219">
        <f>IFERROR(__xludf.DUMMYFUNCTION("""COMPUTED_VALUE"""),96.0)</f>
        <v>96</v>
      </c>
      <c r="BA41" s="219">
        <f>IFERROR(__xludf.DUMMYFUNCTION("""COMPUTED_VALUE"""),28.0)</f>
        <v>28</v>
      </c>
      <c r="BB41" s="219">
        <f>IFERROR(__xludf.DUMMYFUNCTION("""COMPUTED_VALUE"""),31.0)</f>
        <v>31</v>
      </c>
      <c r="BC41" s="219">
        <f>IFERROR(__xludf.DUMMYFUNCTION("""COMPUTED_VALUE"""),13.0)</f>
        <v>13</v>
      </c>
      <c r="BD41" s="221"/>
      <c r="BE41" s="98"/>
      <c r="BF41" s="255" t="e">
        <v>#REF!</v>
      </c>
      <c r="BG41" s="256">
        <f t="shared" si="4"/>
        <v>3126987</v>
      </c>
      <c r="BH41" s="257" t="str">
        <f t="shared" si="5"/>
        <v>#REF!</v>
      </c>
      <c r="BI41" s="98"/>
      <c r="BJ41" s="98"/>
      <c r="BK41" s="98"/>
      <c r="BL41" s="98"/>
      <c r="BM41" s="98"/>
      <c r="BN41" s="98"/>
      <c r="BO41" s="98"/>
      <c r="BP41" s="98"/>
      <c r="BQ41" s="98"/>
      <c r="BR41" s="98"/>
    </row>
    <row r="42">
      <c r="A42" s="6" t="str">
        <f>IFERROR(__xludf.DUMMYFUNCTION("""COMPUTED_VALUE"""),"Syed Aqil Rizvi")</f>
        <v>Syed Aqil Rizvi</v>
      </c>
      <c r="B42" s="98" t="str">
        <f>IFERROR(__xludf.DUMMYFUNCTION("""COMPUTED_VALUE"""),"East U.P")</f>
        <v>East U.P</v>
      </c>
      <c r="C42" s="212" t="str">
        <f>IFERROR(__xludf.DUMMYFUNCTION("""COMPUTED_VALUE"""),"Siddharth Shanker Singh")</f>
        <v>Siddharth Shanker Singh</v>
      </c>
      <c r="D42" s="98" t="str">
        <f>IFERROR(__xludf.DUMMYFUNCTION("""COMPUTED_VALUE"""),"Prayagraj (Allahabad)")</f>
        <v>Prayagraj (Allahabad)</v>
      </c>
      <c r="E42" s="213">
        <f>IFERROR(__xludf.DUMMYFUNCTION("""COMPUTED_VALUE"""),44511.0)</f>
        <v>44511</v>
      </c>
      <c r="F42" s="222" t="str">
        <f>IFERROR(__xludf.DUMMYFUNCTION("""COMPUTED_VALUE"""),"East U.P")</f>
        <v>East U.P</v>
      </c>
      <c r="G42" s="215">
        <f>IFERROR(__xludf.DUMMYFUNCTION("""COMPUTED_VALUE"""),1.7110473698437497E7)</f>
        <v>17110473.7</v>
      </c>
      <c r="H42" s="215">
        <f>IFERROR(__xludf.DUMMYFUNCTION("""COMPUTED_VALUE"""),1.5945425E7)</f>
        <v>15945425</v>
      </c>
      <c r="I42" s="216">
        <f>IFERROR(__xludf.DUMMYFUNCTION("""COMPUTED_VALUE"""),44000.0)</f>
        <v>44000</v>
      </c>
      <c r="J42" s="216">
        <f>IFERROR(__xludf.DUMMYFUNCTION("""COMPUTED_VALUE"""),2491667.0)</f>
        <v>2491667</v>
      </c>
      <c r="K42" s="217">
        <f>IFERROR(__xludf.DUMMYFUNCTION("""COMPUTED_VALUE"""),1500000.0)</f>
        <v>1500000</v>
      </c>
      <c r="L42" s="217">
        <f>IFERROR(__xludf.DUMMYFUNCTION("""COMPUTED_VALUE"""),5975001.0)</f>
        <v>5975001</v>
      </c>
      <c r="M42" s="217">
        <f>IFERROR(__xludf.DUMMYFUNCTION("""COMPUTED_VALUE"""),2078731.0)</f>
        <v>2078731</v>
      </c>
      <c r="N42" s="217">
        <f>IFERROR(__xludf.DUMMYFUNCTION("""COMPUTED_VALUE"""),2301681.05)</f>
        <v>2301681.05</v>
      </c>
      <c r="O42" s="217">
        <f>IFERROR(__xludf.DUMMYFUNCTION("""COMPUTED_VALUE"""),3084904.0)</f>
        <v>3084904</v>
      </c>
      <c r="P42" s="218">
        <f>IFERROR(__xludf.DUMMYFUNCTION("""COMPUTED_VALUE"""),0.5860082226075957)</f>
        <v>0.5860082226</v>
      </c>
      <c r="Q42" s="218">
        <f>IFERROR(__xludf.DUMMYFUNCTION("""COMPUTED_VALUE"""),1.53)</f>
        <v>1.53</v>
      </c>
      <c r="R42" s="218">
        <f>IFERROR(__xludf.DUMMYFUNCTION("""COMPUTED_VALUE"""),0.412696132080785)</f>
        <v>0.4126961321</v>
      </c>
      <c r="S42" s="187">
        <f>IFERROR(__xludf.DUMMYFUNCTION("""COMPUTED_VALUE"""),68.0)</f>
        <v>68</v>
      </c>
      <c r="T42" s="187">
        <f>IFERROR(__xludf.DUMMYFUNCTION("""COMPUTED_VALUE"""),56.0)</f>
        <v>56</v>
      </c>
      <c r="U42" s="187">
        <f>IFERROR(__xludf.DUMMYFUNCTION("""COMPUTED_VALUE"""),3.0)</f>
        <v>3</v>
      </c>
      <c r="V42" s="187">
        <f>IFERROR(__xludf.DUMMYFUNCTION("""COMPUTED_VALUE"""),3.0)</f>
        <v>3</v>
      </c>
      <c r="W42" s="187">
        <f>IFERROR(__xludf.DUMMYFUNCTION("""COMPUTED_VALUE"""),71.0)</f>
        <v>71</v>
      </c>
      <c r="X42" s="187">
        <f>IFERROR(__xludf.DUMMYFUNCTION("""COMPUTED_VALUE"""),15.0)</f>
        <v>15</v>
      </c>
      <c r="Y42" s="188">
        <f>IFERROR(__xludf.DUMMYFUNCTION("""COMPUTED_VALUE"""),1958996.18)</f>
        <v>1958996.18</v>
      </c>
      <c r="Z42" s="188">
        <f>IFERROR(__xludf.DUMMYFUNCTION("""COMPUTED_VALUE"""),119735.28)</f>
        <v>119735.28</v>
      </c>
      <c r="AA42" s="187">
        <f>IFERROR(__xludf.DUMMYFUNCTION("""COMPUTED_VALUE"""),18.0)</f>
        <v>18</v>
      </c>
      <c r="AB42" s="187">
        <f>IFERROR(__xludf.DUMMYFUNCTION("""COMPUTED_VALUE"""),3.0)</f>
        <v>3</v>
      </c>
      <c r="AC42" s="187">
        <f>IFERROR(__xludf.DUMMYFUNCTION("""COMPUTED_VALUE"""),21.0)</f>
        <v>21</v>
      </c>
      <c r="AD42" s="187">
        <f>IFERROR(__xludf.DUMMYFUNCTION("""COMPUTED_VALUE"""),11.0)</f>
        <v>11</v>
      </c>
      <c r="AE42" s="187">
        <f>IFERROR(__xludf.DUMMYFUNCTION("""COMPUTED_VALUE"""),2.0)</f>
        <v>2</v>
      </c>
      <c r="AF42" s="187">
        <f>IFERROR(__xludf.DUMMYFUNCTION("""COMPUTED_VALUE"""),3.0)</f>
        <v>3</v>
      </c>
      <c r="AG42" s="187">
        <f>IFERROR(__xludf.DUMMYFUNCTION("""COMPUTED_VALUE"""),69.0)</f>
        <v>69</v>
      </c>
      <c r="AH42" s="187">
        <f>IFERROR(__xludf.DUMMYFUNCTION("""COMPUTED_VALUE"""),3.0)</f>
        <v>3</v>
      </c>
      <c r="AI42" s="187">
        <f>IFERROR(__xludf.DUMMYFUNCTION("""COMPUTED_VALUE"""),13.0)</f>
        <v>13</v>
      </c>
      <c r="AJ42" s="187">
        <f>IFERROR(__xludf.DUMMYFUNCTION("""COMPUTED_VALUE"""),12.0)</f>
        <v>12</v>
      </c>
      <c r="AK42" s="187">
        <f>IFERROR(__xludf.DUMMYFUNCTION("""COMPUTED_VALUE"""),66.0)</f>
        <v>66</v>
      </c>
      <c r="AL42" s="187">
        <f>IFERROR(__xludf.DUMMYFUNCTION("""COMPUTED_VALUE"""),1.0)</f>
        <v>1</v>
      </c>
      <c r="AM42" s="187">
        <f>IFERROR(__xludf.DUMMYFUNCTION("""COMPUTED_VALUE"""),1.0)</f>
        <v>1</v>
      </c>
      <c r="AN42" s="187">
        <f>IFERROR(__xludf.DUMMYFUNCTION("""COMPUTED_VALUE"""),210.0)</f>
        <v>210</v>
      </c>
      <c r="AO42" s="187">
        <f>IFERROR(__xludf.DUMMYFUNCTION("""COMPUTED_VALUE"""),293.0)</f>
        <v>293</v>
      </c>
      <c r="AP42" s="187">
        <f>IFERROR(__xludf.DUMMYFUNCTION("""COMPUTED_VALUE"""),76.0)</f>
        <v>76</v>
      </c>
      <c r="AQ42" s="217">
        <f>IFERROR(__xludf.DUMMYFUNCTION("""COMPUTED_VALUE"""),57637.000657894736)</f>
        <v>57637.00066</v>
      </c>
      <c r="AR42" s="188">
        <f>IFERROR(__xludf.DUMMYFUNCTION("""COMPUTED_VALUE"""),3.8552631578947367)</f>
        <v>3.855263158</v>
      </c>
      <c r="AS42" s="217">
        <f>IFERROR(__xludf.DUMMYFUNCTION("""COMPUTED_VALUE"""),132000.0)</f>
        <v>132000</v>
      </c>
      <c r="AT42" s="217"/>
      <c r="AU42" s="218">
        <f>IFERROR(__xludf.DUMMYFUNCTION("""COMPUTED_VALUE"""),0.030134151420755043)</f>
        <v>0.03013415142</v>
      </c>
      <c r="AV42" s="217">
        <f>IFERROR(__xludf.DUMMYFUNCTION("""COMPUTED_VALUE"""),98987.19047619047)</f>
        <v>98987.19048</v>
      </c>
      <c r="AW42" s="219">
        <f>IFERROR(__xludf.DUMMYFUNCTION("""COMPUTED_VALUE"""),46.0)</f>
        <v>46</v>
      </c>
      <c r="AX42" s="219">
        <f>IFERROR(__xludf.DUMMYFUNCTION("""COMPUTED_VALUE"""),642.0)</f>
        <v>642</v>
      </c>
      <c r="AY42" s="220">
        <f>IFERROR(__xludf.DUMMYFUNCTION("""COMPUTED_VALUE"""),4742.03)</f>
        <v>4742.03</v>
      </c>
      <c r="AZ42" s="219">
        <f>IFERROR(__xludf.DUMMYFUNCTION("""COMPUTED_VALUE"""),85.0)</f>
        <v>85</v>
      </c>
      <c r="BA42" s="219">
        <f>IFERROR(__xludf.DUMMYFUNCTION("""COMPUTED_VALUE"""),21.0)</f>
        <v>21</v>
      </c>
      <c r="BB42" s="219">
        <f>IFERROR(__xludf.DUMMYFUNCTION("""COMPUTED_VALUE"""),35.0)</f>
        <v>35</v>
      </c>
      <c r="BC42" s="219">
        <f>IFERROR(__xludf.DUMMYFUNCTION("""COMPUTED_VALUE"""),15.0)</f>
        <v>15</v>
      </c>
      <c r="BD42" s="221"/>
      <c r="BE42" s="98"/>
      <c r="BF42" s="255" t="e">
        <v>#REF!</v>
      </c>
      <c r="BG42" s="256">
        <f t="shared" si="4"/>
        <v>4380412.05</v>
      </c>
      <c r="BH42" s="257" t="str">
        <f t="shared" si="5"/>
        <v>#REF!</v>
      </c>
      <c r="BI42" s="98"/>
      <c r="BJ42" s="98"/>
      <c r="BK42" s="98"/>
      <c r="BL42" s="98"/>
      <c r="BM42" s="98"/>
      <c r="BN42" s="98"/>
      <c r="BO42" s="98"/>
      <c r="BP42" s="98"/>
      <c r="BQ42" s="98"/>
      <c r="BR42" s="98"/>
    </row>
    <row r="43">
      <c r="A43" s="6" t="str">
        <f>IFERROR(__xludf.DUMMYFUNCTION("""COMPUTED_VALUE"""),"Syed Aqil Rizvi")</f>
        <v>Syed Aqil Rizvi</v>
      </c>
      <c r="B43" s="98" t="str">
        <f>IFERROR(__xludf.DUMMYFUNCTION("""COMPUTED_VALUE"""),"Madhya Pradesh")</f>
        <v>Madhya Pradesh</v>
      </c>
      <c r="C43" s="212" t="str">
        <f>IFERROR(__xludf.DUMMYFUNCTION("""COMPUTED_VALUE"""),"Neel Kamal choure")</f>
        <v>Neel Kamal choure</v>
      </c>
      <c r="D43" s="98" t="str">
        <f>IFERROR(__xludf.DUMMYFUNCTION("""COMPUTED_VALUE"""),"Jabalpur")</f>
        <v>Jabalpur</v>
      </c>
      <c r="E43" s="213">
        <f>IFERROR(__xludf.DUMMYFUNCTION("""COMPUTED_VALUE"""),44662.0)</f>
        <v>44662</v>
      </c>
      <c r="F43" s="222" t="str">
        <f>IFERROR(__xludf.DUMMYFUNCTION("""COMPUTED_VALUE"""),"MADHYA PRADESH")</f>
        <v>MADHYA PRADESH</v>
      </c>
      <c r="G43" s="215">
        <f>IFERROR(__xludf.DUMMYFUNCTION("""COMPUTED_VALUE"""),1.0642240200000001E7)</f>
        <v>10642240.2</v>
      </c>
      <c r="H43" s="215">
        <f>IFERROR(__xludf.DUMMYFUNCTION("""COMPUTED_VALUE"""),1.1184983379999999E7)</f>
        <v>11184983.38</v>
      </c>
      <c r="I43" s="216">
        <f>IFERROR(__xludf.DUMMYFUNCTION("""COMPUTED_VALUE"""),51950.0)</f>
        <v>51950</v>
      </c>
      <c r="J43" s="216">
        <f>IFERROR(__xludf.DUMMYFUNCTION("""COMPUTED_VALUE"""),2114666.0)</f>
        <v>2114666</v>
      </c>
      <c r="K43" s="217">
        <f>IFERROR(__xludf.DUMMYFUNCTION("""COMPUTED_VALUE"""),300000.0)</f>
        <v>300000</v>
      </c>
      <c r="L43" s="217">
        <f>IFERROR(__xludf.DUMMYFUNCTION("""COMPUTED_VALUE"""),6043998.0)</f>
        <v>6043998</v>
      </c>
      <c r="M43" s="217">
        <f>IFERROR(__xludf.DUMMYFUNCTION("""COMPUTED_VALUE"""),539552.0)</f>
        <v>539552</v>
      </c>
      <c r="N43" s="217">
        <f>IFERROR(__xludf.DUMMYFUNCTION("""COMPUTED_VALUE"""),0.0)</f>
        <v>0</v>
      </c>
      <c r="O43" s="217">
        <f>IFERROR(__xludf.DUMMYFUNCTION("""COMPUTED_VALUE"""),351921.0)</f>
        <v>351921</v>
      </c>
      <c r="P43" s="218">
        <f>IFERROR(__xludf.DUMMYFUNCTION("""COMPUTED_VALUE"""),0.08504920714035534)</f>
        <v>0.08504920714</v>
      </c>
      <c r="Q43" s="218">
        <f>IFERROR(__xludf.DUMMYFUNCTION("""COMPUTED_VALUE"""),0.0)</f>
        <v>0</v>
      </c>
      <c r="R43" s="218">
        <f>IFERROR(__xludf.DUMMYFUNCTION("""COMPUTED_VALUE"""),0.05547306288558099)</f>
        <v>0.05547306289</v>
      </c>
      <c r="S43" s="187">
        <f>IFERROR(__xludf.DUMMYFUNCTION("""COMPUTED_VALUE"""),58.0)</f>
        <v>58</v>
      </c>
      <c r="T43" s="187">
        <f>IFERROR(__xludf.DUMMYFUNCTION("""COMPUTED_VALUE"""),43.0)</f>
        <v>43</v>
      </c>
      <c r="U43" s="187">
        <f>IFERROR(__xludf.DUMMYFUNCTION("""COMPUTED_VALUE"""),2.0)</f>
        <v>2</v>
      </c>
      <c r="V43" s="187">
        <f>IFERROR(__xludf.DUMMYFUNCTION("""COMPUTED_VALUE"""),0.0)</f>
        <v>0</v>
      </c>
      <c r="W43" s="187">
        <f>IFERROR(__xludf.DUMMYFUNCTION("""COMPUTED_VALUE"""),60.0)</f>
        <v>60</v>
      </c>
      <c r="X43" s="187">
        <f>IFERROR(__xludf.DUMMYFUNCTION("""COMPUTED_VALUE"""),17.0)</f>
        <v>17</v>
      </c>
      <c r="Y43" s="188">
        <f>IFERROR(__xludf.DUMMYFUNCTION("""COMPUTED_VALUE"""),539551.9)</f>
        <v>539551.9</v>
      </c>
      <c r="Z43" s="188">
        <f>IFERROR(__xludf.DUMMYFUNCTION("""COMPUTED_VALUE"""),0.0)</f>
        <v>0</v>
      </c>
      <c r="AA43" s="187">
        <f>IFERROR(__xludf.DUMMYFUNCTION("""COMPUTED_VALUE"""),6.0)</f>
        <v>6</v>
      </c>
      <c r="AB43" s="187">
        <f>IFERROR(__xludf.DUMMYFUNCTION("""COMPUTED_VALUE"""),0.0)</f>
        <v>0</v>
      </c>
      <c r="AC43" s="187">
        <f>IFERROR(__xludf.DUMMYFUNCTION("""COMPUTED_VALUE"""),6.0)</f>
        <v>6</v>
      </c>
      <c r="AD43" s="187">
        <f>IFERROR(__xludf.DUMMYFUNCTION("""COMPUTED_VALUE"""),0.0)</f>
        <v>0</v>
      </c>
      <c r="AE43" s="187">
        <f>IFERROR(__xludf.DUMMYFUNCTION("""COMPUTED_VALUE"""),81.0)</f>
        <v>81</v>
      </c>
      <c r="AF43" s="187">
        <f>IFERROR(__xludf.DUMMYFUNCTION("""COMPUTED_VALUE"""),116.0)</f>
        <v>116</v>
      </c>
      <c r="AG43" s="187">
        <f>IFERROR(__xludf.DUMMYFUNCTION("""COMPUTED_VALUE"""),422.0)</f>
        <v>422</v>
      </c>
      <c r="AH43" s="187">
        <f>IFERROR(__xludf.DUMMYFUNCTION("""COMPUTED_VALUE"""),3.0)</f>
        <v>3</v>
      </c>
      <c r="AI43" s="187">
        <f>IFERROR(__xludf.DUMMYFUNCTION("""COMPUTED_VALUE"""),21.0)</f>
        <v>21</v>
      </c>
      <c r="AJ43" s="187">
        <f>IFERROR(__xludf.DUMMYFUNCTION("""COMPUTED_VALUE"""),0.0)</f>
        <v>0</v>
      </c>
      <c r="AK43" s="187">
        <f>IFERROR(__xludf.DUMMYFUNCTION("""COMPUTED_VALUE"""),0.0)</f>
        <v>0</v>
      </c>
      <c r="AL43" s="187">
        <f>IFERROR(__xludf.DUMMYFUNCTION("""COMPUTED_VALUE"""),0.0)</f>
        <v>0</v>
      </c>
      <c r="AM43" s="187">
        <f>IFERROR(__xludf.DUMMYFUNCTION("""COMPUTED_VALUE"""),0.0)</f>
        <v>0</v>
      </c>
      <c r="AN43" s="187">
        <f>IFERROR(__xludf.DUMMYFUNCTION("""COMPUTED_VALUE"""),185.0)</f>
        <v>185</v>
      </c>
      <c r="AO43" s="187">
        <f>IFERROR(__xludf.DUMMYFUNCTION("""COMPUTED_VALUE"""),322.0)</f>
        <v>322</v>
      </c>
      <c r="AP43" s="187">
        <f>IFERROR(__xludf.DUMMYFUNCTION("""COMPUTED_VALUE"""),65.0)</f>
        <v>65</v>
      </c>
      <c r="AQ43" s="217">
        <f>IFERROR(__xludf.DUMMYFUNCTION("""COMPUTED_VALUE"""),8300.8)</f>
        <v>8300.8</v>
      </c>
      <c r="AR43" s="188">
        <f>IFERROR(__xludf.DUMMYFUNCTION("""COMPUTED_VALUE"""),4.953846153846154)</f>
        <v>4.953846154</v>
      </c>
      <c r="AS43" s="217">
        <f>IFERROR(__xludf.DUMMYFUNCTION("""COMPUTED_VALUE"""),155850.0)</f>
        <v>155850</v>
      </c>
      <c r="AT43" s="217"/>
      <c r="AU43" s="218">
        <f>IFERROR(__xludf.DUMMYFUNCTION("""COMPUTED_VALUE"""),0.288850750252061)</f>
        <v>0.2888507503</v>
      </c>
      <c r="AV43" s="217">
        <f>IFERROR(__xludf.DUMMYFUNCTION("""COMPUTED_VALUE"""),89925.33333333333)</f>
        <v>89925.33333</v>
      </c>
      <c r="AW43" s="219">
        <f>IFERROR(__xludf.DUMMYFUNCTION("""COMPUTED_VALUE"""),7.0)</f>
        <v>7</v>
      </c>
      <c r="AX43" s="219">
        <f>IFERROR(__xludf.DUMMYFUNCTION("""COMPUTED_VALUE"""),564.0)</f>
        <v>564</v>
      </c>
      <c r="AY43" s="220">
        <f>IFERROR(__xludf.DUMMYFUNCTION("""COMPUTED_VALUE"""),5522.77)</f>
        <v>5522.77</v>
      </c>
      <c r="AZ43" s="219">
        <f>IFERROR(__xludf.DUMMYFUNCTION("""COMPUTED_VALUE"""),128.0)</f>
        <v>128</v>
      </c>
      <c r="BA43" s="219">
        <f>IFERROR(__xludf.DUMMYFUNCTION("""COMPUTED_VALUE"""),6.0)</f>
        <v>6</v>
      </c>
      <c r="BB43" s="219">
        <f>IFERROR(__xludf.DUMMYFUNCTION("""COMPUTED_VALUE"""),37.0)</f>
        <v>37</v>
      </c>
      <c r="BC43" s="219">
        <f>IFERROR(__xludf.DUMMYFUNCTION("""COMPUTED_VALUE"""),17.0)</f>
        <v>17</v>
      </c>
      <c r="BD43" s="221"/>
      <c r="BE43" s="98"/>
      <c r="BF43" s="255" t="e">
        <v>#REF!</v>
      </c>
      <c r="BG43" s="256">
        <f t="shared" si="4"/>
        <v>539552</v>
      </c>
      <c r="BH43" s="257" t="str">
        <f t="shared" si="5"/>
        <v>#REF!</v>
      </c>
      <c r="BI43" s="98"/>
      <c r="BJ43" s="98"/>
      <c r="BK43" s="98"/>
      <c r="BL43" s="98"/>
      <c r="BM43" s="98"/>
      <c r="BN43" s="98"/>
      <c r="BO43" s="98"/>
      <c r="BP43" s="98"/>
      <c r="BQ43" s="98"/>
      <c r="BR43" s="98"/>
    </row>
    <row r="44">
      <c r="A44" s="6" t="str">
        <f>IFERROR(__xludf.DUMMYFUNCTION("""COMPUTED_VALUE"""),"Nasir Hussain Khan")</f>
        <v>Nasir Hussain Khan</v>
      </c>
      <c r="B44" s="98" t="str">
        <f>IFERROR(__xludf.DUMMYFUNCTION("""COMPUTED_VALUE"""),"JAMMU AND KASHMIR")</f>
        <v>JAMMU AND KASHMIR</v>
      </c>
      <c r="C44" s="212" t="str">
        <f>IFERROR(__xludf.DUMMYFUNCTION("""COMPUTED_VALUE"""),"PAWAN KUMAR")</f>
        <v>PAWAN KUMAR</v>
      </c>
      <c r="D44" s="98" t="str">
        <f>IFERROR(__xludf.DUMMYFUNCTION("""COMPUTED_VALUE"""),"JAMMU")</f>
        <v>JAMMU</v>
      </c>
      <c r="E44" s="213">
        <f>IFERROR(__xludf.DUMMYFUNCTION("""COMPUTED_VALUE"""),44684.0)</f>
        <v>44684</v>
      </c>
      <c r="F44" s="222" t="str">
        <f>IFERROR(__xludf.DUMMYFUNCTION("""COMPUTED_VALUE"""),"JAMMU AND KASHMIR")</f>
        <v>JAMMU AND KASHMIR</v>
      </c>
      <c r="G44" s="215">
        <f>IFERROR(__xludf.DUMMYFUNCTION("""COMPUTED_VALUE"""),1.2982378210156249E7)</f>
        <v>12982378.21</v>
      </c>
      <c r="H44" s="215">
        <f>IFERROR(__xludf.DUMMYFUNCTION("""COMPUTED_VALUE"""),1.2136994E7)</f>
        <v>12136994</v>
      </c>
      <c r="I44" s="216">
        <f>IFERROR(__xludf.DUMMYFUNCTION("""COMPUTED_VALUE"""),43505.0)</f>
        <v>43505</v>
      </c>
      <c r="J44" s="216">
        <f>IFERROR(__xludf.DUMMYFUNCTION("""COMPUTED_VALUE"""),1500000.0)</f>
        <v>1500000</v>
      </c>
      <c r="K44" s="217">
        <f>IFERROR(__xludf.DUMMYFUNCTION("""COMPUTED_VALUE"""),750000.0)</f>
        <v>750000</v>
      </c>
      <c r="L44" s="217">
        <f>IFERROR(__xludf.DUMMYFUNCTION("""COMPUTED_VALUE"""),3750000.0)</f>
        <v>3750000</v>
      </c>
      <c r="M44" s="217">
        <f>IFERROR(__xludf.DUMMYFUNCTION("""COMPUTED_VALUE"""),3265851.0)</f>
        <v>3265851</v>
      </c>
      <c r="N44" s="217">
        <f>IFERROR(__xludf.DUMMYFUNCTION("""COMPUTED_VALUE"""),0.0)</f>
        <v>0</v>
      </c>
      <c r="O44" s="217">
        <f>IFERROR(__xludf.DUMMYFUNCTION("""COMPUTED_VALUE"""),2170806.0)</f>
        <v>2170806</v>
      </c>
      <c r="P44" s="218">
        <f>IFERROR(__xludf.DUMMYFUNCTION("""COMPUTED_VALUE"""),0.7257446666666667)</f>
        <v>0.7257446667</v>
      </c>
      <c r="Q44" s="218">
        <f>IFERROR(__xludf.DUMMYFUNCTION("""COMPUTED_VALUE"""),0.0)</f>
        <v>0</v>
      </c>
      <c r="R44" s="218">
        <f>IFERROR(__xludf.DUMMYFUNCTION("""COMPUTED_VALUE"""),0.48240133333333335)</f>
        <v>0.4824013333</v>
      </c>
      <c r="S44" s="187">
        <f>IFERROR(__xludf.DUMMYFUNCTION("""COMPUTED_VALUE"""),30.0)</f>
        <v>30</v>
      </c>
      <c r="T44" s="187">
        <f>IFERROR(__xludf.DUMMYFUNCTION("""COMPUTED_VALUE"""),23.0)</f>
        <v>23</v>
      </c>
      <c r="U44" s="187">
        <f>IFERROR(__xludf.DUMMYFUNCTION("""COMPUTED_VALUE"""),1.0)</f>
        <v>1</v>
      </c>
      <c r="V44" s="187">
        <f>IFERROR(__xludf.DUMMYFUNCTION("""COMPUTED_VALUE"""),1.0)</f>
        <v>1</v>
      </c>
      <c r="W44" s="187">
        <f>IFERROR(__xludf.DUMMYFUNCTION("""COMPUTED_VALUE"""),31.0)</f>
        <v>31</v>
      </c>
      <c r="X44" s="187">
        <f>IFERROR(__xludf.DUMMYFUNCTION("""COMPUTED_VALUE"""),8.0)</f>
        <v>8</v>
      </c>
      <c r="Y44" s="188">
        <f>IFERROR(__xludf.DUMMYFUNCTION("""COMPUTED_VALUE"""),1266762.78)</f>
        <v>1266762.78</v>
      </c>
      <c r="Z44" s="188">
        <f>IFERROR(__xludf.DUMMYFUNCTION("""COMPUTED_VALUE"""),1999087.75)</f>
        <v>1999087.75</v>
      </c>
      <c r="AA44" s="187">
        <f>IFERROR(__xludf.DUMMYFUNCTION("""COMPUTED_VALUE"""),7.0)</f>
        <v>7</v>
      </c>
      <c r="AB44" s="187">
        <f>IFERROR(__xludf.DUMMYFUNCTION("""COMPUTED_VALUE"""),1.0)</f>
        <v>1</v>
      </c>
      <c r="AC44" s="187">
        <f>IFERROR(__xludf.DUMMYFUNCTION("""COMPUTED_VALUE"""),8.0)</f>
        <v>8</v>
      </c>
      <c r="AD44" s="187">
        <f>IFERROR(__xludf.DUMMYFUNCTION("""COMPUTED_VALUE"""),0.0)</f>
        <v>0</v>
      </c>
      <c r="AE44" s="187">
        <f>IFERROR(__xludf.DUMMYFUNCTION("""COMPUTED_VALUE"""),0.0)</f>
        <v>0</v>
      </c>
      <c r="AF44" s="187">
        <f>IFERROR(__xludf.DUMMYFUNCTION("""COMPUTED_VALUE"""),0.0)</f>
        <v>0</v>
      </c>
      <c r="AG44" s="187">
        <f>IFERROR(__xludf.DUMMYFUNCTION("""COMPUTED_VALUE"""),107.0)</f>
        <v>107</v>
      </c>
      <c r="AH44" s="187">
        <f>IFERROR(__xludf.DUMMYFUNCTION("""COMPUTED_VALUE"""),3.0)</f>
        <v>3</v>
      </c>
      <c r="AI44" s="187">
        <f>IFERROR(__xludf.DUMMYFUNCTION("""COMPUTED_VALUE"""),30.0)</f>
        <v>30</v>
      </c>
      <c r="AJ44" s="187">
        <f>IFERROR(__xludf.DUMMYFUNCTION("""COMPUTED_VALUE"""),1.0)</f>
        <v>1</v>
      </c>
      <c r="AK44" s="187">
        <f>IFERROR(__xludf.DUMMYFUNCTION("""COMPUTED_VALUE"""),11.0)</f>
        <v>11</v>
      </c>
      <c r="AL44" s="187">
        <f>IFERROR(__xludf.DUMMYFUNCTION("""COMPUTED_VALUE"""),0.0)</f>
        <v>0</v>
      </c>
      <c r="AM44" s="187">
        <f>IFERROR(__xludf.DUMMYFUNCTION("""COMPUTED_VALUE"""),0.0)</f>
        <v>0</v>
      </c>
      <c r="AN44" s="187">
        <f>IFERROR(__xludf.DUMMYFUNCTION("""COMPUTED_VALUE"""),233.0)</f>
        <v>233</v>
      </c>
      <c r="AO44" s="187">
        <f>IFERROR(__xludf.DUMMYFUNCTION("""COMPUTED_VALUE"""),274.0)</f>
        <v>274</v>
      </c>
      <c r="AP44" s="187">
        <f>IFERROR(__xludf.DUMMYFUNCTION("""COMPUTED_VALUE"""),68.0)</f>
        <v>68</v>
      </c>
      <c r="AQ44" s="217">
        <f>IFERROR(__xludf.DUMMYFUNCTION("""COMPUTED_VALUE"""),48027.220588235294)</f>
        <v>48027.22059</v>
      </c>
      <c r="AR44" s="188">
        <f>IFERROR(__xludf.DUMMYFUNCTION("""COMPUTED_VALUE"""),4.029411764705882)</f>
        <v>4.029411765</v>
      </c>
      <c r="AS44" s="217">
        <f>IFERROR(__xludf.DUMMYFUNCTION("""COMPUTED_VALUE"""),130515.0)</f>
        <v>130515</v>
      </c>
      <c r="AT44" s="217"/>
      <c r="AU44" s="218">
        <f>IFERROR(__xludf.DUMMYFUNCTION("""COMPUTED_VALUE"""),0.039963550082352195)</f>
        <v>0.03996355008</v>
      </c>
      <c r="AV44" s="217">
        <f>IFERROR(__xludf.DUMMYFUNCTION("""COMPUTED_VALUE"""),408231.375)</f>
        <v>408231.375</v>
      </c>
      <c r="AW44" s="219">
        <f>IFERROR(__xludf.DUMMYFUNCTION("""COMPUTED_VALUE"""),9.0)</f>
        <v>9</v>
      </c>
      <c r="AX44" s="219">
        <f>IFERROR(__xludf.DUMMYFUNCTION("""COMPUTED_VALUE"""),0.0)</f>
        <v>0</v>
      </c>
      <c r="AY44" s="220">
        <f>IFERROR(__xludf.DUMMYFUNCTION("""COMPUTED_VALUE"""),0.0)</f>
        <v>0</v>
      </c>
      <c r="AZ44" s="219">
        <f>IFERROR(__xludf.DUMMYFUNCTION("""COMPUTED_VALUE"""),0.0)</f>
        <v>0</v>
      </c>
      <c r="BA44" s="219">
        <f>IFERROR(__xludf.DUMMYFUNCTION("""COMPUTED_VALUE"""),8.0)</f>
        <v>8</v>
      </c>
      <c r="BB44" s="219">
        <f>IFERROR(__xludf.DUMMYFUNCTION("""COMPUTED_VALUE"""),0.0)</f>
        <v>0</v>
      </c>
      <c r="BC44" s="219">
        <f>IFERROR(__xludf.DUMMYFUNCTION("""COMPUTED_VALUE"""),23.0)</f>
        <v>23</v>
      </c>
      <c r="BD44" s="221"/>
      <c r="BE44" s="98"/>
      <c r="BF44" s="255" t="e">
        <v>#REF!</v>
      </c>
      <c r="BG44" s="256">
        <f t="shared" si="4"/>
        <v>3265851</v>
      </c>
      <c r="BH44" s="257" t="str">
        <f t="shared" si="5"/>
        <v>#REF!</v>
      </c>
      <c r="BI44" s="98"/>
      <c r="BJ44" s="98"/>
      <c r="BK44" s="98"/>
      <c r="BL44" s="98"/>
      <c r="BM44" s="98"/>
      <c r="BN44" s="98"/>
      <c r="BO44" s="98"/>
      <c r="BP44" s="98"/>
      <c r="BQ44" s="98"/>
      <c r="BR44" s="98"/>
    </row>
    <row r="45">
      <c r="A45" s="6" t="str">
        <f>IFERROR(__xludf.DUMMYFUNCTION("""COMPUTED_VALUE"""),"Biju C.O")</f>
        <v>Biju C.O</v>
      </c>
      <c r="B45" s="98" t="str">
        <f>IFERROR(__xludf.DUMMYFUNCTION("""COMPUTED_VALUE"""),"Kerala")</f>
        <v>Kerala</v>
      </c>
      <c r="C45" s="212" t="str">
        <f>IFERROR(__xludf.DUMMYFUNCTION("""COMPUTED_VALUE"""),"PRATHEESH CC")</f>
        <v>PRATHEESH CC</v>
      </c>
      <c r="D45" s="98" t="str">
        <f>IFERROR(__xludf.DUMMYFUNCTION("""COMPUTED_VALUE"""),"PALAKKAD")</f>
        <v>PALAKKAD</v>
      </c>
      <c r="E45" s="213">
        <f>IFERROR(__xludf.DUMMYFUNCTION("""COMPUTED_VALUE"""),44693.0)</f>
        <v>44693</v>
      </c>
      <c r="F45" s="222" t="str">
        <f>IFERROR(__xludf.DUMMYFUNCTION("""COMPUTED_VALUE"""),"KERALA")</f>
        <v>KERALA</v>
      </c>
      <c r="G45" s="215">
        <f>IFERROR(__xludf.DUMMYFUNCTION("""COMPUTED_VALUE"""),1.1934784130000003E7)</f>
        <v>11934784.13</v>
      </c>
      <c r="H45" s="215">
        <f>IFERROR(__xludf.DUMMYFUNCTION("""COMPUTED_VALUE"""),1.1356336E7)</f>
        <v>11356336</v>
      </c>
      <c r="I45" s="216">
        <f>IFERROR(__xludf.DUMMYFUNCTION("""COMPUTED_VALUE"""),32890.0)</f>
        <v>32890</v>
      </c>
      <c r="J45" s="216">
        <f>IFERROR(__xludf.DUMMYFUNCTION("""COMPUTED_VALUE"""),918500.0)</f>
        <v>918500</v>
      </c>
      <c r="K45" s="217">
        <f>IFERROR(__xludf.DUMMYFUNCTION("""COMPUTED_VALUE"""),0.0)</f>
        <v>0</v>
      </c>
      <c r="L45" s="217">
        <f>IFERROR(__xludf.DUMMYFUNCTION("""COMPUTED_VALUE"""),4008000.0)</f>
        <v>4008000</v>
      </c>
      <c r="M45" s="217">
        <f>IFERROR(__xludf.DUMMYFUNCTION("""COMPUTED_VALUE"""),3486751.0)</f>
        <v>3486751</v>
      </c>
      <c r="N45" s="217">
        <f>IFERROR(__xludf.DUMMYFUNCTION("""COMPUTED_VALUE"""),0.0)</f>
        <v>0</v>
      </c>
      <c r="O45" s="217">
        <f>IFERROR(__xludf.DUMMYFUNCTION("""COMPUTED_VALUE"""),1769856.0)</f>
        <v>1769856</v>
      </c>
      <c r="P45" s="218">
        <f>IFERROR(__xludf.DUMMYFUNCTION("""COMPUTED_VALUE"""),0.8699478542914172)</f>
        <v>0.8699478543</v>
      </c>
      <c r="Q45" s="218">
        <f>IFERROR(__xludf.DUMMYFUNCTION("""COMPUTED_VALUE"""),0.0)</f>
        <v>0</v>
      </c>
      <c r="R45" s="218">
        <f>IFERROR(__xludf.DUMMYFUNCTION("""COMPUTED_VALUE"""),0.4415808383233533)</f>
        <v>0.4415808383</v>
      </c>
      <c r="S45" s="187">
        <f>IFERROR(__xludf.DUMMYFUNCTION("""COMPUTED_VALUE"""),60.0)</f>
        <v>60</v>
      </c>
      <c r="T45" s="187">
        <f>IFERROR(__xludf.DUMMYFUNCTION("""COMPUTED_VALUE"""),51.0)</f>
        <v>51</v>
      </c>
      <c r="U45" s="187">
        <f>IFERROR(__xludf.DUMMYFUNCTION("""COMPUTED_VALUE"""),2.0)</f>
        <v>2</v>
      </c>
      <c r="V45" s="187">
        <f>IFERROR(__xludf.DUMMYFUNCTION("""COMPUTED_VALUE"""),2.0)</f>
        <v>2</v>
      </c>
      <c r="W45" s="187">
        <f>IFERROR(__xludf.DUMMYFUNCTION("""COMPUTED_VALUE"""),62.0)</f>
        <v>62</v>
      </c>
      <c r="X45" s="187">
        <f>IFERROR(__xludf.DUMMYFUNCTION("""COMPUTED_VALUE"""),11.0)</f>
        <v>11</v>
      </c>
      <c r="Y45" s="188">
        <f>IFERROR(__xludf.DUMMYFUNCTION("""COMPUTED_VALUE"""),3361321.2)</f>
        <v>3361321.2</v>
      </c>
      <c r="Z45" s="188">
        <f>IFERROR(__xludf.DUMMYFUNCTION("""COMPUTED_VALUE"""),125430.0)</f>
        <v>125430</v>
      </c>
      <c r="AA45" s="187">
        <f>IFERROR(__xludf.DUMMYFUNCTION("""COMPUTED_VALUE"""),23.0)</f>
        <v>23</v>
      </c>
      <c r="AB45" s="187">
        <f>IFERROR(__xludf.DUMMYFUNCTION("""COMPUTED_VALUE"""),2.0)</f>
        <v>2</v>
      </c>
      <c r="AC45" s="187">
        <f>IFERROR(__xludf.DUMMYFUNCTION("""COMPUTED_VALUE"""),25.0)</f>
        <v>25</v>
      </c>
      <c r="AD45" s="187">
        <f>IFERROR(__xludf.DUMMYFUNCTION("""COMPUTED_VALUE"""),0.0)</f>
        <v>0</v>
      </c>
      <c r="AE45" s="187">
        <f>IFERROR(__xludf.DUMMYFUNCTION("""COMPUTED_VALUE"""),26.0)</f>
        <v>26</v>
      </c>
      <c r="AF45" s="187">
        <f>IFERROR(__xludf.DUMMYFUNCTION("""COMPUTED_VALUE"""),65.0)</f>
        <v>65</v>
      </c>
      <c r="AG45" s="187">
        <f>IFERROR(__xludf.DUMMYFUNCTION("""COMPUTED_VALUE"""),39.0)</f>
        <v>39</v>
      </c>
      <c r="AH45" s="187">
        <f>IFERROR(__xludf.DUMMYFUNCTION("""COMPUTED_VALUE"""),1.0)</f>
        <v>1</v>
      </c>
      <c r="AI45" s="187">
        <f>IFERROR(__xludf.DUMMYFUNCTION("""COMPUTED_VALUE"""),8.0)</f>
        <v>8</v>
      </c>
      <c r="AJ45" s="187">
        <f>IFERROR(__xludf.DUMMYFUNCTION("""COMPUTED_VALUE"""),0.0)</f>
        <v>0</v>
      </c>
      <c r="AK45" s="187">
        <f>IFERROR(__xludf.DUMMYFUNCTION("""COMPUTED_VALUE"""),0.0)</f>
        <v>0</v>
      </c>
      <c r="AL45" s="187">
        <f>IFERROR(__xludf.DUMMYFUNCTION("""COMPUTED_VALUE"""),0.0)</f>
        <v>0</v>
      </c>
      <c r="AM45" s="187">
        <f>IFERROR(__xludf.DUMMYFUNCTION("""COMPUTED_VALUE"""),0.0)</f>
        <v>0</v>
      </c>
      <c r="AN45" s="187">
        <f>IFERROR(__xludf.DUMMYFUNCTION("""COMPUTED_VALUE"""),301.0)</f>
        <v>301</v>
      </c>
      <c r="AO45" s="187">
        <f>IFERROR(__xludf.DUMMYFUNCTION("""COMPUTED_VALUE"""),374.0)</f>
        <v>374</v>
      </c>
      <c r="AP45" s="187">
        <f>IFERROR(__xludf.DUMMYFUNCTION("""COMPUTED_VALUE"""),69.0)</f>
        <v>69</v>
      </c>
      <c r="AQ45" s="217">
        <f>IFERROR(__xludf.DUMMYFUNCTION("""COMPUTED_VALUE"""),50532.6231884058)</f>
        <v>50532.62319</v>
      </c>
      <c r="AR45" s="188">
        <f>IFERROR(__xludf.DUMMYFUNCTION("""COMPUTED_VALUE"""),5.420289855072464)</f>
        <v>5.420289855</v>
      </c>
      <c r="AS45" s="217">
        <f>IFERROR(__xludf.DUMMYFUNCTION("""COMPUTED_VALUE"""),98670.0)</f>
        <v>98670</v>
      </c>
      <c r="AT45" s="217"/>
      <c r="AU45" s="218">
        <f>IFERROR(__xludf.DUMMYFUNCTION("""COMPUTED_VALUE"""),0.028298550713830726)</f>
        <v>0.02829855071</v>
      </c>
      <c r="AV45" s="217">
        <f>IFERROR(__xludf.DUMMYFUNCTION("""COMPUTED_VALUE"""),139470.04)</f>
        <v>139470.04</v>
      </c>
      <c r="AW45" s="219">
        <f>IFERROR(__xludf.DUMMYFUNCTION("""COMPUTED_VALUE"""),56.0)</f>
        <v>56</v>
      </c>
      <c r="AX45" s="219">
        <f>IFERROR(__xludf.DUMMYFUNCTION("""COMPUTED_VALUE"""),693.0)</f>
        <v>693</v>
      </c>
      <c r="AY45" s="220">
        <f>IFERROR(__xludf.DUMMYFUNCTION("""COMPUTED_VALUE"""),4244.06)</f>
        <v>4244.06</v>
      </c>
      <c r="AZ45" s="219">
        <f>IFERROR(__xludf.DUMMYFUNCTION("""COMPUTED_VALUE"""),83.0)</f>
        <v>83</v>
      </c>
      <c r="BA45" s="219">
        <f>IFERROR(__xludf.DUMMYFUNCTION("""COMPUTED_VALUE"""),25.0)</f>
        <v>25</v>
      </c>
      <c r="BB45" s="219">
        <f>IFERROR(__xludf.DUMMYFUNCTION("""COMPUTED_VALUE"""),26.0)</f>
        <v>26</v>
      </c>
      <c r="BC45" s="219">
        <f>IFERROR(__xludf.DUMMYFUNCTION("""COMPUTED_VALUE"""),11.0)</f>
        <v>11</v>
      </c>
      <c r="BD45" s="221"/>
      <c r="BE45" s="98"/>
      <c r="BF45" s="255" t="e">
        <v>#REF!</v>
      </c>
      <c r="BG45" s="256">
        <f t="shared" si="4"/>
        <v>3486751</v>
      </c>
      <c r="BH45" s="257" t="str">
        <f t="shared" si="5"/>
        <v>#REF!</v>
      </c>
      <c r="BI45" s="98"/>
      <c r="BJ45" s="98"/>
      <c r="BK45" s="98"/>
      <c r="BL45" s="98"/>
      <c r="BM45" s="98"/>
      <c r="BN45" s="98"/>
      <c r="BO45" s="98"/>
      <c r="BP45" s="98"/>
      <c r="BQ45" s="98"/>
      <c r="BR45" s="98"/>
    </row>
    <row r="46">
      <c r="A46" s="6" t="str">
        <f>IFERROR(__xludf.DUMMYFUNCTION("""COMPUTED_VALUE"""),"Lalan Kumar")</f>
        <v>Lalan Kumar</v>
      </c>
      <c r="B46" s="98" t="str">
        <f>IFERROR(__xludf.DUMMYFUNCTION("""COMPUTED_VALUE"""),"Maharashtra")</f>
        <v>Maharashtra</v>
      </c>
      <c r="C46" s="98" t="str">
        <f>IFERROR(__xludf.DUMMYFUNCTION("""COMPUTED_VALUE"""),"Sandeep Amrut Sonawane")</f>
        <v>Sandeep Amrut Sonawane</v>
      </c>
      <c r="D46" s="98" t="str">
        <f>IFERROR(__xludf.DUMMYFUNCTION("""COMPUTED_VALUE"""),"Dhule")</f>
        <v>Dhule</v>
      </c>
      <c r="E46" s="213">
        <f>IFERROR(__xludf.DUMMYFUNCTION("""COMPUTED_VALUE"""),44697.0)</f>
        <v>44697</v>
      </c>
      <c r="F46" s="222" t="str">
        <f>IFERROR(__xludf.DUMMYFUNCTION("""COMPUTED_VALUE"""),"MAHARASHTRA")</f>
        <v>MAHARASHTRA</v>
      </c>
      <c r="G46" s="215">
        <f>IFERROR(__xludf.DUMMYFUNCTION("""COMPUTED_VALUE"""),9167160.270000001)</f>
        <v>9167160.27</v>
      </c>
      <c r="H46" s="215">
        <f>IFERROR(__xludf.DUMMYFUNCTION("""COMPUTED_VALUE"""),9208485.0)</f>
        <v>9208485</v>
      </c>
      <c r="I46" s="216">
        <f>IFERROR(__xludf.DUMMYFUNCTION("""COMPUTED_VALUE"""),36720.0)</f>
        <v>36720</v>
      </c>
      <c r="J46" s="216">
        <f>IFERROR(__xludf.DUMMYFUNCTION("""COMPUTED_VALUE"""),1400000.0)</f>
        <v>1400000</v>
      </c>
      <c r="K46" s="217">
        <f>IFERROR(__xludf.DUMMYFUNCTION("""COMPUTED_VALUE"""),0.0)</f>
        <v>0</v>
      </c>
      <c r="L46" s="217">
        <f>IFERROR(__xludf.DUMMYFUNCTION("""COMPUTED_VALUE"""),4200000.0)</f>
        <v>4200000</v>
      </c>
      <c r="M46" s="217">
        <f>IFERROR(__xludf.DUMMYFUNCTION("""COMPUTED_VALUE"""),2227667.0)</f>
        <v>2227667</v>
      </c>
      <c r="N46" s="217">
        <f>IFERROR(__xludf.DUMMYFUNCTION("""COMPUTED_VALUE"""),0.0)</f>
        <v>0</v>
      </c>
      <c r="O46" s="217">
        <f>IFERROR(__xludf.DUMMYFUNCTION("""COMPUTED_VALUE"""),2205983.0)</f>
        <v>2205983</v>
      </c>
      <c r="P46" s="218">
        <f>IFERROR(__xludf.DUMMYFUNCTION("""COMPUTED_VALUE"""),0.5303969047619047)</f>
        <v>0.5303969048</v>
      </c>
      <c r="Q46" s="218">
        <f>IFERROR(__xludf.DUMMYFUNCTION("""COMPUTED_VALUE"""),0.0)</f>
        <v>0</v>
      </c>
      <c r="R46" s="218">
        <f>IFERROR(__xludf.DUMMYFUNCTION("""COMPUTED_VALUE"""),0.5252340476190476)</f>
        <v>0.5252340476</v>
      </c>
      <c r="S46" s="187">
        <f>IFERROR(__xludf.DUMMYFUNCTION("""COMPUTED_VALUE"""),66.0)</f>
        <v>66</v>
      </c>
      <c r="T46" s="187">
        <f>IFERROR(__xludf.DUMMYFUNCTION("""COMPUTED_VALUE"""),52.0)</f>
        <v>52</v>
      </c>
      <c r="U46" s="187">
        <f>IFERROR(__xludf.DUMMYFUNCTION("""COMPUTED_VALUE"""),2.0)</f>
        <v>2</v>
      </c>
      <c r="V46" s="187">
        <f>IFERROR(__xludf.DUMMYFUNCTION("""COMPUTED_VALUE"""),1.0)</f>
        <v>1</v>
      </c>
      <c r="W46" s="187">
        <f>IFERROR(__xludf.DUMMYFUNCTION("""COMPUTED_VALUE"""),68.0)</f>
        <v>68</v>
      </c>
      <c r="X46" s="187">
        <f>IFERROR(__xludf.DUMMYFUNCTION("""COMPUTED_VALUE"""),16.0)</f>
        <v>16</v>
      </c>
      <c r="Y46" s="188">
        <f>IFERROR(__xludf.DUMMYFUNCTION("""COMPUTED_VALUE"""),2192555.47)</f>
        <v>2192555.47</v>
      </c>
      <c r="Z46" s="188">
        <f>IFERROR(__xludf.DUMMYFUNCTION("""COMPUTED_VALUE"""),35112.0)</f>
        <v>35112</v>
      </c>
      <c r="AA46" s="187">
        <f>IFERROR(__xludf.DUMMYFUNCTION("""COMPUTED_VALUE"""),29.0)</f>
        <v>29</v>
      </c>
      <c r="AB46" s="187">
        <f>IFERROR(__xludf.DUMMYFUNCTION("""COMPUTED_VALUE"""),1.0)</f>
        <v>1</v>
      </c>
      <c r="AC46" s="187">
        <f>IFERROR(__xludf.DUMMYFUNCTION("""COMPUTED_VALUE"""),30.0)</f>
        <v>30</v>
      </c>
      <c r="AD46" s="187">
        <f>IFERROR(__xludf.DUMMYFUNCTION("""COMPUTED_VALUE"""),0.0)</f>
        <v>0</v>
      </c>
      <c r="AE46" s="187">
        <f>IFERROR(__xludf.DUMMYFUNCTION("""COMPUTED_VALUE"""),14.0)</f>
        <v>14</v>
      </c>
      <c r="AF46" s="187">
        <f>IFERROR(__xludf.DUMMYFUNCTION("""COMPUTED_VALUE"""),16.0)</f>
        <v>16</v>
      </c>
      <c r="AG46" s="187">
        <f>IFERROR(__xludf.DUMMYFUNCTION("""COMPUTED_VALUE"""),280.0)</f>
        <v>280</v>
      </c>
      <c r="AH46" s="187">
        <f>IFERROR(__xludf.DUMMYFUNCTION("""COMPUTED_VALUE"""),1.0)</f>
        <v>1</v>
      </c>
      <c r="AI46" s="187">
        <f>IFERROR(__xludf.DUMMYFUNCTION("""COMPUTED_VALUE"""),1.0)</f>
        <v>1</v>
      </c>
      <c r="AJ46" s="187">
        <f>IFERROR(__xludf.DUMMYFUNCTION("""COMPUTED_VALUE"""),0.0)</f>
        <v>0</v>
      </c>
      <c r="AK46" s="187">
        <f>IFERROR(__xludf.DUMMYFUNCTION("""COMPUTED_VALUE"""),0.0)</f>
        <v>0</v>
      </c>
      <c r="AL46" s="187">
        <f>IFERROR(__xludf.DUMMYFUNCTION("""COMPUTED_VALUE"""),0.0)</f>
        <v>0</v>
      </c>
      <c r="AM46" s="187">
        <f>IFERROR(__xludf.DUMMYFUNCTION("""COMPUTED_VALUE"""),0.0)</f>
        <v>0</v>
      </c>
      <c r="AN46" s="187">
        <f>IFERROR(__xludf.DUMMYFUNCTION("""COMPUTED_VALUE"""),259.0)</f>
        <v>259</v>
      </c>
      <c r="AO46" s="187">
        <f>IFERROR(__xludf.DUMMYFUNCTION("""COMPUTED_VALUE"""),276.0)</f>
        <v>276</v>
      </c>
      <c r="AP46" s="187">
        <f>IFERROR(__xludf.DUMMYFUNCTION("""COMPUTED_VALUE"""),75.0)</f>
        <v>75</v>
      </c>
      <c r="AQ46" s="217">
        <f>IFERROR(__xludf.DUMMYFUNCTION("""COMPUTED_VALUE"""),29702.226666666666)</f>
        <v>29702.22667</v>
      </c>
      <c r="AR46" s="188">
        <f>IFERROR(__xludf.DUMMYFUNCTION("""COMPUTED_VALUE"""),3.68)</f>
        <v>3.68</v>
      </c>
      <c r="AS46" s="217">
        <f>IFERROR(__xludf.DUMMYFUNCTION("""COMPUTED_VALUE"""),110160.0)</f>
        <v>110160</v>
      </c>
      <c r="AT46" s="217"/>
      <c r="AU46" s="218">
        <f>IFERROR(__xludf.DUMMYFUNCTION("""COMPUTED_VALUE"""),0.04945083802920275)</f>
        <v>0.04945083803</v>
      </c>
      <c r="AV46" s="217">
        <f>IFERROR(__xludf.DUMMYFUNCTION("""COMPUTED_VALUE"""),74255.56666666667)</f>
        <v>74255.56667</v>
      </c>
      <c r="AW46" s="219">
        <f>IFERROR(__xludf.DUMMYFUNCTION("""COMPUTED_VALUE"""),67.0)</f>
        <v>67</v>
      </c>
      <c r="AX46" s="219">
        <f>IFERROR(__xludf.DUMMYFUNCTION("""COMPUTED_VALUE"""),674.0)</f>
        <v>674</v>
      </c>
      <c r="AY46" s="220">
        <f>IFERROR(__xludf.DUMMYFUNCTION("""COMPUTED_VALUE"""),7182.02)</f>
        <v>7182.02</v>
      </c>
      <c r="AZ46" s="219">
        <f>IFERROR(__xludf.DUMMYFUNCTION("""COMPUTED_VALUE"""),138.0)</f>
        <v>138</v>
      </c>
      <c r="BA46" s="219">
        <f>IFERROR(__xludf.DUMMYFUNCTION("""COMPUTED_VALUE"""),30.0)</f>
        <v>30</v>
      </c>
      <c r="BB46" s="219">
        <f>IFERROR(__xludf.DUMMYFUNCTION("""COMPUTED_VALUE"""),22.0)</f>
        <v>22</v>
      </c>
      <c r="BC46" s="219">
        <f>IFERROR(__xludf.DUMMYFUNCTION("""COMPUTED_VALUE"""),16.0)</f>
        <v>16</v>
      </c>
      <c r="BD46" s="221"/>
      <c r="BE46" s="98"/>
      <c r="BF46" s="255" t="e">
        <v>#REF!</v>
      </c>
      <c r="BG46" s="256">
        <f t="shared" si="4"/>
        <v>2227667</v>
      </c>
      <c r="BH46" s="257" t="str">
        <f t="shared" si="5"/>
        <v>#REF!</v>
      </c>
      <c r="BI46" s="98"/>
      <c r="BJ46" s="98"/>
      <c r="BK46" s="98"/>
      <c r="BL46" s="98"/>
      <c r="BM46" s="98"/>
      <c r="BN46" s="98"/>
      <c r="BO46" s="98"/>
      <c r="BP46" s="98"/>
      <c r="BQ46" s="98"/>
      <c r="BR46" s="98"/>
    </row>
    <row r="47">
      <c r="A47" s="6" t="str">
        <f>IFERROR(__xludf.DUMMYFUNCTION("""COMPUTED_VALUE"""),"Sandeep Dadheech")</f>
        <v>Sandeep Dadheech</v>
      </c>
      <c r="B47" s="98" t="str">
        <f>IFERROR(__xludf.DUMMYFUNCTION("""COMPUTED_VALUE"""),"Andhra Pradesh")</f>
        <v>Andhra Pradesh</v>
      </c>
      <c r="C47" s="212" t="str">
        <f>IFERROR(__xludf.DUMMYFUNCTION("""COMPUTED_VALUE"""),"Taninki Ramesh Babu")</f>
        <v>Taninki Ramesh Babu</v>
      </c>
      <c r="D47" s="98" t="str">
        <f>IFERROR(__xludf.DUMMYFUNCTION("""COMPUTED_VALUE"""),"Kakinada")</f>
        <v>Kakinada</v>
      </c>
      <c r="E47" s="213">
        <f>IFERROR(__xludf.DUMMYFUNCTION("""COMPUTED_VALUE"""),44743.0)</f>
        <v>44743</v>
      </c>
      <c r="F47" s="222" t="str">
        <f>IFERROR(__xludf.DUMMYFUNCTION("""COMPUTED_VALUE"""),"ANDHRA PRADESH")</f>
        <v>ANDHRA PRADESH</v>
      </c>
      <c r="G47" s="215">
        <f>IFERROR(__xludf.DUMMYFUNCTION("""COMPUTED_VALUE"""),3864459.8499999996)</f>
        <v>3864459.85</v>
      </c>
      <c r="H47" s="215">
        <f>IFERROR(__xludf.DUMMYFUNCTION("""COMPUTED_VALUE"""),3902042.0)</f>
        <v>3902042</v>
      </c>
      <c r="I47" s="216">
        <f>IFERROR(__xludf.DUMMYFUNCTION("""COMPUTED_VALUE"""),24445.0)</f>
        <v>24445</v>
      </c>
      <c r="J47" s="56">
        <f>IFERROR(__xludf.DUMMYFUNCTION("""COMPUTED_VALUE"""),1500000.0)</f>
        <v>1500000</v>
      </c>
      <c r="K47" s="217">
        <f>IFERROR(__xludf.DUMMYFUNCTION("""COMPUTED_VALUE"""),0.0)</f>
        <v>0</v>
      </c>
      <c r="L47" s="217">
        <f>IFERROR(__xludf.DUMMYFUNCTION("""COMPUTED_VALUE"""),4500000.0)</f>
        <v>4500000</v>
      </c>
      <c r="M47" s="217">
        <f>IFERROR(__xludf.DUMMYFUNCTION("""COMPUTED_VALUE"""),1202891.0)</f>
        <v>1202891</v>
      </c>
      <c r="N47" s="217">
        <f>IFERROR(__xludf.DUMMYFUNCTION("""COMPUTED_VALUE"""),0.0)</f>
        <v>0</v>
      </c>
      <c r="O47" s="217">
        <f>IFERROR(__xludf.DUMMYFUNCTION("""COMPUTED_VALUE"""),1178944.0)</f>
        <v>1178944</v>
      </c>
      <c r="P47" s="218">
        <f>IFERROR(__xludf.DUMMYFUNCTION("""COMPUTED_VALUE"""),0.2673091111111111)</f>
        <v>0.2673091111</v>
      </c>
      <c r="Q47" s="218">
        <f>IFERROR(__xludf.DUMMYFUNCTION("""COMPUTED_VALUE"""),0.0)</f>
        <v>0</v>
      </c>
      <c r="R47" s="218">
        <f>IFERROR(__xludf.DUMMYFUNCTION("""COMPUTED_VALUE"""),0.26198755555555553)</f>
        <v>0.2619875556</v>
      </c>
      <c r="S47" s="187">
        <f>IFERROR(__xludf.DUMMYFUNCTION("""COMPUTED_VALUE"""),74.0)</f>
        <v>74</v>
      </c>
      <c r="T47" s="187">
        <f>IFERROR(__xludf.DUMMYFUNCTION("""COMPUTED_VALUE"""),66.0)</f>
        <v>66</v>
      </c>
      <c r="U47" s="187">
        <f>IFERROR(__xludf.DUMMYFUNCTION("""COMPUTED_VALUE"""),1.0)</f>
        <v>1</v>
      </c>
      <c r="V47" s="187">
        <f>IFERROR(__xludf.DUMMYFUNCTION("""COMPUTED_VALUE"""),1.0)</f>
        <v>1</v>
      </c>
      <c r="W47" s="187">
        <f>IFERROR(__xludf.DUMMYFUNCTION("""COMPUTED_VALUE"""),75.0)</f>
        <v>75</v>
      </c>
      <c r="X47" s="187">
        <f>IFERROR(__xludf.DUMMYFUNCTION("""COMPUTED_VALUE"""),9.0)</f>
        <v>9</v>
      </c>
      <c r="Y47" s="188">
        <f>IFERROR(__xludf.DUMMYFUNCTION("""COMPUTED_VALUE"""),1197082.69)</f>
        <v>1197082.69</v>
      </c>
      <c r="Z47" s="188">
        <f>IFERROR(__xludf.DUMMYFUNCTION("""COMPUTED_VALUE"""),5808.0)</f>
        <v>5808</v>
      </c>
      <c r="AA47" s="187">
        <f>IFERROR(__xludf.DUMMYFUNCTION("""COMPUTED_VALUE"""),22.0)</f>
        <v>22</v>
      </c>
      <c r="AB47" s="187">
        <f>IFERROR(__xludf.DUMMYFUNCTION("""COMPUTED_VALUE"""),1.0)</f>
        <v>1</v>
      </c>
      <c r="AC47" s="187">
        <f>IFERROR(__xludf.DUMMYFUNCTION("""COMPUTED_VALUE"""),23.0)</f>
        <v>23</v>
      </c>
      <c r="AD47" s="187">
        <f>IFERROR(__xludf.DUMMYFUNCTION("""COMPUTED_VALUE"""),0.0)</f>
        <v>0</v>
      </c>
      <c r="AE47" s="187">
        <f>IFERROR(__xludf.DUMMYFUNCTION("""COMPUTED_VALUE"""),7.0)</f>
        <v>7</v>
      </c>
      <c r="AF47" s="187">
        <f>IFERROR(__xludf.DUMMYFUNCTION("""COMPUTED_VALUE"""),7.0)</f>
        <v>7</v>
      </c>
      <c r="AG47" s="187">
        <f>IFERROR(__xludf.DUMMYFUNCTION("""COMPUTED_VALUE"""),166.0)</f>
        <v>166</v>
      </c>
      <c r="AH47" s="187">
        <f>IFERROR(__xludf.DUMMYFUNCTION("""COMPUTED_VALUE"""),4.0)</f>
        <v>4</v>
      </c>
      <c r="AI47" s="187">
        <f>IFERROR(__xludf.DUMMYFUNCTION("""COMPUTED_VALUE"""),8.0)</f>
        <v>8</v>
      </c>
      <c r="AJ47" s="187">
        <f>IFERROR(__xludf.DUMMYFUNCTION("""COMPUTED_VALUE"""),0.0)</f>
        <v>0</v>
      </c>
      <c r="AK47" s="187">
        <f>IFERROR(__xludf.DUMMYFUNCTION("""COMPUTED_VALUE"""),0.0)</f>
        <v>0</v>
      </c>
      <c r="AL47" s="187">
        <f>IFERROR(__xludf.DUMMYFUNCTION("""COMPUTED_VALUE"""),0.0)</f>
        <v>0</v>
      </c>
      <c r="AM47" s="187">
        <f>IFERROR(__xludf.DUMMYFUNCTION("""COMPUTED_VALUE"""),0.0)</f>
        <v>0</v>
      </c>
      <c r="AN47" s="187">
        <f>IFERROR(__xludf.DUMMYFUNCTION("""COMPUTED_VALUE"""),265.0)</f>
        <v>265</v>
      </c>
      <c r="AO47" s="187">
        <f>IFERROR(__xludf.DUMMYFUNCTION("""COMPUTED_VALUE"""),280.0)</f>
        <v>280</v>
      </c>
      <c r="AP47" s="187">
        <f>IFERROR(__xludf.DUMMYFUNCTION("""COMPUTED_VALUE"""),76.0)</f>
        <v>76</v>
      </c>
      <c r="AQ47" s="217">
        <f>IFERROR(__xludf.DUMMYFUNCTION("""COMPUTED_VALUE"""),15827.513157894737)</f>
        <v>15827.51316</v>
      </c>
      <c r="AR47" s="188">
        <f>IFERROR(__xludf.DUMMYFUNCTION("""COMPUTED_VALUE"""),3.6842105263157894)</f>
        <v>3.684210526</v>
      </c>
      <c r="AS47" s="217">
        <f>IFERROR(__xludf.DUMMYFUNCTION("""COMPUTED_VALUE"""),73335.0)</f>
        <v>73335</v>
      </c>
      <c r="AT47" s="217"/>
      <c r="AU47" s="218">
        <f>IFERROR(__xludf.DUMMYFUNCTION("""COMPUTED_VALUE"""),0.06096562365168581)</f>
        <v>0.06096562365</v>
      </c>
      <c r="AV47" s="217">
        <f>IFERROR(__xludf.DUMMYFUNCTION("""COMPUTED_VALUE"""),52299.608695652176)</f>
        <v>52299.6087</v>
      </c>
      <c r="AW47" s="219">
        <f>IFERROR(__xludf.DUMMYFUNCTION("""COMPUTED_VALUE"""),50.0)</f>
        <v>50</v>
      </c>
      <c r="AX47" s="219">
        <f>IFERROR(__xludf.DUMMYFUNCTION("""COMPUTED_VALUE"""),910.0)</f>
        <v>910</v>
      </c>
      <c r="AY47" s="220">
        <f>IFERROR(__xludf.DUMMYFUNCTION("""COMPUTED_VALUE"""),7146.5)</f>
        <v>7146.5</v>
      </c>
      <c r="AZ47" s="219">
        <f>IFERROR(__xludf.DUMMYFUNCTION("""COMPUTED_VALUE"""),108.0)</f>
        <v>108</v>
      </c>
      <c r="BA47" s="219">
        <f>IFERROR(__xludf.DUMMYFUNCTION("""COMPUTED_VALUE"""),23.0)</f>
        <v>23</v>
      </c>
      <c r="BB47" s="219">
        <f>IFERROR(__xludf.DUMMYFUNCTION("""COMPUTED_VALUE"""),43.0)</f>
        <v>43</v>
      </c>
      <c r="BC47" s="219">
        <f>IFERROR(__xludf.DUMMYFUNCTION("""COMPUTED_VALUE"""),9.0)</f>
        <v>9</v>
      </c>
      <c r="BD47" s="261"/>
      <c r="BE47" s="98"/>
      <c r="BF47" s="255" t="e">
        <v>#REF!</v>
      </c>
      <c r="BG47" s="256">
        <f t="shared" si="4"/>
        <v>1202891</v>
      </c>
      <c r="BH47" s="257" t="str">
        <f t="shared" si="5"/>
        <v>#REF!</v>
      </c>
      <c r="BI47" s="98"/>
      <c r="BJ47" s="98"/>
      <c r="BK47" s="98"/>
      <c r="BL47" s="98"/>
      <c r="BM47" s="98"/>
      <c r="BN47" s="98"/>
      <c r="BO47" s="98"/>
      <c r="BP47" s="98"/>
      <c r="BQ47" s="98"/>
      <c r="BR47" s="98"/>
    </row>
    <row r="48">
      <c r="A48" s="6" t="str">
        <f>IFERROR(__xludf.DUMMYFUNCTION("""COMPUTED_VALUE"""),"Anant Singh")</f>
        <v>Anant Singh</v>
      </c>
      <c r="B48" s="98" t="str">
        <f>IFERROR(__xludf.DUMMYFUNCTION("""COMPUTED_VALUE"""),"West U.P")</f>
        <v>West U.P</v>
      </c>
      <c r="C48" s="212" t="str">
        <f>IFERROR(__xludf.DUMMYFUNCTION("""COMPUTED_VALUE"""),"Ravinder Puri")</f>
        <v>Ravinder Puri</v>
      </c>
      <c r="D48" s="98" t="str">
        <f>IFERROR(__xludf.DUMMYFUNCTION("""COMPUTED_VALUE"""),"Ghaziabad")</f>
        <v>Ghaziabad</v>
      </c>
      <c r="E48" s="213">
        <f>IFERROR(__xludf.DUMMYFUNCTION("""COMPUTED_VALUE"""),44809.0)</f>
        <v>44809</v>
      </c>
      <c r="F48" s="222" t="str">
        <f>IFERROR(__xludf.DUMMYFUNCTION("""COMPUTED_VALUE"""),"West U.P")</f>
        <v>West U.P</v>
      </c>
      <c r="G48" s="215">
        <f>IFERROR(__xludf.DUMMYFUNCTION("""COMPUTED_VALUE"""),2.0551333419999998E7)</f>
        <v>20551333.42</v>
      </c>
      <c r="H48" s="215">
        <f>IFERROR(__xludf.DUMMYFUNCTION("""COMPUTED_VALUE"""),2.2426186E7)</f>
        <v>22426186</v>
      </c>
      <c r="I48" s="216">
        <f>IFERROR(__xludf.DUMMYFUNCTION("""COMPUTED_VALUE"""),32910.0)</f>
        <v>32910</v>
      </c>
      <c r="J48" s="216">
        <f>IFERROR(__xludf.DUMMYFUNCTION("""COMPUTED_VALUE"""),1980000.0)</f>
        <v>1980000</v>
      </c>
      <c r="K48" s="217">
        <f>IFERROR(__xludf.DUMMYFUNCTION("""COMPUTED_VALUE"""),0.0)</f>
        <v>0</v>
      </c>
      <c r="L48" s="217">
        <f>IFERROR(__xludf.DUMMYFUNCTION("""COMPUTED_VALUE"""),5940000.0)</f>
        <v>5940000</v>
      </c>
      <c r="M48" s="217">
        <f>IFERROR(__xludf.DUMMYFUNCTION("""COMPUTED_VALUE"""),5225399.0)</f>
        <v>5225399</v>
      </c>
      <c r="N48" s="217">
        <f>IFERROR(__xludf.DUMMYFUNCTION("""COMPUTED_VALUE"""),0.0)</f>
        <v>0</v>
      </c>
      <c r="O48" s="217">
        <f>IFERROR(__xludf.DUMMYFUNCTION("""COMPUTED_VALUE"""),5620061.0)</f>
        <v>5620061</v>
      </c>
      <c r="P48" s="218">
        <f>IFERROR(__xludf.DUMMYFUNCTION("""COMPUTED_VALUE"""),0.8796968013468014)</f>
        <v>0.8796968013</v>
      </c>
      <c r="Q48" s="218">
        <f>IFERROR(__xludf.DUMMYFUNCTION("""COMPUTED_VALUE"""),0.0)</f>
        <v>0</v>
      </c>
      <c r="R48" s="218">
        <f>IFERROR(__xludf.DUMMYFUNCTION("""COMPUTED_VALUE"""),0.9461382154882155)</f>
        <v>0.9461382155</v>
      </c>
      <c r="S48" s="187">
        <f>IFERROR(__xludf.DUMMYFUNCTION("""COMPUTED_VALUE"""),93.0)</f>
        <v>93</v>
      </c>
      <c r="T48" s="187">
        <f>IFERROR(__xludf.DUMMYFUNCTION("""COMPUTED_VALUE"""),83.0)</f>
        <v>83</v>
      </c>
      <c r="U48" s="187">
        <f>IFERROR(__xludf.DUMMYFUNCTION("""COMPUTED_VALUE"""),2.0)</f>
        <v>2</v>
      </c>
      <c r="V48" s="187">
        <f>IFERROR(__xludf.DUMMYFUNCTION("""COMPUTED_VALUE"""),2.0)</f>
        <v>2</v>
      </c>
      <c r="W48" s="187">
        <f>IFERROR(__xludf.DUMMYFUNCTION("""COMPUTED_VALUE"""),95.0)</f>
        <v>95</v>
      </c>
      <c r="X48" s="187">
        <f>IFERROR(__xludf.DUMMYFUNCTION("""COMPUTED_VALUE"""),12.0)</f>
        <v>12</v>
      </c>
      <c r="Y48" s="188">
        <f>IFERROR(__xludf.DUMMYFUNCTION("""COMPUTED_VALUE"""),5152773.92)</f>
        <v>5152773.92</v>
      </c>
      <c r="Z48" s="188">
        <f>IFERROR(__xludf.DUMMYFUNCTION("""COMPUTED_VALUE"""),72625.24)</f>
        <v>72625.24</v>
      </c>
      <c r="AA48" s="187">
        <f>IFERROR(__xludf.DUMMYFUNCTION("""COMPUTED_VALUE"""),67.0)</f>
        <v>67</v>
      </c>
      <c r="AB48" s="187">
        <f>IFERROR(__xludf.DUMMYFUNCTION("""COMPUTED_VALUE"""),2.0)</f>
        <v>2</v>
      </c>
      <c r="AC48" s="187">
        <f>IFERROR(__xludf.DUMMYFUNCTION("""COMPUTED_VALUE"""),69.0)</f>
        <v>69</v>
      </c>
      <c r="AD48" s="187">
        <f>IFERROR(__xludf.DUMMYFUNCTION("""COMPUTED_VALUE"""),0.0)</f>
        <v>0</v>
      </c>
      <c r="AE48" s="187">
        <f>IFERROR(__xludf.DUMMYFUNCTION("""COMPUTED_VALUE"""),25.0)</f>
        <v>25</v>
      </c>
      <c r="AF48" s="187">
        <f>IFERROR(__xludf.DUMMYFUNCTION("""COMPUTED_VALUE"""),45.0)</f>
        <v>45</v>
      </c>
      <c r="AG48" s="187">
        <f>IFERROR(__xludf.DUMMYFUNCTION("""COMPUTED_VALUE"""),196.0)</f>
        <v>196</v>
      </c>
      <c r="AH48" s="187">
        <f>IFERROR(__xludf.DUMMYFUNCTION("""COMPUTED_VALUE"""),6.0)</f>
        <v>6</v>
      </c>
      <c r="AI48" s="187">
        <f>IFERROR(__xludf.DUMMYFUNCTION("""COMPUTED_VALUE"""),67.0)</f>
        <v>67</v>
      </c>
      <c r="AJ48" s="187">
        <f>IFERROR(__xludf.DUMMYFUNCTION("""COMPUTED_VALUE"""),0.0)</f>
        <v>0</v>
      </c>
      <c r="AK48" s="187">
        <f>IFERROR(__xludf.DUMMYFUNCTION("""COMPUTED_VALUE"""),0.0)</f>
        <v>0</v>
      </c>
      <c r="AL48" s="187">
        <f>IFERROR(__xludf.DUMMYFUNCTION("""COMPUTED_VALUE"""),0.0)</f>
        <v>0</v>
      </c>
      <c r="AM48" s="187">
        <f>IFERROR(__xludf.DUMMYFUNCTION("""COMPUTED_VALUE"""),0.0)</f>
        <v>0</v>
      </c>
      <c r="AN48" s="187">
        <f>IFERROR(__xludf.DUMMYFUNCTION("""COMPUTED_VALUE"""),417.0)</f>
        <v>417</v>
      </c>
      <c r="AO48" s="187">
        <f>IFERROR(__xludf.DUMMYFUNCTION("""COMPUTED_VALUE"""),529.0)</f>
        <v>529</v>
      </c>
      <c r="AP48" s="187">
        <f>IFERROR(__xludf.DUMMYFUNCTION("""COMPUTED_VALUE"""),72.0)</f>
        <v>72</v>
      </c>
      <c r="AQ48" s="217">
        <f>IFERROR(__xludf.DUMMYFUNCTION("""COMPUTED_VALUE"""),72574.98611111111)</f>
        <v>72574.98611</v>
      </c>
      <c r="AR48" s="188">
        <f>IFERROR(__xludf.DUMMYFUNCTION("""COMPUTED_VALUE"""),7.347222222222222)</f>
        <v>7.347222222</v>
      </c>
      <c r="AS48" s="217">
        <f>IFERROR(__xludf.DUMMYFUNCTION("""COMPUTED_VALUE"""),98730.0)</f>
        <v>98730</v>
      </c>
      <c r="AT48" s="217"/>
      <c r="AU48" s="218">
        <f>IFERROR(__xludf.DUMMYFUNCTION("""COMPUTED_VALUE"""),0.01889425094619569)</f>
        <v>0.01889425095</v>
      </c>
      <c r="AV48" s="217">
        <f>IFERROR(__xludf.DUMMYFUNCTION("""COMPUTED_VALUE"""),75730.42028985507)</f>
        <v>75730.42029</v>
      </c>
      <c r="AW48" s="219">
        <f>IFERROR(__xludf.DUMMYFUNCTION("""COMPUTED_VALUE"""),280.0)</f>
        <v>280</v>
      </c>
      <c r="AX48" s="219">
        <f>IFERROR(__xludf.DUMMYFUNCTION("""COMPUTED_VALUE"""),699.0)</f>
        <v>699</v>
      </c>
      <c r="AY48" s="220">
        <f>IFERROR(__xludf.DUMMYFUNCTION("""COMPUTED_VALUE"""),4416.39)</f>
        <v>4416.39</v>
      </c>
      <c r="AZ48" s="219">
        <f>IFERROR(__xludf.DUMMYFUNCTION("""COMPUTED_VALUE"""),53.0)</f>
        <v>53</v>
      </c>
      <c r="BA48" s="219">
        <f>IFERROR(__xludf.DUMMYFUNCTION("""COMPUTED_VALUE"""),69.0)</f>
        <v>69</v>
      </c>
      <c r="BB48" s="219">
        <f>IFERROR(__xludf.DUMMYFUNCTION("""COMPUTED_VALUE"""),17.0)</f>
        <v>17</v>
      </c>
      <c r="BC48" s="219">
        <f>IFERROR(__xludf.DUMMYFUNCTION("""COMPUTED_VALUE"""),9.0)</f>
        <v>9</v>
      </c>
      <c r="BD48" s="221"/>
      <c r="BE48" s="98"/>
      <c r="BF48" s="255" t="e">
        <v>#REF!</v>
      </c>
      <c r="BG48" s="256">
        <f t="shared" si="4"/>
        <v>5225399</v>
      </c>
      <c r="BH48" s="257" t="str">
        <f t="shared" si="5"/>
        <v>#REF!</v>
      </c>
      <c r="BI48" s="98"/>
      <c r="BJ48" s="98"/>
      <c r="BK48" s="98"/>
      <c r="BL48" s="98"/>
      <c r="BM48" s="98"/>
      <c r="BN48" s="98"/>
      <c r="BO48" s="98"/>
      <c r="BP48" s="98"/>
      <c r="BQ48" s="98"/>
      <c r="BR48" s="98"/>
    </row>
    <row r="49">
      <c r="A49" s="6" t="str">
        <f>IFERROR(__xludf.DUMMYFUNCTION("""COMPUTED_VALUE"""),"Lalan Kumar")</f>
        <v>Lalan Kumar</v>
      </c>
      <c r="B49" s="98" t="str">
        <f>IFERROR(__xludf.DUMMYFUNCTION("""COMPUTED_VALUE"""),"Maharashtra")</f>
        <v>Maharashtra</v>
      </c>
      <c r="C49" s="212" t="str">
        <f>IFERROR(__xludf.DUMMYFUNCTION("""COMPUTED_VALUE"""),"Amit Damodhar Jadhav")</f>
        <v>Amit Damodhar Jadhav</v>
      </c>
      <c r="D49" s="98" t="str">
        <f>IFERROR(__xludf.DUMMYFUNCTION("""COMPUTED_VALUE"""),"Aurangabad")</f>
        <v>Aurangabad</v>
      </c>
      <c r="E49" s="213">
        <f>IFERROR(__xludf.DUMMYFUNCTION("""COMPUTED_VALUE"""),44825.0)</f>
        <v>44825</v>
      </c>
      <c r="F49" s="222" t="str">
        <f>IFERROR(__xludf.DUMMYFUNCTION("""COMPUTED_VALUE"""),"MAHARASHTRA")</f>
        <v>MAHARASHTRA</v>
      </c>
      <c r="G49" s="215">
        <f>IFERROR(__xludf.DUMMYFUNCTION("""COMPUTED_VALUE"""),1.2341859279999997E7)</f>
        <v>12341859.28</v>
      </c>
      <c r="H49" s="215">
        <f>IFERROR(__xludf.DUMMYFUNCTION("""COMPUTED_VALUE"""),1.24686E7)</f>
        <v>12468600</v>
      </c>
      <c r="I49" s="216">
        <f>IFERROR(__xludf.DUMMYFUNCTION("""COMPUTED_VALUE"""),45000.0)</f>
        <v>45000</v>
      </c>
      <c r="J49" s="56">
        <f>IFERROR(__xludf.DUMMYFUNCTION("""COMPUTED_VALUE"""),1800000.0)</f>
        <v>1800000</v>
      </c>
      <c r="K49" s="217">
        <f>IFERROR(__xludf.DUMMYFUNCTION("""COMPUTED_VALUE"""),0.0)</f>
        <v>0</v>
      </c>
      <c r="L49" s="217">
        <f>IFERROR(__xludf.DUMMYFUNCTION("""COMPUTED_VALUE"""),5400000.0)</f>
        <v>5400000</v>
      </c>
      <c r="M49" s="217">
        <f>IFERROR(__xludf.DUMMYFUNCTION("""COMPUTED_VALUE"""),2433829.0)</f>
        <v>2433829</v>
      </c>
      <c r="N49" s="217">
        <f>IFERROR(__xludf.DUMMYFUNCTION("""COMPUTED_VALUE"""),0.0)</f>
        <v>0</v>
      </c>
      <c r="O49" s="217">
        <f>IFERROR(__xludf.DUMMYFUNCTION("""COMPUTED_VALUE"""),2488791.0)</f>
        <v>2488791</v>
      </c>
      <c r="P49" s="218">
        <f>IFERROR(__xludf.DUMMYFUNCTION("""COMPUTED_VALUE"""),0.45070907407407407)</f>
        <v>0.4507090741</v>
      </c>
      <c r="Q49" s="218">
        <f>IFERROR(__xludf.DUMMYFUNCTION("""COMPUTED_VALUE"""),0.0)</f>
        <v>0</v>
      </c>
      <c r="R49" s="218">
        <f>IFERROR(__xludf.DUMMYFUNCTION("""COMPUTED_VALUE"""),0.4608872222222222)</f>
        <v>0.4608872222</v>
      </c>
      <c r="S49" s="187">
        <f>IFERROR(__xludf.DUMMYFUNCTION("""COMPUTED_VALUE"""),86.0)</f>
        <v>86</v>
      </c>
      <c r="T49" s="187">
        <f>IFERROR(__xludf.DUMMYFUNCTION("""COMPUTED_VALUE"""),74.0)</f>
        <v>74</v>
      </c>
      <c r="U49" s="187">
        <f>IFERROR(__xludf.DUMMYFUNCTION("""COMPUTED_VALUE"""),4.0)</f>
        <v>4</v>
      </c>
      <c r="V49" s="187">
        <f>IFERROR(__xludf.DUMMYFUNCTION("""COMPUTED_VALUE"""),2.0)</f>
        <v>2</v>
      </c>
      <c r="W49" s="187">
        <f>IFERROR(__xludf.DUMMYFUNCTION("""COMPUTED_VALUE"""),90.0)</f>
        <v>90</v>
      </c>
      <c r="X49" s="187">
        <f>IFERROR(__xludf.DUMMYFUNCTION("""COMPUTED_VALUE"""),16.0)</f>
        <v>16</v>
      </c>
      <c r="Y49" s="188">
        <f>IFERROR(__xludf.DUMMYFUNCTION("""COMPUTED_VALUE"""),2146813.48)</f>
        <v>2146813.48</v>
      </c>
      <c r="Z49" s="188">
        <f>IFERROR(__xludf.DUMMYFUNCTION("""COMPUTED_VALUE"""),287015.49)</f>
        <v>287015.49</v>
      </c>
      <c r="AA49" s="187">
        <f>IFERROR(__xludf.DUMMYFUNCTION("""COMPUTED_VALUE"""),39.0)</f>
        <v>39</v>
      </c>
      <c r="AB49" s="187">
        <f>IFERROR(__xludf.DUMMYFUNCTION("""COMPUTED_VALUE"""),2.0)</f>
        <v>2</v>
      </c>
      <c r="AC49" s="187">
        <f>IFERROR(__xludf.DUMMYFUNCTION("""COMPUTED_VALUE"""),41.0)</f>
        <v>41</v>
      </c>
      <c r="AD49" s="187">
        <f>IFERROR(__xludf.DUMMYFUNCTION("""COMPUTED_VALUE"""),0.0)</f>
        <v>0</v>
      </c>
      <c r="AE49" s="187">
        <f>IFERROR(__xludf.DUMMYFUNCTION("""COMPUTED_VALUE"""),35.0)</f>
        <v>35</v>
      </c>
      <c r="AF49" s="187">
        <f>IFERROR(__xludf.DUMMYFUNCTION("""COMPUTED_VALUE"""),49.0)</f>
        <v>49</v>
      </c>
      <c r="AG49" s="187">
        <f>IFERROR(__xludf.DUMMYFUNCTION("""COMPUTED_VALUE"""),150.0)</f>
        <v>150</v>
      </c>
      <c r="AH49" s="187">
        <f>IFERROR(__xludf.DUMMYFUNCTION("""COMPUTED_VALUE"""),1.0)</f>
        <v>1</v>
      </c>
      <c r="AI49" s="187">
        <f>IFERROR(__xludf.DUMMYFUNCTION("""COMPUTED_VALUE"""),21.0)</f>
        <v>21</v>
      </c>
      <c r="AJ49" s="187">
        <f>IFERROR(__xludf.DUMMYFUNCTION("""COMPUTED_VALUE"""),0.0)</f>
        <v>0</v>
      </c>
      <c r="AK49" s="187">
        <f>IFERROR(__xludf.DUMMYFUNCTION("""COMPUTED_VALUE"""),0.0)</f>
        <v>0</v>
      </c>
      <c r="AL49" s="187">
        <f>IFERROR(__xludf.DUMMYFUNCTION("""COMPUTED_VALUE"""),0.0)</f>
        <v>0</v>
      </c>
      <c r="AM49" s="187">
        <f>IFERROR(__xludf.DUMMYFUNCTION("""COMPUTED_VALUE"""),0.0)</f>
        <v>0</v>
      </c>
      <c r="AN49" s="187">
        <f>IFERROR(__xludf.DUMMYFUNCTION("""COMPUTED_VALUE"""),317.0)</f>
        <v>317</v>
      </c>
      <c r="AO49" s="187">
        <f>IFERROR(__xludf.DUMMYFUNCTION("""COMPUTED_VALUE"""),387.0)</f>
        <v>387</v>
      </c>
      <c r="AP49" s="187">
        <f>IFERROR(__xludf.DUMMYFUNCTION("""COMPUTED_VALUE"""),76.0)</f>
        <v>76</v>
      </c>
      <c r="AQ49" s="217">
        <f>IFERROR(__xludf.DUMMYFUNCTION("""COMPUTED_VALUE"""),32024.065789473683)</f>
        <v>32024.06579</v>
      </c>
      <c r="AR49" s="188">
        <f>IFERROR(__xludf.DUMMYFUNCTION("""COMPUTED_VALUE"""),5.092105263157895)</f>
        <v>5.092105263</v>
      </c>
      <c r="AS49" s="217">
        <f>IFERROR(__xludf.DUMMYFUNCTION("""COMPUTED_VALUE"""),135000.0)</f>
        <v>135000</v>
      </c>
      <c r="AT49" s="260"/>
      <c r="AU49" s="218">
        <f>IFERROR(__xludf.DUMMYFUNCTION("""COMPUTED_VALUE"""),0.05546815326795761)</f>
        <v>0.05546815327</v>
      </c>
      <c r="AV49" s="217">
        <f>IFERROR(__xludf.DUMMYFUNCTION("""COMPUTED_VALUE"""),59361.68292682927)</f>
        <v>59361.68293</v>
      </c>
      <c r="AW49" s="219">
        <f>IFERROR(__xludf.DUMMYFUNCTION("""COMPUTED_VALUE"""),86.0)</f>
        <v>86</v>
      </c>
      <c r="AX49" s="219">
        <f>IFERROR(__xludf.DUMMYFUNCTION("""COMPUTED_VALUE"""),803.0)</f>
        <v>803</v>
      </c>
      <c r="AY49" s="220">
        <f>IFERROR(__xludf.DUMMYFUNCTION("""COMPUTED_VALUE"""),5849.51)</f>
        <v>5849.51</v>
      </c>
      <c r="AZ49" s="219">
        <f>IFERROR(__xludf.DUMMYFUNCTION("""COMPUTED_VALUE"""),79.0)</f>
        <v>79</v>
      </c>
      <c r="BA49" s="219">
        <f>IFERROR(__xludf.DUMMYFUNCTION("""COMPUTED_VALUE"""),41.0)</f>
        <v>41</v>
      </c>
      <c r="BB49" s="219">
        <f>IFERROR(__xludf.DUMMYFUNCTION("""COMPUTED_VALUE"""),34.0)</f>
        <v>34</v>
      </c>
      <c r="BC49" s="219">
        <f>IFERROR(__xludf.DUMMYFUNCTION("""COMPUTED_VALUE"""),15.0)</f>
        <v>15</v>
      </c>
      <c r="BD49" s="261"/>
      <c r="BE49" s="98"/>
      <c r="BF49" s="255" t="e">
        <v>#REF!</v>
      </c>
      <c r="BG49" s="256">
        <f t="shared" si="4"/>
        <v>2433829</v>
      </c>
      <c r="BH49" s="257" t="str">
        <f t="shared" si="5"/>
        <v>#REF!</v>
      </c>
      <c r="BI49" s="98"/>
      <c r="BJ49" s="98"/>
      <c r="BK49" s="98"/>
      <c r="BL49" s="98"/>
      <c r="BM49" s="98"/>
      <c r="BN49" s="98"/>
      <c r="BO49" s="98"/>
      <c r="BP49" s="98"/>
      <c r="BQ49" s="98"/>
      <c r="BR49" s="98"/>
    </row>
    <row r="50">
      <c r="A50" s="6" t="str">
        <f>IFERROR(__xludf.DUMMYFUNCTION("""COMPUTED_VALUE"""),"Sandeep Dadheech")</f>
        <v>Sandeep Dadheech</v>
      </c>
      <c r="B50" s="98" t="str">
        <f>IFERROR(__xludf.DUMMYFUNCTION("""COMPUTED_VALUE"""),"North East")</f>
        <v>North East</v>
      </c>
      <c r="C50" s="212" t="str">
        <f>IFERROR(__xludf.DUMMYFUNCTION("""COMPUTED_VALUE"""),"Dipak Sharma")</f>
        <v>Dipak Sharma</v>
      </c>
      <c r="D50" s="98" t="str">
        <f>IFERROR(__xludf.DUMMYFUNCTION("""COMPUTED_VALUE"""),"Silchar")</f>
        <v>Silchar</v>
      </c>
      <c r="E50" s="213">
        <f>IFERROR(__xludf.DUMMYFUNCTION("""COMPUTED_VALUE"""),44868.0)</f>
        <v>44868</v>
      </c>
      <c r="F50" s="222" t="str">
        <f>IFERROR(__xludf.DUMMYFUNCTION("""COMPUTED_VALUE"""),"ARUNACHAL PRADESH, ASSAM, MANIPUR, MEGHALAYA, MIZORAM, NAGALAND, ODISHA, SIKKIM, TRIPURA")</f>
        <v>ARUNACHAL PRADESH, ASSAM, MANIPUR, MEGHALAYA, MIZORAM, NAGALAND, ODISHA, SIKKIM, TRIPURA</v>
      </c>
      <c r="G50" s="215">
        <f>IFERROR(__xludf.DUMMYFUNCTION("""COMPUTED_VALUE"""),9855471.23)</f>
        <v>9855471.23</v>
      </c>
      <c r="H50" s="215">
        <f>IFERROR(__xludf.DUMMYFUNCTION("""COMPUTED_VALUE"""),1.054171306E7)</f>
        <v>10541713.06</v>
      </c>
      <c r="I50" s="216">
        <f>IFERROR(__xludf.DUMMYFUNCTION("""COMPUTED_VALUE"""),31625.0)</f>
        <v>31625</v>
      </c>
      <c r="J50" s="216">
        <f>IFERROR(__xludf.DUMMYFUNCTION("""COMPUTED_VALUE"""),1250000.0)</f>
        <v>1250000</v>
      </c>
      <c r="K50" s="217">
        <f>IFERROR(__xludf.DUMMYFUNCTION("""COMPUTED_VALUE"""),0.0)</f>
        <v>0</v>
      </c>
      <c r="L50" s="217">
        <f>IFERROR(__xludf.DUMMYFUNCTION("""COMPUTED_VALUE"""),3750000.0)</f>
        <v>3750000</v>
      </c>
      <c r="M50" s="217">
        <f>IFERROR(__xludf.DUMMYFUNCTION("""COMPUTED_VALUE"""),577225.0)</f>
        <v>577225</v>
      </c>
      <c r="N50" s="217">
        <f>IFERROR(__xludf.DUMMYFUNCTION("""COMPUTED_VALUE"""),0.0)</f>
        <v>0</v>
      </c>
      <c r="O50" s="217">
        <f>IFERROR(__xludf.DUMMYFUNCTION("""COMPUTED_VALUE"""),1829499.59)</f>
        <v>1829499.59</v>
      </c>
      <c r="P50" s="218">
        <f>IFERROR(__xludf.DUMMYFUNCTION("""COMPUTED_VALUE"""),0.15392666666666666)</f>
        <v>0.1539266667</v>
      </c>
      <c r="Q50" s="218">
        <f>IFERROR(__xludf.DUMMYFUNCTION("""COMPUTED_VALUE"""),0.0)</f>
        <v>0</v>
      </c>
      <c r="R50" s="218">
        <f>IFERROR(__xludf.DUMMYFUNCTION("""COMPUTED_VALUE"""),0.48786655733333334)</f>
        <v>0.4878665573</v>
      </c>
      <c r="S50" s="187">
        <f>IFERROR(__xludf.DUMMYFUNCTION("""COMPUTED_VALUE"""),72.0)</f>
        <v>72</v>
      </c>
      <c r="T50" s="187">
        <f>IFERROR(__xludf.DUMMYFUNCTION("""COMPUTED_VALUE"""),41.0)</f>
        <v>41</v>
      </c>
      <c r="U50" s="187">
        <f>IFERROR(__xludf.DUMMYFUNCTION("""COMPUTED_VALUE"""),0.0)</f>
        <v>0</v>
      </c>
      <c r="V50" s="187">
        <f>IFERROR(__xludf.DUMMYFUNCTION("""COMPUTED_VALUE"""),0.0)</f>
        <v>0</v>
      </c>
      <c r="W50" s="187">
        <f>IFERROR(__xludf.DUMMYFUNCTION("""COMPUTED_VALUE"""),72.0)</f>
        <v>72</v>
      </c>
      <c r="X50" s="187">
        <f>IFERROR(__xludf.DUMMYFUNCTION("""COMPUTED_VALUE"""),31.0)</f>
        <v>31</v>
      </c>
      <c r="Y50" s="188">
        <f>IFERROR(__xludf.DUMMYFUNCTION("""COMPUTED_VALUE"""),577225.17)</f>
        <v>577225.17</v>
      </c>
      <c r="Z50" s="188">
        <f>IFERROR(__xludf.DUMMYFUNCTION("""COMPUTED_VALUE"""),0.0)</f>
        <v>0</v>
      </c>
      <c r="AA50" s="187">
        <f>IFERROR(__xludf.DUMMYFUNCTION("""COMPUTED_VALUE"""),8.0)</f>
        <v>8</v>
      </c>
      <c r="AB50" s="187">
        <f>IFERROR(__xludf.DUMMYFUNCTION("""COMPUTED_VALUE"""),0.0)</f>
        <v>0</v>
      </c>
      <c r="AC50" s="187">
        <f>IFERROR(__xludf.DUMMYFUNCTION("""COMPUTED_VALUE"""),8.0)</f>
        <v>8</v>
      </c>
      <c r="AD50" s="187">
        <f>IFERROR(__xludf.DUMMYFUNCTION("""COMPUTED_VALUE"""),0.0)</f>
        <v>0</v>
      </c>
      <c r="AE50" s="187">
        <f>IFERROR(__xludf.DUMMYFUNCTION("""COMPUTED_VALUE"""),3.0)</f>
        <v>3</v>
      </c>
      <c r="AF50" s="187">
        <f>IFERROR(__xludf.DUMMYFUNCTION("""COMPUTED_VALUE"""),8.0)</f>
        <v>8</v>
      </c>
      <c r="AG50" s="187">
        <f>IFERROR(__xludf.DUMMYFUNCTION("""COMPUTED_VALUE"""),49.0)</f>
        <v>49</v>
      </c>
      <c r="AH50" s="187">
        <f>IFERROR(__xludf.DUMMYFUNCTION("""COMPUTED_VALUE"""),1.0)</f>
        <v>1</v>
      </c>
      <c r="AI50" s="187">
        <f>IFERROR(__xludf.DUMMYFUNCTION("""COMPUTED_VALUE"""),13.0)</f>
        <v>13</v>
      </c>
      <c r="AJ50" s="187">
        <f>IFERROR(__xludf.DUMMYFUNCTION("""COMPUTED_VALUE"""),0.0)</f>
        <v>0</v>
      </c>
      <c r="AK50" s="187">
        <f>IFERROR(__xludf.DUMMYFUNCTION("""COMPUTED_VALUE"""),0.0)</f>
        <v>0</v>
      </c>
      <c r="AL50" s="187">
        <f>IFERROR(__xludf.DUMMYFUNCTION("""COMPUTED_VALUE"""),0.0)</f>
        <v>0</v>
      </c>
      <c r="AM50" s="187">
        <f>IFERROR(__xludf.DUMMYFUNCTION("""COMPUTED_VALUE"""),0.0)</f>
        <v>0</v>
      </c>
      <c r="AN50" s="187">
        <f>IFERROR(__xludf.DUMMYFUNCTION("""COMPUTED_VALUE"""),131.0)</f>
        <v>131</v>
      </c>
      <c r="AO50" s="187">
        <f>IFERROR(__xludf.DUMMYFUNCTION("""COMPUTED_VALUE"""),152.0)</f>
        <v>152</v>
      </c>
      <c r="AP50" s="187">
        <f>IFERROR(__xludf.DUMMYFUNCTION("""COMPUTED_VALUE"""),63.0)</f>
        <v>63</v>
      </c>
      <c r="AQ50" s="217">
        <f>IFERROR(__xludf.DUMMYFUNCTION("""COMPUTED_VALUE"""),9162.301587301587)</f>
        <v>9162.301587</v>
      </c>
      <c r="AR50" s="188">
        <f>IFERROR(__xludf.DUMMYFUNCTION("""COMPUTED_VALUE"""),2.4126984126984126)</f>
        <v>2.412698413</v>
      </c>
      <c r="AS50" s="217">
        <f>IFERROR(__xludf.DUMMYFUNCTION("""COMPUTED_VALUE"""),94875.0)</f>
        <v>94875</v>
      </c>
      <c r="AT50" s="217"/>
      <c r="AU50" s="218">
        <f>IFERROR(__xludf.DUMMYFUNCTION("""COMPUTED_VALUE"""),0.16436398284897571)</f>
        <v>0.1643639828</v>
      </c>
      <c r="AV50" s="217">
        <f>IFERROR(__xludf.DUMMYFUNCTION("""COMPUTED_VALUE"""),72153.125)</f>
        <v>72153.125</v>
      </c>
      <c r="AW50" s="219">
        <f>IFERROR(__xludf.DUMMYFUNCTION("""COMPUTED_VALUE"""),10.0)</f>
        <v>10</v>
      </c>
      <c r="AX50" s="219">
        <f>IFERROR(__xludf.DUMMYFUNCTION("""COMPUTED_VALUE"""),526.0)</f>
        <v>526</v>
      </c>
      <c r="AY50" s="220">
        <f>IFERROR(__xludf.DUMMYFUNCTION("""COMPUTED_VALUE"""),1988.15)</f>
        <v>1988.15</v>
      </c>
      <c r="AZ50" s="219">
        <f>IFERROR(__xludf.DUMMYFUNCTION("""COMPUTED_VALUE"""),48.0)</f>
        <v>48</v>
      </c>
      <c r="BA50" s="219">
        <f>IFERROR(__xludf.DUMMYFUNCTION("""COMPUTED_VALUE"""),8.0)</f>
        <v>8</v>
      </c>
      <c r="BB50" s="219">
        <f>IFERROR(__xludf.DUMMYFUNCTION("""COMPUTED_VALUE"""),35.0)</f>
        <v>35</v>
      </c>
      <c r="BC50" s="219">
        <f>IFERROR(__xludf.DUMMYFUNCTION("""COMPUTED_VALUE"""),29.0)</f>
        <v>29</v>
      </c>
      <c r="BD50" s="221"/>
      <c r="BE50" s="98"/>
      <c r="BF50" s="255" t="e">
        <v>#REF!</v>
      </c>
      <c r="BG50" s="256">
        <f t="shared" si="4"/>
        <v>577225</v>
      </c>
      <c r="BH50" s="257" t="str">
        <f t="shared" si="5"/>
        <v>#REF!</v>
      </c>
      <c r="BI50" s="98"/>
      <c r="BJ50" s="98"/>
      <c r="BK50" s="98"/>
      <c r="BL50" s="98"/>
      <c r="BM50" s="98"/>
      <c r="BN50" s="98"/>
      <c r="BO50" s="98"/>
      <c r="BP50" s="98"/>
      <c r="BQ50" s="98"/>
      <c r="BR50" s="98"/>
    </row>
    <row r="51">
      <c r="A51" s="6" t="str">
        <f>IFERROR(__xludf.DUMMYFUNCTION("""COMPUTED_VALUE"""),"Syed Aqil Rizvi")</f>
        <v>Syed Aqil Rizvi</v>
      </c>
      <c r="B51" s="98" t="str">
        <f>IFERROR(__xludf.DUMMYFUNCTION("""COMPUTED_VALUE"""),"East U.P")</f>
        <v>East U.P</v>
      </c>
      <c r="C51" s="212" t="str">
        <f>IFERROR(__xludf.DUMMYFUNCTION("""COMPUTED_VALUE"""),"Om dutt Dwivedi")</f>
        <v>Om dutt Dwivedi</v>
      </c>
      <c r="D51" s="98" t="str">
        <f>IFERROR(__xludf.DUMMYFUNCTION("""COMPUTED_VALUE"""),"Lucknow")</f>
        <v>Lucknow</v>
      </c>
      <c r="E51" s="213">
        <f>IFERROR(__xludf.DUMMYFUNCTION("""COMPUTED_VALUE"""),44911.0)</f>
        <v>44911</v>
      </c>
      <c r="F51" s="222" t="str">
        <f>IFERROR(__xludf.DUMMYFUNCTION("""COMPUTED_VALUE"""),"East U.P")</f>
        <v>East U.P</v>
      </c>
      <c r="G51" s="215">
        <f>IFERROR(__xludf.DUMMYFUNCTION("""COMPUTED_VALUE"""),2.103803880051758E7)</f>
        <v>21038038.8</v>
      </c>
      <c r="H51" s="215">
        <f>IFERROR(__xludf.DUMMYFUNCTION("""COMPUTED_VALUE"""),2.1749941E7)</f>
        <v>21749941</v>
      </c>
      <c r="I51" s="216">
        <f>IFERROR(__xludf.DUMMYFUNCTION("""COMPUTED_VALUE"""),45935.0)</f>
        <v>45935</v>
      </c>
      <c r="J51" s="216">
        <f>IFERROR(__xludf.DUMMYFUNCTION("""COMPUTED_VALUE"""),2500000.0)</f>
        <v>2500000</v>
      </c>
      <c r="K51" s="217">
        <f>IFERROR(__xludf.DUMMYFUNCTION("""COMPUTED_VALUE"""),375000.0)</f>
        <v>375000</v>
      </c>
      <c r="L51" s="217">
        <f>IFERROR(__xludf.DUMMYFUNCTION("""COMPUTED_VALUE"""),7125000.0)</f>
        <v>7125000</v>
      </c>
      <c r="M51" s="217">
        <f>IFERROR(__xludf.DUMMYFUNCTION("""COMPUTED_VALUE"""),5698299.0)</f>
        <v>5698299</v>
      </c>
      <c r="N51" s="217">
        <f>IFERROR(__xludf.DUMMYFUNCTION("""COMPUTED_VALUE"""),116897.45)</f>
        <v>116897.45</v>
      </c>
      <c r="O51" s="217">
        <f>IFERROR(__xludf.DUMMYFUNCTION("""COMPUTED_VALUE"""),5091340.0)</f>
        <v>5091340</v>
      </c>
      <c r="P51" s="218">
        <f>IFERROR(__xludf.DUMMYFUNCTION("""COMPUTED_VALUE"""),0.7753595266666667)</f>
        <v>0.7753595267</v>
      </c>
      <c r="Q51" s="218">
        <f>IFERROR(__xludf.DUMMYFUNCTION("""COMPUTED_VALUE"""),0.31)</f>
        <v>0.31</v>
      </c>
      <c r="R51" s="218">
        <f>IFERROR(__xludf.DUMMYFUNCTION("""COMPUTED_VALUE"""),0.6788453333333333)</f>
        <v>0.6788453333</v>
      </c>
      <c r="S51" s="187">
        <f>IFERROR(__xludf.DUMMYFUNCTION("""COMPUTED_VALUE"""),229.0)</f>
        <v>229</v>
      </c>
      <c r="T51" s="187">
        <f>IFERROR(__xludf.DUMMYFUNCTION("""COMPUTED_VALUE"""),149.0)</f>
        <v>149</v>
      </c>
      <c r="U51" s="187">
        <f>IFERROR(__xludf.DUMMYFUNCTION("""COMPUTED_VALUE"""),9.0)</f>
        <v>9</v>
      </c>
      <c r="V51" s="187">
        <f>IFERROR(__xludf.DUMMYFUNCTION("""COMPUTED_VALUE"""),9.0)</f>
        <v>9</v>
      </c>
      <c r="W51" s="187">
        <f>IFERROR(__xludf.DUMMYFUNCTION("""COMPUTED_VALUE"""),238.0)</f>
        <v>238</v>
      </c>
      <c r="X51" s="187">
        <f>IFERROR(__xludf.DUMMYFUNCTION("""COMPUTED_VALUE"""),89.0)</f>
        <v>89</v>
      </c>
      <c r="Y51" s="188">
        <f>IFERROR(__xludf.DUMMYFUNCTION("""COMPUTED_VALUE"""),5212975.9)</f>
        <v>5212975.9</v>
      </c>
      <c r="Z51" s="188">
        <f>IFERROR(__xludf.DUMMYFUNCTION("""COMPUTED_VALUE"""),485323.04)</f>
        <v>485323.04</v>
      </c>
      <c r="AA51" s="187">
        <f>IFERROR(__xludf.DUMMYFUNCTION("""COMPUTED_VALUE"""),132.0)</f>
        <v>132</v>
      </c>
      <c r="AB51" s="187">
        <f>IFERROR(__xludf.DUMMYFUNCTION("""COMPUTED_VALUE"""),9.0)</f>
        <v>9</v>
      </c>
      <c r="AC51" s="187">
        <f>IFERROR(__xludf.DUMMYFUNCTION("""COMPUTED_VALUE"""),141.0)</f>
        <v>141</v>
      </c>
      <c r="AD51" s="187">
        <f>IFERROR(__xludf.DUMMYFUNCTION("""COMPUTED_VALUE"""),1.0)</f>
        <v>1</v>
      </c>
      <c r="AE51" s="187">
        <f>IFERROR(__xludf.DUMMYFUNCTION("""COMPUTED_VALUE"""),10.0)</f>
        <v>10</v>
      </c>
      <c r="AF51" s="187">
        <f>IFERROR(__xludf.DUMMYFUNCTION("""COMPUTED_VALUE"""),12.0)</f>
        <v>12</v>
      </c>
      <c r="AG51" s="187">
        <f>IFERROR(__xludf.DUMMYFUNCTION("""COMPUTED_VALUE"""),164.0)</f>
        <v>164</v>
      </c>
      <c r="AH51" s="187">
        <f>IFERROR(__xludf.DUMMYFUNCTION("""COMPUTED_VALUE"""),2.0)</f>
        <v>2</v>
      </c>
      <c r="AI51" s="187">
        <f>IFERROR(__xludf.DUMMYFUNCTION("""COMPUTED_VALUE"""),48.0)</f>
        <v>48</v>
      </c>
      <c r="AJ51" s="187">
        <f>IFERROR(__xludf.DUMMYFUNCTION("""COMPUTED_VALUE"""),1.0)</f>
        <v>1</v>
      </c>
      <c r="AK51" s="187">
        <f>IFERROR(__xludf.DUMMYFUNCTION("""COMPUTED_VALUE"""),2.0)</f>
        <v>2</v>
      </c>
      <c r="AL51" s="187">
        <f>IFERROR(__xludf.DUMMYFUNCTION("""COMPUTED_VALUE"""),0.0)</f>
        <v>0</v>
      </c>
      <c r="AM51" s="187">
        <f>IFERROR(__xludf.DUMMYFUNCTION("""COMPUTED_VALUE"""),0.0)</f>
        <v>0</v>
      </c>
      <c r="AN51" s="187">
        <f>IFERROR(__xludf.DUMMYFUNCTION("""COMPUTED_VALUE"""),394.0)</f>
        <v>394</v>
      </c>
      <c r="AO51" s="187">
        <f>IFERROR(__xludf.DUMMYFUNCTION("""COMPUTED_VALUE"""),456.0)</f>
        <v>456</v>
      </c>
      <c r="AP51" s="187">
        <f>IFERROR(__xludf.DUMMYFUNCTION("""COMPUTED_VALUE"""),78.0)</f>
        <v>78</v>
      </c>
      <c r="AQ51" s="217">
        <f>IFERROR(__xludf.DUMMYFUNCTION("""COMPUTED_VALUE"""),74553.80064102565)</f>
        <v>74553.80064</v>
      </c>
      <c r="AR51" s="188">
        <f>IFERROR(__xludf.DUMMYFUNCTION("""COMPUTED_VALUE"""),5.846153846153846)</f>
        <v>5.846153846</v>
      </c>
      <c r="AS51" s="217">
        <f>IFERROR(__xludf.DUMMYFUNCTION("""COMPUTED_VALUE"""),137805.0)</f>
        <v>137805</v>
      </c>
      <c r="AT51" s="217"/>
      <c r="AU51" s="218">
        <f>IFERROR(__xludf.DUMMYFUNCTION("""COMPUTED_VALUE"""),0.023697393748408964)</f>
        <v>0.02369739375</v>
      </c>
      <c r="AV51" s="217">
        <f>IFERROR(__xludf.DUMMYFUNCTION("""COMPUTED_VALUE"""),40413.46808510638)</f>
        <v>40413.46809</v>
      </c>
      <c r="AW51" s="219">
        <f>IFERROR(__xludf.DUMMYFUNCTION("""COMPUTED_VALUE"""),309.0)</f>
        <v>309</v>
      </c>
      <c r="AX51" s="219">
        <f>IFERROR(__xludf.DUMMYFUNCTION("""COMPUTED_VALUE"""),543.0)</f>
        <v>543</v>
      </c>
      <c r="AY51" s="220">
        <f>IFERROR(__xludf.DUMMYFUNCTION("""COMPUTED_VALUE"""),4792.12)</f>
        <v>4792.12</v>
      </c>
      <c r="AZ51" s="219">
        <f>IFERROR(__xludf.DUMMYFUNCTION("""COMPUTED_VALUE"""),32.0)</f>
        <v>32</v>
      </c>
      <c r="BA51" s="219">
        <f>IFERROR(__xludf.DUMMYFUNCTION("""COMPUTED_VALUE"""),141.0)</f>
        <v>141</v>
      </c>
      <c r="BB51" s="219">
        <f>IFERROR(__xludf.DUMMYFUNCTION("""COMPUTED_VALUE"""),36.0)</f>
        <v>36</v>
      </c>
      <c r="BC51" s="219">
        <f>IFERROR(__xludf.DUMMYFUNCTION("""COMPUTED_VALUE"""),61.0)</f>
        <v>61</v>
      </c>
      <c r="BD51" s="221"/>
      <c r="BE51" s="98"/>
      <c r="BF51" s="255" t="e">
        <v>#REF!</v>
      </c>
      <c r="BG51" s="256">
        <f t="shared" si="4"/>
        <v>5815196.45</v>
      </c>
      <c r="BH51" s="257" t="str">
        <f t="shared" si="5"/>
        <v>#REF!</v>
      </c>
      <c r="BI51" s="98"/>
      <c r="BJ51" s="98"/>
      <c r="BK51" s="98"/>
      <c r="BL51" s="98"/>
      <c r="BM51" s="98"/>
      <c r="BN51" s="98"/>
      <c r="BO51" s="98"/>
      <c r="BP51" s="98"/>
      <c r="BQ51" s="98"/>
      <c r="BR51" s="98"/>
    </row>
    <row r="52">
      <c r="A52" s="6" t="str">
        <f>IFERROR(__xludf.DUMMYFUNCTION("""COMPUTED_VALUE"""),"Sandeep Dadheech")</f>
        <v>Sandeep Dadheech</v>
      </c>
      <c r="B52" s="98" t="str">
        <f>IFERROR(__xludf.DUMMYFUNCTION("""COMPUTED_VALUE"""),"Andhra Pradesh")</f>
        <v>Andhra Pradesh</v>
      </c>
      <c r="C52" s="212" t="str">
        <f>IFERROR(__xludf.DUMMYFUNCTION("""COMPUTED_VALUE"""),"J.Kamal Kishore")</f>
        <v>J.Kamal Kishore</v>
      </c>
      <c r="D52" s="98" t="str">
        <f>IFERROR(__xludf.DUMMYFUNCTION("""COMPUTED_VALUE"""),"Tirupati")</f>
        <v>Tirupati</v>
      </c>
      <c r="E52" s="213">
        <f>IFERROR(__xludf.DUMMYFUNCTION("""COMPUTED_VALUE"""),44953.0)</f>
        <v>44953</v>
      </c>
      <c r="F52" s="222" t="str">
        <f>IFERROR(__xludf.DUMMYFUNCTION("""COMPUTED_VALUE"""),"ANDHRA PRADESH")</f>
        <v>ANDHRA PRADESH</v>
      </c>
      <c r="G52" s="215">
        <f>IFERROR(__xludf.DUMMYFUNCTION("""COMPUTED_VALUE"""),7713644.540000001)</f>
        <v>7713644.54</v>
      </c>
      <c r="H52" s="215">
        <f>IFERROR(__xludf.DUMMYFUNCTION("""COMPUTED_VALUE"""),8727947.0)</f>
        <v>8727947</v>
      </c>
      <c r="I52" s="216">
        <f>IFERROR(__xludf.DUMMYFUNCTION("""COMPUTED_VALUE"""),34920.0)</f>
        <v>34920</v>
      </c>
      <c r="J52" s="216">
        <f>IFERROR(__xludf.DUMMYFUNCTION("""COMPUTED_VALUE"""),1500000.0)</f>
        <v>1500000</v>
      </c>
      <c r="K52" s="217">
        <f>IFERROR(__xludf.DUMMYFUNCTION("""COMPUTED_VALUE"""),0.0)</f>
        <v>0</v>
      </c>
      <c r="L52" s="217">
        <f>IFERROR(__xludf.DUMMYFUNCTION("""COMPUTED_VALUE"""),4500000.0)</f>
        <v>4500000</v>
      </c>
      <c r="M52" s="217">
        <f>IFERROR(__xludf.DUMMYFUNCTION("""COMPUTED_VALUE"""),1742482.0)</f>
        <v>1742482</v>
      </c>
      <c r="N52" s="217">
        <f>IFERROR(__xludf.DUMMYFUNCTION("""COMPUTED_VALUE"""),0.0)</f>
        <v>0</v>
      </c>
      <c r="O52" s="217">
        <f>IFERROR(__xludf.DUMMYFUNCTION("""COMPUTED_VALUE"""),2040448.0)</f>
        <v>2040448</v>
      </c>
      <c r="P52" s="218">
        <f>IFERROR(__xludf.DUMMYFUNCTION("""COMPUTED_VALUE"""),0.38721822222222224)</f>
        <v>0.3872182222</v>
      </c>
      <c r="Q52" s="218">
        <f>IFERROR(__xludf.DUMMYFUNCTION("""COMPUTED_VALUE"""),0.0)</f>
        <v>0</v>
      </c>
      <c r="R52" s="218">
        <f>IFERROR(__xludf.DUMMYFUNCTION("""COMPUTED_VALUE"""),0.4534328888888889)</f>
        <v>0.4534328889</v>
      </c>
      <c r="S52" s="187">
        <f>IFERROR(__xludf.DUMMYFUNCTION("""COMPUTED_VALUE"""),130.0)</f>
        <v>130</v>
      </c>
      <c r="T52" s="187">
        <f>IFERROR(__xludf.DUMMYFUNCTION("""COMPUTED_VALUE"""),121.0)</f>
        <v>121</v>
      </c>
      <c r="U52" s="187">
        <f>IFERROR(__xludf.DUMMYFUNCTION("""COMPUTED_VALUE"""),0.0)</f>
        <v>0</v>
      </c>
      <c r="V52" s="187">
        <f>IFERROR(__xludf.DUMMYFUNCTION("""COMPUTED_VALUE"""),0.0)</f>
        <v>0</v>
      </c>
      <c r="W52" s="187">
        <f>IFERROR(__xludf.DUMMYFUNCTION("""COMPUTED_VALUE"""),130.0)</f>
        <v>130</v>
      </c>
      <c r="X52" s="187">
        <f>IFERROR(__xludf.DUMMYFUNCTION("""COMPUTED_VALUE"""),9.0)</f>
        <v>9</v>
      </c>
      <c r="Y52" s="188">
        <f>IFERROR(__xludf.DUMMYFUNCTION("""COMPUTED_VALUE"""),1742481.71)</f>
        <v>1742481.71</v>
      </c>
      <c r="Z52" s="188">
        <f>IFERROR(__xludf.DUMMYFUNCTION("""COMPUTED_VALUE"""),0.0)</f>
        <v>0</v>
      </c>
      <c r="AA52" s="187">
        <f>IFERROR(__xludf.DUMMYFUNCTION("""COMPUTED_VALUE"""),79.0)</f>
        <v>79</v>
      </c>
      <c r="AB52" s="187">
        <f>IFERROR(__xludf.DUMMYFUNCTION("""COMPUTED_VALUE"""),0.0)</f>
        <v>0</v>
      </c>
      <c r="AC52" s="187">
        <f>IFERROR(__xludf.DUMMYFUNCTION("""COMPUTED_VALUE"""),79.0)</f>
        <v>79</v>
      </c>
      <c r="AD52" s="187">
        <f>IFERROR(__xludf.DUMMYFUNCTION("""COMPUTED_VALUE"""),0.0)</f>
        <v>0</v>
      </c>
      <c r="AE52" s="187">
        <f>IFERROR(__xludf.DUMMYFUNCTION("""COMPUTED_VALUE"""),1.0)</f>
        <v>1</v>
      </c>
      <c r="AF52" s="187">
        <f>IFERROR(__xludf.DUMMYFUNCTION("""COMPUTED_VALUE"""),2.0)</f>
        <v>2</v>
      </c>
      <c r="AG52" s="187">
        <f>IFERROR(__xludf.DUMMYFUNCTION("""COMPUTED_VALUE"""),45.0)</f>
        <v>45</v>
      </c>
      <c r="AH52" s="187">
        <f>IFERROR(__xludf.DUMMYFUNCTION("""COMPUTED_VALUE"""),1.0)</f>
        <v>1</v>
      </c>
      <c r="AI52" s="187">
        <f>IFERROR(__xludf.DUMMYFUNCTION("""COMPUTED_VALUE"""),1.0)</f>
        <v>1</v>
      </c>
      <c r="AJ52" s="187">
        <f>IFERROR(__xludf.DUMMYFUNCTION("""COMPUTED_VALUE"""),0.0)</f>
        <v>0</v>
      </c>
      <c r="AK52" s="187">
        <f>IFERROR(__xludf.DUMMYFUNCTION("""COMPUTED_VALUE"""),0.0)</f>
        <v>0</v>
      </c>
      <c r="AL52" s="187">
        <f>IFERROR(__xludf.DUMMYFUNCTION("""COMPUTED_VALUE"""),0.0)</f>
        <v>0</v>
      </c>
      <c r="AM52" s="187">
        <f>IFERROR(__xludf.DUMMYFUNCTION("""COMPUTED_VALUE"""),0.0)</f>
        <v>0</v>
      </c>
      <c r="AN52" s="187">
        <f>IFERROR(__xludf.DUMMYFUNCTION("""COMPUTED_VALUE"""),340.0)</f>
        <v>340</v>
      </c>
      <c r="AO52" s="187">
        <f>IFERROR(__xludf.DUMMYFUNCTION("""COMPUTED_VALUE"""),343.0)</f>
        <v>343</v>
      </c>
      <c r="AP52" s="187">
        <f>IFERROR(__xludf.DUMMYFUNCTION("""COMPUTED_VALUE"""),51.0)</f>
        <v>51</v>
      </c>
      <c r="AQ52" s="217">
        <f>IFERROR(__xludf.DUMMYFUNCTION("""COMPUTED_VALUE"""),34166.313725490196)</f>
        <v>34166.31373</v>
      </c>
      <c r="AR52" s="188">
        <f>IFERROR(__xludf.DUMMYFUNCTION("""COMPUTED_VALUE"""),6.7254901960784315)</f>
        <v>6.725490196</v>
      </c>
      <c r="AS52" s="217">
        <f>IFERROR(__xludf.DUMMYFUNCTION("""COMPUTED_VALUE"""),69089.03225806452)</f>
        <v>69089.03226</v>
      </c>
      <c r="AT52" s="217"/>
      <c r="AU52" s="218">
        <f>IFERROR(__xludf.DUMMYFUNCTION("""COMPUTED_VALUE"""),0.03964978247009984)</f>
        <v>0.03964978247</v>
      </c>
      <c r="AV52" s="217">
        <f>IFERROR(__xludf.DUMMYFUNCTION("""COMPUTED_VALUE"""),22056.73417721519)</f>
        <v>22056.73418</v>
      </c>
      <c r="AW52" s="219">
        <f>IFERROR(__xludf.DUMMYFUNCTION("""COMPUTED_VALUE"""),152.0)</f>
        <v>152</v>
      </c>
      <c r="AX52" s="219">
        <f>IFERROR(__xludf.DUMMYFUNCTION("""COMPUTED_VALUE"""),568.0)</f>
        <v>568</v>
      </c>
      <c r="AY52" s="220">
        <f>IFERROR(__xludf.DUMMYFUNCTION("""COMPUTED_VALUE"""),3686.81)</f>
        <v>3686.81</v>
      </c>
      <c r="AZ52" s="219">
        <f>IFERROR(__xludf.DUMMYFUNCTION("""COMPUTED_VALUE"""),30.0)</f>
        <v>30</v>
      </c>
      <c r="BA52" s="219">
        <f>IFERROR(__xludf.DUMMYFUNCTION("""COMPUTED_VALUE"""),79.0)</f>
        <v>79</v>
      </c>
      <c r="BB52" s="219">
        <f>IFERROR(__xludf.DUMMYFUNCTION("""COMPUTED_VALUE"""),45.0)</f>
        <v>45</v>
      </c>
      <c r="BC52" s="219">
        <f>IFERROR(__xludf.DUMMYFUNCTION("""COMPUTED_VALUE"""),6.0)</f>
        <v>6</v>
      </c>
      <c r="BD52" s="221"/>
      <c r="BE52" s="98"/>
      <c r="BF52" s="255" t="e">
        <v>#REF!</v>
      </c>
      <c r="BG52" s="256">
        <f t="shared" si="4"/>
        <v>1742482</v>
      </c>
      <c r="BH52" s="257" t="str">
        <f t="shared" si="5"/>
        <v>#REF!</v>
      </c>
      <c r="BI52" s="98"/>
      <c r="BJ52" s="98"/>
      <c r="BK52" s="98"/>
      <c r="BL52" s="98"/>
      <c r="BM52" s="98"/>
      <c r="BN52" s="98"/>
      <c r="BO52" s="98"/>
      <c r="BP52" s="98"/>
      <c r="BQ52" s="98"/>
      <c r="BR52" s="98"/>
    </row>
    <row r="53">
      <c r="A53" s="6" t="str">
        <f>IFERROR(__xludf.DUMMYFUNCTION("""COMPUTED_VALUE"""),"Sandeep Dadheech")</f>
        <v>Sandeep Dadheech</v>
      </c>
      <c r="B53" s="98" t="str">
        <f>IFERROR(__xludf.DUMMYFUNCTION("""COMPUTED_VALUE"""),"West Bengal")</f>
        <v>West Bengal</v>
      </c>
      <c r="C53" s="212" t="str">
        <f>IFERROR(__xludf.DUMMYFUNCTION("""COMPUTED_VALUE"""),"Subhajit Koley")</f>
        <v>Subhajit Koley</v>
      </c>
      <c r="D53" s="98" t="str">
        <f>IFERROR(__xludf.DUMMYFUNCTION("""COMPUTED_VALUE"""),"Mecheda")</f>
        <v>Mecheda</v>
      </c>
      <c r="E53" s="213">
        <f>IFERROR(__xludf.DUMMYFUNCTION("""COMPUTED_VALUE"""),44958.0)</f>
        <v>44958</v>
      </c>
      <c r="F53" s="222" t="str">
        <f>IFERROR(__xludf.DUMMYFUNCTION("""COMPUTED_VALUE"""),"WEST BENGAL")</f>
        <v>WEST BENGAL</v>
      </c>
      <c r="G53" s="215">
        <f>IFERROR(__xludf.DUMMYFUNCTION("""COMPUTED_VALUE"""),4.612985337E7)</f>
        <v>46129853.37</v>
      </c>
      <c r="H53" s="215">
        <f>IFERROR(__xludf.DUMMYFUNCTION("""COMPUTED_VALUE"""),5.034773E7)</f>
        <v>50347730</v>
      </c>
      <c r="I53" s="216">
        <f>IFERROR(__xludf.DUMMYFUNCTION("""COMPUTED_VALUE"""),24116.0)</f>
        <v>24116</v>
      </c>
      <c r="J53" s="216">
        <f>IFERROR(__xludf.DUMMYFUNCTION("""COMPUTED_VALUE"""),5833333.0)</f>
        <v>5833333</v>
      </c>
      <c r="K53" s="217">
        <f>IFERROR(__xludf.DUMMYFUNCTION("""COMPUTED_VALUE"""),0.0)</f>
        <v>0</v>
      </c>
      <c r="L53" s="217">
        <f>IFERROR(__xludf.DUMMYFUNCTION("""COMPUTED_VALUE"""),1.7499999E7)</f>
        <v>17499999</v>
      </c>
      <c r="M53" s="217">
        <f>IFERROR(__xludf.DUMMYFUNCTION("""COMPUTED_VALUE"""),1.043194E7)</f>
        <v>10431940</v>
      </c>
      <c r="N53" s="217">
        <f>IFERROR(__xludf.DUMMYFUNCTION("""COMPUTED_VALUE"""),0.0)</f>
        <v>0</v>
      </c>
      <c r="O53" s="217">
        <f>IFERROR(__xludf.DUMMYFUNCTION("""COMPUTED_VALUE"""),1.196984E7)</f>
        <v>11969840</v>
      </c>
      <c r="P53" s="218">
        <f>IFERROR(__xludf.DUMMYFUNCTION("""COMPUTED_VALUE"""),0.5961108912063366)</f>
        <v>0.5961108912</v>
      </c>
      <c r="Q53" s="218">
        <f>IFERROR(__xludf.DUMMYFUNCTION("""COMPUTED_VALUE"""),0.0)</f>
        <v>0</v>
      </c>
      <c r="R53" s="218">
        <f>IFERROR(__xludf.DUMMYFUNCTION("""COMPUTED_VALUE"""),0.6839908962280512)</f>
        <v>0.6839908962</v>
      </c>
      <c r="S53" s="187">
        <f>IFERROR(__xludf.DUMMYFUNCTION("""COMPUTED_VALUE"""),56.0)</f>
        <v>56</v>
      </c>
      <c r="T53" s="187">
        <f>IFERROR(__xludf.DUMMYFUNCTION("""COMPUTED_VALUE"""),54.0)</f>
        <v>54</v>
      </c>
      <c r="U53" s="187">
        <f>IFERROR(__xludf.DUMMYFUNCTION("""COMPUTED_VALUE"""),0.0)</f>
        <v>0</v>
      </c>
      <c r="V53" s="187">
        <f>IFERROR(__xludf.DUMMYFUNCTION("""COMPUTED_VALUE"""),0.0)</f>
        <v>0</v>
      </c>
      <c r="W53" s="187">
        <f>IFERROR(__xludf.DUMMYFUNCTION("""COMPUTED_VALUE"""),56.0)</f>
        <v>56</v>
      </c>
      <c r="X53" s="187">
        <f>IFERROR(__xludf.DUMMYFUNCTION("""COMPUTED_VALUE"""),2.0)</f>
        <v>2</v>
      </c>
      <c r="Y53" s="188">
        <f>IFERROR(__xludf.DUMMYFUNCTION("""COMPUTED_VALUE"""),1.043194029E7)</f>
        <v>10431940.29</v>
      </c>
      <c r="Z53" s="188">
        <f>IFERROR(__xludf.DUMMYFUNCTION("""COMPUTED_VALUE"""),0.0)</f>
        <v>0</v>
      </c>
      <c r="AA53" s="187">
        <f>IFERROR(__xludf.DUMMYFUNCTION("""COMPUTED_VALUE"""),37.0)</f>
        <v>37</v>
      </c>
      <c r="AB53" s="187">
        <f>IFERROR(__xludf.DUMMYFUNCTION("""COMPUTED_VALUE"""),0.0)</f>
        <v>0</v>
      </c>
      <c r="AC53" s="187">
        <f>IFERROR(__xludf.DUMMYFUNCTION("""COMPUTED_VALUE"""),37.0)</f>
        <v>37</v>
      </c>
      <c r="AD53" s="187">
        <f>IFERROR(__xludf.DUMMYFUNCTION("""COMPUTED_VALUE"""),0.0)</f>
        <v>0</v>
      </c>
      <c r="AE53" s="187">
        <f>IFERROR(__xludf.DUMMYFUNCTION("""COMPUTED_VALUE"""),0.0)</f>
        <v>0</v>
      </c>
      <c r="AF53" s="187">
        <f>IFERROR(__xludf.DUMMYFUNCTION("""COMPUTED_VALUE"""),0.0)</f>
        <v>0</v>
      </c>
      <c r="AG53" s="187">
        <f>IFERROR(__xludf.DUMMYFUNCTION("""COMPUTED_VALUE"""),61.0)</f>
        <v>61</v>
      </c>
      <c r="AH53" s="187">
        <f>IFERROR(__xludf.DUMMYFUNCTION("""COMPUTED_VALUE"""),1.0)</f>
        <v>1</v>
      </c>
      <c r="AI53" s="187">
        <f>IFERROR(__xludf.DUMMYFUNCTION("""COMPUTED_VALUE"""),5.0)</f>
        <v>5</v>
      </c>
      <c r="AJ53" s="187">
        <f>IFERROR(__xludf.DUMMYFUNCTION("""COMPUTED_VALUE"""),0.0)</f>
        <v>0</v>
      </c>
      <c r="AK53" s="187">
        <f>IFERROR(__xludf.DUMMYFUNCTION("""COMPUTED_VALUE"""),0.0)</f>
        <v>0</v>
      </c>
      <c r="AL53" s="187">
        <f>IFERROR(__xludf.DUMMYFUNCTION("""COMPUTED_VALUE"""),0.0)</f>
        <v>0</v>
      </c>
      <c r="AM53" s="187">
        <f>IFERROR(__xludf.DUMMYFUNCTION("""COMPUTED_VALUE"""),0.0)</f>
        <v>0</v>
      </c>
      <c r="AN53" s="187">
        <f>IFERROR(__xludf.DUMMYFUNCTION("""COMPUTED_VALUE"""),281.0)</f>
        <v>281</v>
      </c>
      <c r="AO53" s="187">
        <f>IFERROR(__xludf.DUMMYFUNCTION("""COMPUTED_VALUE"""),286.0)</f>
        <v>286</v>
      </c>
      <c r="AP53" s="187">
        <f>IFERROR(__xludf.DUMMYFUNCTION("""COMPUTED_VALUE"""),76.0)</f>
        <v>76</v>
      </c>
      <c r="AQ53" s="217">
        <f>IFERROR(__xludf.DUMMYFUNCTION("""COMPUTED_VALUE"""),137262.36842105264)</f>
        <v>137262.3684</v>
      </c>
      <c r="AR53" s="188">
        <f>IFERROR(__xludf.DUMMYFUNCTION("""COMPUTED_VALUE"""),3.763157894736842)</f>
        <v>3.763157895</v>
      </c>
      <c r="AS53" s="217">
        <f>IFERROR(__xludf.DUMMYFUNCTION("""COMPUTED_VALUE"""),72348.0)</f>
        <v>72348</v>
      </c>
      <c r="AT53" s="217"/>
      <c r="AU53" s="218">
        <f>IFERROR(__xludf.DUMMYFUNCTION("""COMPUTED_VALUE"""),0.006935239274765768)</f>
        <v>0.006935239275</v>
      </c>
      <c r="AV53" s="217">
        <f>IFERROR(__xludf.DUMMYFUNCTION("""COMPUTED_VALUE"""),281944.3243243243)</f>
        <v>281944.3243</v>
      </c>
      <c r="AW53" s="219">
        <f>IFERROR(__xludf.DUMMYFUNCTION("""COMPUTED_VALUE"""),77.0)</f>
        <v>77</v>
      </c>
      <c r="AX53" s="219">
        <f>IFERROR(__xludf.DUMMYFUNCTION("""COMPUTED_VALUE"""),887.0)</f>
        <v>887</v>
      </c>
      <c r="AY53" s="220">
        <f>IFERROR(__xludf.DUMMYFUNCTION("""COMPUTED_VALUE"""),4443.59)</f>
        <v>4443.59</v>
      </c>
      <c r="AZ53" s="219">
        <f>IFERROR(__xludf.DUMMYFUNCTION("""COMPUTED_VALUE"""),82.0)</f>
        <v>82</v>
      </c>
      <c r="BA53" s="219">
        <f>IFERROR(__xludf.DUMMYFUNCTION("""COMPUTED_VALUE"""),37.0)</f>
        <v>37</v>
      </c>
      <c r="BB53" s="219">
        <f>IFERROR(__xludf.DUMMYFUNCTION("""COMPUTED_VALUE"""),17.0)</f>
        <v>17</v>
      </c>
      <c r="BC53" s="219">
        <f>IFERROR(__xludf.DUMMYFUNCTION("""COMPUTED_VALUE"""),2.0)</f>
        <v>2</v>
      </c>
      <c r="BD53" s="221"/>
      <c r="BE53" s="98"/>
      <c r="BF53" s="255" t="e">
        <v>#REF!</v>
      </c>
      <c r="BG53" s="256">
        <f t="shared" si="4"/>
        <v>10431940</v>
      </c>
      <c r="BH53" s="257" t="str">
        <f t="shared" si="5"/>
        <v>#REF!</v>
      </c>
      <c r="BI53" s="98"/>
      <c r="BJ53" s="98"/>
      <c r="BK53" s="98"/>
      <c r="BL53" s="98"/>
      <c r="BM53" s="98"/>
      <c r="BN53" s="98"/>
      <c r="BO53" s="98"/>
      <c r="BP53" s="98"/>
      <c r="BQ53" s="98"/>
      <c r="BR53" s="98"/>
    </row>
    <row r="54">
      <c r="A54" s="6" t="str">
        <f>IFERROR(__xludf.DUMMYFUNCTION("""COMPUTED_VALUE"""),"Anant Singh")</f>
        <v>Anant Singh</v>
      </c>
      <c r="B54" s="98" t="str">
        <f>IFERROR(__xludf.DUMMYFUNCTION("""COMPUTED_VALUE"""),"Delhi")</f>
        <v>Delhi</v>
      </c>
      <c r="C54" s="212" t="str">
        <f>IFERROR(__xludf.DUMMYFUNCTION("""COMPUTED_VALUE"""),"Prasun Chatterjee")</f>
        <v>Prasun Chatterjee</v>
      </c>
      <c r="D54" s="98" t="str">
        <f>IFERROR(__xludf.DUMMYFUNCTION("""COMPUTED_VALUE"""),"Delhi")</f>
        <v>Delhi</v>
      </c>
      <c r="E54" s="213">
        <f>IFERROR(__xludf.DUMMYFUNCTION("""COMPUTED_VALUE"""),44994.0)</f>
        <v>44994</v>
      </c>
      <c r="F54" s="222" t="str">
        <f>IFERROR(__xludf.DUMMYFUNCTION("""COMPUTED_VALUE"""),"DELHI")</f>
        <v>DELHI</v>
      </c>
      <c r="G54" s="215">
        <f>IFERROR(__xludf.DUMMYFUNCTION("""COMPUTED_VALUE"""),9670433.23)</f>
        <v>9670433.23</v>
      </c>
      <c r="H54" s="215">
        <f>IFERROR(__xludf.DUMMYFUNCTION("""COMPUTED_VALUE"""),9249137.0)</f>
        <v>9249137</v>
      </c>
      <c r="I54" s="216">
        <f>IFERROR(__xludf.DUMMYFUNCTION("""COMPUTED_VALUE"""),46390.0)</f>
        <v>46390</v>
      </c>
      <c r="J54" s="216">
        <f>IFERROR(__xludf.DUMMYFUNCTION("""COMPUTED_VALUE"""),1800000.0)</f>
        <v>1800000</v>
      </c>
      <c r="K54" s="217">
        <f>IFERROR(__xludf.DUMMYFUNCTION("""COMPUTED_VALUE"""),300000.0)</f>
        <v>300000</v>
      </c>
      <c r="L54" s="217">
        <f>IFERROR(__xludf.DUMMYFUNCTION("""COMPUTED_VALUE"""),5100000.0)</f>
        <v>5100000</v>
      </c>
      <c r="M54" s="217">
        <f>IFERROR(__xludf.DUMMYFUNCTION("""COMPUTED_VALUE"""),1834504.0)</f>
        <v>1834504</v>
      </c>
      <c r="N54" s="217">
        <f>IFERROR(__xludf.DUMMYFUNCTION("""COMPUTED_VALUE"""),786604.98)</f>
        <v>786604.98</v>
      </c>
      <c r="O54" s="217">
        <f>IFERROR(__xludf.DUMMYFUNCTION("""COMPUTED_VALUE"""),1425767.0)</f>
        <v>1425767</v>
      </c>
      <c r="P54" s="218">
        <f>IFERROR(__xludf.DUMMYFUNCTION("""COMPUTED_VALUE"""),0.48539055185185187)</f>
        <v>0.4853905519</v>
      </c>
      <c r="Q54" s="218">
        <f>IFERROR(__xludf.DUMMYFUNCTION("""COMPUTED_VALUE"""),2.62)</f>
        <v>2.62</v>
      </c>
      <c r="R54" s="218">
        <f>IFERROR(__xludf.DUMMYFUNCTION("""COMPUTED_VALUE"""),0.2640309259259259)</f>
        <v>0.2640309259</v>
      </c>
      <c r="S54" s="187">
        <f>IFERROR(__xludf.DUMMYFUNCTION("""COMPUTED_VALUE"""),61.0)</f>
        <v>61</v>
      </c>
      <c r="T54" s="187">
        <f>IFERROR(__xludf.DUMMYFUNCTION("""COMPUTED_VALUE"""),54.0)</f>
        <v>54</v>
      </c>
      <c r="U54" s="187">
        <f>IFERROR(__xludf.DUMMYFUNCTION("""COMPUTED_VALUE"""),1.0)</f>
        <v>1</v>
      </c>
      <c r="V54" s="187">
        <f>IFERROR(__xludf.DUMMYFUNCTION("""COMPUTED_VALUE"""),0.0)</f>
        <v>0</v>
      </c>
      <c r="W54" s="187">
        <f>IFERROR(__xludf.DUMMYFUNCTION("""COMPUTED_VALUE"""),62.0)</f>
        <v>62</v>
      </c>
      <c r="X54" s="187">
        <f>IFERROR(__xludf.DUMMYFUNCTION("""COMPUTED_VALUE"""),8.0)</f>
        <v>8</v>
      </c>
      <c r="Y54" s="188">
        <f>IFERROR(__xludf.DUMMYFUNCTION("""COMPUTED_VALUE"""),1834503.57)</f>
        <v>1834503.57</v>
      </c>
      <c r="Z54" s="188">
        <f>IFERROR(__xludf.DUMMYFUNCTION("""COMPUTED_VALUE"""),0.0)</f>
        <v>0</v>
      </c>
      <c r="AA54" s="187">
        <f>IFERROR(__xludf.DUMMYFUNCTION("""COMPUTED_VALUE"""),31.0)</f>
        <v>31</v>
      </c>
      <c r="AB54" s="187">
        <f>IFERROR(__xludf.DUMMYFUNCTION("""COMPUTED_VALUE"""),0.0)</f>
        <v>0</v>
      </c>
      <c r="AC54" s="187">
        <f>IFERROR(__xludf.DUMMYFUNCTION("""COMPUTED_VALUE"""),31.0)</f>
        <v>31</v>
      </c>
      <c r="AD54" s="187">
        <f>IFERROR(__xludf.DUMMYFUNCTION("""COMPUTED_VALUE"""),3.0)</f>
        <v>3</v>
      </c>
      <c r="AE54" s="187">
        <f>IFERROR(__xludf.DUMMYFUNCTION("""COMPUTED_VALUE"""),30.0)</f>
        <v>30</v>
      </c>
      <c r="AF54" s="187">
        <f>IFERROR(__xludf.DUMMYFUNCTION("""COMPUTED_VALUE"""),68.0)</f>
        <v>68</v>
      </c>
      <c r="AG54" s="187">
        <f>IFERROR(__xludf.DUMMYFUNCTION("""COMPUTED_VALUE"""),110.0)</f>
        <v>110</v>
      </c>
      <c r="AH54" s="187">
        <f>IFERROR(__xludf.DUMMYFUNCTION("""COMPUTED_VALUE"""),3.0)</f>
        <v>3</v>
      </c>
      <c r="AI54" s="187">
        <f>IFERROR(__xludf.DUMMYFUNCTION("""COMPUTED_VALUE"""),41.0)</f>
        <v>41</v>
      </c>
      <c r="AJ54" s="187">
        <f>IFERROR(__xludf.DUMMYFUNCTION("""COMPUTED_VALUE"""),8.0)</f>
        <v>8</v>
      </c>
      <c r="AK54" s="187">
        <f>IFERROR(__xludf.DUMMYFUNCTION("""COMPUTED_VALUE"""),85.0)</f>
        <v>85</v>
      </c>
      <c r="AL54" s="187">
        <f>IFERROR(__xludf.DUMMYFUNCTION("""COMPUTED_VALUE"""),2.0)</f>
        <v>2</v>
      </c>
      <c r="AM54" s="187">
        <f>IFERROR(__xludf.DUMMYFUNCTION("""COMPUTED_VALUE"""),21.0)</f>
        <v>21</v>
      </c>
      <c r="AN54" s="187">
        <f>IFERROR(__xludf.DUMMYFUNCTION("""COMPUTED_VALUE"""),317.0)</f>
        <v>317</v>
      </c>
      <c r="AO54" s="187">
        <f>IFERROR(__xludf.DUMMYFUNCTION("""COMPUTED_VALUE"""),532.0)</f>
        <v>532</v>
      </c>
      <c r="AP54" s="187">
        <f>IFERROR(__xludf.DUMMYFUNCTION("""COMPUTED_VALUE"""),72.0)</f>
        <v>72</v>
      </c>
      <c r="AQ54" s="217">
        <f>IFERROR(__xludf.DUMMYFUNCTION("""COMPUTED_VALUE"""),36404.29138888889)</f>
        <v>36404.29139</v>
      </c>
      <c r="AR54" s="188">
        <f>IFERROR(__xludf.DUMMYFUNCTION("""COMPUTED_VALUE"""),7.388888888888889)</f>
        <v>7.388888889</v>
      </c>
      <c r="AS54" s="217">
        <f>IFERROR(__xludf.DUMMYFUNCTION("""COMPUTED_VALUE"""),139170.0)</f>
        <v>139170</v>
      </c>
      <c r="AT54" s="217"/>
      <c r="AU54" s="218">
        <f>IFERROR(__xludf.DUMMYFUNCTION("""COMPUTED_VALUE"""),0.05309584647640252)</f>
        <v>0.05309584648</v>
      </c>
      <c r="AV54" s="217">
        <f>IFERROR(__xludf.DUMMYFUNCTION("""COMPUTED_VALUE"""),59177.54838709677)</f>
        <v>59177.54839</v>
      </c>
      <c r="AW54" s="219">
        <f>IFERROR(__xludf.DUMMYFUNCTION("""COMPUTED_VALUE"""),56.0)</f>
        <v>56</v>
      </c>
      <c r="AX54" s="219">
        <f>IFERROR(__xludf.DUMMYFUNCTION("""COMPUTED_VALUE"""),808.0)</f>
        <v>808</v>
      </c>
      <c r="AY54" s="220">
        <f>IFERROR(__xludf.DUMMYFUNCTION("""COMPUTED_VALUE"""),4159.08)</f>
        <v>4159.08</v>
      </c>
      <c r="AZ54" s="219">
        <f>IFERROR(__xludf.DUMMYFUNCTION("""COMPUTED_VALUE"""),77.0)</f>
        <v>77</v>
      </c>
      <c r="BA54" s="219">
        <f>IFERROR(__xludf.DUMMYFUNCTION("""COMPUTED_VALUE"""),31.0)</f>
        <v>31</v>
      </c>
      <c r="BB54" s="219">
        <f>IFERROR(__xludf.DUMMYFUNCTION("""COMPUTED_VALUE"""),24.0)</f>
        <v>24</v>
      </c>
      <c r="BC54" s="219">
        <f>IFERROR(__xludf.DUMMYFUNCTION("""COMPUTED_VALUE"""),7.0)</f>
        <v>7</v>
      </c>
      <c r="BD54" s="221"/>
      <c r="BE54" s="98"/>
      <c r="BF54" s="255" t="e">
        <v>#REF!</v>
      </c>
      <c r="BG54" s="256">
        <f t="shared" si="4"/>
        <v>2621108.98</v>
      </c>
      <c r="BH54" s="257" t="str">
        <f t="shared" si="5"/>
        <v>#REF!</v>
      </c>
      <c r="BI54" s="98"/>
      <c r="BJ54" s="98"/>
      <c r="BK54" s="98"/>
      <c r="BL54" s="98"/>
      <c r="BM54" s="98"/>
      <c r="BN54" s="98"/>
      <c r="BO54" s="98"/>
      <c r="BP54" s="98"/>
      <c r="BQ54" s="98"/>
      <c r="BR54" s="98"/>
    </row>
    <row r="55">
      <c r="A55" s="6" t="str">
        <f>IFERROR(__xludf.DUMMYFUNCTION("""COMPUTED_VALUE"""),"Sandeep Dadheech")</f>
        <v>Sandeep Dadheech</v>
      </c>
      <c r="B55" s="98" t="str">
        <f>IFERROR(__xludf.DUMMYFUNCTION("""COMPUTED_VALUE"""),"Jharkhand")</f>
        <v>Jharkhand</v>
      </c>
      <c r="C55" s="212" t="str">
        <f>IFERROR(__xludf.DUMMYFUNCTION("""COMPUTED_VALUE"""),"Vikash Kumar Singh")</f>
        <v>Vikash Kumar Singh</v>
      </c>
      <c r="D55" s="98" t="str">
        <f>IFERROR(__xludf.DUMMYFUNCTION("""COMPUTED_VALUE"""),"Palamu")</f>
        <v>Palamu</v>
      </c>
      <c r="E55" s="213">
        <f>IFERROR(__xludf.DUMMYFUNCTION("""COMPUTED_VALUE"""),45040.0)</f>
        <v>45040</v>
      </c>
      <c r="F55" s="222" t="str">
        <f>IFERROR(__xludf.DUMMYFUNCTION("""COMPUTED_VALUE"""),"JHARKHAND")</f>
        <v>JHARKHAND</v>
      </c>
      <c r="G55" s="215">
        <f>IFERROR(__xludf.DUMMYFUNCTION("""COMPUTED_VALUE"""),1.3289262860000001E7)</f>
        <v>13289262.86</v>
      </c>
      <c r="H55" s="215">
        <f>IFERROR(__xludf.DUMMYFUNCTION("""COMPUTED_VALUE"""),1.0960525E7)</f>
        <v>10960525</v>
      </c>
      <c r="I55" s="216">
        <f>IFERROR(__xludf.DUMMYFUNCTION("""COMPUTED_VALUE"""),36400.0)</f>
        <v>36400</v>
      </c>
      <c r="J55" s="216">
        <f>IFERROR(__xludf.DUMMYFUNCTION("""COMPUTED_VALUE"""),1333333.0)</f>
        <v>1333333</v>
      </c>
      <c r="K55" s="217">
        <f>IFERROR(__xludf.DUMMYFUNCTION("""COMPUTED_VALUE"""),0.0)</f>
        <v>0</v>
      </c>
      <c r="L55" s="217">
        <f>IFERROR(__xludf.DUMMYFUNCTION("""COMPUTED_VALUE"""),3999999.0)</f>
        <v>3999999</v>
      </c>
      <c r="M55" s="217">
        <f>IFERROR(__xludf.DUMMYFUNCTION("""COMPUTED_VALUE"""),3573681.0)</f>
        <v>3573681</v>
      </c>
      <c r="N55" s="217">
        <f>IFERROR(__xludf.DUMMYFUNCTION("""COMPUTED_VALUE"""),0.0)</f>
        <v>0</v>
      </c>
      <c r="O55" s="217">
        <f>IFERROR(__xludf.DUMMYFUNCTION("""COMPUTED_VALUE"""),1504377.3199999998)</f>
        <v>1504377.32</v>
      </c>
      <c r="P55" s="218">
        <f>IFERROR(__xludf.DUMMYFUNCTION("""COMPUTED_VALUE"""),0.8934204733551183)</f>
        <v>0.8934204734</v>
      </c>
      <c r="Q55" s="218">
        <f>IFERROR(__xludf.DUMMYFUNCTION("""COMPUTED_VALUE"""),0.0)</f>
        <v>0</v>
      </c>
      <c r="R55" s="218">
        <f>IFERROR(__xludf.DUMMYFUNCTION("""COMPUTED_VALUE"""),0.376094424023606)</f>
        <v>0.376094424</v>
      </c>
      <c r="S55" s="187">
        <f>IFERROR(__xludf.DUMMYFUNCTION("""COMPUTED_VALUE"""),41.0)</f>
        <v>41</v>
      </c>
      <c r="T55" s="187">
        <f>IFERROR(__xludf.DUMMYFUNCTION("""COMPUTED_VALUE"""),31.0)</f>
        <v>31</v>
      </c>
      <c r="U55" s="187">
        <f>IFERROR(__xludf.DUMMYFUNCTION("""COMPUTED_VALUE"""),0.0)</f>
        <v>0</v>
      </c>
      <c r="V55" s="187">
        <f>IFERROR(__xludf.DUMMYFUNCTION("""COMPUTED_VALUE"""),0.0)</f>
        <v>0</v>
      </c>
      <c r="W55" s="187">
        <f>IFERROR(__xludf.DUMMYFUNCTION("""COMPUTED_VALUE"""),41.0)</f>
        <v>41</v>
      </c>
      <c r="X55" s="187">
        <f>IFERROR(__xludf.DUMMYFUNCTION("""COMPUTED_VALUE"""),10.0)</f>
        <v>10</v>
      </c>
      <c r="Y55" s="188">
        <f>IFERROR(__xludf.DUMMYFUNCTION("""COMPUTED_VALUE"""),3573680.59)</f>
        <v>3573680.59</v>
      </c>
      <c r="Z55" s="188">
        <f>IFERROR(__xludf.DUMMYFUNCTION("""COMPUTED_VALUE"""),0.0)</f>
        <v>0</v>
      </c>
      <c r="AA55" s="187">
        <f>IFERROR(__xludf.DUMMYFUNCTION("""COMPUTED_VALUE"""),15.0)</f>
        <v>15</v>
      </c>
      <c r="AB55" s="187">
        <f>IFERROR(__xludf.DUMMYFUNCTION("""COMPUTED_VALUE"""),0.0)</f>
        <v>0</v>
      </c>
      <c r="AC55" s="187">
        <f>IFERROR(__xludf.DUMMYFUNCTION("""COMPUTED_VALUE"""),15.0)</f>
        <v>15</v>
      </c>
      <c r="AD55" s="187">
        <f>IFERROR(__xludf.DUMMYFUNCTION("""COMPUTED_VALUE"""),0.0)</f>
        <v>0</v>
      </c>
      <c r="AE55" s="187">
        <f>IFERROR(__xludf.DUMMYFUNCTION("""COMPUTED_VALUE"""),39.0)</f>
        <v>39</v>
      </c>
      <c r="AF55" s="187">
        <f>IFERROR(__xludf.DUMMYFUNCTION("""COMPUTED_VALUE"""),66.0)</f>
        <v>66</v>
      </c>
      <c r="AG55" s="187">
        <f>IFERROR(__xludf.DUMMYFUNCTION("""COMPUTED_VALUE"""),84.0)</f>
        <v>84</v>
      </c>
      <c r="AH55" s="187">
        <f>IFERROR(__xludf.DUMMYFUNCTION("""COMPUTED_VALUE"""),1.0)</f>
        <v>1</v>
      </c>
      <c r="AI55" s="187">
        <f>IFERROR(__xludf.DUMMYFUNCTION("""COMPUTED_VALUE"""),3.0)</f>
        <v>3</v>
      </c>
      <c r="AJ55" s="187">
        <f>IFERROR(__xludf.DUMMYFUNCTION("""COMPUTED_VALUE"""),0.0)</f>
        <v>0</v>
      </c>
      <c r="AK55" s="187">
        <f>IFERROR(__xludf.DUMMYFUNCTION("""COMPUTED_VALUE"""),0.0)</f>
        <v>0</v>
      </c>
      <c r="AL55" s="187">
        <f>IFERROR(__xludf.DUMMYFUNCTION("""COMPUTED_VALUE"""),0.0)</f>
        <v>0</v>
      </c>
      <c r="AM55" s="187">
        <f>IFERROR(__xludf.DUMMYFUNCTION("""COMPUTED_VALUE"""),0.0)</f>
        <v>0</v>
      </c>
      <c r="AN55" s="187">
        <f>IFERROR(__xludf.DUMMYFUNCTION("""COMPUTED_VALUE"""),373.0)</f>
        <v>373</v>
      </c>
      <c r="AO55" s="187">
        <f>IFERROR(__xludf.DUMMYFUNCTION("""COMPUTED_VALUE"""),442.0)</f>
        <v>442</v>
      </c>
      <c r="AP55" s="187">
        <f>IFERROR(__xludf.DUMMYFUNCTION("""COMPUTED_VALUE"""),72.0)</f>
        <v>72</v>
      </c>
      <c r="AQ55" s="217">
        <f>IFERROR(__xludf.DUMMYFUNCTION("""COMPUTED_VALUE"""),49634.458333333336)</f>
        <v>49634.45833</v>
      </c>
      <c r="AR55" s="188">
        <f>IFERROR(__xludf.DUMMYFUNCTION("""COMPUTED_VALUE"""),6.138888888888889)</f>
        <v>6.138888889</v>
      </c>
      <c r="AS55" s="217">
        <f>IFERROR(__xludf.DUMMYFUNCTION("""COMPUTED_VALUE"""),109200.0)</f>
        <v>109200</v>
      </c>
      <c r="AT55" s="217"/>
      <c r="AU55" s="218">
        <f>IFERROR(__xludf.DUMMYFUNCTION("""COMPUTED_VALUE"""),0.03055672848248067)</f>
        <v>0.03055672848</v>
      </c>
      <c r="AV55" s="217">
        <f>IFERROR(__xludf.DUMMYFUNCTION("""COMPUTED_VALUE"""),238245.4)</f>
        <v>238245.4</v>
      </c>
      <c r="AW55" s="219">
        <f>IFERROR(__xludf.DUMMYFUNCTION("""COMPUTED_VALUE"""),32.0)</f>
        <v>32</v>
      </c>
      <c r="AX55" s="219">
        <f>IFERROR(__xludf.DUMMYFUNCTION("""COMPUTED_VALUE"""),586.0)</f>
        <v>586</v>
      </c>
      <c r="AY55" s="220">
        <f>IFERROR(__xludf.DUMMYFUNCTION("""COMPUTED_VALUE"""),5198.15)</f>
        <v>5198.15</v>
      </c>
      <c r="AZ55" s="219">
        <f>IFERROR(__xludf.DUMMYFUNCTION("""COMPUTED_VALUE"""),168.0)</f>
        <v>168</v>
      </c>
      <c r="BA55" s="219">
        <f>IFERROR(__xludf.DUMMYFUNCTION("""COMPUTED_VALUE"""),15.0)</f>
        <v>15</v>
      </c>
      <c r="BB55" s="219">
        <f>IFERROR(__xludf.DUMMYFUNCTION("""COMPUTED_VALUE"""),16.0)</f>
        <v>16</v>
      </c>
      <c r="BC55" s="219">
        <f>IFERROR(__xludf.DUMMYFUNCTION("""COMPUTED_VALUE"""),10.0)</f>
        <v>10</v>
      </c>
      <c r="BD55" s="261"/>
      <c r="BE55" s="98"/>
      <c r="BF55" s="255" t="e">
        <v>#REF!</v>
      </c>
      <c r="BG55" s="256">
        <f t="shared" si="4"/>
        <v>3573681</v>
      </c>
      <c r="BH55" s="257" t="str">
        <f t="shared" si="5"/>
        <v>#REF!</v>
      </c>
      <c r="BI55" s="98"/>
      <c r="BJ55" s="98"/>
      <c r="BK55" s="98"/>
      <c r="BL55" s="98"/>
      <c r="BM55" s="98"/>
      <c r="BN55" s="98"/>
      <c r="BO55" s="98"/>
      <c r="BP55" s="98"/>
      <c r="BQ55" s="98"/>
      <c r="BR55" s="98"/>
    </row>
    <row r="56">
      <c r="A56" s="6" t="str">
        <f>IFERROR(__xludf.DUMMYFUNCTION("""COMPUTED_VALUE"""),"Lalan Kumar")</f>
        <v>Lalan Kumar</v>
      </c>
      <c r="B56" s="98" t="str">
        <f>IFERROR(__xludf.DUMMYFUNCTION("""COMPUTED_VALUE"""),"Maharashtra")</f>
        <v>Maharashtra</v>
      </c>
      <c r="C56" s="212" t="str">
        <f>IFERROR(__xludf.DUMMYFUNCTION("""COMPUTED_VALUE"""),"Tushar Ravindra Kanthale")</f>
        <v>Tushar Ravindra Kanthale</v>
      </c>
      <c r="D56" s="98" t="str">
        <f>IFERROR(__xludf.DUMMYFUNCTION("""COMPUTED_VALUE"""),"Pune")</f>
        <v>Pune</v>
      </c>
      <c r="E56" s="213">
        <f>IFERROR(__xludf.DUMMYFUNCTION("""COMPUTED_VALUE"""),45047.0)</f>
        <v>45047</v>
      </c>
      <c r="F56" s="222" t="str">
        <f>IFERROR(__xludf.DUMMYFUNCTION("""COMPUTED_VALUE"""),"MAHARASHTRA")</f>
        <v>MAHARASHTRA</v>
      </c>
      <c r="G56" s="215">
        <f>IFERROR(__xludf.DUMMYFUNCTION("""COMPUTED_VALUE"""),7163532.35)</f>
        <v>7163532.35</v>
      </c>
      <c r="H56" s="215">
        <f>IFERROR(__xludf.DUMMYFUNCTION("""COMPUTED_VALUE"""),7943279.0)</f>
        <v>7943279</v>
      </c>
      <c r="I56" s="216">
        <f>IFERROR(__xludf.DUMMYFUNCTION("""COMPUTED_VALUE"""),37990.0)</f>
        <v>37990</v>
      </c>
      <c r="J56" s="216">
        <f>IFERROR(__xludf.DUMMYFUNCTION("""COMPUTED_VALUE"""),1300000.0)</f>
        <v>1300000</v>
      </c>
      <c r="K56" s="217">
        <f>IFERROR(__xludf.DUMMYFUNCTION("""COMPUTED_VALUE"""),0.0)</f>
        <v>0</v>
      </c>
      <c r="L56" s="217">
        <f>IFERROR(__xludf.DUMMYFUNCTION("""COMPUTED_VALUE"""),3900000.0)</f>
        <v>3900000</v>
      </c>
      <c r="M56" s="217">
        <f>IFERROR(__xludf.DUMMYFUNCTION("""COMPUTED_VALUE"""),1779591.0)</f>
        <v>1779591</v>
      </c>
      <c r="N56" s="217">
        <f>IFERROR(__xludf.DUMMYFUNCTION("""COMPUTED_VALUE"""),0.0)</f>
        <v>0</v>
      </c>
      <c r="O56" s="217">
        <f>IFERROR(__xludf.DUMMYFUNCTION("""COMPUTED_VALUE"""),1790792.0)</f>
        <v>1790792</v>
      </c>
      <c r="P56" s="218">
        <f>IFERROR(__xludf.DUMMYFUNCTION("""COMPUTED_VALUE"""),0.4563053846153846)</f>
        <v>0.4563053846</v>
      </c>
      <c r="Q56" s="218">
        <f>IFERROR(__xludf.DUMMYFUNCTION("""COMPUTED_VALUE"""),0.0)</f>
        <v>0</v>
      </c>
      <c r="R56" s="218">
        <f>IFERROR(__xludf.DUMMYFUNCTION("""COMPUTED_VALUE"""),0.45917743589743587)</f>
        <v>0.4591774359</v>
      </c>
      <c r="S56" s="187">
        <f>IFERROR(__xludf.DUMMYFUNCTION("""COMPUTED_VALUE"""),88.0)</f>
        <v>88</v>
      </c>
      <c r="T56" s="187">
        <f>IFERROR(__xludf.DUMMYFUNCTION("""COMPUTED_VALUE"""),77.0)</f>
        <v>77</v>
      </c>
      <c r="U56" s="187">
        <f>IFERROR(__xludf.DUMMYFUNCTION("""COMPUTED_VALUE"""),1.0)</f>
        <v>1</v>
      </c>
      <c r="V56" s="187">
        <f>IFERROR(__xludf.DUMMYFUNCTION("""COMPUTED_VALUE"""),1.0)</f>
        <v>1</v>
      </c>
      <c r="W56" s="187">
        <f>IFERROR(__xludf.DUMMYFUNCTION("""COMPUTED_VALUE"""),89.0)</f>
        <v>89</v>
      </c>
      <c r="X56" s="187">
        <f>IFERROR(__xludf.DUMMYFUNCTION("""COMPUTED_VALUE"""),12.0)</f>
        <v>12</v>
      </c>
      <c r="Y56" s="188">
        <f>IFERROR(__xludf.DUMMYFUNCTION("""COMPUTED_VALUE"""),1763793.81)</f>
        <v>1763793.81</v>
      </c>
      <c r="Z56" s="188">
        <f>IFERROR(__xludf.DUMMYFUNCTION("""COMPUTED_VALUE"""),15796.88)</f>
        <v>15796.88</v>
      </c>
      <c r="AA56" s="187">
        <f>IFERROR(__xludf.DUMMYFUNCTION("""COMPUTED_VALUE"""),64.0)</f>
        <v>64</v>
      </c>
      <c r="AB56" s="187">
        <f>IFERROR(__xludf.DUMMYFUNCTION("""COMPUTED_VALUE"""),1.0)</f>
        <v>1</v>
      </c>
      <c r="AC56" s="187">
        <f>IFERROR(__xludf.DUMMYFUNCTION("""COMPUTED_VALUE"""),65.0)</f>
        <v>65</v>
      </c>
      <c r="AD56" s="187">
        <f>IFERROR(__xludf.DUMMYFUNCTION("""COMPUTED_VALUE"""),0.0)</f>
        <v>0</v>
      </c>
      <c r="AE56" s="187">
        <f>IFERROR(__xludf.DUMMYFUNCTION("""COMPUTED_VALUE"""),1.0)</f>
        <v>1</v>
      </c>
      <c r="AF56" s="187">
        <f>IFERROR(__xludf.DUMMYFUNCTION("""COMPUTED_VALUE"""),1.0)</f>
        <v>1</v>
      </c>
      <c r="AG56" s="187">
        <f>IFERROR(__xludf.DUMMYFUNCTION("""COMPUTED_VALUE"""),166.0)</f>
        <v>166</v>
      </c>
      <c r="AH56" s="187">
        <f>IFERROR(__xludf.DUMMYFUNCTION("""COMPUTED_VALUE"""),2.0)</f>
        <v>2</v>
      </c>
      <c r="AI56" s="187">
        <f>IFERROR(__xludf.DUMMYFUNCTION("""COMPUTED_VALUE"""),17.0)</f>
        <v>17</v>
      </c>
      <c r="AJ56" s="187">
        <f>IFERROR(__xludf.DUMMYFUNCTION("""COMPUTED_VALUE"""),0.0)</f>
        <v>0</v>
      </c>
      <c r="AK56" s="187">
        <f>IFERROR(__xludf.DUMMYFUNCTION("""COMPUTED_VALUE"""),0.0)</f>
        <v>0</v>
      </c>
      <c r="AL56" s="187">
        <f>IFERROR(__xludf.DUMMYFUNCTION("""COMPUTED_VALUE"""),0.0)</f>
        <v>0</v>
      </c>
      <c r="AM56" s="187">
        <f>IFERROR(__xludf.DUMMYFUNCTION("""COMPUTED_VALUE"""),0.0)</f>
        <v>0</v>
      </c>
      <c r="AN56" s="187">
        <f>IFERROR(__xludf.DUMMYFUNCTION("""COMPUTED_VALUE"""),325.0)</f>
        <v>325</v>
      </c>
      <c r="AO56" s="187">
        <f>IFERROR(__xludf.DUMMYFUNCTION("""COMPUTED_VALUE"""),343.0)</f>
        <v>343</v>
      </c>
      <c r="AP56" s="187">
        <f>IFERROR(__xludf.DUMMYFUNCTION("""COMPUTED_VALUE"""),74.0)</f>
        <v>74</v>
      </c>
      <c r="AQ56" s="217">
        <f>IFERROR(__xludf.DUMMYFUNCTION("""COMPUTED_VALUE"""),24048.527027027027)</f>
        <v>24048.52703</v>
      </c>
      <c r="AR56" s="188">
        <f>IFERROR(__xludf.DUMMYFUNCTION("""COMPUTED_VALUE"""),4.635135135135135)</f>
        <v>4.635135135</v>
      </c>
      <c r="AS56" s="217">
        <f>IFERROR(__xludf.DUMMYFUNCTION("""COMPUTED_VALUE"""),113970.0)</f>
        <v>113970</v>
      </c>
      <c r="AT56" s="217"/>
      <c r="AU56" s="218">
        <f>IFERROR(__xludf.DUMMYFUNCTION("""COMPUTED_VALUE"""),0.06404280534122728)</f>
        <v>0.06404280534</v>
      </c>
      <c r="AV56" s="217">
        <f>IFERROR(__xludf.DUMMYFUNCTION("""COMPUTED_VALUE"""),27378.323076923076)</f>
        <v>27378.32308</v>
      </c>
      <c r="AW56" s="219">
        <f>IFERROR(__xludf.DUMMYFUNCTION("""COMPUTED_VALUE"""),138.0)</f>
        <v>138</v>
      </c>
      <c r="AX56" s="219">
        <f>IFERROR(__xludf.DUMMYFUNCTION("""COMPUTED_VALUE"""),745.0)</f>
        <v>745</v>
      </c>
      <c r="AY56" s="220">
        <f>IFERROR(__xludf.DUMMYFUNCTION("""COMPUTED_VALUE"""),4535.66)</f>
        <v>4535.66</v>
      </c>
      <c r="AZ56" s="219">
        <f>IFERROR(__xludf.DUMMYFUNCTION("""COMPUTED_VALUE"""),59.0)</f>
        <v>59</v>
      </c>
      <c r="BA56" s="219">
        <f>IFERROR(__xludf.DUMMYFUNCTION("""COMPUTED_VALUE"""),65.0)</f>
        <v>65</v>
      </c>
      <c r="BB56" s="219">
        <f>IFERROR(__xludf.DUMMYFUNCTION("""COMPUTED_VALUE"""),15.0)</f>
        <v>15</v>
      </c>
      <c r="BC56" s="219">
        <f>IFERROR(__xludf.DUMMYFUNCTION("""COMPUTED_VALUE"""),9.0)</f>
        <v>9</v>
      </c>
      <c r="BD56" s="221"/>
      <c r="BE56" s="98"/>
      <c r="BF56" s="255" t="e">
        <v>#REF!</v>
      </c>
      <c r="BG56" s="256">
        <f t="shared" si="4"/>
        <v>1779591</v>
      </c>
      <c r="BH56" s="257" t="str">
        <f t="shared" si="5"/>
        <v>#REF!</v>
      </c>
      <c r="BI56" s="98"/>
      <c r="BJ56" s="98"/>
      <c r="BK56" s="98"/>
      <c r="BL56" s="98"/>
      <c r="BM56" s="98"/>
      <c r="BN56" s="98"/>
      <c r="BO56" s="98"/>
      <c r="BP56" s="98"/>
      <c r="BQ56" s="98"/>
      <c r="BR56" s="98"/>
    </row>
    <row r="57">
      <c r="A57" s="6" t="str">
        <f>IFERROR(__xludf.DUMMYFUNCTION("""COMPUTED_VALUE"""),"Sandeep Dadheech")</f>
        <v>Sandeep Dadheech</v>
      </c>
      <c r="B57" s="98" t="str">
        <f>IFERROR(__xludf.DUMMYFUNCTION("""COMPUTED_VALUE"""),"West Bengal")</f>
        <v>West Bengal</v>
      </c>
      <c r="C57" s="98" t="str">
        <f>IFERROR(__xludf.DUMMYFUNCTION("""COMPUTED_VALUE"""),"Gonesh Dey")</f>
        <v>Gonesh Dey</v>
      </c>
      <c r="D57" s="98" t="str">
        <f>IFERROR(__xludf.DUMMYFUNCTION("""COMPUTED_VALUE"""),"Burdwan")</f>
        <v>Burdwan</v>
      </c>
      <c r="E57" s="213">
        <f>IFERROR(__xludf.DUMMYFUNCTION("""COMPUTED_VALUE"""),45047.0)</f>
        <v>45047</v>
      </c>
      <c r="F57" s="222" t="str">
        <f>IFERROR(__xludf.DUMMYFUNCTION("""COMPUTED_VALUE"""),"WEST BENGAL")</f>
        <v>WEST BENGAL</v>
      </c>
      <c r="G57" s="215">
        <f>IFERROR(__xludf.DUMMYFUNCTION("""COMPUTED_VALUE"""),1.4450868010000002E7)</f>
        <v>14450868.01</v>
      </c>
      <c r="H57" s="215">
        <f>IFERROR(__xludf.DUMMYFUNCTION("""COMPUTED_VALUE"""),1.2307164E7)</f>
        <v>12307164</v>
      </c>
      <c r="I57" s="216">
        <f>IFERROR(__xludf.DUMMYFUNCTION("""COMPUTED_VALUE"""),31500.0)</f>
        <v>31500</v>
      </c>
      <c r="J57" s="216">
        <f>IFERROR(__xludf.DUMMYFUNCTION("""COMPUTED_VALUE"""),2500000.0)</f>
        <v>2500000</v>
      </c>
      <c r="K57" s="217">
        <f>IFERROR(__xludf.DUMMYFUNCTION("""COMPUTED_VALUE"""),0.0)</f>
        <v>0</v>
      </c>
      <c r="L57" s="217">
        <f>IFERROR(__xludf.DUMMYFUNCTION("""COMPUTED_VALUE"""),7500000.0)</f>
        <v>7500000</v>
      </c>
      <c r="M57" s="217">
        <f>IFERROR(__xludf.DUMMYFUNCTION("""COMPUTED_VALUE"""),5818911.0)</f>
        <v>5818911</v>
      </c>
      <c r="N57" s="217">
        <f>IFERROR(__xludf.DUMMYFUNCTION("""COMPUTED_VALUE"""),0.0)</f>
        <v>0</v>
      </c>
      <c r="O57" s="217">
        <f>IFERROR(__xludf.DUMMYFUNCTION("""COMPUTED_VALUE"""),2095833.0)</f>
        <v>2095833</v>
      </c>
      <c r="P57" s="218">
        <f>IFERROR(__xludf.DUMMYFUNCTION("""COMPUTED_VALUE"""),0.7758548)</f>
        <v>0.7758548</v>
      </c>
      <c r="Q57" s="218">
        <f>IFERROR(__xludf.DUMMYFUNCTION("""COMPUTED_VALUE"""),0.0)</f>
        <v>0</v>
      </c>
      <c r="R57" s="218">
        <f>IFERROR(__xludf.DUMMYFUNCTION("""COMPUTED_VALUE"""),0.2794444)</f>
        <v>0.2794444</v>
      </c>
      <c r="S57" s="187">
        <f>IFERROR(__xludf.DUMMYFUNCTION("""COMPUTED_VALUE"""),38.0)</f>
        <v>38</v>
      </c>
      <c r="T57" s="187">
        <f>IFERROR(__xludf.DUMMYFUNCTION("""COMPUTED_VALUE"""),40.0)</f>
        <v>40</v>
      </c>
      <c r="U57" s="187">
        <f>IFERROR(__xludf.DUMMYFUNCTION("""COMPUTED_VALUE"""),3.0)</f>
        <v>3</v>
      </c>
      <c r="V57" s="187">
        <f>IFERROR(__xludf.DUMMYFUNCTION("""COMPUTED_VALUE"""),3.0)</f>
        <v>3</v>
      </c>
      <c r="W57" s="187">
        <f>IFERROR(__xludf.DUMMYFUNCTION("""COMPUTED_VALUE"""),41.0)</f>
        <v>41</v>
      </c>
      <c r="X57" s="187">
        <f>IFERROR(__xludf.DUMMYFUNCTION("""COMPUTED_VALUE"""),1.0)</f>
        <v>1</v>
      </c>
      <c r="Y57" s="188">
        <f>IFERROR(__xludf.DUMMYFUNCTION("""COMPUTED_VALUE"""),4974740.92)</f>
        <v>4974740.92</v>
      </c>
      <c r="Z57" s="188">
        <f>IFERROR(__xludf.DUMMYFUNCTION("""COMPUTED_VALUE"""),844170.03)</f>
        <v>844170.03</v>
      </c>
      <c r="AA57" s="187">
        <f>IFERROR(__xludf.DUMMYFUNCTION("""COMPUTED_VALUE"""),8.0)</f>
        <v>8</v>
      </c>
      <c r="AB57" s="187">
        <f>IFERROR(__xludf.DUMMYFUNCTION("""COMPUTED_VALUE"""),3.0)</f>
        <v>3</v>
      </c>
      <c r="AC57" s="187">
        <f>IFERROR(__xludf.DUMMYFUNCTION("""COMPUTED_VALUE"""),11.0)</f>
        <v>11</v>
      </c>
      <c r="AD57" s="187">
        <f>IFERROR(__xludf.DUMMYFUNCTION("""COMPUTED_VALUE"""),0.0)</f>
        <v>0</v>
      </c>
      <c r="AE57" s="187">
        <f>IFERROR(__xludf.DUMMYFUNCTION("""COMPUTED_VALUE"""),22.0)</f>
        <v>22</v>
      </c>
      <c r="AF57" s="187">
        <f>IFERROR(__xludf.DUMMYFUNCTION("""COMPUTED_VALUE"""),47.0)</f>
        <v>47</v>
      </c>
      <c r="AG57" s="187">
        <f>IFERROR(__xludf.DUMMYFUNCTION("""COMPUTED_VALUE"""),199.0)</f>
        <v>199</v>
      </c>
      <c r="AH57" s="187">
        <f>IFERROR(__xludf.DUMMYFUNCTION("""COMPUTED_VALUE"""),1.0)</f>
        <v>1</v>
      </c>
      <c r="AI57" s="187">
        <f>IFERROR(__xludf.DUMMYFUNCTION("""COMPUTED_VALUE"""),2.0)</f>
        <v>2</v>
      </c>
      <c r="AJ57" s="187">
        <f>IFERROR(__xludf.DUMMYFUNCTION("""COMPUTED_VALUE"""),0.0)</f>
        <v>0</v>
      </c>
      <c r="AK57" s="187">
        <f>IFERROR(__xludf.DUMMYFUNCTION("""COMPUTED_VALUE"""),0.0)</f>
        <v>0</v>
      </c>
      <c r="AL57" s="187">
        <f>IFERROR(__xludf.DUMMYFUNCTION("""COMPUTED_VALUE"""),0.0)</f>
        <v>0</v>
      </c>
      <c r="AM57" s="187">
        <f>IFERROR(__xludf.DUMMYFUNCTION("""COMPUTED_VALUE"""),0.0)</f>
        <v>0</v>
      </c>
      <c r="AN57" s="187">
        <f>IFERROR(__xludf.DUMMYFUNCTION("""COMPUTED_VALUE"""),371.0)</f>
        <v>371</v>
      </c>
      <c r="AO57" s="187">
        <f>IFERROR(__xludf.DUMMYFUNCTION("""COMPUTED_VALUE"""),420.0)</f>
        <v>420</v>
      </c>
      <c r="AP57" s="187">
        <f>IFERROR(__xludf.DUMMYFUNCTION("""COMPUTED_VALUE"""),74.0)</f>
        <v>74</v>
      </c>
      <c r="AQ57" s="217">
        <f>IFERROR(__xludf.DUMMYFUNCTION("""COMPUTED_VALUE"""),78633.93243243243)</f>
        <v>78633.93243</v>
      </c>
      <c r="AR57" s="188">
        <f>IFERROR(__xludf.DUMMYFUNCTION("""COMPUTED_VALUE"""),5.675675675675675)</f>
        <v>5.675675676</v>
      </c>
      <c r="AS57" s="217">
        <f>IFERROR(__xludf.DUMMYFUNCTION("""COMPUTED_VALUE"""),94500.0)</f>
        <v>94500</v>
      </c>
      <c r="AT57" s="217"/>
      <c r="AU57" s="218">
        <f>IFERROR(__xludf.DUMMYFUNCTION("""COMPUTED_VALUE"""),0.016240152152181053)</f>
        <v>0.01624015215</v>
      </c>
      <c r="AV57" s="217">
        <f>IFERROR(__xludf.DUMMYFUNCTION("""COMPUTED_VALUE"""),528991.9090909091)</f>
        <v>528991.9091</v>
      </c>
      <c r="AW57" s="219">
        <f>IFERROR(__xludf.DUMMYFUNCTION("""COMPUTED_VALUE"""),29.0)</f>
        <v>29</v>
      </c>
      <c r="AX57" s="219">
        <f>IFERROR(__xludf.DUMMYFUNCTION("""COMPUTED_VALUE"""),724.0)</f>
        <v>724</v>
      </c>
      <c r="AY57" s="220">
        <f>IFERROR(__xludf.DUMMYFUNCTION("""COMPUTED_VALUE"""),7566.41)</f>
        <v>7566.41</v>
      </c>
      <c r="AZ57" s="219">
        <f>IFERROR(__xludf.DUMMYFUNCTION("""COMPUTED_VALUE"""),189.0)</f>
        <v>189</v>
      </c>
      <c r="BA57" s="219">
        <f>IFERROR(__xludf.DUMMYFUNCTION("""COMPUTED_VALUE"""),11.0)</f>
        <v>11</v>
      </c>
      <c r="BB57" s="219">
        <f>IFERROR(__xludf.DUMMYFUNCTION("""COMPUTED_VALUE"""),29.0)</f>
        <v>29</v>
      </c>
      <c r="BC57" s="219">
        <f>IFERROR(__xludf.DUMMYFUNCTION("""COMPUTED_VALUE"""),1.0)</f>
        <v>1</v>
      </c>
      <c r="BD57" s="221"/>
      <c r="BE57" s="98"/>
      <c r="BF57" s="255" t="e">
        <v>#REF!</v>
      </c>
      <c r="BG57" s="256">
        <f t="shared" si="4"/>
        <v>5818911</v>
      </c>
      <c r="BH57" s="257" t="str">
        <f t="shared" si="5"/>
        <v>#REF!</v>
      </c>
      <c r="BI57" s="98"/>
      <c r="BJ57" s="98"/>
      <c r="BK57" s="98"/>
      <c r="BL57" s="98"/>
      <c r="BM57" s="98"/>
      <c r="BN57" s="98"/>
      <c r="BO57" s="98"/>
      <c r="BP57" s="98"/>
      <c r="BQ57" s="98"/>
      <c r="BR57" s="98"/>
    </row>
    <row r="58">
      <c r="A58" s="6" t="str">
        <f>IFERROR(__xludf.DUMMYFUNCTION("""COMPUTED_VALUE"""),"Sandeep Dadheech")</f>
        <v>Sandeep Dadheech</v>
      </c>
      <c r="B58" s="98" t="str">
        <f>IFERROR(__xludf.DUMMYFUNCTION("""COMPUTED_VALUE"""),"West Bengal")</f>
        <v>West Bengal</v>
      </c>
      <c r="C58" s="212" t="str">
        <f>IFERROR(__xludf.DUMMYFUNCTION("""COMPUTED_VALUE"""),"Roni Gupta")</f>
        <v>Roni Gupta</v>
      </c>
      <c r="D58" s="98" t="str">
        <f>IFERROR(__xludf.DUMMYFUNCTION("""COMPUTED_VALUE"""),"Burdwan")</f>
        <v>Burdwan</v>
      </c>
      <c r="E58" s="213">
        <f>IFERROR(__xludf.DUMMYFUNCTION("""COMPUTED_VALUE"""),45047.0)</f>
        <v>45047</v>
      </c>
      <c r="F58" s="222" t="str">
        <f>IFERROR(__xludf.DUMMYFUNCTION("""COMPUTED_VALUE"""),"WEST BENGAL")</f>
        <v>WEST BENGAL</v>
      </c>
      <c r="G58" s="215">
        <f>IFERROR(__xludf.DUMMYFUNCTION("""COMPUTED_VALUE"""),1.516149198E7)</f>
        <v>15161491.98</v>
      </c>
      <c r="H58" s="215">
        <f>IFERROR(__xludf.DUMMYFUNCTION("""COMPUTED_VALUE"""),1.5710535E7)</f>
        <v>15710535</v>
      </c>
      <c r="I58" s="216">
        <f>IFERROR(__xludf.DUMMYFUNCTION("""COMPUTED_VALUE"""),26000.0)</f>
        <v>26000</v>
      </c>
      <c r="J58" s="216">
        <f>IFERROR(__xludf.DUMMYFUNCTION("""COMPUTED_VALUE"""),2500000.0)</f>
        <v>2500000</v>
      </c>
      <c r="K58" s="217">
        <f>IFERROR(__xludf.DUMMYFUNCTION("""COMPUTED_VALUE"""),0.0)</f>
        <v>0</v>
      </c>
      <c r="L58" s="217">
        <f>IFERROR(__xludf.DUMMYFUNCTION("""COMPUTED_VALUE"""),7500000.0)</f>
        <v>7500000</v>
      </c>
      <c r="M58" s="217">
        <f>IFERROR(__xludf.DUMMYFUNCTION("""COMPUTED_VALUE"""),8881930.0)</f>
        <v>8881930</v>
      </c>
      <c r="N58" s="217">
        <f>IFERROR(__xludf.DUMMYFUNCTION("""COMPUTED_VALUE"""),0.0)</f>
        <v>0</v>
      </c>
      <c r="O58" s="217">
        <f>IFERROR(__xludf.DUMMYFUNCTION("""COMPUTED_VALUE"""),8795616.0)</f>
        <v>8795616</v>
      </c>
      <c r="P58" s="218">
        <f>IFERROR(__xludf.DUMMYFUNCTION("""COMPUTED_VALUE"""),1.1842573333333333)</f>
        <v>1.184257333</v>
      </c>
      <c r="Q58" s="218">
        <f>IFERROR(__xludf.DUMMYFUNCTION("""COMPUTED_VALUE"""),0.0)</f>
        <v>0</v>
      </c>
      <c r="R58" s="218">
        <f>IFERROR(__xludf.DUMMYFUNCTION("""COMPUTED_VALUE"""),1.1727488)</f>
        <v>1.1727488</v>
      </c>
      <c r="S58" s="187">
        <f>IFERROR(__xludf.DUMMYFUNCTION("""COMPUTED_VALUE"""),64.0)</f>
        <v>64</v>
      </c>
      <c r="T58" s="187">
        <f>IFERROR(__xludf.DUMMYFUNCTION("""COMPUTED_VALUE"""),48.0)</f>
        <v>48</v>
      </c>
      <c r="U58" s="187">
        <f>IFERROR(__xludf.DUMMYFUNCTION("""COMPUTED_VALUE"""),7.0)</f>
        <v>7</v>
      </c>
      <c r="V58" s="187">
        <f>IFERROR(__xludf.DUMMYFUNCTION("""COMPUTED_VALUE"""),6.0)</f>
        <v>6</v>
      </c>
      <c r="W58" s="187">
        <f>IFERROR(__xludf.DUMMYFUNCTION("""COMPUTED_VALUE"""),71.0)</f>
        <v>71</v>
      </c>
      <c r="X58" s="187">
        <f>IFERROR(__xludf.DUMMYFUNCTION("""COMPUTED_VALUE"""),23.0)</f>
        <v>23</v>
      </c>
      <c r="Y58" s="188">
        <f>IFERROR(__xludf.DUMMYFUNCTION("""COMPUTED_VALUE"""),7781006.68)</f>
        <v>7781006.68</v>
      </c>
      <c r="Z58" s="188">
        <f>IFERROR(__xludf.DUMMYFUNCTION("""COMPUTED_VALUE"""),1100923.21)</f>
        <v>1100923.21</v>
      </c>
      <c r="AA58" s="187">
        <f>IFERROR(__xludf.DUMMYFUNCTION("""COMPUTED_VALUE"""),16.0)</f>
        <v>16</v>
      </c>
      <c r="AB58" s="187">
        <f>IFERROR(__xludf.DUMMYFUNCTION("""COMPUTED_VALUE"""),6.0)</f>
        <v>6</v>
      </c>
      <c r="AC58" s="187">
        <f>IFERROR(__xludf.DUMMYFUNCTION("""COMPUTED_VALUE"""),22.0)</f>
        <v>22</v>
      </c>
      <c r="AD58" s="187">
        <f>IFERROR(__xludf.DUMMYFUNCTION("""COMPUTED_VALUE"""),0.0)</f>
        <v>0</v>
      </c>
      <c r="AE58" s="187">
        <f>IFERROR(__xludf.DUMMYFUNCTION("""COMPUTED_VALUE"""),24.0)</f>
        <v>24</v>
      </c>
      <c r="AF58" s="187">
        <f>IFERROR(__xludf.DUMMYFUNCTION("""COMPUTED_VALUE"""),33.0)</f>
        <v>33</v>
      </c>
      <c r="AG58" s="187">
        <f>IFERROR(__xludf.DUMMYFUNCTION("""COMPUTED_VALUE"""),258.0)</f>
        <v>258</v>
      </c>
      <c r="AH58" s="187">
        <f>IFERROR(__xludf.DUMMYFUNCTION("""COMPUTED_VALUE"""),2.0)</f>
        <v>2</v>
      </c>
      <c r="AI58" s="187">
        <f>IFERROR(__xludf.DUMMYFUNCTION("""COMPUTED_VALUE"""),6.0)</f>
        <v>6</v>
      </c>
      <c r="AJ58" s="187">
        <f>IFERROR(__xludf.DUMMYFUNCTION("""COMPUTED_VALUE"""),0.0)</f>
        <v>0</v>
      </c>
      <c r="AK58" s="187">
        <f>IFERROR(__xludf.DUMMYFUNCTION("""COMPUTED_VALUE"""),0.0)</f>
        <v>0</v>
      </c>
      <c r="AL58" s="187">
        <f>IFERROR(__xludf.DUMMYFUNCTION("""COMPUTED_VALUE"""),0.0)</f>
        <v>0</v>
      </c>
      <c r="AM58" s="187">
        <f>IFERROR(__xludf.DUMMYFUNCTION("""COMPUTED_VALUE"""),0.0)</f>
        <v>0</v>
      </c>
      <c r="AN58" s="187">
        <f>IFERROR(__xludf.DUMMYFUNCTION("""COMPUTED_VALUE"""),292.0)</f>
        <v>292</v>
      </c>
      <c r="AO58" s="187">
        <f>IFERROR(__xludf.DUMMYFUNCTION("""COMPUTED_VALUE"""),331.0)</f>
        <v>331</v>
      </c>
      <c r="AP58" s="187">
        <f>IFERROR(__xludf.DUMMYFUNCTION("""COMPUTED_VALUE"""),76.0)</f>
        <v>76</v>
      </c>
      <c r="AQ58" s="217">
        <f>IFERROR(__xludf.DUMMYFUNCTION("""COMPUTED_VALUE"""),116867.5)</f>
        <v>116867.5</v>
      </c>
      <c r="AR58" s="188">
        <f>IFERROR(__xludf.DUMMYFUNCTION("""COMPUTED_VALUE"""),4.355263157894737)</f>
        <v>4.355263158</v>
      </c>
      <c r="AS58" s="217">
        <f>IFERROR(__xludf.DUMMYFUNCTION("""COMPUTED_VALUE"""),78000.0)</f>
        <v>78000</v>
      </c>
      <c r="AT58" s="217"/>
      <c r="AU58" s="218">
        <f>IFERROR(__xludf.DUMMYFUNCTION("""COMPUTED_VALUE"""),0.008781875110477115)</f>
        <v>0.00878187511</v>
      </c>
      <c r="AV58" s="217">
        <f>IFERROR(__xludf.DUMMYFUNCTION("""COMPUTED_VALUE"""),403724.0909090909)</f>
        <v>403724.0909</v>
      </c>
      <c r="AW58" s="219">
        <f>IFERROR(__xludf.DUMMYFUNCTION("""COMPUTED_VALUE"""),68.0)</f>
        <v>68</v>
      </c>
      <c r="AX58" s="219">
        <f>IFERROR(__xludf.DUMMYFUNCTION("""COMPUTED_VALUE"""),552.0)</f>
        <v>552</v>
      </c>
      <c r="AY58" s="220">
        <f>IFERROR(__xludf.DUMMYFUNCTION("""COMPUTED_VALUE"""),4228.49)</f>
        <v>4228.49</v>
      </c>
      <c r="AZ58" s="219">
        <f>IFERROR(__xludf.DUMMYFUNCTION("""COMPUTED_VALUE"""),88.0)</f>
        <v>88</v>
      </c>
      <c r="BA58" s="219">
        <f>IFERROR(__xludf.DUMMYFUNCTION("""COMPUTED_VALUE"""),22.0)</f>
        <v>22</v>
      </c>
      <c r="BB58" s="219">
        <f>IFERROR(__xludf.DUMMYFUNCTION("""COMPUTED_VALUE"""),26.0)</f>
        <v>26</v>
      </c>
      <c r="BC58" s="219">
        <f>IFERROR(__xludf.DUMMYFUNCTION("""COMPUTED_VALUE"""),23.0)</f>
        <v>23</v>
      </c>
      <c r="BD58" s="221"/>
      <c r="BE58" s="98"/>
      <c r="BF58" s="255" t="e">
        <v>#REF!</v>
      </c>
      <c r="BG58" s="256">
        <f t="shared" si="4"/>
        <v>8881930</v>
      </c>
      <c r="BH58" s="257" t="str">
        <f t="shared" si="5"/>
        <v>#REF!</v>
      </c>
      <c r="BI58" s="98"/>
      <c r="BJ58" s="98"/>
      <c r="BK58" s="98"/>
      <c r="BL58" s="98"/>
      <c r="BM58" s="98"/>
      <c r="BN58" s="98"/>
      <c r="BO58" s="98"/>
      <c r="BP58" s="98"/>
      <c r="BQ58" s="98"/>
      <c r="BR58" s="98"/>
    </row>
    <row r="59">
      <c r="A59" s="6" t="str">
        <f>IFERROR(__xludf.DUMMYFUNCTION("""COMPUTED_VALUE"""),"Sandeep Dadheech")</f>
        <v>Sandeep Dadheech</v>
      </c>
      <c r="B59" s="98" t="str">
        <f>IFERROR(__xludf.DUMMYFUNCTION("""COMPUTED_VALUE"""),"West Bengal")</f>
        <v>West Bengal</v>
      </c>
      <c r="C59" s="212" t="str">
        <f>IFERROR(__xludf.DUMMYFUNCTION("""COMPUTED_VALUE"""),"SUMANTA SINGHA")</f>
        <v>SUMANTA SINGHA</v>
      </c>
      <c r="D59" s="98" t="str">
        <f>IFERROR(__xludf.DUMMYFUNCTION("""COMPUTED_VALUE"""),"Bankura")</f>
        <v>Bankura</v>
      </c>
      <c r="E59" s="213">
        <f>IFERROR(__xludf.DUMMYFUNCTION("""COMPUTED_VALUE"""),45048.0)</f>
        <v>45048</v>
      </c>
      <c r="F59" s="222" t="str">
        <f>IFERROR(__xludf.DUMMYFUNCTION("""COMPUTED_VALUE"""),"WEST BENGAL")</f>
        <v>WEST BENGAL</v>
      </c>
      <c r="G59" s="215">
        <f>IFERROR(__xludf.DUMMYFUNCTION("""COMPUTED_VALUE"""),1.4058907709999999E7)</f>
        <v>14058907.71</v>
      </c>
      <c r="H59" s="215">
        <f>IFERROR(__xludf.DUMMYFUNCTION("""COMPUTED_VALUE"""),1.722511E7)</f>
        <v>17225110</v>
      </c>
      <c r="I59" s="216">
        <f>IFERROR(__xludf.DUMMYFUNCTION("""COMPUTED_VALUE"""),26000.0)</f>
        <v>26000</v>
      </c>
      <c r="J59" s="216">
        <f>IFERROR(__xludf.DUMMYFUNCTION("""COMPUTED_VALUE"""),2500000.0)</f>
        <v>2500000</v>
      </c>
      <c r="K59" s="217">
        <f>IFERROR(__xludf.DUMMYFUNCTION("""COMPUTED_VALUE"""),0.0)</f>
        <v>0</v>
      </c>
      <c r="L59" s="217">
        <f>IFERROR(__xludf.DUMMYFUNCTION("""COMPUTED_VALUE"""),7500000.0)</f>
        <v>7500000</v>
      </c>
      <c r="M59" s="217">
        <f>IFERROR(__xludf.DUMMYFUNCTION("""COMPUTED_VALUE"""),3954678.0)</f>
        <v>3954678</v>
      </c>
      <c r="N59" s="217">
        <f>IFERROR(__xludf.DUMMYFUNCTION("""COMPUTED_VALUE"""),0.0)</f>
        <v>0</v>
      </c>
      <c r="O59" s="217">
        <f>IFERROR(__xludf.DUMMYFUNCTION("""COMPUTED_VALUE"""),2471698.0)</f>
        <v>2471698</v>
      </c>
      <c r="P59" s="218">
        <f>IFERROR(__xludf.DUMMYFUNCTION("""COMPUTED_VALUE"""),0.5272904)</f>
        <v>0.5272904</v>
      </c>
      <c r="Q59" s="218">
        <f>IFERROR(__xludf.DUMMYFUNCTION("""COMPUTED_VALUE"""),0.0)</f>
        <v>0</v>
      </c>
      <c r="R59" s="218">
        <f>IFERROR(__xludf.DUMMYFUNCTION("""COMPUTED_VALUE"""),0.3295597333333333)</f>
        <v>0.3295597333</v>
      </c>
      <c r="S59" s="187">
        <f>IFERROR(__xludf.DUMMYFUNCTION("""COMPUTED_VALUE"""),53.0)</f>
        <v>53</v>
      </c>
      <c r="T59" s="187">
        <f>IFERROR(__xludf.DUMMYFUNCTION("""COMPUTED_VALUE"""),51.0)</f>
        <v>51</v>
      </c>
      <c r="U59" s="187">
        <f>IFERROR(__xludf.DUMMYFUNCTION("""COMPUTED_VALUE"""),1.0)</f>
        <v>1</v>
      </c>
      <c r="V59" s="187">
        <f>IFERROR(__xludf.DUMMYFUNCTION("""COMPUTED_VALUE"""),1.0)</f>
        <v>1</v>
      </c>
      <c r="W59" s="187">
        <f>IFERROR(__xludf.DUMMYFUNCTION("""COMPUTED_VALUE"""),54.0)</f>
        <v>54</v>
      </c>
      <c r="X59" s="187">
        <f>IFERROR(__xludf.DUMMYFUNCTION("""COMPUTED_VALUE"""),3.0)</f>
        <v>3</v>
      </c>
      <c r="Y59" s="188">
        <f>IFERROR(__xludf.DUMMYFUNCTION("""COMPUTED_VALUE"""),3880900.76)</f>
        <v>3880900.76</v>
      </c>
      <c r="Z59" s="188">
        <f>IFERROR(__xludf.DUMMYFUNCTION("""COMPUTED_VALUE"""),73777.44)</f>
        <v>73777.44</v>
      </c>
      <c r="AA59" s="187">
        <f>IFERROR(__xludf.DUMMYFUNCTION("""COMPUTED_VALUE"""),42.0)</f>
        <v>42</v>
      </c>
      <c r="AB59" s="187">
        <f>IFERROR(__xludf.DUMMYFUNCTION("""COMPUTED_VALUE"""),1.0)</f>
        <v>1</v>
      </c>
      <c r="AC59" s="187">
        <f>IFERROR(__xludf.DUMMYFUNCTION("""COMPUTED_VALUE"""),43.0)</f>
        <v>43</v>
      </c>
      <c r="AD59" s="187">
        <f>IFERROR(__xludf.DUMMYFUNCTION("""COMPUTED_VALUE"""),0.0)</f>
        <v>0</v>
      </c>
      <c r="AE59" s="187">
        <f>IFERROR(__xludf.DUMMYFUNCTION("""COMPUTED_VALUE"""),0.0)</f>
        <v>0</v>
      </c>
      <c r="AF59" s="187">
        <f>IFERROR(__xludf.DUMMYFUNCTION("""COMPUTED_VALUE"""),0.0)</f>
        <v>0</v>
      </c>
      <c r="AG59" s="187">
        <f>IFERROR(__xludf.DUMMYFUNCTION("""COMPUTED_VALUE"""),1.0)</f>
        <v>1</v>
      </c>
      <c r="AH59" s="187">
        <f>IFERROR(__xludf.DUMMYFUNCTION("""COMPUTED_VALUE"""),3.0)</f>
        <v>3</v>
      </c>
      <c r="AI59" s="187">
        <f>IFERROR(__xludf.DUMMYFUNCTION("""COMPUTED_VALUE"""),64.0)</f>
        <v>64</v>
      </c>
      <c r="AJ59" s="187">
        <f>IFERROR(__xludf.DUMMYFUNCTION("""COMPUTED_VALUE"""),0.0)</f>
        <v>0</v>
      </c>
      <c r="AK59" s="187">
        <f>IFERROR(__xludf.DUMMYFUNCTION("""COMPUTED_VALUE"""),0.0)</f>
        <v>0</v>
      </c>
      <c r="AL59" s="187">
        <f>IFERROR(__xludf.DUMMYFUNCTION("""COMPUTED_VALUE"""),0.0)</f>
        <v>0</v>
      </c>
      <c r="AM59" s="187">
        <f>IFERROR(__xludf.DUMMYFUNCTION("""COMPUTED_VALUE"""),0.0)</f>
        <v>0</v>
      </c>
      <c r="AN59" s="187">
        <f>IFERROR(__xludf.DUMMYFUNCTION("""COMPUTED_VALUE"""),269.0)</f>
        <v>269</v>
      </c>
      <c r="AO59" s="187">
        <f>IFERROR(__xludf.DUMMYFUNCTION("""COMPUTED_VALUE"""),333.0)</f>
        <v>333</v>
      </c>
      <c r="AP59" s="187">
        <f>IFERROR(__xludf.DUMMYFUNCTION("""COMPUTED_VALUE"""),70.0)</f>
        <v>70</v>
      </c>
      <c r="AQ59" s="217">
        <f>IFERROR(__xludf.DUMMYFUNCTION("""COMPUTED_VALUE"""),56495.4)</f>
        <v>56495.4</v>
      </c>
      <c r="AR59" s="188">
        <f>IFERROR(__xludf.DUMMYFUNCTION("""COMPUTED_VALUE"""),4.757142857142857)</f>
        <v>4.757142857</v>
      </c>
      <c r="AS59" s="217">
        <f>IFERROR(__xludf.DUMMYFUNCTION("""COMPUTED_VALUE"""),78000.0)</f>
        <v>78000</v>
      </c>
      <c r="AT59" s="217"/>
      <c r="AU59" s="218">
        <f>IFERROR(__xludf.DUMMYFUNCTION("""COMPUTED_VALUE"""),0.019723476854499912)</f>
        <v>0.01972347685</v>
      </c>
      <c r="AV59" s="217">
        <f>IFERROR(__xludf.DUMMYFUNCTION("""COMPUTED_VALUE"""),91969.25581395348)</f>
        <v>91969.25581</v>
      </c>
      <c r="AW59" s="219">
        <f>IFERROR(__xludf.DUMMYFUNCTION("""COMPUTED_VALUE"""),71.0)</f>
        <v>71</v>
      </c>
      <c r="AX59" s="219">
        <f>IFERROR(__xludf.DUMMYFUNCTION("""COMPUTED_VALUE"""),611.0)</f>
        <v>611</v>
      </c>
      <c r="AY59" s="220">
        <f>IFERROR(__xludf.DUMMYFUNCTION("""COMPUTED_VALUE"""),18151.67)</f>
        <v>18151.67</v>
      </c>
      <c r="AZ59" s="219">
        <f>IFERROR(__xludf.DUMMYFUNCTION("""COMPUTED_VALUE"""),356.0)</f>
        <v>356</v>
      </c>
      <c r="BA59" s="219">
        <f>IFERROR(__xludf.DUMMYFUNCTION("""COMPUTED_VALUE"""),43.0)</f>
        <v>43</v>
      </c>
      <c r="BB59" s="219">
        <f>IFERROR(__xludf.DUMMYFUNCTION("""COMPUTED_VALUE"""),10.0)</f>
        <v>10</v>
      </c>
      <c r="BC59" s="219">
        <f>IFERROR(__xludf.DUMMYFUNCTION("""COMPUTED_VALUE"""),1.0)</f>
        <v>1</v>
      </c>
      <c r="BD59" s="221"/>
      <c r="BE59" s="98"/>
      <c r="BF59" s="255" t="e">
        <v>#REF!</v>
      </c>
      <c r="BG59" s="256">
        <f t="shared" si="4"/>
        <v>3954678</v>
      </c>
      <c r="BH59" s="257" t="str">
        <f t="shared" si="5"/>
        <v>#REF!</v>
      </c>
      <c r="BI59" s="98"/>
      <c r="BJ59" s="98"/>
      <c r="BK59" s="98"/>
      <c r="BL59" s="98"/>
      <c r="BM59" s="98"/>
      <c r="BN59" s="98"/>
      <c r="BO59" s="98"/>
      <c r="BP59" s="98"/>
      <c r="BQ59" s="98"/>
      <c r="BR59" s="98"/>
    </row>
    <row r="60">
      <c r="A60" s="6" t="str">
        <f>IFERROR(__xludf.DUMMYFUNCTION("""COMPUTED_VALUE"""),"Sandeep Dadheech")</f>
        <v>Sandeep Dadheech</v>
      </c>
      <c r="B60" s="98" t="str">
        <f>IFERROR(__xludf.DUMMYFUNCTION("""COMPUTED_VALUE"""),"West Bengal")</f>
        <v>West Bengal</v>
      </c>
      <c r="C60" s="212" t="str">
        <f>IFERROR(__xludf.DUMMYFUNCTION("""COMPUTED_VALUE"""),"Rajesh Chakraborty")</f>
        <v>Rajesh Chakraborty</v>
      </c>
      <c r="D60" s="98" t="str">
        <f>IFERROR(__xludf.DUMMYFUNCTION("""COMPUTED_VALUE"""),"Burdwan")</f>
        <v>Burdwan</v>
      </c>
      <c r="E60" s="213">
        <f>IFERROR(__xludf.DUMMYFUNCTION("""COMPUTED_VALUE"""),45056.0)</f>
        <v>45056</v>
      </c>
      <c r="F60" s="222" t="str">
        <f>IFERROR(__xludf.DUMMYFUNCTION("""COMPUTED_VALUE"""),"WEST BENGAL")</f>
        <v>WEST BENGAL</v>
      </c>
      <c r="G60" s="215">
        <f>IFERROR(__xludf.DUMMYFUNCTION("""COMPUTED_VALUE"""),1.7661120849999998E7)</f>
        <v>17661120.85</v>
      </c>
      <c r="H60" s="215">
        <f>IFERROR(__xludf.DUMMYFUNCTION("""COMPUTED_VALUE"""),1.5607744E7)</f>
        <v>15607744</v>
      </c>
      <c r="I60" s="216">
        <f>IFERROR(__xludf.DUMMYFUNCTION("""COMPUTED_VALUE"""),24850.0)</f>
        <v>24850</v>
      </c>
      <c r="J60" s="216">
        <f>IFERROR(__xludf.DUMMYFUNCTION("""COMPUTED_VALUE"""),2500000.0)</f>
        <v>2500000</v>
      </c>
      <c r="K60" s="217">
        <f>IFERROR(__xludf.DUMMYFUNCTION("""COMPUTED_VALUE"""),0.0)</f>
        <v>0</v>
      </c>
      <c r="L60" s="217">
        <f>IFERROR(__xludf.DUMMYFUNCTION("""COMPUTED_VALUE"""),7500000.0)</f>
        <v>7500000</v>
      </c>
      <c r="M60" s="217">
        <f>IFERROR(__xludf.DUMMYFUNCTION("""COMPUTED_VALUE"""),6443252.0)</f>
        <v>6443252</v>
      </c>
      <c r="N60" s="217">
        <f>IFERROR(__xludf.DUMMYFUNCTION("""COMPUTED_VALUE"""),0.0)</f>
        <v>0</v>
      </c>
      <c r="O60" s="217">
        <f>IFERROR(__xludf.DUMMYFUNCTION("""COMPUTED_VALUE"""),3383183.0)</f>
        <v>3383183</v>
      </c>
      <c r="P60" s="218">
        <f>IFERROR(__xludf.DUMMYFUNCTION("""COMPUTED_VALUE"""),0.8591002666666666)</f>
        <v>0.8591002667</v>
      </c>
      <c r="Q60" s="218">
        <f>IFERROR(__xludf.DUMMYFUNCTION("""COMPUTED_VALUE"""),0.0)</f>
        <v>0</v>
      </c>
      <c r="R60" s="218">
        <f>IFERROR(__xludf.DUMMYFUNCTION("""COMPUTED_VALUE"""),0.45109106666666665)</f>
        <v>0.4510910667</v>
      </c>
      <c r="S60" s="187">
        <f>IFERROR(__xludf.DUMMYFUNCTION("""COMPUTED_VALUE"""),54.0)</f>
        <v>54</v>
      </c>
      <c r="T60" s="187">
        <f>IFERROR(__xludf.DUMMYFUNCTION("""COMPUTED_VALUE"""),45.0)</f>
        <v>45</v>
      </c>
      <c r="U60" s="187">
        <f>IFERROR(__xludf.DUMMYFUNCTION("""COMPUTED_VALUE"""),2.0)</f>
        <v>2</v>
      </c>
      <c r="V60" s="187">
        <f>IFERROR(__xludf.DUMMYFUNCTION("""COMPUTED_VALUE"""),2.0)</f>
        <v>2</v>
      </c>
      <c r="W60" s="187">
        <f>IFERROR(__xludf.DUMMYFUNCTION("""COMPUTED_VALUE"""),56.0)</f>
        <v>56</v>
      </c>
      <c r="X60" s="187">
        <f>IFERROR(__xludf.DUMMYFUNCTION("""COMPUTED_VALUE"""),11.0)</f>
        <v>11</v>
      </c>
      <c r="Y60" s="188">
        <f>IFERROR(__xludf.DUMMYFUNCTION("""COMPUTED_VALUE"""),6116503.53)</f>
        <v>6116503.53</v>
      </c>
      <c r="Z60" s="188">
        <f>IFERROR(__xludf.DUMMYFUNCTION("""COMPUTED_VALUE"""),326748.43)</f>
        <v>326748.43</v>
      </c>
      <c r="AA60" s="187">
        <f>IFERROR(__xludf.DUMMYFUNCTION("""COMPUTED_VALUE"""),14.0)</f>
        <v>14</v>
      </c>
      <c r="AB60" s="187">
        <f>IFERROR(__xludf.DUMMYFUNCTION("""COMPUTED_VALUE"""),2.0)</f>
        <v>2</v>
      </c>
      <c r="AC60" s="187">
        <f>IFERROR(__xludf.DUMMYFUNCTION("""COMPUTED_VALUE"""),16.0)</f>
        <v>16</v>
      </c>
      <c r="AD60" s="187">
        <f>IFERROR(__xludf.DUMMYFUNCTION("""COMPUTED_VALUE"""),0.0)</f>
        <v>0</v>
      </c>
      <c r="AE60" s="187">
        <f>IFERROR(__xludf.DUMMYFUNCTION("""COMPUTED_VALUE"""),74.0)</f>
        <v>74</v>
      </c>
      <c r="AF60" s="187">
        <f>IFERROR(__xludf.DUMMYFUNCTION("""COMPUTED_VALUE"""),126.0)</f>
        <v>126</v>
      </c>
      <c r="AG60" s="187">
        <f>IFERROR(__xludf.DUMMYFUNCTION("""COMPUTED_VALUE"""),242.0)</f>
        <v>242</v>
      </c>
      <c r="AH60" s="187">
        <f>IFERROR(__xludf.DUMMYFUNCTION("""COMPUTED_VALUE"""),1.0)</f>
        <v>1</v>
      </c>
      <c r="AI60" s="187">
        <f>IFERROR(__xludf.DUMMYFUNCTION("""COMPUTED_VALUE"""),2.0)</f>
        <v>2</v>
      </c>
      <c r="AJ60" s="187">
        <f>IFERROR(__xludf.DUMMYFUNCTION("""COMPUTED_VALUE"""),0.0)</f>
        <v>0</v>
      </c>
      <c r="AK60" s="187">
        <f>IFERROR(__xludf.DUMMYFUNCTION("""COMPUTED_VALUE"""),0.0)</f>
        <v>0</v>
      </c>
      <c r="AL60" s="187">
        <f>IFERROR(__xludf.DUMMYFUNCTION("""COMPUTED_VALUE"""),0.0)</f>
        <v>0</v>
      </c>
      <c r="AM60" s="187">
        <f>IFERROR(__xludf.DUMMYFUNCTION("""COMPUTED_VALUE"""),0.0)</f>
        <v>0</v>
      </c>
      <c r="AN60" s="187">
        <f>IFERROR(__xludf.DUMMYFUNCTION("""COMPUTED_VALUE"""),306.0)</f>
        <v>306</v>
      </c>
      <c r="AO60" s="187">
        <f>IFERROR(__xludf.DUMMYFUNCTION("""COMPUTED_VALUE"""),434.0)</f>
        <v>434</v>
      </c>
      <c r="AP60" s="187">
        <f>IFERROR(__xludf.DUMMYFUNCTION("""COMPUTED_VALUE"""),75.0)</f>
        <v>75</v>
      </c>
      <c r="AQ60" s="217">
        <f>IFERROR(__xludf.DUMMYFUNCTION("""COMPUTED_VALUE"""),85910.02666666667)</f>
        <v>85910.02667</v>
      </c>
      <c r="AR60" s="188">
        <f>IFERROR(__xludf.DUMMYFUNCTION("""COMPUTED_VALUE"""),5.786666666666667)</f>
        <v>5.786666667</v>
      </c>
      <c r="AS60" s="217">
        <f>IFERROR(__xludf.DUMMYFUNCTION("""COMPUTED_VALUE"""),74550.0)</f>
        <v>74550</v>
      </c>
      <c r="AT60" s="217"/>
      <c r="AU60" s="218">
        <f>IFERROR(__xludf.DUMMYFUNCTION("""COMPUTED_VALUE"""),0.011570244342453158)</f>
        <v>0.01157024434</v>
      </c>
      <c r="AV60" s="217">
        <f>IFERROR(__xludf.DUMMYFUNCTION("""COMPUTED_VALUE"""),402703.25)</f>
        <v>402703.25</v>
      </c>
      <c r="AW60" s="219">
        <f>IFERROR(__xludf.DUMMYFUNCTION("""COMPUTED_VALUE"""),35.0)</f>
        <v>35</v>
      </c>
      <c r="AX60" s="219">
        <f>IFERROR(__xludf.DUMMYFUNCTION("""COMPUTED_VALUE"""),845.0)</f>
        <v>845</v>
      </c>
      <c r="AY60" s="220">
        <f>IFERROR(__xludf.DUMMYFUNCTION("""COMPUTED_VALUE"""),4878.64)</f>
        <v>4878.64</v>
      </c>
      <c r="AZ60" s="219">
        <f>IFERROR(__xludf.DUMMYFUNCTION("""COMPUTED_VALUE"""),108.0)</f>
        <v>108</v>
      </c>
      <c r="BA60" s="219">
        <f>IFERROR(__xludf.DUMMYFUNCTION("""COMPUTED_VALUE"""),16.0)</f>
        <v>16</v>
      </c>
      <c r="BB60" s="219">
        <f>IFERROR(__xludf.DUMMYFUNCTION("""COMPUTED_VALUE"""),29.0)</f>
        <v>29</v>
      </c>
      <c r="BC60" s="219">
        <f>IFERROR(__xludf.DUMMYFUNCTION("""COMPUTED_VALUE"""),11.0)</f>
        <v>11</v>
      </c>
      <c r="BD60" s="261"/>
      <c r="BE60" s="98"/>
      <c r="BF60" s="255" t="e">
        <v>#REF!</v>
      </c>
      <c r="BG60" s="256">
        <f t="shared" si="4"/>
        <v>6443252</v>
      </c>
      <c r="BH60" s="257" t="str">
        <f t="shared" si="5"/>
        <v>#REF!</v>
      </c>
      <c r="BI60" s="98"/>
      <c r="BJ60" s="98"/>
      <c r="BK60" s="98"/>
      <c r="BL60" s="98"/>
      <c r="BM60" s="98"/>
      <c r="BN60" s="98"/>
      <c r="BO60" s="98"/>
      <c r="BP60" s="98"/>
      <c r="BQ60" s="98"/>
      <c r="BR60" s="98"/>
    </row>
    <row r="61">
      <c r="A61" s="6" t="str">
        <f>IFERROR(__xludf.DUMMYFUNCTION("""COMPUTED_VALUE"""),"Pawan Sharma")</f>
        <v>Pawan Sharma</v>
      </c>
      <c r="B61" s="98" t="str">
        <f>IFERROR(__xludf.DUMMYFUNCTION("""COMPUTED_VALUE"""),"Haryana")</f>
        <v>Haryana</v>
      </c>
      <c r="C61" s="212" t="str">
        <f>IFERROR(__xludf.DUMMYFUNCTION("""COMPUTED_VALUE"""),"Gulab singh")</f>
        <v>Gulab singh</v>
      </c>
      <c r="D61" s="98" t="str">
        <f>IFERROR(__xludf.DUMMYFUNCTION("""COMPUTED_VALUE"""),"Karnal")</f>
        <v>Karnal</v>
      </c>
      <c r="E61" s="213">
        <f>IFERROR(__xludf.DUMMYFUNCTION("""COMPUTED_VALUE"""),45061.0)</f>
        <v>45061</v>
      </c>
      <c r="F61" s="222" t="str">
        <f>IFERROR(__xludf.DUMMYFUNCTION("""COMPUTED_VALUE"""),"HARYANA")</f>
        <v>HARYANA</v>
      </c>
      <c r="G61" s="215">
        <f>IFERROR(__xludf.DUMMYFUNCTION("""COMPUTED_VALUE"""),1.235476881E7)</f>
        <v>12354768.81</v>
      </c>
      <c r="H61" s="215">
        <f>IFERROR(__xludf.DUMMYFUNCTION("""COMPUTED_VALUE"""),1.3679177E7)</f>
        <v>13679177</v>
      </c>
      <c r="I61" s="216">
        <f>IFERROR(__xludf.DUMMYFUNCTION("""COMPUTED_VALUE"""),40590.0)</f>
        <v>40590</v>
      </c>
      <c r="J61" s="216">
        <f>IFERROR(__xludf.DUMMYFUNCTION("""COMPUTED_VALUE"""),1500000.0)</f>
        <v>1500000</v>
      </c>
      <c r="K61" s="217">
        <f>IFERROR(__xludf.DUMMYFUNCTION("""COMPUTED_VALUE"""),0.0)</f>
        <v>0</v>
      </c>
      <c r="L61" s="217">
        <f>IFERROR(__xludf.DUMMYFUNCTION("""COMPUTED_VALUE"""),4500000.0)</f>
        <v>4500000</v>
      </c>
      <c r="M61" s="217">
        <f>IFERROR(__xludf.DUMMYFUNCTION("""COMPUTED_VALUE"""),2959841.0)</f>
        <v>2959841</v>
      </c>
      <c r="N61" s="217">
        <f>IFERROR(__xludf.DUMMYFUNCTION("""COMPUTED_VALUE"""),0.0)</f>
        <v>0</v>
      </c>
      <c r="O61" s="217">
        <f>IFERROR(__xludf.DUMMYFUNCTION("""COMPUTED_VALUE"""),3136260.0)</f>
        <v>3136260</v>
      </c>
      <c r="P61" s="218">
        <f>IFERROR(__xludf.DUMMYFUNCTION("""COMPUTED_VALUE"""),0.6577424444444444)</f>
        <v>0.6577424444</v>
      </c>
      <c r="Q61" s="218">
        <f>IFERROR(__xludf.DUMMYFUNCTION("""COMPUTED_VALUE"""),0.0)</f>
        <v>0</v>
      </c>
      <c r="R61" s="218">
        <f>IFERROR(__xludf.DUMMYFUNCTION("""COMPUTED_VALUE"""),0.6969466666666667)</f>
        <v>0.6969466667</v>
      </c>
      <c r="S61" s="187">
        <f>IFERROR(__xludf.DUMMYFUNCTION("""COMPUTED_VALUE"""),90.0)</f>
        <v>90</v>
      </c>
      <c r="T61" s="187">
        <f>IFERROR(__xludf.DUMMYFUNCTION("""COMPUTED_VALUE"""),77.0)</f>
        <v>77</v>
      </c>
      <c r="U61" s="187">
        <f>IFERROR(__xludf.DUMMYFUNCTION("""COMPUTED_VALUE"""),0.0)</f>
        <v>0</v>
      </c>
      <c r="V61" s="187">
        <f>IFERROR(__xludf.DUMMYFUNCTION("""COMPUTED_VALUE"""),0.0)</f>
        <v>0</v>
      </c>
      <c r="W61" s="187">
        <f>IFERROR(__xludf.DUMMYFUNCTION("""COMPUTED_VALUE"""),90.0)</f>
        <v>90</v>
      </c>
      <c r="X61" s="187">
        <f>IFERROR(__xludf.DUMMYFUNCTION("""COMPUTED_VALUE"""),13.0)</f>
        <v>13</v>
      </c>
      <c r="Y61" s="188">
        <f>IFERROR(__xludf.DUMMYFUNCTION("""COMPUTED_VALUE"""),2959841.19)</f>
        <v>2959841.19</v>
      </c>
      <c r="Z61" s="188">
        <f>IFERROR(__xludf.DUMMYFUNCTION("""COMPUTED_VALUE"""),0.0)</f>
        <v>0</v>
      </c>
      <c r="AA61" s="187">
        <f>IFERROR(__xludf.DUMMYFUNCTION("""COMPUTED_VALUE"""),33.0)</f>
        <v>33</v>
      </c>
      <c r="AB61" s="187">
        <f>IFERROR(__xludf.DUMMYFUNCTION("""COMPUTED_VALUE"""),0.0)</f>
        <v>0</v>
      </c>
      <c r="AC61" s="187">
        <f>IFERROR(__xludf.DUMMYFUNCTION("""COMPUTED_VALUE"""),33.0)</f>
        <v>33</v>
      </c>
      <c r="AD61" s="187">
        <f>IFERROR(__xludf.DUMMYFUNCTION("""COMPUTED_VALUE"""),0.0)</f>
        <v>0</v>
      </c>
      <c r="AE61" s="187">
        <f>IFERROR(__xludf.DUMMYFUNCTION("""COMPUTED_VALUE"""),29.0)</f>
        <v>29</v>
      </c>
      <c r="AF61" s="187">
        <f>IFERROR(__xludf.DUMMYFUNCTION("""COMPUTED_VALUE"""),36.0)</f>
        <v>36</v>
      </c>
      <c r="AG61" s="187">
        <f>IFERROR(__xludf.DUMMYFUNCTION("""COMPUTED_VALUE"""),481.0)</f>
        <v>481</v>
      </c>
      <c r="AH61" s="187">
        <f>IFERROR(__xludf.DUMMYFUNCTION("""COMPUTED_VALUE"""),3.0)</f>
        <v>3</v>
      </c>
      <c r="AI61" s="187">
        <f>IFERROR(__xludf.DUMMYFUNCTION("""COMPUTED_VALUE"""),21.0)</f>
        <v>21</v>
      </c>
      <c r="AJ61" s="187">
        <f>IFERROR(__xludf.DUMMYFUNCTION("""COMPUTED_VALUE"""),0.0)</f>
        <v>0</v>
      </c>
      <c r="AK61" s="187">
        <f>IFERROR(__xludf.DUMMYFUNCTION("""COMPUTED_VALUE"""),0.0)</f>
        <v>0</v>
      </c>
      <c r="AL61" s="187">
        <f>IFERROR(__xludf.DUMMYFUNCTION("""COMPUTED_VALUE"""),2.0)</f>
        <v>2</v>
      </c>
      <c r="AM61" s="187">
        <f>IFERROR(__xludf.DUMMYFUNCTION("""COMPUTED_VALUE"""),3.0)</f>
        <v>3</v>
      </c>
      <c r="AN61" s="187">
        <f>IFERROR(__xludf.DUMMYFUNCTION("""COMPUTED_VALUE"""),302.0)</f>
        <v>302</v>
      </c>
      <c r="AO61" s="187">
        <f>IFERROR(__xludf.DUMMYFUNCTION("""COMPUTED_VALUE"""),362.0)</f>
        <v>362</v>
      </c>
      <c r="AP61" s="187">
        <f>IFERROR(__xludf.DUMMYFUNCTION("""COMPUTED_VALUE"""),70.0)</f>
        <v>70</v>
      </c>
      <c r="AQ61" s="217">
        <f>IFERROR(__xludf.DUMMYFUNCTION("""COMPUTED_VALUE"""),42283.44285714286)</f>
        <v>42283.44286</v>
      </c>
      <c r="AR61" s="188">
        <f>IFERROR(__xludf.DUMMYFUNCTION("""COMPUTED_VALUE"""),5.171428571428572)</f>
        <v>5.171428571</v>
      </c>
      <c r="AS61" s="217">
        <f>IFERROR(__xludf.DUMMYFUNCTION("""COMPUTED_VALUE"""),121770.0)</f>
        <v>121770</v>
      </c>
      <c r="AT61" s="217"/>
      <c r="AU61" s="218">
        <f>IFERROR(__xludf.DUMMYFUNCTION("""COMPUTED_VALUE"""),0.04114072343750898)</f>
        <v>0.04114072344</v>
      </c>
      <c r="AV61" s="217">
        <f>IFERROR(__xludf.DUMMYFUNCTION("""COMPUTED_VALUE"""),89692.15151515152)</f>
        <v>89692.15152</v>
      </c>
      <c r="AW61" s="219">
        <f>IFERROR(__xludf.DUMMYFUNCTION("""COMPUTED_VALUE"""),54.0)</f>
        <v>54</v>
      </c>
      <c r="AX61" s="219">
        <f>IFERROR(__xludf.DUMMYFUNCTION("""COMPUTED_VALUE"""),730.0)</f>
        <v>730</v>
      </c>
      <c r="AY61" s="220">
        <f>IFERROR(__xludf.DUMMYFUNCTION("""COMPUTED_VALUE"""),7626.95)</f>
        <v>7626.95</v>
      </c>
      <c r="AZ61" s="219">
        <f>IFERROR(__xludf.DUMMYFUNCTION("""COMPUTED_VALUE"""),99.0)</f>
        <v>99</v>
      </c>
      <c r="BA61" s="219">
        <f>IFERROR(__xludf.DUMMYFUNCTION("""COMPUTED_VALUE"""),33.0)</f>
        <v>33</v>
      </c>
      <c r="BB61" s="219">
        <f>IFERROR(__xludf.DUMMYFUNCTION("""COMPUTED_VALUE"""),44.0)</f>
        <v>44</v>
      </c>
      <c r="BC61" s="219">
        <f>IFERROR(__xludf.DUMMYFUNCTION("""COMPUTED_VALUE"""),13.0)</f>
        <v>13</v>
      </c>
      <c r="BD61" s="221"/>
      <c r="BE61" s="98"/>
      <c r="BF61" s="255" t="e">
        <v>#REF!</v>
      </c>
      <c r="BG61" s="256">
        <f t="shared" si="4"/>
        <v>2959841</v>
      </c>
      <c r="BH61" s="257" t="str">
        <f t="shared" si="5"/>
        <v>#REF!</v>
      </c>
      <c r="BI61" s="98"/>
      <c r="BJ61" s="98"/>
      <c r="BK61" s="98"/>
      <c r="BL61" s="98"/>
      <c r="BM61" s="98"/>
      <c r="BN61" s="98"/>
      <c r="BO61" s="98"/>
      <c r="BP61" s="98"/>
      <c r="BQ61" s="98"/>
      <c r="BR61" s="98"/>
    </row>
    <row r="62">
      <c r="A62" s="6" t="str">
        <f>IFERROR(__xludf.DUMMYFUNCTION("""COMPUTED_VALUE"""),"Nasir Hussain Khan")</f>
        <v>Nasir Hussain Khan</v>
      </c>
      <c r="B62" s="98" t="str">
        <f>IFERROR(__xludf.DUMMYFUNCTION("""COMPUTED_VALUE"""),"JAMMU AND KASHMIR")</f>
        <v>JAMMU AND KASHMIR</v>
      </c>
      <c r="C62" s="212" t="str">
        <f>IFERROR(__xludf.DUMMYFUNCTION("""COMPUTED_VALUE"""),"Tafazul Nazir")</f>
        <v>Tafazul Nazir</v>
      </c>
      <c r="D62" s="98" t="str">
        <f>IFERROR(__xludf.DUMMYFUNCTION("""COMPUTED_VALUE"""),"Srinagar")</f>
        <v>Srinagar</v>
      </c>
      <c r="E62" s="213">
        <f>IFERROR(__xludf.DUMMYFUNCTION("""COMPUTED_VALUE"""),45068.0)</f>
        <v>45068</v>
      </c>
      <c r="F62" s="222" t="str">
        <f>IFERROR(__xludf.DUMMYFUNCTION("""COMPUTED_VALUE"""),"JAMMU AND KASHMIR")</f>
        <v>JAMMU AND KASHMIR</v>
      </c>
      <c r="G62" s="215">
        <f>IFERROR(__xludf.DUMMYFUNCTION("""COMPUTED_VALUE"""),1.1134309132343745E7)</f>
        <v>11134309.13</v>
      </c>
      <c r="H62" s="215">
        <f>IFERROR(__xludf.DUMMYFUNCTION("""COMPUTED_VALUE"""),1.0777559E7)</f>
        <v>10777559</v>
      </c>
      <c r="I62" s="216">
        <f>IFERROR(__xludf.DUMMYFUNCTION("""COMPUTED_VALUE"""),31660.0)</f>
        <v>31660</v>
      </c>
      <c r="J62" s="216">
        <f>IFERROR(__xludf.DUMMYFUNCTION("""COMPUTED_VALUE"""),1500000.0)</f>
        <v>1500000</v>
      </c>
      <c r="K62" s="217">
        <f>IFERROR(__xludf.DUMMYFUNCTION("""COMPUTED_VALUE"""),3500001.0)</f>
        <v>3500001</v>
      </c>
      <c r="L62" s="217">
        <f>IFERROR(__xludf.DUMMYFUNCTION("""COMPUTED_VALUE"""),999999.0)</f>
        <v>999999</v>
      </c>
      <c r="M62" s="217">
        <f>IFERROR(__xludf.DUMMYFUNCTION("""COMPUTED_VALUE"""),423012.0)</f>
        <v>423012</v>
      </c>
      <c r="N62" s="217">
        <f>IFERROR(__xludf.DUMMYFUNCTION("""COMPUTED_VALUE"""),3517578.23)</f>
        <v>3517578.23</v>
      </c>
      <c r="O62" s="217">
        <f>IFERROR(__xludf.DUMMYFUNCTION("""COMPUTED_VALUE"""),3911880.0)</f>
        <v>3911880</v>
      </c>
      <c r="P62" s="218">
        <f>IFERROR(__xludf.DUMMYFUNCTION("""COMPUTED_VALUE"""),0.8756867177777777)</f>
        <v>0.8756867178</v>
      </c>
      <c r="Q62" s="218">
        <f>IFERROR(__xludf.DUMMYFUNCTION("""COMPUTED_VALUE"""),1.0)</f>
        <v>1</v>
      </c>
      <c r="R62" s="218">
        <f>IFERROR(__xludf.DUMMYFUNCTION("""COMPUTED_VALUE"""),0.8693066666666667)</f>
        <v>0.8693066667</v>
      </c>
      <c r="S62" s="187">
        <f>IFERROR(__xludf.DUMMYFUNCTION("""COMPUTED_VALUE"""),26.0)</f>
        <v>26</v>
      </c>
      <c r="T62" s="187">
        <f>IFERROR(__xludf.DUMMYFUNCTION("""COMPUTED_VALUE"""),14.0)</f>
        <v>14</v>
      </c>
      <c r="U62" s="187">
        <f>IFERROR(__xludf.DUMMYFUNCTION("""COMPUTED_VALUE"""),0.0)</f>
        <v>0</v>
      </c>
      <c r="V62" s="187">
        <f>IFERROR(__xludf.DUMMYFUNCTION("""COMPUTED_VALUE"""),0.0)</f>
        <v>0</v>
      </c>
      <c r="W62" s="187">
        <f>IFERROR(__xludf.DUMMYFUNCTION("""COMPUTED_VALUE"""),26.0)</f>
        <v>26</v>
      </c>
      <c r="X62" s="187">
        <f>IFERROR(__xludf.DUMMYFUNCTION("""COMPUTED_VALUE"""),12.0)</f>
        <v>12</v>
      </c>
      <c r="Y62" s="188">
        <f>IFERROR(__xludf.DUMMYFUNCTION("""COMPUTED_VALUE"""),423011.6)</f>
        <v>423011.6</v>
      </c>
      <c r="Z62" s="188">
        <f>IFERROR(__xludf.DUMMYFUNCTION("""COMPUTED_VALUE"""),0.0)</f>
        <v>0</v>
      </c>
      <c r="AA62" s="187">
        <f>IFERROR(__xludf.DUMMYFUNCTION("""COMPUTED_VALUE"""),6.0)</f>
        <v>6</v>
      </c>
      <c r="AB62" s="187">
        <f>IFERROR(__xludf.DUMMYFUNCTION("""COMPUTED_VALUE"""),0.0)</f>
        <v>0</v>
      </c>
      <c r="AC62" s="187">
        <f>IFERROR(__xludf.DUMMYFUNCTION("""COMPUTED_VALUE"""),6.0)</f>
        <v>6</v>
      </c>
      <c r="AD62" s="187">
        <f>IFERROR(__xludf.DUMMYFUNCTION("""COMPUTED_VALUE"""),7.0)</f>
        <v>7</v>
      </c>
      <c r="AE62" s="187">
        <f>IFERROR(__xludf.DUMMYFUNCTION("""COMPUTED_VALUE"""),0.0)</f>
        <v>0</v>
      </c>
      <c r="AF62" s="187">
        <f>IFERROR(__xludf.DUMMYFUNCTION("""COMPUTED_VALUE"""),0.0)</f>
        <v>0</v>
      </c>
      <c r="AG62" s="187">
        <f>IFERROR(__xludf.DUMMYFUNCTION("""COMPUTED_VALUE"""),155.0)</f>
        <v>155</v>
      </c>
      <c r="AH62" s="187">
        <f>IFERROR(__xludf.DUMMYFUNCTION("""COMPUTED_VALUE"""),7.0)</f>
        <v>7</v>
      </c>
      <c r="AI62" s="187">
        <f>IFERROR(__xludf.DUMMYFUNCTION("""COMPUTED_VALUE"""),24.0)</f>
        <v>24</v>
      </c>
      <c r="AJ62" s="187">
        <f>IFERROR(__xludf.DUMMYFUNCTION("""COMPUTED_VALUE"""),12.0)</f>
        <v>12</v>
      </c>
      <c r="AK62" s="187">
        <f>IFERROR(__xludf.DUMMYFUNCTION("""COMPUTED_VALUE"""),131.0)</f>
        <v>131</v>
      </c>
      <c r="AL62" s="187">
        <f>IFERROR(__xludf.DUMMYFUNCTION("""COMPUTED_VALUE"""),4.0)</f>
        <v>4</v>
      </c>
      <c r="AM62" s="187">
        <f>IFERROR(__xludf.DUMMYFUNCTION("""COMPUTED_VALUE"""),14.0)</f>
        <v>14</v>
      </c>
      <c r="AN62" s="187">
        <f>IFERROR(__xludf.DUMMYFUNCTION("""COMPUTED_VALUE"""),42.0)</f>
        <v>42</v>
      </c>
      <c r="AO62" s="187">
        <f>IFERROR(__xludf.DUMMYFUNCTION("""COMPUTED_VALUE"""),211.0)</f>
        <v>211</v>
      </c>
      <c r="AP62" s="187">
        <f>IFERROR(__xludf.DUMMYFUNCTION("""COMPUTED_VALUE"""),76.0)</f>
        <v>76</v>
      </c>
      <c r="AQ62" s="217">
        <f>IFERROR(__xludf.DUMMYFUNCTION("""COMPUTED_VALUE"""),51849.87144736842)</f>
        <v>51849.87145</v>
      </c>
      <c r="AR62" s="188">
        <f>IFERROR(__xludf.DUMMYFUNCTION("""COMPUTED_VALUE"""),2.776315789473684)</f>
        <v>2.776315789</v>
      </c>
      <c r="AS62" s="217">
        <f>IFERROR(__xludf.DUMMYFUNCTION("""COMPUTED_VALUE"""),94980.0)</f>
        <v>94980</v>
      </c>
      <c r="AT62" s="217"/>
      <c r="AU62" s="218">
        <f>IFERROR(__xludf.DUMMYFUNCTION("""COMPUTED_VALUE"""),0.024102988247016996)</f>
        <v>0.02410298825</v>
      </c>
      <c r="AV62" s="217">
        <f>IFERROR(__xludf.DUMMYFUNCTION("""COMPUTED_VALUE"""),70502.0)</f>
        <v>70502</v>
      </c>
      <c r="AW62" s="219">
        <f>IFERROR(__xludf.DUMMYFUNCTION("""COMPUTED_VALUE"""),10.0)</f>
        <v>10</v>
      </c>
      <c r="AX62" s="219">
        <f>IFERROR(__xludf.DUMMYFUNCTION("""COMPUTED_VALUE"""),627.0)</f>
        <v>627</v>
      </c>
      <c r="AY62" s="220">
        <f>IFERROR(__xludf.DUMMYFUNCTION("""COMPUTED_VALUE"""),2991.04)</f>
        <v>2991.04</v>
      </c>
      <c r="AZ62" s="219">
        <f>IFERROR(__xludf.DUMMYFUNCTION("""COMPUTED_VALUE"""),214.0)</f>
        <v>214</v>
      </c>
      <c r="BA62" s="219">
        <f>IFERROR(__xludf.DUMMYFUNCTION("""COMPUTED_VALUE"""),6.0)</f>
        <v>6</v>
      </c>
      <c r="BB62" s="219">
        <f>IFERROR(__xludf.DUMMYFUNCTION("""COMPUTED_VALUE"""),9.0)</f>
        <v>9</v>
      </c>
      <c r="BC62" s="219">
        <f>IFERROR(__xludf.DUMMYFUNCTION("""COMPUTED_VALUE"""),11.0)</f>
        <v>11</v>
      </c>
      <c r="BD62" s="221"/>
      <c r="BE62" s="98"/>
      <c r="BF62" s="255" t="e">
        <v>#REF!</v>
      </c>
      <c r="BG62" s="256">
        <f t="shared" si="4"/>
        <v>3940590.23</v>
      </c>
      <c r="BH62" s="257" t="str">
        <f t="shared" si="5"/>
        <v>#REF!</v>
      </c>
      <c r="BI62" s="98"/>
      <c r="BJ62" s="98"/>
      <c r="BK62" s="98"/>
      <c r="BL62" s="98"/>
      <c r="BM62" s="98"/>
      <c r="BN62" s="98"/>
      <c r="BO62" s="98"/>
      <c r="BP62" s="98"/>
      <c r="BQ62" s="98"/>
      <c r="BR62" s="98"/>
    </row>
    <row r="63">
      <c r="A63" s="6" t="str">
        <f>IFERROR(__xludf.DUMMYFUNCTION("""COMPUTED_VALUE"""),"Sandeep Dadheech")</f>
        <v>Sandeep Dadheech</v>
      </c>
      <c r="B63" s="98" t="str">
        <f>IFERROR(__xludf.DUMMYFUNCTION("""COMPUTED_VALUE"""),"West Bengal")</f>
        <v>West Bengal</v>
      </c>
      <c r="C63" s="98" t="str">
        <f>IFERROR(__xludf.DUMMYFUNCTION("""COMPUTED_VALUE"""),"ARUPANANDA MANDAL")</f>
        <v>ARUPANANDA MANDAL</v>
      </c>
      <c r="D63" s="98" t="str">
        <f>IFERROR(__xludf.DUMMYFUNCTION("""COMPUTED_VALUE"""),"Kolkata")</f>
        <v>Kolkata</v>
      </c>
      <c r="E63" s="213">
        <f>IFERROR(__xludf.DUMMYFUNCTION("""COMPUTED_VALUE"""),45069.0)</f>
        <v>45069</v>
      </c>
      <c r="F63" s="222" t="str">
        <f>IFERROR(__xludf.DUMMYFUNCTION("""COMPUTED_VALUE"""),"WEST BENGAL")</f>
        <v>WEST BENGAL</v>
      </c>
      <c r="G63" s="215">
        <f>IFERROR(__xludf.DUMMYFUNCTION("""COMPUTED_VALUE"""),1.6285524720781248E7)</f>
        <v>16285524.72</v>
      </c>
      <c r="H63" s="215">
        <f>IFERROR(__xludf.DUMMYFUNCTION("""COMPUTED_VALUE"""),1.6341679E7)</f>
        <v>16341679</v>
      </c>
      <c r="I63" s="216">
        <f>IFERROR(__xludf.DUMMYFUNCTION("""COMPUTED_VALUE"""),25212.0)</f>
        <v>25212</v>
      </c>
      <c r="J63" s="216">
        <f>IFERROR(__xludf.DUMMYFUNCTION("""COMPUTED_VALUE"""),2500000.0)</f>
        <v>2500000</v>
      </c>
      <c r="K63" s="217">
        <f>IFERROR(__xludf.DUMMYFUNCTION("""COMPUTED_VALUE"""),0.0)</f>
        <v>0</v>
      </c>
      <c r="L63" s="217">
        <f>IFERROR(__xludf.DUMMYFUNCTION("""COMPUTED_VALUE"""),7500000.0)</f>
        <v>7500000</v>
      </c>
      <c r="M63" s="217">
        <f>IFERROR(__xludf.DUMMYFUNCTION("""COMPUTED_VALUE"""),4917470.0)</f>
        <v>4917470</v>
      </c>
      <c r="N63" s="217">
        <f>IFERROR(__xludf.DUMMYFUNCTION("""COMPUTED_VALUE"""),0.0)</f>
        <v>0</v>
      </c>
      <c r="O63" s="217">
        <f>IFERROR(__xludf.DUMMYFUNCTION("""COMPUTED_VALUE"""),3264579.0)</f>
        <v>3264579</v>
      </c>
      <c r="P63" s="218">
        <f>IFERROR(__xludf.DUMMYFUNCTION("""COMPUTED_VALUE"""),0.6556626666666666)</f>
        <v>0.6556626667</v>
      </c>
      <c r="Q63" s="218">
        <f>IFERROR(__xludf.DUMMYFUNCTION("""COMPUTED_VALUE"""),0.0)</f>
        <v>0</v>
      </c>
      <c r="R63" s="218">
        <f>IFERROR(__xludf.DUMMYFUNCTION("""COMPUTED_VALUE"""),0.4352772)</f>
        <v>0.4352772</v>
      </c>
      <c r="S63" s="187">
        <f>IFERROR(__xludf.DUMMYFUNCTION("""COMPUTED_VALUE"""),105.0)</f>
        <v>105</v>
      </c>
      <c r="T63" s="187">
        <f>IFERROR(__xludf.DUMMYFUNCTION("""COMPUTED_VALUE"""),93.0)</f>
        <v>93</v>
      </c>
      <c r="U63" s="187">
        <f>IFERROR(__xludf.DUMMYFUNCTION("""COMPUTED_VALUE"""),3.0)</f>
        <v>3</v>
      </c>
      <c r="V63" s="187">
        <f>IFERROR(__xludf.DUMMYFUNCTION("""COMPUTED_VALUE"""),2.0)</f>
        <v>2</v>
      </c>
      <c r="W63" s="187">
        <f>IFERROR(__xludf.DUMMYFUNCTION("""COMPUTED_VALUE"""),108.0)</f>
        <v>108</v>
      </c>
      <c r="X63" s="187">
        <f>IFERROR(__xludf.DUMMYFUNCTION("""COMPUTED_VALUE"""),15.0)</f>
        <v>15</v>
      </c>
      <c r="Y63" s="188">
        <f>IFERROR(__xludf.DUMMYFUNCTION("""COMPUTED_VALUE"""),4743498.1)</f>
        <v>4743498.1</v>
      </c>
      <c r="Z63" s="188">
        <f>IFERROR(__xludf.DUMMYFUNCTION("""COMPUTED_VALUE"""),173972.0)</f>
        <v>173972</v>
      </c>
      <c r="AA63" s="187">
        <f>IFERROR(__xludf.DUMMYFUNCTION("""COMPUTED_VALUE"""),78.0)</f>
        <v>78</v>
      </c>
      <c r="AB63" s="187">
        <f>IFERROR(__xludf.DUMMYFUNCTION("""COMPUTED_VALUE"""),2.0)</f>
        <v>2</v>
      </c>
      <c r="AC63" s="187">
        <f>IFERROR(__xludf.DUMMYFUNCTION("""COMPUTED_VALUE"""),80.0)</f>
        <v>80</v>
      </c>
      <c r="AD63" s="187">
        <f>IFERROR(__xludf.DUMMYFUNCTION("""COMPUTED_VALUE"""),0.0)</f>
        <v>0</v>
      </c>
      <c r="AE63" s="187">
        <f>IFERROR(__xludf.DUMMYFUNCTION("""COMPUTED_VALUE"""),0.0)</f>
        <v>0</v>
      </c>
      <c r="AF63" s="187">
        <f>IFERROR(__xludf.DUMMYFUNCTION("""COMPUTED_VALUE"""),0.0)</f>
        <v>0</v>
      </c>
      <c r="AG63" s="187">
        <f>IFERROR(__xludf.DUMMYFUNCTION("""COMPUTED_VALUE"""),72.0)</f>
        <v>72</v>
      </c>
      <c r="AH63" s="187">
        <f>IFERROR(__xludf.DUMMYFUNCTION("""COMPUTED_VALUE"""),2.0)</f>
        <v>2</v>
      </c>
      <c r="AI63" s="187">
        <f>IFERROR(__xludf.DUMMYFUNCTION("""COMPUTED_VALUE"""),16.0)</f>
        <v>16</v>
      </c>
      <c r="AJ63" s="187">
        <f>IFERROR(__xludf.DUMMYFUNCTION("""COMPUTED_VALUE"""),0.0)</f>
        <v>0</v>
      </c>
      <c r="AK63" s="187">
        <f>IFERROR(__xludf.DUMMYFUNCTION("""COMPUTED_VALUE"""),0.0)</f>
        <v>0</v>
      </c>
      <c r="AL63" s="187">
        <f>IFERROR(__xludf.DUMMYFUNCTION("""COMPUTED_VALUE"""),0.0)</f>
        <v>0</v>
      </c>
      <c r="AM63" s="187">
        <f>IFERROR(__xludf.DUMMYFUNCTION("""COMPUTED_VALUE"""),0.0)</f>
        <v>0</v>
      </c>
      <c r="AN63" s="187">
        <f>IFERROR(__xludf.DUMMYFUNCTION("""COMPUTED_VALUE"""),298.0)</f>
        <v>298</v>
      </c>
      <c r="AO63" s="187">
        <f>IFERROR(__xludf.DUMMYFUNCTION("""COMPUTED_VALUE"""),314.0)</f>
        <v>314</v>
      </c>
      <c r="AP63" s="187">
        <f>IFERROR(__xludf.DUMMYFUNCTION("""COMPUTED_VALUE"""),70.0)</f>
        <v>70</v>
      </c>
      <c r="AQ63" s="217">
        <f>IFERROR(__xludf.DUMMYFUNCTION("""COMPUTED_VALUE"""),70249.57142857143)</f>
        <v>70249.57143</v>
      </c>
      <c r="AR63" s="188">
        <f>IFERROR(__xludf.DUMMYFUNCTION("""COMPUTED_VALUE"""),4.485714285714286)</f>
        <v>4.485714286</v>
      </c>
      <c r="AS63" s="217">
        <f>IFERROR(__xludf.DUMMYFUNCTION("""COMPUTED_VALUE"""),75636.0)</f>
        <v>75636</v>
      </c>
      <c r="AT63" s="217"/>
      <c r="AU63" s="218">
        <f>IFERROR(__xludf.DUMMYFUNCTION("""COMPUTED_VALUE"""),0.015381080108267057)</f>
        <v>0.01538108011</v>
      </c>
      <c r="AV63" s="217">
        <f>IFERROR(__xludf.DUMMYFUNCTION("""COMPUTED_VALUE"""),61468.375)</f>
        <v>61468.375</v>
      </c>
      <c r="AW63" s="219">
        <f>IFERROR(__xludf.DUMMYFUNCTION("""COMPUTED_VALUE"""),155.0)</f>
        <v>155</v>
      </c>
      <c r="AX63" s="219">
        <f>IFERROR(__xludf.DUMMYFUNCTION("""COMPUTED_VALUE"""),754.0)</f>
        <v>754</v>
      </c>
      <c r="AY63" s="220">
        <f>IFERROR(__xludf.DUMMYFUNCTION("""COMPUTED_VALUE"""),5191.84)</f>
        <v>5191.84</v>
      </c>
      <c r="AZ63" s="219">
        <f>IFERROR(__xludf.DUMMYFUNCTION("""COMPUTED_VALUE"""),56.0)</f>
        <v>56</v>
      </c>
      <c r="BA63" s="219">
        <f>IFERROR(__xludf.DUMMYFUNCTION("""COMPUTED_VALUE"""),80.0)</f>
        <v>80</v>
      </c>
      <c r="BB63" s="219">
        <f>IFERROR(__xludf.DUMMYFUNCTION("""COMPUTED_VALUE"""),20.0)</f>
        <v>20</v>
      </c>
      <c r="BC63" s="219">
        <f>IFERROR(__xludf.DUMMYFUNCTION("""COMPUTED_VALUE"""),8.0)</f>
        <v>8</v>
      </c>
      <c r="BD63" s="221"/>
      <c r="BE63" s="98"/>
      <c r="BF63" s="255" t="e">
        <v>#REF!</v>
      </c>
      <c r="BG63" s="256">
        <f t="shared" si="4"/>
        <v>4917470</v>
      </c>
      <c r="BH63" s="257" t="str">
        <f t="shared" si="5"/>
        <v>#REF!</v>
      </c>
      <c r="BI63" s="98"/>
      <c r="BJ63" s="98"/>
      <c r="BK63" s="98"/>
      <c r="BL63" s="98"/>
      <c r="BM63" s="98"/>
      <c r="BN63" s="98"/>
      <c r="BO63" s="98"/>
      <c r="BP63" s="98"/>
      <c r="BQ63" s="98"/>
      <c r="BR63" s="98"/>
    </row>
    <row r="64">
      <c r="A64" s="6" t="str">
        <f>IFERROR(__xludf.DUMMYFUNCTION("""COMPUTED_VALUE"""),"Syed Aqil Rizvi")</f>
        <v>Syed Aqil Rizvi</v>
      </c>
      <c r="B64" s="98" t="str">
        <f>IFERROR(__xludf.DUMMYFUNCTION("""COMPUTED_VALUE"""),"East U.P")</f>
        <v>East U.P</v>
      </c>
      <c r="C64" s="212" t="str">
        <f>IFERROR(__xludf.DUMMYFUNCTION("""COMPUTED_VALUE"""),"Siddharth Srivastava")</f>
        <v>Siddharth Srivastava</v>
      </c>
      <c r="D64" s="98" t="str">
        <f>IFERROR(__xludf.DUMMYFUNCTION("""COMPUTED_VALUE"""),"Kanpur")</f>
        <v>Kanpur</v>
      </c>
      <c r="E64" s="213">
        <f>IFERROR(__xludf.DUMMYFUNCTION("""COMPUTED_VALUE"""),45080.0)</f>
        <v>45080</v>
      </c>
      <c r="F64" s="222" t="str">
        <f>IFERROR(__xludf.DUMMYFUNCTION("""COMPUTED_VALUE"""),"East U.P")</f>
        <v>East U.P</v>
      </c>
      <c r="G64" s="215">
        <f>IFERROR(__xludf.DUMMYFUNCTION("""COMPUTED_VALUE"""),2.238092371E7)</f>
        <v>22380923.71</v>
      </c>
      <c r="H64" s="215">
        <f>IFERROR(__xludf.DUMMYFUNCTION("""COMPUTED_VALUE"""),1.9739309E7)</f>
        <v>19739309</v>
      </c>
      <c r="I64" s="216">
        <f>IFERROR(__xludf.DUMMYFUNCTION("""COMPUTED_VALUE"""),57990.0)</f>
        <v>57990</v>
      </c>
      <c r="J64" s="216">
        <f>IFERROR(__xludf.DUMMYFUNCTION("""COMPUTED_VALUE"""),2950000.0)</f>
        <v>2950000</v>
      </c>
      <c r="K64" s="217">
        <f>IFERROR(__xludf.DUMMYFUNCTION("""COMPUTED_VALUE"""),1100001.0)</f>
        <v>1100001</v>
      </c>
      <c r="L64" s="217">
        <f>IFERROR(__xludf.DUMMYFUNCTION("""COMPUTED_VALUE"""),7749999.0)</f>
        <v>7749999</v>
      </c>
      <c r="M64" s="217">
        <f>IFERROR(__xludf.DUMMYFUNCTION("""COMPUTED_VALUE"""),4692048.0)</f>
        <v>4692048</v>
      </c>
      <c r="N64" s="217">
        <f>IFERROR(__xludf.DUMMYFUNCTION("""COMPUTED_VALUE"""),1204632.67)</f>
        <v>1204632.67</v>
      </c>
      <c r="O64" s="217">
        <f>IFERROR(__xludf.DUMMYFUNCTION("""COMPUTED_VALUE"""),4586817.0)</f>
        <v>4586817</v>
      </c>
      <c r="P64" s="218">
        <f>IFERROR(__xludf.DUMMYFUNCTION("""COMPUTED_VALUE"""),0.6662916011299435)</f>
        <v>0.6662916011</v>
      </c>
      <c r="Q64" s="218">
        <f>IFERROR(__xludf.DUMMYFUNCTION("""COMPUTED_VALUE"""),1.09)</f>
        <v>1.09</v>
      </c>
      <c r="R64" s="218">
        <f>IFERROR(__xludf.DUMMYFUNCTION("""COMPUTED_VALUE"""),0.518284406779661)</f>
        <v>0.5182844068</v>
      </c>
      <c r="S64" s="187">
        <f>IFERROR(__xludf.DUMMYFUNCTION("""COMPUTED_VALUE"""),109.0)</f>
        <v>109</v>
      </c>
      <c r="T64" s="187">
        <f>IFERROR(__xludf.DUMMYFUNCTION("""COMPUTED_VALUE"""),81.0)</f>
        <v>81</v>
      </c>
      <c r="U64" s="187">
        <f>IFERROR(__xludf.DUMMYFUNCTION("""COMPUTED_VALUE"""),0.0)</f>
        <v>0</v>
      </c>
      <c r="V64" s="187">
        <f>IFERROR(__xludf.DUMMYFUNCTION("""COMPUTED_VALUE"""),0.0)</f>
        <v>0</v>
      </c>
      <c r="W64" s="187">
        <f>IFERROR(__xludf.DUMMYFUNCTION("""COMPUTED_VALUE"""),109.0)</f>
        <v>109</v>
      </c>
      <c r="X64" s="187">
        <f>IFERROR(__xludf.DUMMYFUNCTION("""COMPUTED_VALUE"""),28.0)</f>
        <v>28</v>
      </c>
      <c r="Y64" s="188">
        <f>IFERROR(__xludf.DUMMYFUNCTION("""COMPUTED_VALUE"""),4692048.38)</f>
        <v>4692048.38</v>
      </c>
      <c r="Z64" s="188">
        <f>IFERROR(__xludf.DUMMYFUNCTION("""COMPUTED_VALUE"""),0.0)</f>
        <v>0</v>
      </c>
      <c r="AA64" s="187">
        <f>IFERROR(__xludf.DUMMYFUNCTION("""COMPUTED_VALUE"""),27.0)</f>
        <v>27</v>
      </c>
      <c r="AB64" s="187">
        <f>IFERROR(__xludf.DUMMYFUNCTION("""COMPUTED_VALUE"""),0.0)</f>
        <v>0</v>
      </c>
      <c r="AC64" s="187">
        <f>IFERROR(__xludf.DUMMYFUNCTION("""COMPUTED_VALUE"""),27.0)</f>
        <v>27</v>
      </c>
      <c r="AD64" s="187">
        <f>IFERROR(__xludf.DUMMYFUNCTION("""COMPUTED_VALUE"""),3.0)</f>
        <v>3</v>
      </c>
      <c r="AE64" s="187">
        <f>IFERROR(__xludf.DUMMYFUNCTION("""COMPUTED_VALUE"""),64.0)</f>
        <v>64</v>
      </c>
      <c r="AF64" s="187">
        <f>IFERROR(__xludf.DUMMYFUNCTION("""COMPUTED_VALUE"""),93.0)</f>
        <v>93</v>
      </c>
      <c r="AG64" s="187">
        <f>IFERROR(__xludf.DUMMYFUNCTION("""COMPUTED_VALUE"""),275.0)</f>
        <v>275</v>
      </c>
      <c r="AH64" s="187">
        <f>IFERROR(__xludf.DUMMYFUNCTION("""COMPUTED_VALUE"""),4.0)</f>
        <v>4</v>
      </c>
      <c r="AI64" s="187">
        <f>IFERROR(__xludf.DUMMYFUNCTION("""COMPUTED_VALUE"""),27.0)</f>
        <v>27</v>
      </c>
      <c r="AJ64" s="187">
        <f>IFERROR(__xludf.DUMMYFUNCTION("""COMPUTED_VALUE"""),5.0)</f>
        <v>5</v>
      </c>
      <c r="AK64" s="187">
        <f>IFERROR(__xludf.DUMMYFUNCTION("""COMPUTED_VALUE"""),17.0)</f>
        <v>17</v>
      </c>
      <c r="AL64" s="187">
        <f>IFERROR(__xludf.DUMMYFUNCTION("""COMPUTED_VALUE"""),0.0)</f>
        <v>0</v>
      </c>
      <c r="AM64" s="187">
        <f>IFERROR(__xludf.DUMMYFUNCTION("""COMPUTED_VALUE"""),0.0)</f>
        <v>0</v>
      </c>
      <c r="AN64" s="187">
        <f>IFERROR(__xludf.DUMMYFUNCTION("""COMPUTED_VALUE"""),384.0)</f>
        <v>384</v>
      </c>
      <c r="AO64" s="187">
        <f>IFERROR(__xludf.DUMMYFUNCTION("""COMPUTED_VALUE"""),521.0)</f>
        <v>521</v>
      </c>
      <c r="AP64" s="187">
        <f>IFERROR(__xludf.DUMMYFUNCTION("""COMPUTED_VALUE"""),76.0)</f>
        <v>76</v>
      </c>
      <c r="AQ64" s="217">
        <f>IFERROR(__xludf.DUMMYFUNCTION("""COMPUTED_VALUE"""),77587.90355263157)</f>
        <v>77587.90355</v>
      </c>
      <c r="AR64" s="188">
        <f>IFERROR(__xludf.DUMMYFUNCTION("""COMPUTED_VALUE"""),6.855263157894737)</f>
        <v>6.855263158</v>
      </c>
      <c r="AS64" s="217">
        <f>IFERROR(__xludf.DUMMYFUNCTION("""COMPUTED_VALUE"""),173970.0)</f>
        <v>173970</v>
      </c>
      <c r="AT64" s="217"/>
      <c r="AU64" s="218">
        <f>IFERROR(__xludf.DUMMYFUNCTION("""COMPUTED_VALUE"""),0.029503039037723576)</f>
        <v>0.02950303904</v>
      </c>
      <c r="AV64" s="217">
        <f>IFERROR(__xludf.DUMMYFUNCTION("""COMPUTED_VALUE"""),173779.55555555556)</f>
        <v>173779.5556</v>
      </c>
      <c r="AW64" s="219">
        <f>IFERROR(__xludf.DUMMYFUNCTION("""COMPUTED_VALUE"""),66.0)</f>
        <v>66</v>
      </c>
      <c r="AX64" s="219">
        <f>IFERROR(__xludf.DUMMYFUNCTION("""COMPUTED_VALUE"""),812.0)</f>
        <v>812</v>
      </c>
      <c r="AY64" s="220">
        <f>IFERROR(__xludf.DUMMYFUNCTION("""COMPUTED_VALUE"""),6857.54)</f>
        <v>6857.54</v>
      </c>
      <c r="AZ64" s="219">
        <f>IFERROR(__xludf.DUMMYFUNCTION("""COMPUTED_VALUE"""),85.0)</f>
        <v>85</v>
      </c>
      <c r="BA64" s="219">
        <f>IFERROR(__xludf.DUMMYFUNCTION("""COMPUTED_VALUE"""),27.0)</f>
        <v>27</v>
      </c>
      <c r="BB64" s="219">
        <f>IFERROR(__xludf.DUMMYFUNCTION("""COMPUTED_VALUE"""),56.0)</f>
        <v>56</v>
      </c>
      <c r="BC64" s="219">
        <f>IFERROR(__xludf.DUMMYFUNCTION("""COMPUTED_VALUE"""),26.0)</f>
        <v>26</v>
      </c>
      <c r="BD64" s="261"/>
      <c r="BE64" s="98"/>
      <c r="BF64" s="255" t="e">
        <v>#REF!</v>
      </c>
      <c r="BG64" s="256">
        <f t="shared" si="4"/>
        <v>5896680.67</v>
      </c>
      <c r="BH64" s="257" t="str">
        <f t="shared" si="5"/>
        <v>#REF!</v>
      </c>
      <c r="BI64" s="98"/>
      <c r="BJ64" s="98"/>
      <c r="BK64" s="98"/>
      <c r="BL64" s="98"/>
      <c r="BM64" s="98"/>
      <c r="BN64" s="98"/>
      <c r="BO64" s="98"/>
      <c r="BP64" s="98"/>
      <c r="BQ64" s="98"/>
      <c r="BR64" s="98"/>
    </row>
    <row r="65">
      <c r="A65" s="6" t="str">
        <f>IFERROR(__xludf.DUMMYFUNCTION("""COMPUTED_VALUE"""),"Sandeep Dadheech")</f>
        <v>Sandeep Dadheech</v>
      </c>
      <c r="B65" s="98" t="str">
        <f>IFERROR(__xludf.DUMMYFUNCTION("""COMPUTED_VALUE"""),"North East")</f>
        <v>North East</v>
      </c>
      <c r="C65" s="212" t="str">
        <f>IFERROR(__xludf.DUMMYFUNCTION("""COMPUTED_VALUE"""),"Dikart Kumar Borah")</f>
        <v>Dikart Kumar Borah</v>
      </c>
      <c r="D65" s="98" t="str">
        <f>IFERROR(__xludf.DUMMYFUNCTION("""COMPUTED_VALUE"""),"Nagaon")</f>
        <v>Nagaon</v>
      </c>
      <c r="E65" s="213">
        <f>IFERROR(__xludf.DUMMYFUNCTION("""COMPUTED_VALUE"""),45108.0)</f>
        <v>45108</v>
      </c>
      <c r="F65" s="222" t="str">
        <f>IFERROR(__xludf.DUMMYFUNCTION("""COMPUTED_VALUE"""),"ARUNACHAL PRADESH, ASSAM, MANIPUR, MEGHALAYA, MIZORAM, NAGALAND, SIKKIM")</f>
        <v>ARUNACHAL PRADESH, ASSAM, MANIPUR, MEGHALAYA, MIZORAM, NAGALAND, SIKKIM</v>
      </c>
      <c r="G65" s="215">
        <f>IFERROR(__xludf.DUMMYFUNCTION("""COMPUTED_VALUE"""),1.4860333520000001E7)</f>
        <v>14860333.52</v>
      </c>
      <c r="H65" s="215">
        <f>IFERROR(__xludf.DUMMYFUNCTION("""COMPUTED_VALUE"""),1.3663733E7)</f>
        <v>13663733</v>
      </c>
      <c r="I65" s="216">
        <f>IFERROR(__xludf.DUMMYFUNCTION("""COMPUTED_VALUE"""),27680.0)</f>
        <v>27680</v>
      </c>
      <c r="J65" s="216">
        <f>IFERROR(__xludf.DUMMYFUNCTION("""COMPUTED_VALUE"""),1666667.0)</f>
        <v>1666667</v>
      </c>
      <c r="K65" s="217">
        <f>IFERROR(__xludf.DUMMYFUNCTION("""COMPUTED_VALUE"""),0.0)</f>
        <v>0</v>
      </c>
      <c r="L65" s="217">
        <f>IFERROR(__xludf.DUMMYFUNCTION("""COMPUTED_VALUE"""),5000001.0)</f>
        <v>5000001</v>
      </c>
      <c r="M65" s="217">
        <f>IFERROR(__xludf.DUMMYFUNCTION("""COMPUTED_VALUE"""),2501514.0)</f>
        <v>2501514</v>
      </c>
      <c r="N65" s="217">
        <f>IFERROR(__xludf.DUMMYFUNCTION("""COMPUTED_VALUE"""),0.0)</f>
        <v>0</v>
      </c>
      <c r="O65" s="217">
        <f>IFERROR(__xludf.DUMMYFUNCTION("""COMPUTED_VALUE"""),1884786.0)</f>
        <v>1884786</v>
      </c>
      <c r="P65" s="218">
        <f>IFERROR(__xludf.DUMMYFUNCTION("""COMPUTED_VALUE"""),0.50030269993946)</f>
        <v>0.5003026999</v>
      </c>
      <c r="Q65" s="218">
        <f>IFERROR(__xludf.DUMMYFUNCTION("""COMPUTED_VALUE"""),0.0)</f>
        <v>0</v>
      </c>
      <c r="R65" s="218">
        <f>IFERROR(__xludf.DUMMYFUNCTION("""COMPUTED_VALUE"""),0.37695712460857506)</f>
        <v>0.3769571246</v>
      </c>
      <c r="S65" s="187">
        <f>IFERROR(__xludf.DUMMYFUNCTION("""COMPUTED_VALUE"""),77.0)</f>
        <v>77</v>
      </c>
      <c r="T65" s="187">
        <f>IFERROR(__xludf.DUMMYFUNCTION("""COMPUTED_VALUE"""),56.0)</f>
        <v>56</v>
      </c>
      <c r="U65" s="187">
        <f>IFERROR(__xludf.DUMMYFUNCTION("""COMPUTED_VALUE"""),1.0)</f>
        <v>1</v>
      </c>
      <c r="V65" s="187">
        <f>IFERROR(__xludf.DUMMYFUNCTION("""COMPUTED_VALUE"""),1.0)</f>
        <v>1</v>
      </c>
      <c r="W65" s="187">
        <f>IFERROR(__xludf.DUMMYFUNCTION("""COMPUTED_VALUE"""),78.0)</f>
        <v>78</v>
      </c>
      <c r="X65" s="187">
        <f>IFERROR(__xludf.DUMMYFUNCTION("""COMPUTED_VALUE"""),22.0)</f>
        <v>22</v>
      </c>
      <c r="Y65" s="188">
        <f>IFERROR(__xludf.DUMMYFUNCTION("""COMPUTED_VALUE"""),2268501.76)</f>
        <v>2268501.76</v>
      </c>
      <c r="Z65" s="188">
        <f>IFERROR(__xludf.DUMMYFUNCTION("""COMPUTED_VALUE"""),233012.0)</f>
        <v>233012</v>
      </c>
      <c r="AA65" s="187">
        <f>IFERROR(__xludf.DUMMYFUNCTION("""COMPUTED_VALUE"""),16.0)</f>
        <v>16</v>
      </c>
      <c r="AB65" s="187">
        <f>IFERROR(__xludf.DUMMYFUNCTION("""COMPUTED_VALUE"""),1.0)</f>
        <v>1</v>
      </c>
      <c r="AC65" s="187">
        <f>IFERROR(__xludf.DUMMYFUNCTION("""COMPUTED_VALUE"""),17.0)</f>
        <v>17</v>
      </c>
      <c r="AD65" s="187">
        <f>IFERROR(__xludf.DUMMYFUNCTION("""COMPUTED_VALUE"""),0.0)</f>
        <v>0</v>
      </c>
      <c r="AE65" s="187">
        <f>IFERROR(__xludf.DUMMYFUNCTION("""COMPUTED_VALUE"""),81.0)</f>
        <v>81</v>
      </c>
      <c r="AF65" s="187">
        <f>IFERROR(__xludf.DUMMYFUNCTION("""COMPUTED_VALUE"""),155.0)</f>
        <v>155</v>
      </c>
      <c r="AG65" s="187">
        <f>IFERROR(__xludf.DUMMYFUNCTION("""COMPUTED_VALUE"""),242.0)</f>
        <v>242</v>
      </c>
      <c r="AH65" s="187">
        <f>IFERROR(__xludf.DUMMYFUNCTION("""COMPUTED_VALUE"""),0.0)</f>
        <v>0</v>
      </c>
      <c r="AI65" s="187">
        <f>IFERROR(__xludf.DUMMYFUNCTION("""COMPUTED_VALUE"""),0.0)</f>
        <v>0</v>
      </c>
      <c r="AJ65" s="187">
        <f>IFERROR(__xludf.DUMMYFUNCTION("""COMPUTED_VALUE"""),0.0)</f>
        <v>0</v>
      </c>
      <c r="AK65" s="187">
        <f>IFERROR(__xludf.DUMMYFUNCTION("""COMPUTED_VALUE"""),0.0)</f>
        <v>0</v>
      </c>
      <c r="AL65" s="187">
        <f>IFERROR(__xludf.DUMMYFUNCTION("""COMPUTED_VALUE"""),0.0)</f>
        <v>0</v>
      </c>
      <c r="AM65" s="187">
        <f>IFERROR(__xludf.DUMMYFUNCTION("""COMPUTED_VALUE"""),0.0)</f>
        <v>0</v>
      </c>
      <c r="AN65" s="187">
        <f>IFERROR(__xludf.DUMMYFUNCTION("""COMPUTED_VALUE"""),229.0)</f>
        <v>229</v>
      </c>
      <c r="AO65" s="187">
        <f>IFERROR(__xludf.DUMMYFUNCTION("""COMPUTED_VALUE"""),384.0)</f>
        <v>384</v>
      </c>
      <c r="AP65" s="187">
        <f>IFERROR(__xludf.DUMMYFUNCTION("""COMPUTED_VALUE"""),73.0)</f>
        <v>73</v>
      </c>
      <c r="AQ65" s="217">
        <f>IFERROR(__xludf.DUMMYFUNCTION("""COMPUTED_VALUE"""),34267.31506849315)</f>
        <v>34267.31507</v>
      </c>
      <c r="AR65" s="188">
        <f>IFERROR(__xludf.DUMMYFUNCTION("""COMPUTED_VALUE"""),5.260273972602739)</f>
        <v>5.260273973</v>
      </c>
      <c r="AS65" s="217">
        <f>IFERROR(__xludf.DUMMYFUNCTION("""COMPUTED_VALUE"""),83040.0)</f>
        <v>83040</v>
      </c>
      <c r="AT65" s="217"/>
      <c r="AU65" s="218">
        <f>IFERROR(__xludf.DUMMYFUNCTION("""COMPUTED_VALUE"""),0.03319589656504021)</f>
        <v>0.03319589657</v>
      </c>
      <c r="AV65" s="217">
        <f>IFERROR(__xludf.DUMMYFUNCTION("""COMPUTED_VALUE"""),147147.88235294117)</f>
        <v>147147.8824</v>
      </c>
      <c r="AW65" s="219">
        <f>IFERROR(__xludf.DUMMYFUNCTION("""COMPUTED_VALUE"""),18.0)</f>
        <v>18</v>
      </c>
      <c r="AX65" s="219">
        <f>IFERROR(__xludf.DUMMYFUNCTION("""COMPUTED_VALUE"""),792.0)</f>
        <v>792</v>
      </c>
      <c r="AY65" s="220">
        <f>IFERROR(__xludf.DUMMYFUNCTION("""COMPUTED_VALUE"""),8549.07)</f>
        <v>8549.07</v>
      </c>
      <c r="AZ65" s="219">
        <f>IFERROR(__xludf.DUMMYFUNCTION("""COMPUTED_VALUE"""),153.0)</f>
        <v>153</v>
      </c>
      <c r="BA65" s="219">
        <f>IFERROR(__xludf.DUMMYFUNCTION("""COMPUTED_VALUE"""),17.0)</f>
        <v>17</v>
      </c>
      <c r="BB65" s="219">
        <f>IFERROR(__xludf.DUMMYFUNCTION("""COMPUTED_VALUE"""),43.0)</f>
        <v>43</v>
      </c>
      <c r="BC65" s="219">
        <f>IFERROR(__xludf.DUMMYFUNCTION("""COMPUTED_VALUE"""),18.0)</f>
        <v>18</v>
      </c>
      <c r="BD65" s="221"/>
      <c r="BE65" s="98"/>
      <c r="BF65" s="255" t="e">
        <v>#REF!</v>
      </c>
      <c r="BG65" s="256">
        <f t="shared" si="4"/>
        <v>2501514</v>
      </c>
      <c r="BH65" s="257" t="str">
        <f t="shared" si="5"/>
        <v>#REF!</v>
      </c>
      <c r="BI65" s="98"/>
      <c r="BJ65" s="98"/>
      <c r="BK65" s="98"/>
      <c r="BL65" s="98"/>
      <c r="BM65" s="98"/>
      <c r="BN65" s="98"/>
      <c r="BO65" s="98"/>
      <c r="BP65" s="98"/>
      <c r="BQ65" s="98"/>
      <c r="BR65" s="98"/>
    </row>
    <row r="66">
      <c r="A66" s="6" t="str">
        <f>IFERROR(__xludf.DUMMYFUNCTION("""COMPUTED_VALUE"""),"Sandeep Dadheech")</f>
        <v>Sandeep Dadheech</v>
      </c>
      <c r="B66" s="98" t="str">
        <f>IFERROR(__xludf.DUMMYFUNCTION("""COMPUTED_VALUE"""),"West Bengal")</f>
        <v>West Bengal</v>
      </c>
      <c r="C66" s="98" t="str">
        <f>IFERROR(__xludf.DUMMYFUNCTION("""COMPUTED_VALUE"""),"Sourav Samanta")</f>
        <v>Sourav Samanta</v>
      </c>
      <c r="D66" s="98" t="str">
        <f>IFERROR(__xludf.DUMMYFUNCTION("""COMPUTED_VALUE"""),"Macheda")</f>
        <v>Macheda</v>
      </c>
      <c r="E66" s="213">
        <f>IFERROR(__xludf.DUMMYFUNCTION("""COMPUTED_VALUE"""),45108.0)</f>
        <v>45108</v>
      </c>
      <c r="F66" s="222" t="str">
        <f>IFERROR(__xludf.DUMMYFUNCTION("""COMPUTED_VALUE"""),"WEST BENGAL")</f>
        <v>WEST BENGAL</v>
      </c>
      <c r="G66" s="215">
        <f>IFERROR(__xludf.DUMMYFUNCTION("""COMPUTED_VALUE"""),4.2261963629999995E7)</f>
        <v>42261963.63</v>
      </c>
      <c r="H66" s="215">
        <f>IFERROR(__xludf.DUMMYFUNCTION("""COMPUTED_VALUE"""),4.0273718E7)</f>
        <v>40273718</v>
      </c>
      <c r="I66" s="216">
        <f>IFERROR(__xludf.DUMMYFUNCTION("""COMPUTED_VALUE"""),20520.0)</f>
        <v>20520</v>
      </c>
      <c r="J66" s="216">
        <f>IFERROR(__xludf.DUMMYFUNCTION("""COMPUTED_VALUE"""),4500000.0)</f>
        <v>4500000</v>
      </c>
      <c r="K66" s="217">
        <f>IFERROR(__xludf.DUMMYFUNCTION("""COMPUTED_VALUE"""),0.0)</f>
        <v>0</v>
      </c>
      <c r="L66" s="217">
        <f>IFERROR(__xludf.DUMMYFUNCTION("""COMPUTED_VALUE"""),1.35E7)</f>
        <v>13500000</v>
      </c>
      <c r="M66" s="217">
        <f>IFERROR(__xludf.DUMMYFUNCTION("""COMPUTED_VALUE"""),8749933.0)</f>
        <v>8749933</v>
      </c>
      <c r="N66" s="217">
        <f>IFERROR(__xludf.DUMMYFUNCTION("""COMPUTED_VALUE"""),0.0)</f>
        <v>0</v>
      </c>
      <c r="O66" s="217">
        <f>IFERROR(__xludf.DUMMYFUNCTION("""COMPUTED_VALUE"""),8723855.0)</f>
        <v>8723855</v>
      </c>
      <c r="P66" s="218">
        <f>IFERROR(__xludf.DUMMYFUNCTION("""COMPUTED_VALUE"""),0.6481431851851852)</f>
        <v>0.6481431852</v>
      </c>
      <c r="Q66" s="218">
        <f>IFERROR(__xludf.DUMMYFUNCTION("""COMPUTED_VALUE"""),0.0)</f>
        <v>0</v>
      </c>
      <c r="R66" s="218">
        <f>IFERROR(__xludf.DUMMYFUNCTION("""COMPUTED_VALUE"""),0.6462114814814814)</f>
        <v>0.6462114815</v>
      </c>
      <c r="S66" s="187">
        <f>IFERROR(__xludf.DUMMYFUNCTION("""COMPUTED_VALUE"""),45.0)</f>
        <v>45</v>
      </c>
      <c r="T66" s="187">
        <f>IFERROR(__xludf.DUMMYFUNCTION("""COMPUTED_VALUE"""),41.0)</f>
        <v>41</v>
      </c>
      <c r="U66" s="187">
        <f>IFERROR(__xludf.DUMMYFUNCTION("""COMPUTED_VALUE"""),0.0)</f>
        <v>0</v>
      </c>
      <c r="V66" s="187">
        <f>IFERROR(__xludf.DUMMYFUNCTION("""COMPUTED_VALUE"""),0.0)</f>
        <v>0</v>
      </c>
      <c r="W66" s="187">
        <f>IFERROR(__xludf.DUMMYFUNCTION("""COMPUTED_VALUE"""),45.0)</f>
        <v>45</v>
      </c>
      <c r="X66" s="187">
        <f>IFERROR(__xludf.DUMMYFUNCTION("""COMPUTED_VALUE"""),4.0)</f>
        <v>4</v>
      </c>
      <c r="Y66" s="188">
        <f>IFERROR(__xludf.DUMMYFUNCTION("""COMPUTED_VALUE"""),8749932.79)</f>
        <v>8749932.79</v>
      </c>
      <c r="Z66" s="188">
        <f>IFERROR(__xludf.DUMMYFUNCTION("""COMPUTED_VALUE"""),0.0)</f>
        <v>0</v>
      </c>
      <c r="AA66" s="187">
        <f>IFERROR(__xludf.DUMMYFUNCTION("""COMPUTED_VALUE"""),26.0)</f>
        <v>26</v>
      </c>
      <c r="AB66" s="187">
        <f>IFERROR(__xludf.DUMMYFUNCTION("""COMPUTED_VALUE"""),0.0)</f>
        <v>0</v>
      </c>
      <c r="AC66" s="187">
        <f>IFERROR(__xludf.DUMMYFUNCTION("""COMPUTED_VALUE"""),26.0)</f>
        <v>26</v>
      </c>
      <c r="AD66" s="187">
        <f>IFERROR(__xludf.DUMMYFUNCTION("""COMPUTED_VALUE"""),0.0)</f>
        <v>0</v>
      </c>
      <c r="AE66" s="187">
        <f>IFERROR(__xludf.DUMMYFUNCTION("""COMPUTED_VALUE"""),2.0)</f>
        <v>2</v>
      </c>
      <c r="AF66" s="187">
        <f>IFERROR(__xludf.DUMMYFUNCTION("""COMPUTED_VALUE"""),3.0)</f>
        <v>3</v>
      </c>
      <c r="AG66" s="187">
        <f>IFERROR(__xludf.DUMMYFUNCTION("""COMPUTED_VALUE"""),67.0)</f>
        <v>67</v>
      </c>
      <c r="AH66" s="187">
        <f>IFERROR(__xludf.DUMMYFUNCTION("""COMPUTED_VALUE"""),1.0)</f>
        <v>1</v>
      </c>
      <c r="AI66" s="187">
        <f>IFERROR(__xludf.DUMMYFUNCTION("""COMPUTED_VALUE"""),9.0)</f>
        <v>9</v>
      </c>
      <c r="AJ66" s="187">
        <f>IFERROR(__xludf.DUMMYFUNCTION("""COMPUTED_VALUE"""),0.0)</f>
        <v>0</v>
      </c>
      <c r="AK66" s="187">
        <f>IFERROR(__xludf.DUMMYFUNCTION("""COMPUTED_VALUE"""),0.0)</f>
        <v>0</v>
      </c>
      <c r="AL66" s="187">
        <f>IFERROR(__xludf.DUMMYFUNCTION("""COMPUTED_VALUE"""),0.0)</f>
        <v>0</v>
      </c>
      <c r="AM66" s="187">
        <f>IFERROR(__xludf.DUMMYFUNCTION("""COMPUTED_VALUE"""),0.0)</f>
        <v>0</v>
      </c>
      <c r="AN66" s="187">
        <f>IFERROR(__xludf.DUMMYFUNCTION("""COMPUTED_VALUE"""),339.0)</f>
        <v>339</v>
      </c>
      <c r="AO66" s="187">
        <f>IFERROR(__xludf.DUMMYFUNCTION("""COMPUTED_VALUE"""),351.0)</f>
        <v>351</v>
      </c>
      <c r="AP66" s="187">
        <f>IFERROR(__xludf.DUMMYFUNCTION("""COMPUTED_VALUE"""),75.0)</f>
        <v>75</v>
      </c>
      <c r="AQ66" s="217">
        <f>IFERROR(__xludf.DUMMYFUNCTION("""COMPUTED_VALUE"""),116665.77333333333)</f>
        <v>116665.7733</v>
      </c>
      <c r="AR66" s="188">
        <f>IFERROR(__xludf.DUMMYFUNCTION("""COMPUTED_VALUE"""),4.68)</f>
        <v>4.68</v>
      </c>
      <c r="AS66" s="217">
        <f>IFERROR(__xludf.DUMMYFUNCTION("""COMPUTED_VALUE"""),61560.0)</f>
        <v>61560</v>
      </c>
      <c r="AT66" s="217"/>
      <c r="AU66" s="218">
        <f>IFERROR(__xludf.DUMMYFUNCTION("""COMPUTED_VALUE"""),0.007035482443122707)</f>
        <v>0.007035482443</v>
      </c>
      <c r="AV66" s="217">
        <f>IFERROR(__xludf.DUMMYFUNCTION("""COMPUTED_VALUE"""),336535.8846153846)</f>
        <v>336535.8846</v>
      </c>
      <c r="AW66" s="219">
        <f>IFERROR(__xludf.DUMMYFUNCTION("""COMPUTED_VALUE"""),41.0)</f>
        <v>41</v>
      </c>
      <c r="AX66" s="219">
        <f>IFERROR(__xludf.DUMMYFUNCTION("""COMPUTED_VALUE"""),748.0)</f>
        <v>748</v>
      </c>
      <c r="AY66" s="220">
        <f>IFERROR(__xludf.DUMMYFUNCTION("""COMPUTED_VALUE"""),2678.3)</f>
        <v>2678.3</v>
      </c>
      <c r="AZ66" s="219">
        <f>IFERROR(__xludf.DUMMYFUNCTION("""COMPUTED_VALUE"""),65.0)</f>
        <v>65</v>
      </c>
      <c r="BA66" s="219">
        <f>IFERROR(__xludf.DUMMYFUNCTION("""COMPUTED_VALUE"""),26.0)</f>
        <v>26</v>
      </c>
      <c r="BB66" s="219">
        <f>IFERROR(__xludf.DUMMYFUNCTION("""COMPUTED_VALUE"""),17.0)</f>
        <v>17</v>
      </c>
      <c r="BC66" s="219">
        <f>IFERROR(__xludf.DUMMYFUNCTION("""COMPUTED_VALUE"""),2.0)</f>
        <v>2</v>
      </c>
      <c r="BD66" s="261"/>
      <c r="BE66" s="98"/>
      <c r="BF66" s="255" t="e">
        <v>#REF!</v>
      </c>
      <c r="BG66" s="256">
        <f t="shared" si="4"/>
        <v>8749933</v>
      </c>
      <c r="BH66" s="257" t="str">
        <f t="shared" si="5"/>
        <v>#REF!</v>
      </c>
      <c r="BI66" s="98"/>
      <c r="BJ66" s="98"/>
      <c r="BK66" s="98"/>
      <c r="BL66" s="98"/>
      <c r="BM66" s="98"/>
      <c r="BN66" s="98"/>
      <c r="BO66" s="98"/>
      <c r="BP66" s="98"/>
      <c r="BQ66" s="98"/>
      <c r="BR66" s="98"/>
    </row>
    <row r="67">
      <c r="A67" s="6" t="str">
        <f>IFERROR(__xludf.DUMMYFUNCTION("""COMPUTED_VALUE"""),"Sandeep Dadheech")</f>
        <v>Sandeep Dadheech</v>
      </c>
      <c r="B67" s="98" t="str">
        <f>IFERROR(__xludf.DUMMYFUNCTION("""COMPUTED_VALUE"""),"West Bengal")</f>
        <v>West Bengal</v>
      </c>
      <c r="C67" s="212" t="str">
        <f>IFERROR(__xludf.DUMMYFUNCTION("""COMPUTED_VALUE"""),"Biswajit Roy")</f>
        <v>Biswajit Roy</v>
      </c>
      <c r="D67" s="98" t="str">
        <f>IFERROR(__xludf.DUMMYFUNCTION("""COMPUTED_VALUE"""),"Andal")</f>
        <v>Andal</v>
      </c>
      <c r="E67" s="213">
        <f>IFERROR(__xludf.DUMMYFUNCTION("""COMPUTED_VALUE"""),45117.0)</f>
        <v>45117</v>
      </c>
      <c r="F67" s="222" t="str">
        <f>IFERROR(__xludf.DUMMYFUNCTION("""COMPUTED_VALUE"""),"WEST BENGAL")</f>
        <v>WEST BENGAL</v>
      </c>
      <c r="G67" s="215">
        <f>IFERROR(__xludf.DUMMYFUNCTION("""COMPUTED_VALUE"""),1.59559512215625E7)</f>
        <v>15955951.22</v>
      </c>
      <c r="H67" s="215">
        <f>IFERROR(__xludf.DUMMYFUNCTION("""COMPUTED_VALUE"""),1.3714965E7)</f>
        <v>13714965</v>
      </c>
      <c r="I67" s="216">
        <f>IFERROR(__xludf.DUMMYFUNCTION("""COMPUTED_VALUE"""),24356.0)</f>
        <v>24356</v>
      </c>
      <c r="J67" s="216">
        <f>IFERROR(__xludf.DUMMYFUNCTION("""COMPUTED_VALUE"""),3333333.0)</f>
        <v>3333333</v>
      </c>
      <c r="K67" s="217">
        <f>IFERROR(__xludf.DUMMYFUNCTION("""COMPUTED_VALUE"""),0.0)</f>
        <v>0</v>
      </c>
      <c r="L67" s="217">
        <f>IFERROR(__xludf.DUMMYFUNCTION("""COMPUTED_VALUE"""),9999999.0)</f>
        <v>9999999</v>
      </c>
      <c r="M67" s="217">
        <f>IFERROR(__xludf.DUMMYFUNCTION("""COMPUTED_VALUE"""),6446412.0)</f>
        <v>6446412</v>
      </c>
      <c r="N67" s="217">
        <f>IFERROR(__xludf.DUMMYFUNCTION("""COMPUTED_VALUE"""),0.0)</f>
        <v>0</v>
      </c>
      <c r="O67" s="217">
        <f>IFERROR(__xludf.DUMMYFUNCTION("""COMPUTED_VALUE"""),2642385.0)</f>
        <v>2642385</v>
      </c>
      <c r="P67" s="218">
        <f>IFERROR(__xludf.DUMMYFUNCTION("""COMPUTED_VALUE"""),0.6446412644641264)</f>
        <v>0.6446412645</v>
      </c>
      <c r="Q67" s="218">
        <f>IFERROR(__xludf.DUMMYFUNCTION("""COMPUTED_VALUE"""),0.0)</f>
        <v>0</v>
      </c>
      <c r="R67" s="218">
        <f>IFERROR(__xludf.DUMMYFUNCTION("""COMPUTED_VALUE"""),0.26423852642385265)</f>
        <v>0.2642385264</v>
      </c>
      <c r="S67" s="187">
        <f>IFERROR(__xludf.DUMMYFUNCTION("""COMPUTED_VALUE"""),59.0)</f>
        <v>59</v>
      </c>
      <c r="T67" s="187">
        <f>IFERROR(__xludf.DUMMYFUNCTION("""COMPUTED_VALUE"""),61.0)</f>
        <v>61</v>
      </c>
      <c r="U67" s="187">
        <f>IFERROR(__xludf.DUMMYFUNCTION("""COMPUTED_VALUE"""),8.0)</f>
        <v>8</v>
      </c>
      <c r="V67" s="187">
        <f>IFERROR(__xludf.DUMMYFUNCTION("""COMPUTED_VALUE"""),8.0)</f>
        <v>8</v>
      </c>
      <c r="W67" s="187">
        <f>IFERROR(__xludf.DUMMYFUNCTION("""COMPUTED_VALUE"""),67.0)</f>
        <v>67</v>
      </c>
      <c r="X67" s="187">
        <f>IFERROR(__xludf.DUMMYFUNCTION("""COMPUTED_VALUE"""),6.0)</f>
        <v>6</v>
      </c>
      <c r="Y67" s="188">
        <f>IFERROR(__xludf.DUMMYFUNCTION("""COMPUTED_VALUE"""),5149309.49)</f>
        <v>5149309.49</v>
      </c>
      <c r="Z67" s="188">
        <f>IFERROR(__xludf.DUMMYFUNCTION("""COMPUTED_VALUE"""),1297102.72)</f>
        <v>1297102.72</v>
      </c>
      <c r="AA67" s="187">
        <f>IFERROR(__xludf.DUMMYFUNCTION("""COMPUTED_VALUE"""),34.0)</f>
        <v>34</v>
      </c>
      <c r="AB67" s="187">
        <f>IFERROR(__xludf.DUMMYFUNCTION("""COMPUTED_VALUE"""),8.0)</f>
        <v>8</v>
      </c>
      <c r="AC67" s="187">
        <f>IFERROR(__xludf.DUMMYFUNCTION("""COMPUTED_VALUE"""),42.0)</f>
        <v>42</v>
      </c>
      <c r="AD67" s="187">
        <f>IFERROR(__xludf.DUMMYFUNCTION("""COMPUTED_VALUE"""),0.0)</f>
        <v>0</v>
      </c>
      <c r="AE67" s="187">
        <f>IFERROR(__xludf.DUMMYFUNCTION("""COMPUTED_VALUE"""),12.0)</f>
        <v>12</v>
      </c>
      <c r="AF67" s="187">
        <f>IFERROR(__xludf.DUMMYFUNCTION("""COMPUTED_VALUE"""),18.0)</f>
        <v>18</v>
      </c>
      <c r="AG67" s="187">
        <f>IFERROR(__xludf.DUMMYFUNCTION("""COMPUTED_VALUE"""),63.0)</f>
        <v>63</v>
      </c>
      <c r="AH67" s="187">
        <f>IFERROR(__xludf.DUMMYFUNCTION("""COMPUTED_VALUE"""),1.0)</f>
        <v>1</v>
      </c>
      <c r="AI67" s="187">
        <f>IFERROR(__xludf.DUMMYFUNCTION("""COMPUTED_VALUE"""),18.0)</f>
        <v>18</v>
      </c>
      <c r="AJ67" s="187">
        <f>IFERROR(__xludf.DUMMYFUNCTION("""COMPUTED_VALUE"""),0.0)</f>
        <v>0</v>
      </c>
      <c r="AK67" s="187">
        <f>IFERROR(__xludf.DUMMYFUNCTION("""COMPUTED_VALUE"""),0.0)</f>
        <v>0</v>
      </c>
      <c r="AL67" s="187">
        <f>IFERROR(__xludf.DUMMYFUNCTION("""COMPUTED_VALUE"""),0.0)</f>
        <v>0</v>
      </c>
      <c r="AM67" s="187">
        <f>IFERROR(__xludf.DUMMYFUNCTION("""COMPUTED_VALUE"""),0.0)</f>
        <v>0</v>
      </c>
      <c r="AN67" s="187">
        <f>IFERROR(__xludf.DUMMYFUNCTION("""COMPUTED_VALUE"""),319.0)</f>
        <v>319</v>
      </c>
      <c r="AO67" s="187">
        <f>IFERROR(__xludf.DUMMYFUNCTION("""COMPUTED_VALUE"""),355.0)</f>
        <v>355</v>
      </c>
      <c r="AP67" s="187">
        <f>IFERROR(__xludf.DUMMYFUNCTION("""COMPUTED_VALUE"""),75.0)</f>
        <v>75</v>
      </c>
      <c r="AQ67" s="217">
        <f>IFERROR(__xludf.DUMMYFUNCTION("""COMPUTED_VALUE"""),85952.16)</f>
        <v>85952.16</v>
      </c>
      <c r="AR67" s="188">
        <f>IFERROR(__xludf.DUMMYFUNCTION("""COMPUTED_VALUE"""),4.733333333333333)</f>
        <v>4.733333333</v>
      </c>
      <c r="AS67" s="217">
        <f>IFERROR(__xludf.DUMMYFUNCTION("""COMPUTED_VALUE"""),73068.0)</f>
        <v>73068</v>
      </c>
      <c r="AT67" s="217"/>
      <c r="AU67" s="218">
        <f>IFERROR(__xludf.DUMMYFUNCTION("""COMPUTED_VALUE"""),0.01133467733678828)</f>
        <v>0.01133467734</v>
      </c>
      <c r="AV67" s="217">
        <f>IFERROR(__xludf.DUMMYFUNCTION("""COMPUTED_VALUE"""),153486.0)</f>
        <v>153486</v>
      </c>
      <c r="AW67" s="219">
        <f>IFERROR(__xludf.DUMMYFUNCTION("""COMPUTED_VALUE"""),133.0)</f>
        <v>133</v>
      </c>
      <c r="AX67" s="219">
        <f>IFERROR(__xludf.DUMMYFUNCTION("""COMPUTED_VALUE"""),857.0)</f>
        <v>857</v>
      </c>
      <c r="AY67" s="220">
        <f>IFERROR(__xludf.DUMMYFUNCTION("""COMPUTED_VALUE"""),7533.78)</f>
        <v>7533.78</v>
      </c>
      <c r="AZ67" s="219">
        <f>IFERROR(__xludf.DUMMYFUNCTION("""COMPUTED_VALUE"""),124.0)</f>
        <v>124</v>
      </c>
      <c r="BA67" s="219">
        <f>IFERROR(__xludf.DUMMYFUNCTION("""COMPUTED_VALUE"""),42.0)</f>
        <v>42</v>
      </c>
      <c r="BB67" s="219">
        <f>IFERROR(__xludf.DUMMYFUNCTION("""COMPUTED_VALUE"""),19.0)</f>
        <v>19</v>
      </c>
      <c r="BC67" s="219">
        <f>IFERROR(__xludf.DUMMYFUNCTION("""COMPUTED_VALUE"""),6.0)</f>
        <v>6</v>
      </c>
      <c r="BD67" s="221"/>
      <c r="BE67" s="98"/>
      <c r="BF67" s="255" t="e">
        <v>#REF!</v>
      </c>
      <c r="BG67" s="256">
        <f t="shared" si="4"/>
        <v>6446412</v>
      </c>
      <c r="BH67" s="257" t="str">
        <f t="shared" si="5"/>
        <v>#REF!</v>
      </c>
      <c r="BI67" s="98"/>
      <c r="BJ67" s="98"/>
      <c r="BK67" s="98"/>
      <c r="BL67" s="98"/>
      <c r="BM67" s="98"/>
      <c r="BN67" s="98"/>
      <c r="BO67" s="98"/>
      <c r="BP67" s="98"/>
      <c r="BQ67" s="98"/>
      <c r="BR67" s="98"/>
    </row>
    <row r="68">
      <c r="A68" s="6" t="str">
        <f>IFERROR(__xludf.DUMMYFUNCTION("""COMPUTED_VALUE"""),"Syed Aqil Rizvi")</f>
        <v>Syed Aqil Rizvi</v>
      </c>
      <c r="B68" s="98" t="str">
        <f>IFERROR(__xludf.DUMMYFUNCTION("""COMPUTED_VALUE"""),"East U.P")</f>
        <v>East U.P</v>
      </c>
      <c r="C68" s="212" t="str">
        <f>IFERROR(__xludf.DUMMYFUNCTION("""COMPUTED_VALUE"""),"Ajeet Yadav")</f>
        <v>Ajeet Yadav</v>
      </c>
      <c r="D68" s="98" t="str">
        <f>IFERROR(__xludf.DUMMYFUNCTION("""COMPUTED_VALUE"""),"Ghazipur")</f>
        <v>Ghazipur</v>
      </c>
      <c r="E68" s="213">
        <f>IFERROR(__xludf.DUMMYFUNCTION("""COMPUTED_VALUE"""),45121.0)</f>
        <v>45121</v>
      </c>
      <c r="F68" s="222" t="str">
        <f>IFERROR(__xludf.DUMMYFUNCTION("""COMPUTED_VALUE"""),"East U.P")</f>
        <v>East U.P</v>
      </c>
      <c r="G68" s="215">
        <f>IFERROR(__xludf.DUMMYFUNCTION("""COMPUTED_VALUE"""),2.744880992E7)</f>
        <v>27448809.92</v>
      </c>
      <c r="H68" s="215">
        <f>IFERROR(__xludf.DUMMYFUNCTION("""COMPUTED_VALUE"""),2.4919599E7)</f>
        <v>24919599</v>
      </c>
      <c r="I68" s="216">
        <f>IFERROR(__xludf.DUMMYFUNCTION("""COMPUTED_VALUE"""),27784.0)</f>
        <v>27784</v>
      </c>
      <c r="J68" s="56">
        <f>IFERROR(__xludf.DUMMYFUNCTION("""COMPUTED_VALUE"""),2650000.0)</f>
        <v>2650000</v>
      </c>
      <c r="K68" s="217">
        <f>IFERROR(__xludf.DUMMYFUNCTION("""COMPUTED_VALUE"""),0.0)</f>
        <v>0</v>
      </c>
      <c r="L68" s="217">
        <f>IFERROR(__xludf.DUMMYFUNCTION("""COMPUTED_VALUE"""),7950000.0)</f>
        <v>7950000</v>
      </c>
      <c r="M68" s="217">
        <f>IFERROR(__xludf.DUMMYFUNCTION("""COMPUTED_VALUE"""),5102856.0)</f>
        <v>5102856</v>
      </c>
      <c r="N68" s="217">
        <f>IFERROR(__xludf.DUMMYFUNCTION("""COMPUTED_VALUE"""),0.0)</f>
        <v>0</v>
      </c>
      <c r="O68" s="217">
        <f>IFERROR(__xludf.DUMMYFUNCTION("""COMPUTED_VALUE"""),2394258.0)</f>
        <v>2394258</v>
      </c>
      <c r="P68" s="218">
        <f>IFERROR(__xludf.DUMMYFUNCTION("""COMPUTED_VALUE"""),0.641868679245283)</f>
        <v>0.6418686792</v>
      </c>
      <c r="Q68" s="218">
        <f>IFERROR(__xludf.DUMMYFUNCTION("""COMPUTED_VALUE"""),0.0)</f>
        <v>0</v>
      </c>
      <c r="R68" s="218">
        <f>IFERROR(__xludf.DUMMYFUNCTION("""COMPUTED_VALUE"""),0.3011645283018868)</f>
        <v>0.3011645283</v>
      </c>
      <c r="S68" s="187">
        <f>IFERROR(__xludf.DUMMYFUNCTION("""COMPUTED_VALUE"""),67.0)</f>
        <v>67</v>
      </c>
      <c r="T68" s="187">
        <f>IFERROR(__xludf.DUMMYFUNCTION("""COMPUTED_VALUE"""),60.0)</f>
        <v>60</v>
      </c>
      <c r="U68" s="187">
        <f>IFERROR(__xludf.DUMMYFUNCTION("""COMPUTED_VALUE"""),1.0)</f>
        <v>1</v>
      </c>
      <c r="V68" s="187">
        <f>IFERROR(__xludf.DUMMYFUNCTION("""COMPUTED_VALUE"""),1.0)</f>
        <v>1</v>
      </c>
      <c r="W68" s="187">
        <f>IFERROR(__xludf.DUMMYFUNCTION("""COMPUTED_VALUE"""),68.0)</f>
        <v>68</v>
      </c>
      <c r="X68" s="187">
        <f>IFERROR(__xludf.DUMMYFUNCTION("""COMPUTED_VALUE"""),8.0)</f>
        <v>8</v>
      </c>
      <c r="Y68" s="188">
        <f>IFERROR(__xludf.DUMMYFUNCTION("""COMPUTED_VALUE"""),4890381.94)</f>
        <v>4890381.94</v>
      </c>
      <c r="Z68" s="188">
        <f>IFERROR(__xludf.DUMMYFUNCTION("""COMPUTED_VALUE"""),212473.68)</f>
        <v>212473.68</v>
      </c>
      <c r="AA68" s="187">
        <f>IFERROR(__xludf.DUMMYFUNCTION("""COMPUTED_VALUE"""),31.0)</f>
        <v>31</v>
      </c>
      <c r="AB68" s="187">
        <f>IFERROR(__xludf.DUMMYFUNCTION("""COMPUTED_VALUE"""),1.0)</f>
        <v>1</v>
      </c>
      <c r="AC68" s="187">
        <f>IFERROR(__xludf.DUMMYFUNCTION("""COMPUTED_VALUE"""),32.0)</f>
        <v>32</v>
      </c>
      <c r="AD68" s="187">
        <f>IFERROR(__xludf.DUMMYFUNCTION("""COMPUTED_VALUE"""),0.0)</f>
        <v>0</v>
      </c>
      <c r="AE68" s="187">
        <f>IFERROR(__xludf.DUMMYFUNCTION("""COMPUTED_VALUE"""),18.0)</f>
        <v>18</v>
      </c>
      <c r="AF68" s="187">
        <f>IFERROR(__xludf.DUMMYFUNCTION("""COMPUTED_VALUE"""),22.0)</f>
        <v>22</v>
      </c>
      <c r="AG68" s="187">
        <f>IFERROR(__xludf.DUMMYFUNCTION("""COMPUTED_VALUE"""),89.0)</f>
        <v>89</v>
      </c>
      <c r="AH68" s="187">
        <f>IFERROR(__xludf.DUMMYFUNCTION("""COMPUTED_VALUE"""),2.0)</f>
        <v>2</v>
      </c>
      <c r="AI68" s="187">
        <f>IFERROR(__xludf.DUMMYFUNCTION("""COMPUTED_VALUE"""),6.0)</f>
        <v>6</v>
      </c>
      <c r="AJ68" s="187">
        <f>IFERROR(__xludf.DUMMYFUNCTION("""COMPUTED_VALUE"""),0.0)</f>
        <v>0</v>
      </c>
      <c r="AK68" s="187">
        <f>IFERROR(__xludf.DUMMYFUNCTION("""COMPUTED_VALUE"""),0.0)</f>
        <v>0</v>
      </c>
      <c r="AL68" s="187">
        <f>IFERROR(__xludf.DUMMYFUNCTION("""COMPUTED_VALUE"""),3.0)</f>
        <v>3</v>
      </c>
      <c r="AM68" s="187">
        <f>IFERROR(__xludf.DUMMYFUNCTION("""COMPUTED_VALUE"""),3.0)</f>
        <v>3</v>
      </c>
      <c r="AN68" s="187">
        <f>IFERROR(__xludf.DUMMYFUNCTION("""COMPUTED_VALUE"""),235.0)</f>
        <v>235</v>
      </c>
      <c r="AO68" s="187">
        <f>IFERROR(__xludf.DUMMYFUNCTION("""COMPUTED_VALUE"""),266.0)</f>
        <v>266</v>
      </c>
      <c r="AP68" s="187">
        <f>IFERROR(__xludf.DUMMYFUNCTION("""COMPUTED_VALUE"""),66.0)</f>
        <v>66</v>
      </c>
      <c r="AQ68" s="217">
        <f>IFERROR(__xludf.DUMMYFUNCTION("""COMPUTED_VALUE"""),77316.0)</f>
        <v>77316</v>
      </c>
      <c r="AR68" s="188">
        <f>IFERROR(__xludf.DUMMYFUNCTION("""COMPUTED_VALUE"""),4.03030303030303)</f>
        <v>4.03030303</v>
      </c>
      <c r="AS68" s="217">
        <f>IFERROR(__xludf.DUMMYFUNCTION("""COMPUTED_VALUE"""),83352.0)</f>
        <v>83352</v>
      </c>
      <c r="AT68" s="217"/>
      <c r="AU68" s="218">
        <f>IFERROR(__xludf.DUMMYFUNCTION("""COMPUTED_VALUE"""),0.01633438215775636)</f>
        <v>0.01633438216</v>
      </c>
      <c r="AV68" s="217">
        <f>IFERROR(__xludf.DUMMYFUNCTION("""COMPUTED_VALUE"""),159464.25)</f>
        <v>159464.25</v>
      </c>
      <c r="AW68" s="219">
        <f>IFERROR(__xludf.DUMMYFUNCTION("""COMPUTED_VALUE"""),44.0)</f>
        <v>44</v>
      </c>
      <c r="AX68" s="219">
        <f>IFERROR(__xludf.DUMMYFUNCTION("""COMPUTED_VALUE"""),671.0)</f>
        <v>671</v>
      </c>
      <c r="AY68" s="220">
        <f>IFERROR(__xludf.DUMMYFUNCTION("""COMPUTED_VALUE"""),4173.66)</f>
        <v>4173.66</v>
      </c>
      <c r="AZ68" s="219">
        <f>IFERROR(__xludf.DUMMYFUNCTION("""COMPUTED_VALUE"""),70.0)</f>
        <v>70</v>
      </c>
      <c r="BA68" s="219">
        <f>IFERROR(__xludf.DUMMYFUNCTION("""COMPUTED_VALUE"""),32.0)</f>
        <v>32</v>
      </c>
      <c r="BB68" s="219">
        <f>IFERROR(__xludf.DUMMYFUNCTION("""COMPUTED_VALUE"""),28.0)</f>
        <v>28</v>
      </c>
      <c r="BC68" s="219">
        <f>IFERROR(__xludf.DUMMYFUNCTION("""COMPUTED_VALUE"""),8.0)</f>
        <v>8</v>
      </c>
      <c r="BD68" s="261"/>
      <c r="BE68" s="98"/>
      <c r="BF68" s="255" t="e">
        <v>#REF!</v>
      </c>
      <c r="BG68" s="256">
        <f t="shared" si="4"/>
        <v>5102856</v>
      </c>
      <c r="BH68" s="257" t="str">
        <f t="shared" si="5"/>
        <v>#REF!</v>
      </c>
      <c r="BI68" s="98"/>
      <c r="BJ68" s="98"/>
      <c r="BK68" s="98"/>
      <c r="BL68" s="98"/>
      <c r="BM68" s="98"/>
      <c r="BN68" s="98"/>
      <c r="BO68" s="98"/>
      <c r="BP68" s="98"/>
      <c r="BQ68" s="98"/>
      <c r="BR68" s="98"/>
    </row>
    <row r="69">
      <c r="A69" s="6" t="str">
        <f>IFERROR(__xludf.DUMMYFUNCTION("""COMPUTED_VALUE"""),"Syed Aqil Rizvi")</f>
        <v>Syed Aqil Rizvi</v>
      </c>
      <c r="B69" s="98" t="str">
        <f>IFERROR(__xludf.DUMMYFUNCTION("""COMPUTED_VALUE"""),"East U.P")</f>
        <v>East U.P</v>
      </c>
      <c r="C69" s="212" t="str">
        <f>IFERROR(__xludf.DUMMYFUNCTION("""COMPUTED_VALUE"""),"Vishal Kumar Gaurav")</f>
        <v>Vishal Kumar Gaurav</v>
      </c>
      <c r="D69" s="98" t="str">
        <f>IFERROR(__xludf.DUMMYFUNCTION("""COMPUTED_VALUE"""),"Azamgarh")</f>
        <v>Azamgarh</v>
      </c>
      <c r="E69" s="213">
        <f>IFERROR(__xludf.DUMMYFUNCTION("""COMPUTED_VALUE"""),45122.0)</f>
        <v>45122</v>
      </c>
      <c r="F69" s="222" t="str">
        <f>IFERROR(__xludf.DUMMYFUNCTION("""COMPUTED_VALUE"""),"East U.P")</f>
        <v>East U.P</v>
      </c>
      <c r="G69" s="215">
        <f>IFERROR(__xludf.DUMMYFUNCTION("""COMPUTED_VALUE"""),1.283454146E7)</f>
        <v>12834541.46</v>
      </c>
      <c r="H69" s="215">
        <f>IFERROR(__xludf.DUMMYFUNCTION("""COMPUTED_VALUE"""),1.2643909E7)</f>
        <v>12643909</v>
      </c>
      <c r="I69" s="216">
        <f>IFERROR(__xludf.DUMMYFUNCTION("""COMPUTED_VALUE"""),24182.0)</f>
        <v>24182</v>
      </c>
      <c r="J69" s="216">
        <f>IFERROR(__xludf.DUMMYFUNCTION("""COMPUTED_VALUE"""),2132084.0)</f>
        <v>2132084</v>
      </c>
      <c r="K69" s="217">
        <f>IFERROR(__xludf.DUMMYFUNCTION("""COMPUTED_VALUE"""),0.0)</f>
        <v>0</v>
      </c>
      <c r="L69" s="217">
        <f>IFERROR(__xludf.DUMMYFUNCTION("""COMPUTED_VALUE"""),6396252.0)</f>
        <v>6396252</v>
      </c>
      <c r="M69" s="217">
        <f>IFERROR(__xludf.DUMMYFUNCTION("""COMPUTED_VALUE"""),3484991.0)</f>
        <v>3484991</v>
      </c>
      <c r="N69" s="217">
        <f>IFERROR(__xludf.DUMMYFUNCTION("""COMPUTED_VALUE"""),0.0)</f>
        <v>0</v>
      </c>
      <c r="O69" s="217">
        <f>IFERROR(__xludf.DUMMYFUNCTION("""COMPUTED_VALUE"""),2268222.0)</f>
        <v>2268222</v>
      </c>
      <c r="P69" s="218">
        <f>IFERROR(__xludf.DUMMYFUNCTION("""COMPUTED_VALUE"""),0.5448489208993017)</f>
        <v>0.5448489209</v>
      </c>
      <c r="Q69" s="218">
        <f>IFERROR(__xludf.DUMMYFUNCTION("""COMPUTED_VALUE"""),0.0)</f>
        <v>0</v>
      </c>
      <c r="R69" s="218">
        <f>IFERROR(__xludf.DUMMYFUNCTION("""COMPUTED_VALUE"""),0.3546173602916208)</f>
        <v>0.3546173603</v>
      </c>
      <c r="S69" s="187">
        <f>IFERROR(__xludf.DUMMYFUNCTION("""COMPUTED_VALUE"""),61.0)</f>
        <v>61</v>
      </c>
      <c r="T69" s="187">
        <f>IFERROR(__xludf.DUMMYFUNCTION("""COMPUTED_VALUE"""),48.0)</f>
        <v>48</v>
      </c>
      <c r="U69" s="187">
        <f>IFERROR(__xludf.DUMMYFUNCTION("""COMPUTED_VALUE"""),1.0)</f>
        <v>1</v>
      </c>
      <c r="V69" s="187">
        <f>IFERROR(__xludf.DUMMYFUNCTION("""COMPUTED_VALUE"""),1.0)</f>
        <v>1</v>
      </c>
      <c r="W69" s="187">
        <f>IFERROR(__xludf.DUMMYFUNCTION("""COMPUTED_VALUE"""),62.0)</f>
        <v>62</v>
      </c>
      <c r="X69" s="187">
        <f>IFERROR(__xludf.DUMMYFUNCTION("""COMPUTED_VALUE"""),14.0)</f>
        <v>14</v>
      </c>
      <c r="Y69" s="188">
        <f>IFERROR(__xludf.DUMMYFUNCTION("""COMPUTED_VALUE"""),3350940.07)</f>
        <v>3350940.07</v>
      </c>
      <c r="Z69" s="188">
        <f>IFERROR(__xludf.DUMMYFUNCTION("""COMPUTED_VALUE"""),134050.5)</f>
        <v>134050.5</v>
      </c>
      <c r="AA69" s="187">
        <f>IFERROR(__xludf.DUMMYFUNCTION("""COMPUTED_VALUE"""),29.0)</f>
        <v>29</v>
      </c>
      <c r="AB69" s="187">
        <f>IFERROR(__xludf.DUMMYFUNCTION("""COMPUTED_VALUE"""),1.0)</f>
        <v>1</v>
      </c>
      <c r="AC69" s="187">
        <f>IFERROR(__xludf.DUMMYFUNCTION("""COMPUTED_VALUE"""),30.0)</f>
        <v>30</v>
      </c>
      <c r="AD69" s="187">
        <f>IFERROR(__xludf.DUMMYFUNCTION("""COMPUTED_VALUE"""),0.0)</f>
        <v>0</v>
      </c>
      <c r="AE69" s="187">
        <f>IFERROR(__xludf.DUMMYFUNCTION("""COMPUTED_VALUE"""),97.0)</f>
        <v>97</v>
      </c>
      <c r="AF69" s="187">
        <f>IFERROR(__xludf.DUMMYFUNCTION("""COMPUTED_VALUE"""),143.0)</f>
        <v>143</v>
      </c>
      <c r="AG69" s="187">
        <f>IFERROR(__xludf.DUMMYFUNCTION("""COMPUTED_VALUE"""),316.0)</f>
        <v>316</v>
      </c>
      <c r="AH69" s="187">
        <f>IFERROR(__xludf.DUMMYFUNCTION("""COMPUTED_VALUE"""),1.0)</f>
        <v>1</v>
      </c>
      <c r="AI69" s="187">
        <f>IFERROR(__xludf.DUMMYFUNCTION("""COMPUTED_VALUE"""),20.0)</f>
        <v>20</v>
      </c>
      <c r="AJ69" s="187">
        <f>IFERROR(__xludf.DUMMYFUNCTION("""COMPUTED_VALUE"""),0.0)</f>
        <v>0</v>
      </c>
      <c r="AK69" s="187">
        <f>IFERROR(__xludf.DUMMYFUNCTION("""COMPUTED_VALUE"""),0.0)</f>
        <v>0</v>
      </c>
      <c r="AL69" s="187">
        <f>IFERROR(__xludf.DUMMYFUNCTION("""COMPUTED_VALUE"""),0.0)</f>
        <v>0</v>
      </c>
      <c r="AM69" s="187">
        <f>IFERROR(__xludf.DUMMYFUNCTION("""COMPUTED_VALUE"""),0.0)</f>
        <v>0</v>
      </c>
      <c r="AN69" s="187">
        <f>IFERROR(__xludf.DUMMYFUNCTION("""COMPUTED_VALUE"""),313.0)</f>
        <v>313</v>
      </c>
      <c r="AO69" s="187">
        <f>IFERROR(__xludf.DUMMYFUNCTION("""COMPUTED_VALUE"""),476.0)</f>
        <v>476</v>
      </c>
      <c r="AP69" s="187">
        <f>IFERROR(__xludf.DUMMYFUNCTION("""COMPUTED_VALUE"""),71.0)</f>
        <v>71</v>
      </c>
      <c r="AQ69" s="217">
        <f>IFERROR(__xludf.DUMMYFUNCTION("""COMPUTED_VALUE"""),49084.380281690144)</f>
        <v>49084.38028</v>
      </c>
      <c r="AR69" s="188">
        <f>IFERROR(__xludf.DUMMYFUNCTION("""COMPUTED_VALUE"""),6.704225352112676)</f>
        <v>6.704225352</v>
      </c>
      <c r="AS69" s="217">
        <f>IFERROR(__xludf.DUMMYFUNCTION("""COMPUTED_VALUE"""),72546.0)</f>
        <v>72546</v>
      </c>
      <c r="AT69" s="217"/>
      <c r="AU69" s="218">
        <f>IFERROR(__xludf.DUMMYFUNCTION("""COMPUTED_VALUE"""),0.020816696513706923)</f>
        <v>0.02081669651</v>
      </c>
      <c r="AV69" s="217">
        <f>IFERROR(__xludf.DUMMYFUNCTION("""COMPUTED_VALUE"""),116166.36666666667)</f>
        <v>116166.3667</v>
      </c>
      <c r="AW69" s="219">
        <f>IFERROR(__xludf.DUMMYFUNCTION("""COMPUTED_VALUE"""),77.0)</f>
        <v>77</v>
      </c>
      <c r="AX69" s="219">
        <f>IFERROR(__xludf.DUMMYFUNCTION("""COMPUTED_VALUE"""),497.0)</f>
        <v>497</v>
      </c>
      <c r="AY69" s="220">
        <f>IFERROR(__xludf.DUMMYFUNCTION("""COMPUTED_VALUE"""),4575.87)</f>
        <v>4575.87</v>
      </c>
      <c r="AZ69" s="219">
        <f>IFERROR(__xludf.DUMMYFUNCTION("""COMPUTED_VALUE"""),95.0)</f>
        <v>95</v>
      </c>
      <c r="BA69" s="219">
        <f>IFERROR(__xludf.DUMMYFUNCTION("""COMPUTED_VALUE"""),30.0)</f>
        <v>30</v>
      </c>
      <c r="BB69" s="219">
        <f>IFERROR(__xludf.DUMMYFUNCTION("""COMPUTED_VALUE"""),19.0)</f>
        <v>19</v>
      </c>
      <c r="BC69" s="219">
        <f>IFERROR(__xludf.DUMMYFUNCTION("""COMPUTED_VALUE"""),13.0)</f>
        <v>13</v>
      </c>
      <c r="BD69" s="221"/>
      <c r="BE69" s="98"/>
      <c r="BF69" s="255" t="e">
        <v>#REF!</v>
      </c>
      <c r="BG69" s="256">
        <f t="shared" si="4"/>
        <v>3484991</v>
      </c>
      <c r="BH69" s="257" t="str">
        <f t="shared" si="5"/>
        <v>#REF!</v>
      </c>
      <c r="BI69" s="98"/>
      <c r="BJ69" s="98"/>
      <c r="BK69" s="98"/>
      <c r="BL69" s="98"/>
      <c r="BM69" s="98"/>
      <c r="BN69" s="98"/>
      <c r="BO69" s="98"/>
      <c r="BP69" s="98"/>
      <c r="BQ69" s="98"/>
      <c r="BR69" s="98"/>
    </row>
    <row r="70">
      <c r="A70" s="6" t="str">
        <f>IFERROR(__xludf.DUMMYFUNCTION("""COMPUTED_VALUE"""),"Syed Aqil Rizvi")</f>
        <v>Syed Aqil Rizvi</v>
      </c>
      <c r="B70" s="98" t="str">
        <f>IFERROR(__xludf.DUMMYFUNCTION("""COMPUTED_VALUE"""),"Maharashtra 2")</f>
        <v>Maharashtra 2</v>
      </c>
      <c r="C70" s="212" t="str">
        <f>IFERROR(__xludf.DUMMYFUNCTION("""COMPUTED_VALUE"""),"Nandkishor Upadhyay")</f>
        <v>Nandkishor Upadhyay</v>
      </c>
      <c r="D70" s="98" t="str">
        <f>IFERROR(__xludf.DUMMYFUNCTION("""COMPUTED_VALUE"""),"Akola")</f>
        <v>Akola</v>
      </c>
      <c r="E70" s="213">
        <f>IFERROR(__xludf.DUMMYFUNCTION("""COMPUTED_VALUE"""),45124.0)</f>
        <v>45124</v>
      </c>
      <c r="F70" s="222" t="str">
        <f>IFERROR(__xludf.DUMMYFUNCTION("""COMPUTED_VALUE"""),"MAHARASHTRA")</f>
        <v>MAHARASHTRA</v>
      </c>
      <c r="G70" s="215">
        <f>IFERROR(__xludf.DUMMYFUNCTION("""COMPUTED_VALUE"""),9911745.629999999)</f>
        <v>9911745.63</v>
      </c>
      <c r="H70" s="215">
        <f>IFERROR(__xludf.DUMMYFUNCTION("""COMPUTED_VALUE"""),1.000854641E7)</f>
        <v>10008546.41</v>
      </c>
      <c r="I70" s="216">
        <f>IFERROR(__xludf.DUMMYFUNCTION("""COMPUTED_VALUE"""),26500.0)</f>
        <v>26500</v>
      </c>
      <c r="J70" s="216">
        <f>IFERROR(__xludf.DUMMYFUNCTION("""COMPUTED_VALUE"""),1947000.0)</f>
        <v>1947000</v>
      </c>
      <c r="K70" s="217">
        <f>IFERROR(__xludf.DUMMYFUNCTION("""COMPUTED_VALUE"""),0.0)</f>
        <v>0</v>
      </c>
      <c r="L70" s="217">
        <f>IFERROR(__xludf.DUMMYFUNCTION("""COMPUTED_VALUE"""),5841000.0)</f>
        <v>5841000</v>
      </c>
      <c r="M70" s="217">
        <f>IFERROR(__xludf.DUMMYFUNCTION("""COMPUTED_VALUE"""),2088073.0)</f>
        <v>2088073</v>
      </c>
      <c r="N70" s="217">
        <f>IFERROR(__xludf.DUMMYFUNCTION("""COMPUTED_VALUE"""),0.0)</f>
        <v>0</v>
      </c>
      <c r="O70" s="217">
        <f>IFERROR(__xludf.DUMMYFUNCTION("""COMPUTED_VALUE"""),1003125.0)</f>
        <v>1003125</v>
      </c>
      <c r="P70" s="218">
        <f>IFERROR(__xludf.DUMMYFUNCTION("""COMPUTED_VALUE"""),0.3574855332990926)</f>
        <v>0.3574855333</v>
      </c>
      <c r="Q70" s="218">
        <f>IFERROR(__xludf.DUMMYFUNCTION("""COMPUTED_VALUE"""),0.0)</f>
        <v>0</v>
      </c>
      <c r="R70" s="218">
        <f>IFERROR(__xludf.DUMMYFUNCTION("""COMPUTED_VALUE"""),0.17173857216230098)</f>
        <v>0.1717385722</v>
      </c>
      <c r="S70" s="187">
        <f>IFERROR(__xludf.DUMMYFUNCTION("""COMPUTED_VALUE"""),42.0)</f>
        <v>42</v>
      </c>
      <c r="T70" s="187">
        <f>IFERROR(__xludf.DUMMYFUNCTION("""COMPUTED_VALUE"""),28.0)</f>
        <v>28</v>
      </c>
      <c r="U70" s="187">
        <f>IFERROR(__xludf.DUMMYFUNCTION("""COMPUTED_VALUE"""),0.0)</f>
        <v>0</v>
      </c>
      <c r="V70" s="187">
        <f>IFERROR(__xludf.DUMMYFUNCTION("""COMPUTED_VALUE"""),0.0)</f>
        <v>0</v>
      </c>
      <c r="W70" s="187">
        <f>IFERROR(__xludf.DUMMYFUNCTION("""COMPUTED_VALUE"""),42.0)</f>
        <v>42</v>
      </c>
      <c r="X70" s="187">
        <f>IFERROR(__xludf.DUMMYFUNCTION("""COMPUTED_VALUE"""),14.0)</f>
        <v>14</v>
      </c>
      <c r="Y70" s="188">
        <f>IFERROR(__xludf.DUMMYFUNCTION("""COMPUTED_VALUE"""),2088072.8)</f>
        <v>2088072.8</v>
      </c>
      <c r="Z70" s="188">
        <f>IFERROR(__xludf.DUMMYFUNCTION("""COMPUTED_VALUE"""),0.0)</f>
        <v>0</v>
      </c>
      <c r="AA70" s="187">
        <f>IFERROR(__xludf.DUMMYFUNCTION("""COMPUTED_VALUE"""),25.0)</f>
        <v>25</v>
      </c>
      <c r="AB70" s="187">
        <f>IFERROR(__xludf.DUMMYFUNCTION("""COMPUTED_VALUE"""),0.0)</f>
        <v>0</v>
      </c>
      <c r="AC70" s="187">
        <f>IFERROR(__xludf.DUMMYFUNCTION("""COMPUTED_VALUE"""),25.0)</f>
        <v>25</v>
      </c>
      <c r="AD70" s="187">
        <f>IFERROR(__xludf.DUMMYFUNCTION("""COMPUTED_VALUE"""),0.0)</f>
        <v>0</v>
      </c>
      <c r="AE70" s="187">
        <f>IFERROR(__xludf.DUMMYFUNCTION("""COMPUTED_VALUE"""),178.0)</f>
        <v>178</v>
      </c>
      <c r="AF70" s="187">
        <f>IFERROR(__xludf.DUMMYFUNCTION("""COMPUTED_VALUE"""),258.0)</f>
        <v>258</v>
      </c>
      <c r="AG70" s="187">
        <f>IFERROR(__xludf.DUMMYFUNCTION("""COMPUTED_VALUE"""),254.0)</f>
        <v>254</v>
      </c>
      <c r="AH70" s="187">
        <f>IFERROR(__xludf.DUMMYFUNCTION("""COMPUTED_VALUE"""),0.0)</f>
        <v>0</v>
      </c>
      <c r="AI70" s="187">
        <f>IFERROR(__xludf.DUMMYFUNCTION("""COMPUTED_VALUE"""),0.0)</f>
        <v>0</v>
      </c>
      <c r="AJ70" s="187">
        <f>IFERROR(__xludf.DUMMYFUNCTION("""COMPUTED_VALUE"""),0.0)</f>
        <v>0</v>
      </c>
      <c r="AK70" s="187">
        <f>IFERROR(__xludf.DUMMYFUNCTION("""COMPUTED_VALUE"""),0.0)</f>
        <v>0</v>
      </c>
      <c r="AL70" s="187">
        <f>IFERROR(__xludf.DUMMYFUNCTION("""COMPUTED_VALUE"""),0.0)</f>
        <v>0</v>
      </c>
      <c r="AM70" s="187">
        <f>IFERROR(__xludf.DUMMYFUNCTION("""COMPUTED_VALUE"""),0.0)</f>
        <v>0</v>
      </c>
      <c r="AN70" s="187">
        <f>IFERROR(__xludf.DUMMYFUNCTION("""COMPUTED_VALUE"""),69.0)</f>
        <v>69</v>
      </c>
      <c r="AO70" s="187">
        <f>IFERROR(__xludf.DUMMYFUNCTION("""COMPUTED_VALUE"""),327.0)</f>
        <v>327</v>
      </c>
      <c r="AP70" s="187">
        <f>IFERROR(__xludf.DUMMYFUNCTION("""COMPUTED_VALUE"""),69.0)</f>
        <v>69</v>
      </c>
      <c r="AQ70" s="217">
        <f>IFERROR(__xludf.DUMMYFUNCTION("""COMPUTED_VALUE"""),30261.927536231884)</f>
        <v>30261.92754</v>
      </c>
      <c r="AR70" s="188">
        <f>IFERROR(__xludf.DUMMYFUNCTION("""COMPUTED_VALUE"""),4.739130434782608)</f>
        <v>4.739130435</v>
      </c>
      <c r="AS70" s="217">
        <f>IFERROR(__xludf.DUMMYFUNCTION("""COMPUTED_VALUE"""),79500.0)</f>
        <v>79500</v>
      </c>
      <c r="AT70" s="217"/>
      <c r="AU70" s="218">
        <f>IFERROR(__xludf.DUMMYFUNCTION("""COMPUTED_VALUE"""),0.03807338153407472)</f>
        <v>0.03807338153</v>
      </c>
      <c r="AV70" s="217">
        <f>IFERROR(__xludf.DUMMYFUNCTION("""COMPUTED_VALUE"""),83522.92)</f>
        <v>83522.92</v>
      </c>
      <c r="AW70" s="219">
        <f>IFERROR(__xludf.DUMMYFUNCTION("""COMPUTED_VALUE"""),78.0)</f>
        <v>78</v>
      </c>
      <c r="AX70" s="219">
        <f>IFERROR(__xludf.DUMMYFUNCTION("""COMPUTED_VALUE"""),771.0)</f>
        <v>771</v>
      </c>
      <c r="AY70" s="262">
        <f>IFERROR(__xludf.DUMMYFUNCTION("""COMPUTED_VALUE"""),3838.99)</f>
        <v>3838.99</v>
      </c>
      <c r="AZ70" s="263">
        <f>IFERROR(__xludf.DUMMYFUNCTION("""COMPUTED_VALUE"""),137.0)</f>
        <v>137</v>
      </c>
      <c r="BA70" s="263">
        <f>IFERROR(__xludf.DUMMYFUNCTION("""COMPUTED_VALUE"""),25.0)</f>
        <v>25</v>
      </c>
      <c r="BB70" s="263">
        <f>IFERROR(__xludf.DUMMYFUNCTION("""COMPUTED_VALUE"""),8.0)</f>
        <v>8</v>
      </c>
      <c r="BC70" s="263">
        <f>IFERROR(__xludf.DUMMYFUNCTION("""COMPUTED_VALUE"""),9.0)</f>
        <v>9</v>
      </c>
      <c r="BD70" s="221"/>
      <c r="BE70" s="98"/>
      <c r="BF70" s="255" t="e">
        <v>#REF!</v>
      </c>
      <c r="BG70" s="256">
        <f t="shared" si="4"/>
        <v>2088073</v>
      </c>
      <c r="BH70" s="257" t="str">
        <f t="shared" si="5"/>
        <v>#REF!</v>
      </c>
      <c r="BI70" s="98"/>
      <c r="BJ70" s="98"/>
      <c r="BK70" s="98"/>
      <c r="BL70" s="98"/>
      <c r="BM70" s="98"/>
      <c r="BN70" s="98"/>
      <c r="BO70" s="98"/>
      <c r="BP70" s="98"/>
      <c r="BQ70" s="98"/>
      <c r="BR70" s="98"/>
    </row>
    <row r="71">
      <c r="A71" s="6" t="str">
        <f>IFERROR(__xludf.DUMMYFUNCTION("""COMPUTED_VALUE"""),"Syed Aqil Rizvi")</f>
        <v>Syed Aqil Rizvi</v>
      </c>
      <c r="B71" s="98" t="str">
        <f>IFERROR(__xludf.DUMMYFUNCTION("""COMPUTED_VALUE"""),"Madhya Pradesh")</f>
        <v>Madhya Pradesh</v>
      </c>
      <c r="C71" s="212" t="str">
        <f>IFERROR(__xludf.DUMMYFUNCTION("""COMPUTED_VALUE"""),"AMAN KHAN")</f>
        <v>AMAN KHAN</v>
      </c>
      <c r="D71" s="98" t="str">
        <f>IFERROR(__xludf.DUMMYFUNCTION("""COMPUTED_VALUE"""),"CHHATARPUR")</f>
        <v>CHHATARPUR</v>
      </c>
      <c r="E71" s="213">
        <f>IFERROR(__xludf.DUMMYFUNCTION("""COMPUTED_VALUE"""),45145.0)</f>
        <v>45145</v>
      </c>
      <c r="F71" s="222" t="str">
        <f>IFERROR(__xludf.DUMMYFUNCTION("""COMPUTED_VALUE"""),"East U.P, MADHYA PRADESH")</f>
        <v>East U.P, MADHYA PRADESH</v>
      </c>
      <c r="G71" s="215">
        <f>IFERROR(__xludf.DUMMYFUNCTION("""COMPUTED_VALUE"""),1.2834572339999998E7)</f>
        <v>12834572.34</v>
      </c>
      <c r="H71" s="215">
        <f>IFERROR(__xludf.DUMMYFUNCTION("""COMPUTED_VALUE"""),1.1135636680000002E7)</f>
        <v>11135636.68</v>
      </c>
      <c r="I71" s="216">
        <f>IFERROR(__xludf.DUMMYFUNCTION("""COMPUTED_VALUE"""),36187.0)</f>
        <v>36187</v>
      </c>
      <c r="J71" s="216">
        <f>IFERROR(__xludf.DUMMYFUNCTION("""COMPUTED_VALUE"""),2000000.0)</f>
        <v>2000000</v>
      </c>
      <c r="K71" s="217">
        <f>IFERROR(__xludf.DUMMYFUNCTION("""COMPUTED_VALUE"""),0.0)</f>
        <v>0</v>
      </c>
      <c r="L71" s="217">
        <f>IFERROR(__xludf.DUMMYFUNCTION("""COMPUTED_VALUE"""),6000000.0)</f>
        <v>6000000</v>
      </c>
      <c r="M71" s="217">
        <f>IFERROR(__xludf.DUMMYFUNCTION("""COMPUTED_VALUE"""),2507321.0)</f>
        <v>2507321</v>
      </c>
      <c r="N71" s="217">
        <f>IFERROR(__xludf.DUMMYFUNCTION("""COMPUTED_VALUE"""),0.0)</f>
        <v>0</v>
      </c>
      <c r="O71" s="217">
        <f>IFERROR(__xludf.DUMMYFUNCTION("""COMPUTED_VALUE"""),1592474.5)</f>
        <v>1592474.5</v>
      </c>
      <c r="P71" s="218">
        <f>IFERROR(__xludf.DUMMYFUNCTION("""COMPUTED_VALUE"""),0.4178868333333333)</f>
        <v>0.4178868333</v>
      </c>
      <c r="Q71" s="218">
        <f>IFERROR(__xludf.DUMMYFUNCTION("""COMPUTED_VALUE"""),0.0)</f>
        <v>0</v>
      </c>
      <c r="R71" s="218">
        <f>IFERROR(__xludf.DUMMYFUNCTION("""COMPUTED_VALUE"""),0.26541241666666665)</f>
        <v>0.2654124167</v>
      </c>
      <c r="S71" s="187">
        <f>IFERROR(__xludf.DUMMYFUNCTION("""COMPUTED_VALUE"""),65.0)</f>
        <v>65</v>
      </c>
      <c r="T71" s="187">
        <f>IFERROR(__xludf.DUMMYFUNCTION("""COMPUTED_VALUE"""),58.0)</f>
        <v>58</v>
      </c>
      <c r="U71" s="187">
        <f>IFERROR(__xludf.DUMMYFUNCTION("""COMPUTED_VALUE"""),1.0)</f>
        <v>1</v>
      </c>
      <c r="V71" s="187">
        <f>IFERROR(__xludf.DUMMYFUNCTION("""COMPUTED_VALUE"""),1.0)</f>
        <v>1</v>
      </c>
      <c r="W71" s="187">
        <f>IFERROR(__xludf.DUMMYFUNCTION("""COMPUTED_VALUE"""),66.0)</f>
        <v>66</v>
      </c>
      <c r="X71" s="187">
        <f>IFERROR(__xludf.DUMMYFUNCTION("""COMPUTED_VALUE"""),8.0)</f>
        <v>8</v>
      </c>
      <c r="Y71" s="188">
        <f>IFERROR(__xludf.DUMMYFUNCTION("""COMPUTED_VALUE"""),2442381.64)</f>
        <v>2442381.64</v>
      </c>
      <c r="Z71" s="188">
        <f>IFERROR(__xludf.DUMMYFUNCTION("""COMPUTED_VALUE"""),64939.32)</f>
        <v>64939.32</v>
      </c>
      <c r="AA71" s="187">
        <f>IFERROR(__xludf.DUMMYFUNCTION("""COMPUTED_VALUE"""),35.0)</f>
        <v>35</v>
      </c>
      <c r="AB71" s="187">
        <f>IFERROR(__xludf.DUMMYFUNCTION("""COMPUTED_VALUE"""),1.0)</f>
        <v>1</v>
      </c>
      <c r="AC71" s="187">
        <f>IFERROR(__xludf.DUMMYFUNCTION("""COMPUTED_VALUE"""),36.0)</f>
        <v>36</v>
      </c>
      <c r="AD71" s="187">
        <f>IFERROR(__xludf.DUMMYFUNCTION("""COMPUTED_VALUE"""),0.0)</f>
        <v>0</v>
      </c>
      <c r="AE71" s="187">
        <f>IFERROR(__xludf.DUMMYFUNCTION("""COMPUTED_VALUE"""),38.0)</f>
        <v>38</v>
      </c>
      <c r="AF71" s="187">
        <f>IFERROR(__xludf.DUMMYFUNCTION("""COMPUTED_VALUE"""),47.0)</f>
        <v>47</v>
      </c>
      <c r="AG71" s="187">
        <f>IFERROR(__xludf.DUMMYFUNCTION("""COMPUTED_VALUE"""),211.0)</f>
        <v>211</v>
      </c>
      <c r="AH71" s="187">
        <f>IFERROR(__xludf.DUMMYFUNCTION("""COMPUTED_VALUE"""),1.0)</f>
        <v>1</v>
      </c>
      <c r="AI71" s="187">
        <f>IFERROR(__xludf.DUMMYFUNCTION("""COMPUTED_VALUE"""),16.0)</f>
        <v>16</v>
      </c>
      <c r="AJ71" s="187">
        <f>IFERROR(__xludf.DUMMYFUNCTION("""COMPUTED_VALUE"""),1.0)</f>
        <v>1</v>
      </c>
      <c r="AK71" s="187">
        <f>IFERROR(__xludf.DUMMYFUNCTION("""COMPUTED_VALUE"""),3.0)</f>
        <v>3</v>
      </c>
      <c r="AL71" s="187">
        <f>IFERROR(__xludf.DUMMYFUNCTION("""COMPUTED_VALUE"""),0.0)</f>
        <v>0</v>
      </c>
      <c r="AM71" s="187">
        <f>IFERROR(__xludf.DUMMYFUNCTION("""COMPUTED_VALUE"""),0.0)</f>
        <v>0</v>
      </c>
      <c r="AN71" s="187">
        <f>IFERROR(__xludf.DUMMYFUNCTION("""COMPUTED_VALUE"""),216.0)</f>
        <v>216</v>
      </c>
      <c r="AO71" s="187">
        <f>IFERROR(__xludf.DUMMYFUNCTION("""COMPUTED_VALUE"""),282.0)</f>
        <v>282</v>
      </c>
      <c r="AP71" s="187">
        <f>IFERROR(__xludf.DUMMYFUNCTION("""COMPUTED_VALUE"""),63.0)</f>
        <v>63</v>
      </c>
      <c r="AQ71" s="217">
        <f>IFERROR(__xludf.DUMMYFUNCTION("""COMPUTED_VALUE"""),39798.74603174603)</f>
        <v>39798.74603</v>
      </c>
      <c r="AR71" s="188">
        <f>IFERROR(__xludf.DUMMYFUNCTION("""COMPUTED_VALUE"""),4.476190476190476)</f>
        <v>4.476190476</v>
      </c>
      <c r="AS71" s="217">
        <f>IFERROR(__xludf.DUMMYFUNCTION("""COMPUTED_VALUE"""),108561.0)</f>
        <v>108561</v>
      </c>
      <c r="AT71" s="217"/>
      <c r="AU71" s="218">
        <f>IFERROR(__xludf.DUMMYFUNCTION("""COMPUTED_VALUE"""),0.04329760728682127)</f>
        <v>0.04329760729</v>
      </c>
      <c r="AV71" s="217">
        <f>IFERROR(__xludf.DUMMYFUNCTION("""COMPUTED_VALUE"""),69647.80555555556)</f>
        <v>69647.80556</v>
      </c>
      <c r="AW71" s="219">
        <f>IFERROR(__xludf.DUMMYFUNCTION("""COMPUTED_VALUE"""),114.0)</f>
        <v>114</v>
      </c>
      <c r="AX71" s="219">
        <f>IFERROR(__xludf.DUMMYFUNCTION("""COMPUTED_VALUE"""),600.0)</f>
        <v>600</v>
      </c>
      <c r="AY71" s="262">
        <f>IFERROR(__xludf.DUMMYFUNCTION("""COMPUTED_VALUE"""),3825.97)</f>
        <v>3825.97</v>
      </c>
      <c r="AZ71" s="263">
        <f>IFERROR(__xludf.DUMMYFUNCTION("""COMPUTED_VALUE"""),66.0)</f>
        <v>66</v>
      </c>
      <c r="BA71" s="263">
        <f>IFERROR(__xludf.DUMMYFUNCTION("""COMPUTED_VALUE"""),36.0)</f>
        <v>36</v>
      </c>
      <c r="BB71" s="263">
        <f>IFERROR(__xludf.DUMMYFUNCTION("""COMPUTED_VALUE"""),24.0)</f>
        <v>24</v>
      </c>
      <c r="BC71" s="263">
        <f>IFERROR(__xludf.DUMMYFUNCTION("""COMPUTED_VALUE"""),6.0)</f>
        <v>6</v>
      </c>
      <c r="BD71" s="264"/>
      <c r="BE71" s="98"/>
      <c r="BF71" s="255" t="e">
        <v>#REF!</v>
      </c>
      <c r="BG71" s="256">
        <f t="shared" si="4"/>
        <v>2507321</v>
      </c>
      <c r="BH71" s="257" t="str">
        <f t="shared" si="5"/>
        <v>#REF!</v>
      </c>
      <c r="BI71" s="98"/>
      <c r="BJ71" s="98"/>
      <c r="BK71" s="98"/>
      <c r="BL71" s="98"/>
      <c r="BM71" s="98"/>
      <c r="BN71" s="98"/>
      <c r="BO71" s="98"/>
      <c r="BP71" s="98"/>
      <c r="BQ71" s="98"/>
      <c r="BR71" s="98"/>
    </row>
    <row r="72">
      <c r="A72" s="6" t="str">
        <f>IFERROR(__xludf.DUMMYFUNCTION("""COMPUTED_VALUE"""),"Syed Aqil Rizvi")</f>
        <v>Syed Aqil Rizvi</v>
      </c>
      <c r="B72" s="98" t="str">
        <f>IFERROR(__xludf.DUMMYFUNCTION("""COMPUTED_VALUE"""),"Madhya Pradesh")</f>
        <v>Madhya Pradesh</v>
      </c>
      <c r="C72" s="98" t="str">
        <f>IFERROR(__xludf.DUMMYFUNCTION("""COMPUTED_VALUE"""),"Saqib juned")</f>
        <v>Saqib juned</v>
      </c>
      <c r="D72" s="98" t="str">
        <f>IFERROR(__xludf.DUMMYFUNCTION("""COMPUTED_VALUE"""),"Indore")</f>
        <v>Indore</v>
      </c>
      <c r="E72" s="213">
        <f>IFERROR(__xludf.DUMMYFUNCTION("""COMPUTED_VALUE"""),45152.0)</f>
        <v>45152</v>
      </c>
      <c r="F72" s="222" t="str">
        <f>IFERROR(__xludf.DUMMYFUNCTION("""COMPUTED_VALUE"""),"MADHYA PRADESH")</f>
        <v>MADHYA PRADESH</v>
      </c>
      <c r="G72" s="215">
        <f>IFERROR(__xludf.DUMMYFUNCTION("""COMPUTED_VALUE"""),2.3083016305830076E7)</f>
        <v>23083016.31</v>
      </c>
      <c r="H72" s="215">
        <f>IFERROR(__xludf.DUMMYFUNCTION("""COMPUTED_VALUE"""),2.1865124E7)</f>
        <v>21865124</v>
      </c>
      <c r="I72" s="216">
        <f>IFERROR(__xludf.DUMMYFUNCTION("""COMPUTED_VALUE"""),49810.0)</f>
        <v>49810</v>
      </c>
      <c r="J72" s="216">
        <f>IFERROR(__xludf.DUMMYFUNCTION("""COMPUTED_VALUE"""),2775000.0)</f>
        <v>2775000</v>
      </c>
      <c r="K72" s="217">
        <f>IFERROR(__xludf.DUMMYFUNCTION("""COMPUTED_VALUE"""),0.0)</f>
        <v>0</v>
      </c>
      <c r="L72" s="217">
        <f>IFERROR(__xludf.DUMMYFUNCTION("""COMPUTED_VALUE"""),8325000.0)</f>
        <v>8325000</v>
      </c>
      <c r="M72" s="217">
        <f>IFERROR(__xludf.DUMMYFUNCTION("""COMPUTED_VALUE"""),6610257.0)</f>
        <v>6610257</v>
      </c>
      <c r="N72" s="217">
        <f>IFERROR(__xludf.DUMMYFUNCTION("""COMPUTED_VALUE"""),0.0)</f>
        <v>0</v>
      </c>
      <c r="O72" s="217">
        <f>IFERROR(__xludf.DUMMYFUNCTION("""COMPUTED_VALUE"""),5716733.0)</f>
        <v>5716733</v>
      </c>
      <c r="P72" s="218">
        <f>IFERROR(__xludf.DUMMYFUNCTION("""COMPUTED_VALUE"""),0.7940248648648649)</f>
        <v>0.7940248649</v>
      </c>
      <c r="Q72" s="218">
        <f>IFERROR(__xludf.DUMMYFUNCTION("""COMPUTED_VALUE"""),0.0)</f>
        <v>0</v>
      </c>
      <c r="R72" s="218">
        <f>IFERROR(__xludf.DUMMYFUNCTION("""COMPUTED_VALUE"""),0.6866946546546546)</f>
        <v>0.6866946547</v>
      </c>
      <c r="S72" s="187">
        <f>IFERROR(__xludf.DUMMYFUNCTION("""COMPUTED_VALUE"""),104.0)</f>
        <v>104</v>
      </c>
      <c r="T72" s="187">
        <f>IFERROR(__xludf.DUMMYFUNCTION("""COMPUTED_VALUE"""),89.0)</f>
        <v>89</v>
      </c>
      <c r="U72" s="187">
        <f>IFERROR(__xludf.DUMMYFUNCTION("""COMPUTED_VALUE"""),6.0)</f>
        <v>6</v>
      </c>
      <c r="V72" s="187">
        <f>IFERROR(__xludf.DUMMYFUNCTION("""COMPUTED_VALUE"""),5.0)</f>
        <v>5</v>
      </c>
      <c r="W72" s="187">
        <f>IFERROR(__xludf.DUMMYFUNCTION("""COMPUTED_VALUE"""),110.0)</f>
        <v>110</v>
      </c>
      <c r="X72" s="187">
        <f>IFERROR(__xludf.DUMMYFUNCTION("""COMPUTED_VALUE"""),21.0)</f>
        <v>21</v>
      </c>
      <c r="Y72" s="188">
        <f>IFERROR(__xludf.DUMMYFUNCTION("""COMPUTED_VALUE"""),5552952.91)</f>
        <v>5552952.91</v>
      </c>
      <c r="Z72" s="188">
        <f>IFERROR(__xludf.DUMMYFUNCTION("""COMPUTED_VALUE"""),1057303.94)</f>
        <v>1057303.94</v>
      </c>
      <c r="AA72" s="187">
        <f>IFERROR(__xludf.DUMMYFUNCTION("""COMPUTED_VALUE"""),70.0)</f>
        <v>70</v>
      </c>
      <c r="AB72" s="187">
        <f>IFERROR(__xludf.DUMMYFUNCTION("""COMPUTED_VALUE"""),5.0)</f>
        <v>5</v>
      </c>
      <c r="AC72" s="187">
        <f>IFERROR(__xludf.DUMMYFUNCTION("""COMPUTED_VALUE"""),75.0)</f>
        <v>75</v>
      </c>
      <c r="AD72" s="187">
        <f>IFERROR(__xludf.DUMMYFUNCTION("""COMPUTED_VALUE"""),0.0)</f>
        <v>0</v>
      </c>
      <c r="AE72" s="187">
        <f>IFERROR(__xludf.DUMMYFUNCTION("""COMPUTED_VALUE"""),29.0)</f>
        <v>29</v>
      </c>
      <c r="AF72" s="187">
        <f>IFERROR(__xludf.DUMMYFUNCTION("""COMPUTED_VALUE"""),31.0)</f>
        <v>31</v>
      </c>
      <c r="AG72" s="187">
        <f>IFERROR(__xludf.DUMMYFUNCTION("""COMPUTED_VALUE"""),271.0)</f>
        <v>271</v>
      </c>
      <c r="AH72" s="187">
        <f>IFERROR(__xludf.DUMMYFUNCTION("""COMPUTED_VALUE"""),3.0)</f>
        <v>3</v>
      </c>
      <c r="AI72" s="187">
        <f>IFERROR(__xludf.DUMMYFUNCTION("""COMPUTED_VALUE"""),25.0)</f>
        <v>25</v>
      </c>
      <c r="AJ72" s="187">
        <f>IFERROR(__xludf.DUMMYFUNCTION("""COMPUTED_VALUE"""),0.0)</f>
        <v>0</v>
      </c>
      <c r="AK72" s="187">
        <f>IFERROR(__xludf.DUMMYFUNCTION("""COMPUTED_VALUE"""),0.0)</f>
        <v>0</v>
      </c>
      <c r="AL72" s="187">
        <f>IFERROR(__xludf.DUMMYFUNCTION("""COMPUTED_VALUE"""),1.0)</f>
        <v>1</v>
      </c>
      <c r="AM72" s="187">
        <f>IFERROR(__xludf.DUMMYFUNCTION("""COMPUTED_VALUE"""),21.0)</f>
        <v>21</v>
      </c>
      <c r="AN72" s="187">
        <f>IFERROR(__xludf.DUMMYFUNCTION("""COMPUTED_VALUE"""),220.0)</f>
        <v>220</v>
      </c>
      <c r="AO72" s="187">
        <f>IFERROR(__xludf.DUMMYFUNCTION("""COMPUTED_VALUE"""),297.0)</f>
        <v>297</v>
      </c>
      <c r="AP72" s="187">
        <f>IFERROR(__xludf.DUMMYFUNCTION("""COMPUTED_VALUE"""),76.0)</f>
        <v>76</v>
      </c>
      <c r="AQ72" s="217">
        <f>IFERROR(__xludf.DUMMYFUNCTION("""COMPUTED_VALUE"""),86977.06578947368)</f>
        <v>86977.06579</v>
      </c>
      <c r="AR72" s="188">
        <f>IFERROR(__xludf.DUMMYFUNCTION("""COMPUTED_VALUE"""),3.9078947368421053)</f>
        <v>3.907894737</v>
      </c>
      <c r="AS72" s="217">
        <f>IFERROR(__xludf.DUMMYFUNCTION("""COMPUTED_VALUE"""),597720.0)</f>
        <v>597720</v>
      </c>
      <c r="AT72" s="217"/>
      <c r="AU72" s="218">
        <f>IFERROR(__xludf.DUMMYFUNCTION("""COMPUTED_VALUE"""),0.09042311062943544)</f>
        <v>0.09042311063</v>
      </c>
      <c r="AV72" s="217">
        <f>IFERROR(__xludf.DUMMYFUNCTION("""COMPUTED_VALUE"""),88136.76)</f>
        <v>88136.76</v>
      </c>
      <c r="AW72" s="219">
        <f>IFERROR(__xludf.DUMMYFUNCTION("""COMPUTED_VALUE"""),254.0)</f>
        <v>254</v>
      </c>
      <c r="AX72" s="219">
        <f>IFERROR(__xludf.DUMMYFUNCTION("""COMPUTED_VALUE"""),655.0)</f>
        <v>655</v>
      </c>
      <c r="AY72" s="262">
        <f>IFERROR(__xludf.DUMMYFUNCTION("""COMPUTED_VALUE"""),4819.65)</f>
        <v>4819.65</v>
      </c>
      <c r="AZ72" s="263">
        <f>IFERROR(__xludf.DUMMYFUNCTION("""COMPUTED_VALUE"""),54.0)</f>
        <v>54</v>
      </c>
      <c r="BA72" s="263">
        <f>IFERROR(__xludf.DUMMYFUNCTION("""COMPUTED_VALUE"""),75.0)</f>
        <v>75</v>
      </c>
      <c r="BB72" s="263">
        <f>IFERROR(__xludf.DUMMYFUNCTION("""COMPUTED_VALUE"""),20.0)</f>
        <v>20</v>
      </c>
      <c r="BC72" s="263">
        <f>IFERROR(__xludf.DUMMYFUNCTION("""COMPUTED_VALUE"""),15.0)</f>
        <v>15</v>
      </c>
      <c r="BD72" s="221"/>
      <c r="BE72" s="98"/>
      <c r="BF72" s="255" t="e">
        <v>#REF!</v>
      </c>
      <c r="BG72" s="256">
        <f t="shared" si="4"/>
        <v>6610257</v>
      </c>
      <c r="BH72" s="257" t="str">
        <f t="shared" si="5"/>
        <v>#REF!</v>
      </c>
      <c r="BI72" s="98"/>
      <c r="BJ72" s="98"/>
      <c r="BK72" s="98"/>
      <c r="BL72" s="98"/>
      <c r="BM72" s="98"/>
      <c r="BN72" s="98"/>
      <c r="BO72" s="98"/>
      <c r="BP72" s="98"/>
      <c r="BQ72" s="98"/>
      <c r="BR72" s="98"/>
    </row>
    <row r="73">
      <c r="A73" s="6" t="str">
        <f>IFERROR(__xludf.DUMMYFUNCTION("""COMPUTED_VALUE"""),"Lalan Kumar")</f>
        <v>Lalan Kumar</v>
      </c>
      <c r="B73" s="98" t="str">
        <f>IFERROR(__xludf.DUMMYFUNCTION("""COMPUTED_VALUE"""),"Maharashtra")</f>
        <v>Maharashtra</v>
      </c>
      <c r="C73" s="212" t="str">
        <f>IFERROR(__xludf.DUMMYFUNCTION("""COMPUTED_VALUE"""),"Vijay Dnyaneshwar")</f>
        <v>Vijay Dnyaneshwar</v>
      </c>
      <c r="D73" s="98" t="str">
        <f>IFERROR(__xludf.DUMMYFUNCTION("""COMPUTED_VALUE"""),"Jalgaon")</f>
        <v>Jalgaon</v>
      </c>
      <c r="E73" s="213">
        <f>IFERROR(__xludf.DUMMYFUNCTION("""COMPUTED_VALUE"""),45159.0)</f>
        <v>45159</v>
      </c>
      <c r="F73" s="222" t="str">
        <f>IFERROR(__xludf.DUMMYFUNCTION("""COMPUTED_VALUE"""),"MAHARASHTRA")</f>
        <v>MAHARASHTRA</v>
      </c>
      <c r="G73" s="215">
        <f>IFERROR(__xludf.DUMMYFUNCTION("""COMPUTED_VALUE"""),1.1028358979999999E7)</f>
        <v>11028358.98</v>
      </c>
      <c r="H73" s="215">
        <f>IFERROR(__xludf.DUMMYFUNCTION("""COMPUTED_VALUE"""),1.0516845E7)</f>
        <v>10516845</v>
      </c>
      <c r="I73" s="216">
        <f>IFERROR(__xludf.DUMMYFUNCTION("""COMPUTED_VALUE"""),30195.0)</f>
        <v>30195</v>
      </c>
      <c r="J73" s="56">
        <f>IFERROR(__xludf.DUMMYFUNCTION("""COMPUTED_VALUE"""),1500000.0)</f>
        <v>1500000</v>
      </c>
      <c r="K73" s="217">
        <f>IFERROR(__xludf.DUMMYFUNCTION("""COMPUTED_VALUE"""),0.0)</f>
        <v>0</v>
      </c>
      <c r="L73" s="217">
        <f>IFERROR(__xludf.DUMMYFUNCTION("""COMPUTED_VALUE"""),4500000.0)</f>
        <v>4500000</v>
      </c>
      <c r="M73" s="217">
        <f>IFERROR(__xludf.DUMMYFUNCTION("""COMPUTED_VALUE"""),2298282.0)</f>
        <v>2298282</v>
      </c>
      <c r="N73" s="217">
        <f>IFERROR(__xludf.DUMMYFUNCTION("""COMPUTED_VALUE"""),0.0)</f>
        <v>0</v>
      </c>
      <c r="O73" s="217">
        <f>IFERROR(__xludf.DUMMYFUNCTION("""COMPUTED_VALUE"""),2101892.0)</f>
        <v>2101892</v>
      </c>
      <c r="P73" s="218">
        <f>IFERROR(__xludf.DUMMYFUNCTION("""COMPUTED_VALUE"""),0.5107293333333334)</f>
        <v>0.5107293333</v>
      </c>
      <c r="Q73" s="218">
        <f>IFERROR(__xludf.DUMMYFUNCTION("""COMPUTED_VALUE"""),0.0)</f>
        <v>0</v>
      </c>
      <c r="R73" s="218">
        <f>IFERROR(__xludf.DUMMYFUNCTION("""COMPUTED_VALUE"""),0.4670871111111111)</f>
        <v>0.4670871111</v>
      </c>
      <c r="S73" s="187">
        <f>IFERROR(__xludf.DUMMYFUNCTION("""COMPUTED_VALUE"""),64.0)</f>
        <v>64</v>
      </c>
      <c r="T73" s="187">
        <f>IFERROR(__xludf.DUMMYFUNCTION("""COMPUTED_VALUE"""),58.0)</f>
        <v>58</v>
      </c>
      <c r="U73" s="187">
        <f>IFERROR(__xludf.DUMMYFUNCTION("""COMPUTED_VALUE"""),1.0)</f>
        <v>1</v>
      </c>
      <c r="V73" s="187">
        <f>IFERROR(__xludf.DUMMYFUNCTION("""COMPUTED_VALUE"""),1.0)</f>
        <v>1</v>
      </c>
      <c r="W73" s="187">
        <f>IFERROR(__xludf.DUMMYFUNCTION("""COMPUTED_VALUE"""),65.0)</f>
        <v>65</v>
      </c>
      <c r="X73" s="187">
        <f>IFERROR(__xludf.DUMMYFUNCTION("""COMPUTED_VALUE"""),7.0)</f>
        <v>7</v>
      </c>
      <c r="Y73" s="188">
        <f>IFERROR(__xludf.DUMMYFUNCTION("""COMPUTED_VALUE"""),2289764.04)</f>
        <v>2289764.04</v>
      </c>
      <c r="Z73" s="188">
        <f>IFERROR(__xludf.DUMMYFUNCTION("""COMPUTED_VALUE"""),8517.89)</f>
        <v>8517.89</v>
      </c>
      <c r="AA73" s="187">
        <f>IFERROR(__xludf.DUMMYFUNCTION("""COMPUTED_VALUE"""),30.0)</f>
        <v>30</v>
      </c>
      <c r="AB73" s="187">
        <f>IFERROR(__xludf.DUMMYFUNCTION("""COMPUTED_VALUE"""),1.0)</f>
        <v>1</v>
      </c>
      <c r="AC73" s="187">
        <f>IFERROR(__xludf.DUMMYFUNCTION("""COMPUTED_VALUE"""),31.0)</f>
        <v>31</v>
      </c>
      <c r="AD73" s="187">
        <f>IFERROR(__xludf.DUMMYFUNCTION("""COMPUTED_VALUE"""),0.0)</f>
        <v>0</v>
      </c>
      <c r="AE73" s="187">
        <f>IFERROR(__xludf.DUMMYFUNCTION("""COMPUTED_VALUE"""),31.0)</f>
        <v>31</v>
      </c>
      <c r="AF73" s="187">
        <f>IFERROR(__xludf.DUMMYFUNCTION("""COMPUTED_VALUE"""),38.0)</f>
        <v>38</v>
      </c>
      <c r="AG73" s="187">
        <f>IFERROR(__xludf.DUMMYFUNCTION("""COMPUTED_VALUE"""),164.0)</f>
        <v>164</v>
      </c>
      <c r="AH73" s="187">
        <f>IFERROR(__xludf.DUMMYFUNCTION("""COMPUTED_VALUE"""),1.0)</f>
        <v>1</v>
      </c>
      <c r="AI73" s="187">
        <f>IFERROR(__xludf.DUMMYFUNCTION("""COMPUTED_VALUE"""),1.0)</f>
        <v>1</v>
      </c>
      <c r="AJ73" s="187">
        <f>IFERROR(__xludf.DUMMYFUNCTION("""COMPUTED_VALUE"""),0.0)</f>
        <v>0</v>
      </c>
      <c r="AK73" s="187">
        <f>IFERROR(__xludf.DUMMYFUNCTION("""COMPUTED_VALUE"""),0.0)</f>
        <v>0</v>
      </c>
      <c r="AL73" s="187">
        <f>IFERROR(__xludf.DUMMYFUNCTION("""COMPUTED_VALUE"""),0.0)</f>
        <v>0</v>
      </c>
      <c r="AM73" s="187">
        <f>IFERROR(__xludf.DUMMYFUNCTION("""COMPUTED_VALUE"""),0.0)</f>
        <v>0</v>
      </c>
      <c r="AN73" s="187">
        <f>IFERROR(__xludf.DUMMYFUNCTION("""COMPUTED_VALUE"""),324.0)</f>
        <v>324</v>
      </c>
      <c r="AO73" s="187">
        <f>IFERROR(__xludf.DUMMYFUNCTION("""COMPUTED_VALUE"""),363.0)</f>
        <v>363</v>
      </c>
      <c r="AP73" s="187">
        <f>IFERROR(__xludf.DUMMYFUNCTION("""COMPUTED_VALUE"""),75.0)</f>
        <v>75</v>
      </c>
      <c r="AQ73" s="217">
        <f>IFERROR(__xludf.DUMMYFUNCTION("""COMPUTED_VALUE"""),30643.76)</f>
        <v>30643.76</v>
      </c>
      <c r="AR73" s="188">
        <f>IFERROR(__xludf.DUMMYFUNCTION("""COMPUTED_VALUE"""),4.84)</f>
        <v>4.84</v>
      </c>
      <c r="AS73" s="217">
        <f>IFERROR(__xludf.DUMMYFUNCTION("""COMPUTED_VALUE"""),90585.0)</f>
        <v>90585</v>
      </c>
      <c r="AT73" s="217"/>
      <c r="AU73" s="218">
        <f>IFERROR(__xludf.DUMMYFUNCTION("""COMPUTED_VALUE"""),0.0394142233198537)</f>
        <v>0.03941422332</v>
      </c>
      <c r="AV73" s="217">
        <f>IFERROR(__xludf.DUMMYFUNCTION("""COMPUTED_VALUE"""),74138.12903225806)</f>
        <v>74138.12903</v>
      </c>
      <c r="AW73" s="219">
        <f>IFERROR(__xludf.DUMMYFUNCTION("""COMPUTED_VALUE"""),67.0)</f>
        <v>67</v>
      </c>
      <c r="AX73" s="219">
        <f>IFERROR(__xludf.DUMMYFUNCTION("""COMPUTED_VALUE"""),781.0)</f>
        <v>781</v>
      </c>
      <c r="AY73" s="262">
        <f>IFERROR(__xludf.DUMMYFUNCTION("""COMPUTED_VALUE"""),7076.5)</f>
        <v>7076.5</v>
      </c>
      <c r="AZ73" s="263">
        <f>IFERROR(__xludf.DUMMYFUNCTION("""COMPUTED_VALUE"""),122.0)</f>
        <v>122</v>
      </c>
      <c r="BA73" s="263">
        <f>IFERROR(__xludf.DUMMYFUNCTION("""COMPUTED_VALUE"""),31.0)</f>
        <v>31</v>
      </c>
      <c r="BB73" s="263">
        <f>IFERROR(__xludf.DUMMYFUNCTION("""COMPUTED_VALUE"""),28.0)</f>
        <v>28</v>
      </c>
      <c r="BC73" s="263">
        <f>IFERROR(__xludf.DUMMYFUNCTION("""COMPUTED_VALUE"""),6.0)</f>
        <v>6</v>
      </c>
      <c r="BD73" s="264"/>
      <c r="BE73" s="98"/>
      <c r="BF73" s="255" t="e">
        <v>#REF!</v>
      </c>
      <c r="BG73" s="256">
        <f t="shared" si="4"/>
        <v>2298282</v>
      </c>
      <c r="BH73" s="257" t="str">
        <f t="shared" si="5"/>
        <v>#REF!</v>
      </c>
      <c r="BI73" s="98"/>
      <c r="BJ73" s="98"/>
      <c r="BK73" s="98"/>
      <c r="BL73" s="98"/>
      <c r="BM73" s="98"/>
      <c r="BN73" s="98"/>
      <c r="BO73" s="98"/>
      <c r="BP73" s="98"/>
      <c r="BQ73" s="98"/>
      <c r="BR73" s="98"/>
    </row>
    <row r="74">
      <c r="A74" s="6" t="str">
        <f>IFERROR(__xludf.DUMMYFUNCTION("""COMPUTED_VALUE"""),"Sandeep Dadheech")</f>
        <v>Sandeep Dadheech</v>
      </c>
      <c r="B74" s="98" t="str">
        <f>IFERROR(__xludf.DUMMYFUNCTION("""COMPUTED_VALUE"""),"Jharkhand")</f>
        <v>Jharkhand</v>
      </c>
      <c r="C74" s="212" t="str">
        <f>IFERROR(__xludf.DUMMYFUNCTION("""COMPUTED_VALUE"""),"VIVEK SHANKAR")</f>
        <v>VIVEK SHANKAR</v>
      </c>
      <c r="D74" s="98" t="str">
        <f>IFERROR(__xludf.DUMMYFUNCTION("""COMPUTED_VALUE"""),"Ranchi")</f>
        <v>Ranchi</v>
      </c>
      <c r="E74" s="213">
        <f>IFERROR(__xludf.DUMMYFUNCTION("""COMPUTED_VALUE"""),45170.0)</f>
        <v>45170</v>
      </c>
      <c r="F74" s="222" t="str">
        <f>IFERROR(__xludf.DUMMYFUNCTION("""COMPUTED_VALUE"""),"JHARKHAND")</f>
        <v>JHARKHAND</v>
      </c>
      <c r="G74" s="215"/>
      <c r="H74" s="215"/>
      <c r="I74" s="216">
        <f>IFERROR(__xludf.DUMMYFUNCTION("""COMPUTED_VALUE"""),95640.0)</f>
        <v>95640</v>
      </c>
      <c r="J74" s="216"/>
      <c r="K74" s="217">
        <f>IFERROR(__xludf.DUMMYFUNCTION("""COMPUTED_VALUE"""),0.0)</f>
        <v>0</v>
      </c>
      <c r="L74" s="217"/>
      <c r="M74" s="217">
        <f>IFERROR(__xludf.DUMMYFUNCTION("""COMPUTED_VALUE"""),0.0)</f>
        <v>0</v>
      </c>
      <c r="N74" s="217">
        <f>IFERROR(__xludf.DUMMYFUNCTION("""COMPUTED_VALUE"""),0.0)</f>
        <v>0</v>
      </c>
      <c r="O74" s="217"/>
      <c r="P74" s="218"/>
      <c r="Q74" s="218">
        <f>IFERROR(__xludf.DUMMYFUNCTION("""COMPUTED_VALUE"""),0.0)</f>
        <v>0</v>
      </c>
      <c r="R74" s="218"/>
      <c r="S74" s="187">
        <f>IFERROR(__xludf.DUMMYFUNCTION("""COMPUTED_VALUE"""),260.0)</f>
        <v>260</v>
      </c>
      <c r="T74" s="187">
        <f>IFERROR(__xludf.DUMMYFUNCTION("""COMPUTED_VALUE"""),104.0)</f>
        <v>104</v>
      </c>
      <c r="U74" s="187">
        <f>IFERROR(__xludf.DUMMYFUNCTION("""COMPUTED_VALUE"""),3.0)</f>
        <v>3</v>
      </c>
      <c r="V74" s="187">
        <f>IFERROR(__xludf.DUMMYFUNCTION("""COMPUTED_VALUE"""),0.0)</f>
        <v>0</v>
      </c>
      <c r="W74" s="187">
        <f>IFERROR(__xludf.DUMMYFUNCTION("""COMPUTED_VALUE"""),263.0)</f>
        <v>263</v>
      </c>
      <c r="X74" s="187">
        <f>IFERROR(__xludf.DUMMYFUNCTION("""COMPUTED_VALUE"""),159.0)</f>
        <v>159</v>
      </c>
      <c r="Y74" s="188">
        <f>IFERROR(__xludf.DUMMYFUNCTION("""COMPUTED_VALUE"""),0.0)</f>
        <v>0</v>
      </c>
      <c r="Z74" s="188">
        <f>IFERROR(__xludf.DUMMYFUNCTION("""COMPUTED_VALUE"""),0.0)</f>
        <v>0</v>
      </c>
      <c r="AA74" s="187">
        <f>IFERROR(__xludf.DUMMYFUNCTION("""COMPUTED_VALUE"""),0.0)</f>
        <v>0</v>
      </c>
      <c r="AB74" s="187">
        <f>IFERROR(__xludf.DUMMYFUNCTION("""COMPUTED_VALUE"""),0.0)</f>
        <v>0</v>
      </c>
      <c r="AC74" s="187">
        <f>IFERROR(__xludf.DUMMYFUNCTION("""COMPUTED_VALUE"""),0.0)</f>
        <v>0</v>
      </c>
      <c r="AD74" s="187">
        <f>IFERROR(__xludf.DUMMYFUNCTION("""COMPUTED_VALUE"""),0.0)</f>
        <v>0</v>
      </c>
      <c r="AE74" s="187">
        <f>IFERROR(__xludf.DUMMYFUNCTION("""COMPUTED_VALUE"""),21.0)</f>
        <v>21</v>
      </c>
      <c r="AF74" s="187">
        <f>IFERROR(__xludf.DUMMYFUNCTION("""COMPUTED_VALUE"""),25.0)</f>
        <v>25</v>
      </c>
      <c r="AG74" s="187">
        <f>IFERROR(__xludf.DUMMYFUNCTION("""COMPUTED_VALUE"""),85.0)</f>
        <v>85</v>
      </c>
      <c r="AH74" s="187">
        <f>IFERROR(__xludf.DUMMYFUNCTION("""COMPUTED_VALUE"""),4.0)</f>
        <v>4</v>
      </c>
      <c r="AI74" s="187">
        <f>IFERROR(__xludf.DUMMYFUNCTION("""COMPUTED_VALUE"""),43.0)</f>
        <v>43</v>
      </c>
      <c r="AJ74" s="187">
        <f>IFERROR(__xludf.DUMMYFUNCTION("""COMPUTED_VALUE"""),0.0)</f>
        <v>0</v>
      </c>
      <c r="AK74" s="187">
        <f>IFERROR(__xludf.DUMMYFUNCTION("""COMPUTED_VALUE"""),0.0)</f>
        <v>0</v>
      </c>
      <c r="AL74" s="187">
        <f>IFERROR(__xludf.DUMMYFUNCTION("""COMPUTED_VALUE"""),0.0)</f>
        <v>0</v>
      </c>
      <c r="AM74" s="187">
        <f>IFERROR(__xludf.DUMMYFUNCTION("""COMPUTED_VALUE"""),0.0)</f>
        <v>0</v>
      </c>
      <c r="AN74" s="187">
        <f>IFERROR(__xludf.DUMMYFUNCTION("""COMPUTED_VALUE"""),174.0)</f>
        <v>174</v>
      </c>
      <c r="AO74" s="187">
        <f>IFERROR(__xludf.DUMMYFUNCTION("""COMPUTED_VALUE"""),242.0)</f>
        <v>242</v>
      </c>
      <c r="AP74" s="187">
        <f>IFERROR(__xludf.DUMMYFUNCTION("""COMPUTED_VALUE"""),70.0)</f>
        <v>70</v>
      </c>
      <c r="AQ74" s="217">
        <f>IFERROR(__xludf.DUMMYFUNCTION("""COMPUTED_VALUE"""),0.0)</f>
        <v>0</v>
      </c>
      <c r="AR74" s="188">
        <f>IFERROR(__xludf.DUMMYFUNCTION("""COMPUTED_VALUE"""),3.4571428571428573)</f>
        <v>3.457142857</v>
      </c>
      <c r="AS74" s="217">
        <f>IFERROR(__xludf.DUMMYFUNCTION("""COMPUTED_VALUE"""),286920.0)</f>
        <v>286920</v>
      </c>
      <c r="AT74" s="217"/>
      <c r="AU74" s="218"/>
      <c r="AV74" s="217"/>
      <c r="AW74" s="219">
        <f>IFERROR(__xludf.DUMMYFUNCTION("""COMPUTED_VALUE"""),0.0)</f>
        <v>0</v>
      </c>
      <c r="AX74" s="219">
        <f>IFERROR(__xludf.DUMMYFUNCTION("""COMPUTED_VALUE"""),734.0)</f>
        <v>734</v>
      </c>
      <c r="AY74" s="262">
        <f>IFERROR(__xludf.DUMMYFUNCTION("""COMPUTED_VALUE"""),5983.58)</f>
        <v>5983.58</v>
      </c>
      <c r="AZ74" s="263">
        <f>IFERROR(__xludf.DUMMYFUNCTION("""COMPUTED_VALUE"""),58.0)</f>
        <v>58</v>
      </c>
      <c r="BA74" s="263">
        <f>IFERROR(__xludf.DUMMYFUNCTION("""COMPUTED_VALUE"""),0.0)</f>
        <v>0</v>
      </c>
      <c r="BB74" s="263">
        <f>IFERROR(__xludf.DUMMYFUNCTION("""COMPUTED_VALUE"""),104.0)</f>
        <v>104</v>
      </c>
      <c r="BC74" s="263">
        <f>IFERROR(__xludf.DUMMYFUNCTION("""COMPUTED_VALUE"""),159.0)</f>
        <v>159</v>
      </c>
      <c r="BD74" s="221"/>
      <c r="BE74" s="98"/>
      <c r="BF74" s="255" t="e">
        <v>#REF!</v>
      </c>
      <c r="BG74" s="256">
        <f t="shared" si="4"/>
        <v>0</v>
      </c>
      <c r="BH74" s="257" t="str">
        <f t="shared" si="5"/>
        <v>#REF!</v>
      </c>
      <c r="BI74" s="98"/>
      <c r="BJ74" s="98"/>
      <c r="BK74" s="98"/>
      <c r="BL74" s="98"/>
      <c r="BM74" s="98"/>
      <c r="BN74" s="98"/>
      <c r="BO74" s="98"/>
      <c r="BP74" s="98"/>
      <c r="BQ74" s="98"/>
      <c r="BR74" s="98"/>
    </row>
    <row r="75">
      <c r="A75" s="6" t="str">
        <f>IFERROR(__xludf.DUMMYFUNCTION("""COMPUTED_VALUE"""),"Sandeep Dadheech")</f>
        <v>Sandeep Dadheech</v>
      </c>
      <c r="B75" s="98" t="str">
        <f>IFERROR(__xludf.DUMMYFUNCTION("""COMPUTED_VALUE"""),"Jharkhand")</f>
        <v>Jharkhand</v>
      </c>
      <c r="C75" s="212" t="str">
        <f>IFERROR(__xludf.DUMMYFUNCTION("""COMPUTED_VALUE"""),"Sudhanshu Kumar")</f>
        <v>Sudhanshu Kumar</v>
      </c>
      <c r="D75" s="98" t="str">
        <f>IFERROR(__xludf.DUMMYFUNCTION("""COMPUTED_VALUE"""),"Hazaribag")</f>
        <v>Hazaribag</v>
      </c>
      <c r="E75" s="213">
        <f>IFERROR(__xludf.DUMMYFUNCTION("""COMPUTED_VALUE"""),45184.0)</f>
        <v>45184</v>
      </c>
      <c r="F75" s="222" t="str">
        <f>IFERROR(__xludf.DUMMYFUNCTION("""COMPUTED_VALUE"""),"JHARKHAND")</f>
        <v>JHARKHAND</v>
      </c>
      <c r="G75" s="215">
        <f>IFERROR(__xludf.DUMMYFUNCTION("""COMPUTED_VALUE"""),1.877169293E7)</f>
        <v>18771692.93</v>
      </c>
      <c r="H75" s="215">
        <f>IFERROR(__xludf.DUMMYFUNCTION("""COMPUTED_VALUE"""),1.9647237E7)</f>
        <v>19647237</v>
      </c>
      <c r="I75" s="216">
        <f>IFERROR(__xludf.DUMMYFUNCTION("""COMPUTED_VALUE"""),36400.0)</f>
        <v>36400</v>
      </c>
      <c r="J75" s="216">
        <f>IFERROR(__xludf.DUMMYFUNCTION("""COMPUTED_VALUE"""),2333333.0)</f>
        <v>2333333</v>
      </c>
      <c r="K75" s="217">
        <f>IFERROR(__xludf.DUMMYFUNCTION("""COMPUTED_VALUE"""),0.0)</f>
        <v>0</v>
      </c>
      <c r="L75" s="217">
        <f>IFERROR(__xludf.DUMMYFUNCTION("""COMPUTED_VALUE"""),6999999.0)</f>
        <v>6999999</v>
      </c>
      <c r="M75" s="217">
        <f>IFERROR(__xludf.DUMMYFUNCTION("""COMPUTED_VALUE"""),4295006.0)</f>
        <v>4295006</v>
      </c>
      <c r="N75" s="217">
        <f>IFERROR(__xludf.DUMMYFUNCTION("""COMPUTED_VALUE"""),0.0)</f>
        <v>0</v>
      </c>
      <c r="O75" s="217">
        <f>IFERROR(__xludf.DUMMYFUNCTION("""COMPUTED_VALUE"""),3731611.0)</f>
        <v>3731611</v>
      </c>
      <c r="P75" s="218">
        <f>IFERROR(__xludf.DUMMYFUNCTION("""COMPUTED_VALUE"""),0.6135723733674819)</f>
        <v>0.6135723734</v>
      </c>
      <c r="Q75" s="218">
        <f>IFERROR(__xludf.DUMMYFUNCTION("""COMPUTED_VALUE"""),0.0)</f>
        <v>0</v>
      </c>
      <c r="R75" s="218">
        <f>IFERROR(__xludf.DUMMYFUNCTION("""COMPUTED_VALUE"""),0.5330873618696231)</f>
        <v>0.5330873619</v>
      </c>
      <c r="S75" s="187">
        <f>IFERROR(__xludf.DUMMYFUNCTION("""COMPUTED_VALUE"""),52.0)</f>
        <v>52</v>
      </c>
      <c r="T75" s="187">
        <f>IFERROR(__xludf.DUMMYFUNCTION("""COMPUTED_VALUE"""),54.0)</f>
        <v>54</v>
      </c>
      <c r="U75" s="187">
        <f>IFERROR(__xludf.DUMMYFUNCTION("""COMPUTED_VALUE"""),4.0)</f>
        <v>4</v>
      </c>
      <c r="V75" s="187">
        <f>IFERROR(__xludf.DUMMYFUNCTION("""COMPUTED_VALUE"""),4.0)</f>
        <v>4</v>
      </c>
      <c r="W75" s="187">
        <f>IFERROR(__xludf.DUMMYFUNCTION("""COMPUTED_VALUE"""),56.0)</f>
        <v>56</v>
      </c>
      <c r="X75" s="187">
        <f>IFERROR(__xludf.DUMMYFUNCTION("""COMPUTED_VALUE"""),2.0)</f>
        <v>2</v>
      </c>
      <c r="Y75" s="188">
        <f>IFERROR(__xludf.DUMMYFUNCTION("""COMPUTED_VALUE"""),3378682.48)</f>
        <v>3378682.48</v>
      </c>
      <c r="Z75" s="188">
        <f>IFERROR(__xludf.DUMMYFUNCTION("""COMPUTED_VALUE"""),916323.45)</f>
        <v>916323.45</v>
      </c>
      <c r="AA75" s="187">
        <f>IFERROR(__xludf.DUMMYFUNCTION("""COMPUTED_VALUE"""),18.0)</f>
        <v>18</v>
      </c>
      <c r="AB75" s="187">
        <f>IFERROR(__xludf.DUMMYFUNCTION("""COMPUTED_VALUE"""),4.0)</f>
        <v>4</v>
      </c>
      <c r="AC75" s="187">
        <f>IFERROR(__xludf.DUMMYFUNCTION("""COMPUTED_VALUE"""),22.0)</f>
        <v>22</v>
      </c>
      <c r="AD75" s="187">
        <f>IFERROR(__xludf.DUMMYFUNCTION("""COMPUTED_VALUE"""),0.0)</f>
        <v>0</v>
      </c>
      <c r="AE75" s="187">
        <f>IFERROR(__xludf.DUMMYFUNCTION("""COMPUTED_VALUE"""),38.0)</f>
        <v>38</v>
      </c>
      <c r="AF75" s="187">
        <f>IFERROR(__xludf.DUMMYFUNCTION("""COMPUTED_VALUE"""),46.0)</f>
        <v>46</v>
      </c>
      <c r="AG75" s="187">
        <f>IFERROR(__xludf.DUMMYFUNCTION("""COMPUTED_VALUE"""),125.0)</f>
        <v>125</v>
      </c>
      <c r="AH75" s="187">
        <f>IFERROR(__xludf.DUMMYFUNCTION("""COMPUTED_VALUE"""),1.0)</f>
        <v>1</v>
      </c>
      <c r="AI75" s="187">
        <f>IFERROR(__xludf.DUMMYFUNCTION("""COMPUTED_VALUE"""),3.0)</f>
        <v>3</v>
      </c>
      <c r="AJ75" s="187">
        <f>IFERROR(__xludf.DUMMYFUNCTION("""COMPUTED_VALUE"""),0.0)</f>
        <v>0</v>
      </c>
      <c r="AK75" s="187">
        <f>IFERROR(__xludf.DUMMYFUNCTION("""COMPUTED_VALUE"""),0.0)</f>
        <v>0</v>
      </c>
      <c r="AL75" s="187">
        <f>IFERROR(__xludf.DUMMYFUNCTION("""COMPUTED_VALUE"""),0.0)</f>
        <v>0</v>
      </c>
      <c r="AM75" s="187">
        <f>IFERROR(__xludf.DUMMYFUNCTION("""COMPUTED_VALUE"""),0.0)</f>
        <v>0</v>
      </c>
      <c r="AN75" s="187">
        <f>IFERROR(__xludf.DUMMYFUNCTION("""COMPUTED_VALUE"""),200.0)</f>
        <v>200</v>
      </c>
      <c r="AO75" s="187">
        <f>IFERROR(__xludf.DUMMYFUNCTION("""COMPUTED_VALUE"""),249.0)</f>
        <v>249</v>
      </c>
      <c r="AP75" s="187">
        <f>IFERROR(__xludf.DUMMYFUNCTION("""COMPUTED_VALUE"""),78.0)</f>
        <v>78</v>
      </c>
      <c r="AQ75" s="217">
        <f>IFERROR(__xludf.DUMMYFUNCTION("""COMPUTED_VALUE"""),55064.179487179485)</f>
        <v>55064.17949</v>
      </c>
      <c r="AR75" s="188">
        <f>IFERROR(__xludf.DUMMYFUNCTION("""COMPUTED_VALUE"""),3.1923076923076925)</f>
        <v>3.192307692</v>
      </c>
      <c r="AS75" s="217">
        <f>IFERROR(__xludf.DUMMYFUNCTION("""COMPUTED_VALUE"""),109200.0)</f>
        <v>109200</v>
      </c>
      <c r="AT75" s="217"/>
      <c r="AU75" s="218">
        <f>IFERROR(__xludf.DUMMYFUNCTION("""COMPUTED_VALUE"""),0.02542487717130081)</f>
        <v>0.02542487717</v>
      </c>
      <c r="AV75" s="217">
        <f>IFERROR(__xludf.DUMMYFUNCTION("""COMPUTED_VALUE"""),195227.54545454544)</f>
        <v>195227.5455</v>
      </c>
      <c r="AW75" s="219">
        <f>IFERROR(__xludf.DUMMYFUNCTION("""COMPUTED_VALUE"""),50.0)</f>
        <v>50</v>
      </c>
      <c r="AX75" s="219">
        <f>IFERROR(__xludf.DUMMYFUNCTION("""COMPUTED_VALUE"""),792.0)</f>
        <v>792</v>
      </c>
      <c r="AY75" s="262">
        <f>IFERROR(__xludf.DUMMYFUNCTION("""COMPUTED_VALUE"""),5596.52)</f>
        <v>5596.52</v>
      </c>
      <c r="AZ75" s="263">
        <f>IFERROR(__xludf.DUMMYFUNCTION("""COMPUTED_VALUE"""),104.0)</f>
        <v>104</v>
      </c>
      <c r="BA75" s="263">
        <f>IFERROR(__xludf.DUMMYFUNCTION("""COMPUTED_VALUE"""),22.0)</f>
        <v>22</v>
      </c>
      <c r="BB75" s="263">
        <f>IFERROR(__xludf.DUMMYFUNCTION("""COMPUTED_VALUE"""),33.0)</f>
        <v>33</v>
      </c>
      <c r="BC75" s="263">
        <f>IFERROR(__xludf.DUMMYFUNCTION("""COMPUTED_VALUE"""),1.0)</f>
        <v>1</v>
      </c>
      <c r="BD75" s="264"/>
      <c r="BE75" s="98"/>
      <c r="BF75" s="255" t="e">
        <v>#REF!</v>
      </c>
      <c r="BG75" s="256">
        <f t="shared" si="4"/>
        <v>4295006</v>
      </c>
      <c r="BH75" s="257" t="str">
        <f t="shared" si="5"/>
        <v>#REF!</v>
      </c>
      <c r="BI75" s="98"/>
      <c r="BJ75" s="98"/>
      <c r="BK75" s="98"/>
      <c r="BL75" s="98"/>
      <c r="BM75" s="98"/>
      <c r="BN75" s="98"/>
      <c r="BO75" s="98"/>
      <c r="BP75" s="98"/>
      <c r="BQ75" s="98"/>
      <c r="BR75" s="98"/>
    </row>
    <row r="76">
      <c r="A76" s="6" t="str">
        <f>IFERROR(__xludf.DUMMYFUNCTION("""COMPUTED_VALUE"""),"Syed Aqil Rizvi")</f>
        <v>Syed Aqil Rizvi</v>
      </c>
      <c r="B76" s="98" t="str">
        <f>IFERROR(__xludf.DUMMYFUNCTION("""COMPUTED_VALUE"""),"East U.P")</f>
        <v>East U.P</v>
      </c>
      <c r="C76" s="212" t="str">
        <f>IFERROR(__xludf.DUMMYFUNCTION("""COMPUTED_VALUE"""),"Arun Sharma")</f>
        <v>Arun Sharma</v>
      </c>
      <c r="D76" s="98" t="str">
        <f>IFERROR(__xludf.DUMMYFUNCTION("""COMPUTED_VALUE"""),"Lucknow")</f>
        <v>Lucknow</v>
      </c>
      <c r="E76" s="213">
        <f>IFERROR(__xludf.DUMMYFUNCTION("""COMPUTED_VALUE"""),45187.0)</f>
        <v>45187</v>
      </c>
      <c r="F76" s="222" t="str">
        <f>IFERROR(__xludf.DUMMYFUNCTION("""COMPUTED_VALUE"""),"East U.P")</f>
        <v>East U.P</v>
      </c>
      <c r="G76" s="215">
        <f>IFERROR(__xludf.DUMMYFUNCTION("""COMPUTED_VALUE"""),1.158968548E7)</f>
        <v>11589685.48</v>
      </c>
      <c r="H76" s="215">
        <f>IFERROR(__xludf.DUMMYFUNCTION("""COMPUTED_VALUE"""),1.0929491E7)</f>
        <v>10929491</v>
      </c>
      <c r="I76" s="216">
        <f>IFERROR(__xludf.DUMMYFUNCTION("""COMPUTED_VALUE"""),47925.0)</f>
        <v>47925</v>
      </c>
      <c r="J76" s="216">
        <f>IFERROR(__xludf.DUMMYFUNCTION("""COMPUTED_VALUE"""),2163333.0)</f>
        <v>2163333</v>
      </c>
      <c r="K76" s="217">
        <f>IFERROR(__xludf.DUMMYFUNCTION("""COMPUTED_VALUE"""),0.0)</f>
        <v>0</v>
      </c>
      <c r="L76" s="217">
        <f>IFERROR(__xludf.DUMMYFUNCTION("""COMPUTED_VALUE"""),6489999.0)</f>
        <v>6489999</v>
      </c>
      <c r="M76" s="217">
        <f>IFERROR(__xludf.DUMMYFUNCTION("""COMPUTED_VALUE"""),3455606.0)</f>
        <v>3455606</v>
      </c>
      <c r="N76" s="217">
        <f>IFERROR(__xludf.DUMMYFUNCTION("""COMPUTED_VALUE"""),0.0)</f>
        <v>0</v>
      </c>
      <c r="O76" s="217">
        <f>IFERROR(__xludf.DUMMYFUNCTION("""COMPUTED_VALUE"""),2448607.0)</f>
        <v>2448607</v>
      </c>
      <c r="P76" s="218">
        <f>IFERROR(__xludf.DUMMYFUNCTION("""COMPUTED_VALUE"""),0.5324509294993728)</f>
        <v>0.5324509295</v>
      </c>
      <c r="Q76" s="218">
        <f>IFERROR(__xludf.DUMMYFUNCTION("""COMPUTED_VALUE"""),0.0)</f>
        <v>0</v>
      </c>
      <c r="R76" s="218">
        <f>IFERROR(__xludf.DUMMYFUNCTION("""COMPUTED_VALUE"""),0.37728927230959514)</f>
        <v>0.3772892723</v>
      </c>
      <c r="S76" s="187">
        <f>IFERROR(__xludf.DUMMYFUNCTION("""COMPUTED_VALUE"""),109.0)</f>
        <v>109</v>
      </c>
      <c r="T76" s="187">
        <f>IFERROR(__xludf.DUMMYFUNCTION("""COMPUTED_VALUE"""),90.0)</f>
        <v>90</v>
      </c>
      <c r="U76" s="187">
        <f>IFERROR(__xludf.DUMMYFUNCTION("""COMPUTED_VALUE"""),3.0)</f>
        <v>3</v>
      </c>
      <c r="V76" s="187">
        <f>IFERROR(__xludf.DUMMYFUNCTION("""COMPUTED_VALUE"""),3.0)</f>
        <v>3</v>
      </c>
      <c r="W76" s="187">
        <f>IFERROR(__xludf.DUMMYFUNCTION("""COMPUTED_VALUE"""),112.0)</f>
        <v>112</v>
      </c>
      <c r="X76" s="187">
        <f>IFERROR(__xludf.DUMMYFUNCTION("""COMPUTED_VALUE"""),22.0)</f>
        <v>22</v>
      </c>
      <c r="Y76" s="188">
        <f>IFERROR(__xludf.DUMMYFUNCTION("""COMPUTED_VALUE"""),3281222.22)</f>
        <v>3281222.22</v>
      </c>
      <c r="Z76" s="188">
        <f>IFERROR(__xludf.DUMMYFUNCTION("""COMPUTED_VALUE"""),174383.46)</f>
        <v>174383.46</v>
      </c>
      <c r="AA76" s="187">
        <f>IFERROR(__xludf.DUMMYFUNCTION("""COMPUTED_VALUE"""),56.0)</f>
        <v>56</v>
      </c>
      <c r="AB76" s="187">
        <f>IFERROR(__xludf.DUMMYFUNCTION("""COMPUTED_VALUE"""),3.0)</f>
        <v>3</v>
      </c>
      <c r="AC76" s="187">
        <f>IFERROR(__xludf.DUMMYFUNCTION("""COMPUTED_VALUE"""),59.0)</f>
        <v>59</v>
      </c>
      <c r="AD76" s="187">
        <f>IFERROR(__xludf.DUMMYFUNCTION("""COMPUTED_VALUE"""),0.0)</f>
        <v>0</v>
      </c>
      <c r="AE76" s="187">
        <f>IFERROR(__xludf.DUMMYFUNCTION("""COMPUTED_VALUE"""),17.0)</f>
        <v>17</v>
      </c>
      <c r="AF76" s="187">
        <f>IFERROR(__xludf.DUMMYFUNCTION("""COMPUTED_VALUE"""),21.0)</f>
        <v>21</v>
      </c>
      <c r="AG76" s="187">
        <f>IFERROR(__xludf.DUMMYFUNCTION("""COMPUTED_VALUE"""),238.0)</f>
        <v>238</v>
      </c>
      <c r="AH76" s="187">
        <f>IFERROR(__xludf.DUMMYFUNCTION("""COMPUTED_VALUE"""),2.0)</f>
        <v>2</v>
      </c>
      <c r="AI76" s="187">
        <f>IFERROR(__xludf.DUMMYFUNCTION("""COMPUTED_VALUE"""),29.0)</f>
        <v>29</v>
      </c>
      <c r="AJ76" s="187">
        <f>IFERROR(__xludf.DUMMYFUNCTION("""COMPUTED_VALUE"""),0.0)</f>
        <v>0</v>
      </c>
      <c r="AK76" s="187">
        <f>IFERROR(__xludf.DUMMYFUNCTION("""COMPUTED_VALUE"""),0.0)</f>
        <v>0</v>
      </c>
      <c r="AL76" s="187">
        <f>IFERROR(__xludf.DUMMYFUNCTION("""COMPUTED_VALUE"""),0.0)</f>
        <v>0</v>
      </c>
      <c r="AM76" s="187">
        <f>IFERROR(__xludf.DUMMYFUNCTION("""COMPUTED_VALUE"""),0.0)</f>
        <v>0</v>
      </c>
      <c r="AN76" s="187">
        <f>IFERROR(__xludf.DUMMYFUNCTION("""COMPUTED_VALUE"""),277.0)</f>
        <v>277</v>
      </c>
      <c r="AO76" s="187">
        <f>IFERROR(__xludf.DUMMYFUNCTION("""COMPUTED_VALUE"""),327.0)</f>
        <v>327</v>
      </c>
      <c r="AP76" s="187">
        <f>IFERROR(__xludf.DUMMYFUNCTION("""COMPUTED_VALUE"""),76.0)</f>
        <v>76</v>
      </c>
      <c r="AQ76" s="217">
        <f>IFERROR(__xludf.DUMMYFUNCTION("""COMPUTED_VALUE"""),45468.5)</f>
        <v>45468.5</v>
      </c>
      <c r="AR76" s="188">
        <f>IFERROR(__xludf.DUMMYFUNCTION("""COMPUTED_VALUE"""),4.302631578947368)</f>
        <v>4.302631579</v>
      </c>
      <c r="AS76" s="217">
        <f>IFERROR(__xludf.DUMMYFUNCTION("""COMPUTED_VALUE"""),143775.0)</f>
        <v>143775</v>
      </c>
      <c r="AT76" s="217"/>
      <c r="AU76" s="218">
        <f>IFERROR(__xludf.DUMMYFUNCTION("""COMPUTED_VALUE"""),0.04160630581148429)</f>
        <v>0.04160630581</v>
      </c>
      <c r="AV76" s="217">
        <f>IFERROR(__xludf.DUMMYFUNCTION("""COMPUTED_VALUE"""),58569.59322033898)</f>
        <v>58569.59322</v>
      </c>
      <c r="AW76" s="219">
        <f>IFERROR(__xludf.DUMMYFUNCTION("""COMPUTED_VALUE"""),156.0)</f>
        <v>156</v>
      </c>
      <c r="AX76" s="219">
        <f>IFERROR(__xludf.DUMMYFUNCTION("""COMPUTED_VALUE"""),663.0)</f>
        <v>663</v>
      </c>
      <c r="AY76" s="262">
        <f>IFERROR(__xludf.DUMMYFUNCTION("""COMPUTED_VALUE"""),3459.21)</f>
        <v>3459.21</v>
      </c>
      <c r="AZ76" s="263">
        <f>IFERROR(__xludf.DUMMYFUNCTION("""COMPUTED_VALUE"""),38.0)</f>
        <v>38</v>
      </c>
      <c r="BA76" s="263">
        <f>IFERROR(__xludf.DUMMYFUNCTION("""COMPUTED_VALUE"""),59.0)</f>
        <v>59</v>
      </c>
      <c r="BB76" s="263">
        <f>IFERROR(__xludf.DUMMYFUNCTION("""COMPUTED_VALUE"""),33.0)</f>
        <v>33</v>
      </c>
      <c r="BC76" s="263">
        <f>IFERROR(__xludf.DUMMYFUNCTION("""COMPUTED_VALUE"""),20.0)</f>
        <v>20</v>
      </c>
      <c r="BD76" s="258"/>
      <c r="BE76" s="258"/>
      <c r="BF76" s="255" t="e">
        <v>#REF!</v>
      </c>
      <c r="BG76" s="256">
        <f t="shared" si="4"/>
        <v>3455606</v>
      </c>
      <c r="BH76" s="257" t="str">
        <f t="shared" si="5"/>
        <v>#REF!</v>
      </c>
      <c r="BI76" s="98"/>
      <c r="BJ76" s="98"/>
      <c r="BK76" s="98"/>
      <c r="BL76" s="98"/>
      <c r="BM76" s="98"/>
      <c r="BN76" s="98"/>
      <c r="BO76" s="98"/>
      <c r="BP76" s="98"/>
      <c r="BQ76" s="98"/>
      <c r="BR76" s="98"/>
    </row>
    <row r="77">
      <c r="A77" s="6" t="str">
        <f>IFERROR(__xludf.DUMMYFUNCTION("""COMPUTED_VALUE"""),"Sandeep Dadheech")</f>
        <v>Sandeep Dadheech</v>
      </c>
      <c r="B77" s="98" t="str">
        <f>IFERROR(__xludf.DUMMYFUNCTION("""COMPUTED_VALUE"""),"West Bengal")</f>
        <v>West Bengal</v>
      </c>
      <c r="C77" s="212" t="str">
        <f>IFERROR(__xludf.DUMMYFUNCTION("""COMPUTED_VALUE"""),"DIBYENDU SAHA")</f>
        <v>DIBYENDU SAHA</v>
      </c>
      <c r="D77" s="98" t="str">
        <f>IFERROR(__xludf.DUMMYFUNCTION("""COMPUTED_VALUE"""),"Kolkata")</f>
        <v>Kolkata</v>
      </c>
      <c r="E77" s="213">
        <f>IFERROR(__xludf.DUMMYFUNCTION("""COMPUTED_VALUE"""),45202.0)</f>
        <v>45202</v>
      </c>
      <c r="F77" s="222" t="str">
        <f>IFERROR(__xludf.DUMMYFUNCTION("""COMPUTED_VALUE"""),"WEST BENGAL")</f>
        <v>WEST BENGAL</v>
      </c>
      <c r="G77" s="215"/>
      <c r="H77" s="215"/>
      <c r="I77" s="216">
        <f>IFERROR(__xludf.DUMMYFUNCTION("""COMPUTED_VALUE"""),93820.0)</f>
        <v>93820</v>
      </c>
      <c r="J77" s="216"/>
      <c r="K77" s="217">
        <f>IFERROR(__xludf.DUMMYFUNCTION("""COMPUTED_VALUE"""),0.0)</f>
        <v>0</v>
      </c>
      <c r="L77" s="217"/>
      <c r="M77" s="217">
        <f>IFERROR(__xludf.DUMMYFUNCTION("""COMPUTED_VALUE"""),0.0)</f>
        <v>0</v>
      </c>
      <c r="N77" s="217">
        <f>IFERROR(__xludf.DUMMYFUNCTION("""COMPUTED_VALUE"""),0.0)</f>
        <v>0</v>
      </c>
      <c r="O77" s="217"/>
      <c r="P77" s="218"/>
      <c r="Q77" s="218">
        <f>IFERROR(__xludf.DUMMYFUNCTION("""COMPUTED_VALUE"""),0.0)</f>
        <v>0</v>
      </c>
      <c r="R77" s="218"/>
      <c r="S77" s="187">
        <f>IFERROR(__xludf.DUMMYFUNCTION("""COMPUTED_VALUE"""),213.0)</f>
        <v>213</v>
      </c>
      <c r="T77" s="187">
        <f>IFERROR(__xludf.DUMMYFUNCTION("""COMPUTED_VALUE"""),21.0)</f>
        <v>21</v>
      </c>
      <c r="U77" s="187">
        <f>IFERROR(__xludf.DUMMYFUNCTION("""COMPUTED_VALUE"""),0.0)</f>
        <v>0</v>
      </c>
      <c r="V77" s="187">
        <f>IFERROR(__xludf.DUMMYFUNCTION("""COMPUTED_VALUE"""),0.0)</f>
        <v>0</v>
      </c>
      <c r="W77" s="187">
        <f>IFERROR(__xludf.DUMMYFUNCTION("""COMPUTED_VALUE"""),213.0)</f>
        <v>213</v>
      </c>
      <c r="X77" s="187">
        <f>IFERROR(__xludf.DUMMYFUNCTION("""COMPUTED_VALUE"""),192.0)</f>
        <v>192</v>
      </c>
      <c r="Y77" s="188">
        <f>IFERROR(__xludf.DUMMYFUNCTION("""COMPUTED_VALUE"""),0.0)</f>
        <v>0</v>
      </c>
      <c r="Z77" s="188">
        <f>IFERROR(__xludf.DUMMYFUNCTION("""COMPUTED_VALUE"""),0.0)</f>
        <v>0</v>
      </c>
      <c r="AA77" s="187">
        <f>IFERROR(__xludf.DUMMYFUNCTION("""COMPUTED_VALUE"""),0.0)</f>
        <v>0</v>
      </c>
      <c r="AB77" s="187">
        <f>IFERROR(__xludf.DUMMYFUNCTION("""COMPUTED_VALUE"""),0.0)</f>
        <v>0</v>
      </c>
      <c r="AC77" s="187">
        <f>IFERROR(__xludf.DUMMYFUNCTION("""COMPUTED_VALUE"""),0.0)</f>
        <v>0</v>
      </c>
      <c r="AD77" s="187">
        <f>IFERROR(__xludf.DUMMYFUNCTION("""COMPUTED_VALUE"""),0.0)</f>
        <v>0</v>
      </c>
      <c r="AE77" s="187">
        <f>IFERROR(__xludf.DUMMYFUNCTION("""COMPUTED_VALUE"""),1.0)</f>
        <v>1</v>
      </c>
      <c r="AF77" s="187">
        <f>IFERROR(__xludf.DUMMYFUNCTION("""COMPUTED_VALUE"""),1.0)</f>
        <v>1</v>
      </c>
      <c r="AG77" s="187">
        <f>IFERROR(__xludf.DUMMYFUNCTION("""COMPUTED_VALUE"""),41.0)</f>
        <v>41</v>
      </c>
      <c r="AH77" s="187">
        <f>IFERROR(__xludf.DUMMYFUNCTION("""COMPUTED_VALUE"""),14.0)</f>
        <v>14</v>
      </c>
      <c r="AI77" s="187">
        <f>IFERROR(__xludf.DUMMYFUNCTION("""COMPUTED_VALUE"""),45.0)</f>
        <v>45</v>
      </c>
      <c r="AJ77" s="187">
        <f>IFERROR(__xludf.DUMMYFUNCTION("""COMPUTED_VALUE"""),0.0)</f>
        <v>0</v>
      </c>
      <c r="AK77" s="187">
        <f>IFERROR(__xludf.DUMMYFUNCTION("""COMPUTED_VALUE"""),0.0)</f>
        <v>0</v>
      </c>
      <c r="AL77" s="187">
        <f>IFERROR(__xludf.DUMMYFUNCTION("""COMPUTED_VALUE"""),0.0)</f>
        <v>0</v>
      </c>
      <c r="AM77" s="187">
        <f>IFERROR(__xludf.DUMMYFUNCTION("""COMPUTED_VALUE"""),0.0)</f>
        <v>0</v>
      </c>
      <c r="AN77" s="187">
        <f>IFERROR(__xludf.DUMMYFUNCTION("""COMPUTED_VALUE"""),31.0)</f>
        <v>31</v>
      </c>
      <c r="AO77" s="187">
        <f>IFERROR(__xludf.DUMMYFUNCTION("""COMPUTED_VALUE"""),77.0)</f>
        <v>77</v>
      </c>
      <c r="AP77" s="187">
        <f>IFERROR(__xludf.DUMMYFUNCTION("""COMPUTED_VALUE"""),74.0)</f>
        <v>74</v>
      </c>
      <c r="AQ77" s="217">
        <f>IFERROR(__xludf.DUMMYFUNCTION("""COMPUTED_VALUE"""),0.0)</f>
        <v>0</v>
      </c>
      <c r="AR77" s="188">
        <f>IFERROR(__xludf.DUMMYFUNCTION("""COMPUTED_VALUE"""),1.0405405405405406)</f>
        <v>1.040540541</v>
      </c>
      <c r="AS77" s="217">
        <f>IFERROR(__xludf.DUMMYFUNCTION("""COMPUTED_VALUE"""),281460.0)</f>
        <v>281460</v>
      </c>
      <c r="AT77" s="217"/>
      <c r="AU77" s="218"/>
      <c r="AV77" s="217"/>
      <c r="AW77" s="219">
        <f>IFERROR(__xludf.DUMMYFUNCTION("""COMPUTED_VALUE"""),0.0)</f>
        <v>0</v>
      </c>
      <c r="AX77" s="219">
        <f>IFERROR(__xludf.DUMMYFUNCTION("""COMPUTED_VALUE"""),731.0)</f>
        <v>731</v>
      </c>
      <c r="AY77" s="262">
        <f>IFERROR(__xludf.DUMMYFUNCTION("""COMPUTED_VALUE"""),6073.3)</f>
        <v>6073.3</v>
      </c>
      <c r="AZ77" s="263">
        <f>IFERROR(__xludf.DUMMYFUNCTION("""COMPUTED_VALUE"""),289.0)</f>
        <v>289</v>
      </c>
      <c r="BA77" s="263">
        <f>IFERROR(__xludf.DUMMYFUNCTION("""COMPUTED_VALUE"""),0.0)</f>
        <v>0</v>
      </c>
      <c r="BB77" s="263">
        <f>IFERROR(__xludf.DUMMYFUNCTION("""COMPUTED_VALUE"""),21.0)</f>
        <v>21</v>
      </c>
      <c r="BC77" s="263">
        <f>IFERROR(__xludf.DUMMYFUNCTION("""COMPUTED_VALUE"""),192.0)</f>
        <v>192</v>
      </c>
      <c r="BD77" s="258"/>
      <c r="BE77" s="258"/>
      <c r="BF77" s="255" t="e">
        <v>#REF!</v>
      </c>
      <c r="BG77" s="256">
        <f t="shared" si="4"/>
        <v>0</v>
      </c>
      <c r="BH77" s="257" t="str">
        <f t="shared" si="5"/>
        <v>#REF!</v>
      </c>
      <c r="BI77" s="98"/>
      <c r="BJ77" s="98"/>
      <c r="BK77" s="98"/>
      <c r="BL77" s="98"/>
      <c r="BM77" s="98"/>
      <c r="BN77" s="98"/>
      <c r="BO77" s="98"/>
      <c r="BP77" s="98"/>
      <c r="BQ77" s="98"/>
      <c r="BR77" s="98"/>
    </row>
    <row r="78">
      <c r="A78" s="6" t="str">
        <f>IFERROR(__xludf.DUMMYFUNCTION("""COMPUTED_VALUE"""),"Nasir Hussain Khan")</f>
        <v>Nasir Hussain Khan</v>
      </c>
      <c r="B78" s="98" t="str">
        <f>IFERROR(__xludf.DUMMYFUNCTION("""COMPUTED_VALUE"""),"JAMMU AND KASHMIR")</f>
        <v>JAMMU AND KASHMIR</v>
      </c>
      <c r="C78" s="212" t="str">
        <f>IFERROR(__xludf.DUMMYFUNCTION("""COMPUTED_VALUE"""),"Vishant Bandhral")</f>
        <v>Vishant Bandhral</v>
      </c>
      <c r="D78" s="98" t="str">
        <f>IFERROR(__xludf.DUMMYFUNCTION("""COMPUTED_VALUE"""),"Udhampur")</f>
        <v>Udhampur</v>
      </c>
      <c r="E78" s="213">
        <f>IFERROR(__xludf.DUMMYFUNCTION("""COMPUTED_VALUE"""),45208.0)</f>
        <v>45208</v>
      </c>
      <c r="F78" s="222" t="str">
        <f>IFERROR(__xludf.DUMMYFUNCTION("""COMPUTED_VALUE"""),"JAMMU AND KASHMIR")</f>
        <v>JAMMU AND KASHMIR</v>
      </c>
      <c r="G78" s="215">
        <f>IFERROR(__xludf.DUMMYFUNCTION("""COMPUTED_VALUE"""),3051120.4399999995)</f>
        <v>3051120.44</v>
      </c>
      <c r="H78" s="215">
        <f>IFERROR(__xludf.DUMMYFUNCTION("""COMPUTED_VALUE"""),2973305.0)</f>
        <v>2973305</v>
      </c>
      <c r="I78" s="216">
        <f>IFERROR(__xludf.DUMMYFUNCTION("""COMPUTED_VALUE"""),24226.0)</f>
        <v>24226</v>
      </c>
      <c r="J78" s="216"/>
      <c r="K78" s="217">
        <f>IFERROR(__xludf.DUMMYFUNCTION("""COMPUTED_VALUE"""),0.0)</f>
        <v>0</v>
      </c>
      <c r="L78" s="217">
        <f>IFERROR(__xludf.DUMMYFUNCTION("""COMPUTED_VALUE"""),0.0)</f>
        <v>0</v>
      </c>
      <c r="M78" s="217">
        <f>IFERROR(__xludf.DUMMYFUNCTION("""COMPUTED_VALUE"""),250082.0)</f>
        <v>250082</v>
      </c>
      <c r="N78" s="217">
        <f>IFERROR(__xludf.DUMMYFUNCTION("""COMPUTED_VALUE"""),0.0)</f>
        <v>0</v>
      </c>
      <c r="O78" s="217">
        <f>IFERROR(__xludf.DUMMYFUNCTION("""COMPUTED_VALUE"""),226171.0)</f>
        <v>226171</v>
      </c>
      <c r="P78" s="218"/>
      <c r="Q78" s="218">
        <f>IFERROR(__xludf.DUMMYFUNCTION("""COMPUTED_VALUE"""),0.0)</f>
        <v>0</v>
      </c>
      <c r="R78" s="218"/>
      <c r="S78" s="187">
        <f>IFERROR(__xludf.DUMMYFUNCTION("""COMPUTED_VALUE"""),22.0)</f>
        <v>22</v>
      </c>
      <c r="T78" s="187">
        <f>IFERROR(__xludf.DUMMYFUNCTION("""COMPUTED_VALUE"""),20.0)</f>
        <v>20</v>
      </c>
      <c r="U78" s="187">
        <f>IFERROR(__xludf.DUMMYFUNCTION("""COMPUTED_VALUE"""),1.0)</f>
        <v>1</v>
      </c>
      <c r="V78" s="187">
        <f>IFERROR(__xludf.DUMMYFUNCTION("""COMPUTED_VALUE"""),1.0)</f>
        <v>1</v>
      </c>
      <c r="W78" s="187">
        <f>IFERROR(__xludf.DUMMYFUNCTION("""COMPUTED_VALUE"""),23.0)</f>
        <v>23</v>
      </c>
      <c r="X78" s="187">
        <f>IFERROR(__xludf.DUMMYFUNCTION("""COMPUTED_VALUE"""),3.0)</f>
        <v>3</v>
      </c>
      <c r="Y78" s="188">
        <f>IFERROR(__xludf.DUMMYFUNCTION("""COMPUTED_VALUE"""),83590.09)</f>
        <v>83590.09</v>
      </c>
      <c r="Z78" s="188">
        <f>IFERROR(__xludf.DUMMYFUNCTION("""COMPUTED_VALUE"""),166491.7)</f>
        <v>166491.7</v>
      </c>
      <c r="AA78" s="187">
        <f>IFERROR(__xludf.DUMMYFUNCTION("""COMPUTED_VALUE"""),4.0)</f>
        <v>4</v>
      </c>
      <c r="AB78" s="187">
        <f>IFERROR(__xludf.DUMMYFUNCTION("""COMPUTED_VALUE"""),1.0)</f>
        <v>1</v>
      </c>
      <c r="AC78" s="187">
        <f>IFERROR(__xludf.DUMMYFUNCTION("""COMPUTED_VALUE"""),5.0)</f>
        <v>5</v>
      </c>
      <c r="AD78" s="187">
        <f>IFERROR(__xludf.DUMMYFUNCTION("""COMPUTED_VALUE"""),0.0)</f>
        <v>0</v>
      </c>
      <c r="AE78" s="187">
        <f>IFERROR(__xludf.DUMMYFUNCTION("""COMPUTED_VALUE"""),7.0)</f>
        <v>7</v>
      </c>
      <c r="AF78" s="187">
        <f>IFERROR(__xludf.DUMMYFUNCTION("""COMPUTED_VALUE"""),9.0)</f>
        <v>9</v>
      </c>
      <c r="AG78" s="187">
        <f>IFERROR(__xludf.DUMMYFUNCTION("""COMPUTED_VALUE"""),115.0)</f>
        <v>115</v>
      </c>
      <c r="AH78" s="187">
        <f>IFERROR(__xludf.DUMMYFUNCTION("""COMPUTED_VALUE"""),3.0)</f>
        <v>3</v>
      </c>
      <c r="AI78" s="187">
        <f>IFERROR(__xludf.DUMMYFUNCTION("""COMPUTED_VALUE"""),22.0)</f>
        <v>22</v>
      </c>
      <c r="AJ78" s="187">
        <f>IFERROR(__xludf.DUMMYFUNCTION("""COMPUTED_VALUE"""),1.0)</f>
        <v>1</v>
      </c>
      <c r="AK78" s="187">
        <f>IFERROR(__xludf.DUMMYFUNCTION("""COMPUTED_VALUE"""),1.0)</f>
        <v>1</v>
      </c>
      <c r="AL78" s="187">
        <f>IFERROR(__xludf.DUMMYFUNCTION("""COMPUTED_VALUE"""),0.0)</f>
        <v>0</v>
      </c>
      <c r="AM78" s="187">
        <f>IFERROR(__xludf.DUMMYFUNCTION("""COMPUTED_VALUE"""),0.0)</f>
        <v>0</v>
      </c>
      <c r="AN78" s="187">
        <f>IFERROR(__xludf.DUMMYFUNCTION("""COMPUTED_VALUE"""),250.0)</f>
        <v>250</v>
      </c>
      <c r="AO78" s="187">
        <f>IFERROR(__xludf.DUMMYFUNCTION("""COMPUTED_VALUE"""),282.0)</f>
        <v>282</v>
      </c>
      <c r="AP78" s="187">
        <f>IFERROR(__xludf.DUMMYFUNCTION("""COMPUTED_VALUE"""),62.0)</f>
        <v>62</v>
      </c>
      <c r="AQ78" s="217">
        <f>IFERROR(__xludf.DUMMYFUNCTION("""COMPUTED_VALUE"""),4033.5806451612902)</f>
        <v>4033.580645</v>
      </c>
      <c r="AR78" s="188">
        <f>IFERROR(__xludf.DUMMYFUNCTION("""COMPUTED_VALUE"""),4.548387096774194)</f>
        <v>4.548387097</v>
      </c>
      <c r="AS78" s="217">
        <f>IFERROR(__xludf.DUMMYFUNCTION("""COMPUTED_VALUE"""),72678.0)</f>
        <v>72678</v>
      </c>
      <c r="AT78" s="217"/>
      <c r="AU78" s="218">
        <f>IFERROR(__xludf.DUMMYFUNCTION("""COMPUTED_VALUE"""),0.2906166777297047)</f>
        <v>0.2906166777</v>
      </c>
      <c r="AV78" s="217">
        <f>IFERROR(__xludf.DUMMYFUNCTION("""COMPUTED_VALUE"""),50016.4)</f>
        <v>50016.4</v>
      </c>
      <c r="AW78" s="219">
        <f>IFERROR(__xludf.DUMMYFUNCTION("""COMPUTED_VALUE"""),8.0)</f>
        <v>8</v>
      </c>
      <c r="AX78" s="219">
        <f>IFERROR(__xludf.DUMMYFUNCTION("""COMPUTED_VALUE"""),607.0)</f>
        <v>607</v>
      </c>
      <c r="AY78" s="262">
        <f>IFERROR(__xludf.DUMMYFUNCTION("""COMPUTED_VALUE"""),4389.97)</f>
        <v>4389.97</v>
      </c>
      <c r="AZ78" s="263">
        <f>IFERROR(__xludf.DUMMYFUNCTION("""COMPUTED_VALUE"""),219.0)</f>
        <v>219</v>
      </c>
      <c r="BA78" s="263">
        <f>IFERROR(__xludf.DUMMYFUNCTION("""COMPUTED_VALUE"""),5.0)</f>
        <v>5</v>
      </c>
      <c r="BB78" s="263">
        <f>IFERROR(__xludf.DUMMYFUNCTION("""COMPUTED_VALUE"""),15.0)</f>
        <v>15</v>
      </c>
      <c r="BC78" s="263">
        <f>IFERROR(__xludf.DUMMYFUNCTION("""COMPUTED_VALUE"""),3.0)</f>
        <v>3</v>
      </c>
      <c r="BD78" s="258"/>
      <c r="BE78" s="258"/>
      <c r="BF78" s="255" t="e">
        <v>#REF!</v>
      </c>
      <c r="BG78" s="256">
        <f t="shared" si="4"/>
        <v>250082</v>
      </c>
      <c r="BH78" s="257" t="str">
        <f t="shared" si="5"/>
        <v>#REF!</v>
      </c>
      <c r="BI78" s="98"/>
      <c r="BJ78" s="98"/>
      <c r="BK78" s="98"/>
      <c r="BL78" s="98"/>
      <c r="BM78" s="98"/>
      <c r="BN78" s="98"/>
      <c r="BO78" s="98"/>
      <c r="BP78" s="98"/>
      <c r="BQ78" s="98"/>
      <c r="BR78" s="98"/>
    </row>
    <row r="79">
      <c r="A79" s="6" t="str">
        <f>IFERROR(__xludf.DUMMYFUNCTION("""COMPUTED_VALUE"""),"Sandeep Dadheech")</f>
        <v>Sandeep Dadheech</v>
      </c>
      <c r="B79" s="98" t="str">
        <f>IFERROR(__xludf.DUMMYFUNCTION("""COMPUTED_VALUE"""),"Bihar")</f>
        <v>Bihar</v>
      </c>
      <c r="C79" s="212" t="str">
        <f>IFERROR(__xludf.DUMMYFUNCTION("""COMPUTED_VALUE"""),"AVINASH KUMAR")</f>
        <v>AVINASH KUMAR</v>
      </c>
      <c r="D79" s="98" t="str">
        <f>IFERROR(__xludf.DUMMYFUNCTION("""COMPUTED_VALUE"""),"Gaya")</f>
        <v>Gaya</v>
      </c>
      <c r="E79" s="213">
        <f>IFERROR(__xludf.DUMMYFUNCTION("""COMPUTED_VALUE"""),45231.0)</f>
        <v>45231</v>
      </c>
      <c r="F79" s="222" t="str">
        <f>IFERROR(__xludf.DUMMYFUNCTION("""COMPUTED_VALUE"""),"BIHAR, JHARKHAND")</f>
        <v>BIHAR, JHARKHAND</v>
      </c>
      <c r="G79" s="215">
        <f>IFERROR(__xludf.DUMMYFUNCTION("""COMPUTED_VALUE"""),6585385.459999999)</f>
        <v>6585385.46</v>
      </c>
      <c r="H79" s="215">
        <f>IFERROR(__xludf.DUMMYFUNCTION("""COMPUTED_VALUE"""),1.0390554E7)</f>
        <v>10390554</v>
      </c>
      <c r="I79" s="216">
        <f>IFERROR(__xludf.DUMMYFUNCTION("""COMPUTED_VALUE"""),25803.0)</f>
        <v>25803</v>
      </c>
      <c r="J79" s="216">
        <f>IFERROR(__xludf.DUMMYFUNCTION("""COMPUTED_VALUE"""),1250000.0)</f>
        <v>1250000</v>
      </c>
      <c r="K79" s="217">
        <f>IFERROR(__xludf.DUMMYFUNCTION("""COMPUTED_VALUE"""),0.0)</f>
        <v>0</v>
      </c>
      <c r="L79" s="217">
        <f>IFERROR(__xludf.DUMMYFUNCTION("""COMPUTED_VALUE"""),3750000.0)</f>
        <v>3750000</v>
      </c>
      <c r="M79" s="217">
        <f>IFERROR(__xludf.DUMMYFUNCTION("""COMPUTED_VALUE"""),2188229.0)</f>
        <v>2188229</v>
      </c>
      <c r="N79" s="217">
        <f>IFERROR(__xludf.DUMMYFUNCTION("""COMPUTED_VALUE"""),0.0)</f>
        <v>0</v>
      </c>
      <c r="O79" s="217">
        <f>IFERROR(__xludf.DUMMYFUNCTION("""COMPUTED_VALUE"""),1994704.0)</f>
        <v>1994704</v>
      </c>
      <c r="P79" s="218">
        <f>IFERROR(__xludf.DUMMYFUNCTION("""COMPUTED_VALUE"""),0.5835277333333333)</f>
        <v>0.5835277333</v>
      </c>
      <c r="Q79" s="218">
        <f>IFERROR(__xludf.DUMMYFUNCTION("""COMPUTED_VALUE"""),0.0)</f>
        <v>0</v>
      </c>
      <c r="R79" s="218">
        <f>IFERROR(__xludf.DUMMYFUNCTION("""COMPUTED_VALUE"""),0.5319210666666667)</f>
        <v>0.5319210667</v>
      </c>
      <c r="S79" s="187">
        <f>IFERROR(__xludf.DUMMYFUNCTION("""COMPUTED_VALUE"""),37.0)</f>
        <v>37</v>
      </c>
      <c r="T79" s="187">
        <f>IFERROR(__xludf.DUMMYFUNCTION("""COMPUTED_VALUE"""),33.0)</f>
        <v>33</v>
      </c>
      <c r="U79" s="187">
        <f>IFERROR(__xludf.DUMMYFUNCTION("""COMPUTED_VALUE"""),0.0)</f>
        <v>0</v>
      </c>
      <c r="V79" s="187">
        <f>IFERROR(__xludf.DUMMYFUNCTION("""COMPUTED_VALUE"""),0.0)</f>
        <v>0</v>
      </c>
      <c r="W79" s="187">
        <f>IFERROR(__xludf.DUMMYFUNCTION("""COMPUTED_VALUE"""),37.0)</f>
        <v>37</v>
      </c>
      <c r="X79" s="187">
        <f>IFERROR(__xludf.DUMMYFUNCTION("""COMPUTED_VALUE"""),4.0)</f>
        <v>4</v>
      </c>
      <c r="Y79" s="188">
        <f>IFERROR(__xludf.DUMMYFUNCTION("""COMPUTED_VALUE"""),2188228.58)</f>
        <v>2188228.58</v>
      </c>
      <c r="Z79" s="188">
        <f>IFERROR(__xludf.DUMMYFUNCTION("""COMPUTED_VALUE"""),0.0)</f>
        <v>0</v>
      </c>
      <c r="AA79" s="187">
        <f>IFERROR(__xludf.DUMMYFUNCTION("""COMPUTED_VALUE"""),11.0)</f>
        <v>11</v>
      </c>
      <c r="AB79" s="187">
        <f>IFERROR(__xludf.DUMMYFUNCTION("""COMPUTED_VALUE"""),0.0)</f>
        <v>0</v>
      </c>
      <c r="AC79" s="187">
        <f>IFERROR(__xludf.DUMMYFUNCTION("""COMPUTED_VALUE"""),11.0)</f>
        <v>11</v>
      </c>
      <c r="AD79" s="187">
        <f>IFERROR(__xludf.DUMMYFUNCTION("""COMPUTED_VALUE"""),0.0)</f>
        <v>0</v>
      </c>
      <c r="AE79" s="187">
        <f>IFERROR(__xludf.DUMMYFUNCTION("""COMPUTED_VALUE"""),36.0)</f>
        <v>36</v>
      </c>
      <c r="AF79" s="187">
        <f>IFERROR(__xludf.DUMMYFUNCTION("""COMPUTED_VALUE"""),62.0)</f>
        <v>62</v>
      </c>
      <c r="AG79" s="187">
        <f>IFERROR(__xludf.DUMMYFUNCTION("""COMPUTED_VALUE"""),79.0)</f>
        <v>79</v>
      </c>
      <c r="AH79" s="187">
        <f>IFERROR(__xludf.DUMMYFUNCTION("""COMPUTED_VALUE"""),1.0)</f>
        <v>1</v>
      </c>
      <c r="AI79" s="187">
        <f>IFERROR(__xludf.DUMMYFUNCTION("""COMPUTED_VALUE"""),56.0)</f>
        <v>56</v>
      </c>
      <c r="AJ79" s="187">
        <f>IFERROR(__xludf.DUMMYFUNCTION("""COMPUTED_VALUE"""),0.0)</f>
        <v>0</v>
      </c>
      <c r="AK79" s="187">
        <f>IFERROR(__xludf.DUMMYFUNCTION("""COMPUTED_VALUE"""),0.0)</f>
        <v>0</v>
      </c>
      <c r="AL79" s="187">
        <f>IFERROR(__xludf.DUMMYFUNCTION("""COMPUTED_VALUE"""),0.0)</f>
        <v>0</v>
      </c>
      <c r="AM79" s="187">
        <f>IFERROR(__xludf.DUMMYFUNCTION("""COMPUTED_VALUE"""),0.0)</f>
        <v>0</v>
      </c>
      <c r="AN79" s="187">
        <f>IFERROR(__xludf.DUMMYFUNCTION("""COMPUTED_VALUE"""),186.0)</f>
        <v>186</v>
      </c>
      <c r="AO79" s="187">
        <f>IFERROR(__xludf.DUMMYFUNCTION("""COMPUTED_VALUE"""),304.0)</f>
        <v>304</v>
      </c>
      <c r="AP79" s="187">
        <f>IFERROR(__xludf.DUMMYFUNCTION("""COMPUTED_VALUE"""),72.0)</f>
        <v>72</v>
      </c>
      <c r="AQ79" s="217">
        <f>IFERROR(__xludf.DUMMYFUNCTION("""COMPUTED_VALUE"""),30392.069444444445)</f>
        <v>30392.06944</v>
      </c>
      <c r="AR79" s="188">
        <f>IFERROR(__xludf.DUMMYFUNCTION("""COMPUTED_VALUE"""),4.222222222222222)</f>
        <v>4.222222222</v>
      </c>
      <c r="AS79" s="217">
        <f>IFERROR(__xludf.DUMMYFUNCTION("""COMPUTED_VALUE"""),77409.0)</f>
        <v>77409</v>
      </c>
      <c r="AT79" s="217"/>
      <c r="AU79" s="218">
        <f>IFERROR(__xludf.DUMMYFUNCTION("""COMPUTED_VALUE"""),0.035375182396357965)</f>
        <v>0.0353751824</v>
      </c>
      <c r="AV79" s="217">
        <f>IFERROR(__xludf.DUMMYFUNCTION("""COMPUTED_VALUE"""),198929.9090909091)</f>
        <v>198929.9091</v>
      </c>
      <c r="AW79" s="219">
        <f>IFERROR(__xludf.DUMMYFUNCTION("""COMPUTED_VALUE"""),20.0)</f>
        <v>20</v>
      </c>
      <c r="AX79" s="219">
        <f>IFERROR(__xludf.DUMMYFUNCTION("""COMPUTED_VALUE"""),636.0)</f>
        <v>636</v>
      </c>
      <c r="AY79" s="262">
        <f>IFERROR(__xludf.DUMMYFUNCTION("""COMPUTED_VALUE"""),3308.82)</f>
        <v>3308.82</v>
      </c>
      <c r="AZ79" s="263">
        <f>IFERROR(__xludf.DUMMYFUNCTION("""COMPUTED_VALUE"""),100.0)</f>
        <v>100</v>
      </c>
      <c r="BA79" s="263">
        <f>IFERROR(__xludf.DUMMYFUNCTION("""COMPUTED_VALUE"""),11.0)</f>
        <v>11</v>
      </c>
      <c r="BB79" s="263">
        <f>IFERROR(__xludf.DUMMYFUNCTION("""COMPUTED_VALUE"""),23.0)</f>
        <v>23</v>
      </c>
      <c r="BC79" s="263">
        <f>IFERROR(__xludf.DUMMYFUNCTION("""COMPUTED_VALUE"""),3.0)</f>
        <v>3</v>
      </c>
      <c r="BD79" s="258"/>
      <c r="BE79" s="258"/>
      <c r="BF79" s="255" t="e">
        <v>#REF!</v>
      </c>
      <c r="BG79" s="256">
        <f t="shared" si="4"/>
        <v>2188229</v>
      </c>
      <c r="BH79" s="257" t="str">
        <f t="shared" si="5"/>
        <v>#REF!</v>
      </c>
      <c r="BI79" s="98"/>
      <c r="BJ79" s="98"/>
      <c r="BK79" s="98"/>
      <c r="BL79" s="98"/>
      <c r="BM79" s="98"/>
      <c r="BN79" s="98"/>
      <c r="BO79" s="98"/>
      <c r="BP79" s="98"/>
      <c r="BQ79" s="98"/>
      <c r="BR79" s="98"/>
    </row>
    <row r="80">
      <c r="A80" s="6" t="str">
        <f>IFERROR(__xludf.DUMMYFUNCTION("""COMPUTED_VALUE"""),"Sandeep Dadheech")</f>
        <v>Sandeep Dadheech</v>
      </c>
      <c r="B80" s="98" t="str">
        <f>IFERROR(__xludf.DUMMYFUNCTION("""COMPUTED_VALUE"""),"Bihar")</f>
        <v>Bihar</v>
      </c>
      <c r="C80" s="212" t="str">
        <f>IFERROR(__xludf.DUMMYFUNCTION("""COMPUTED_VALUE"""),"Kumar Avinish")</f>
        <v>Kumar Avinish</v>
      </c>
      <c r="D80" s="98" t="str">
        <f>IFERROR(__xludf.DUMMYFUNCTION("""COMPUTED_VALUE"""),"Muzaffarpur")</f>
        <v>Muzaffarpur</v>
      </c>
      <c r="E80" s="213">
        <f>IFERROR(__xludf.DUMMYFUNCTION("""COMPUTED_VALUE"""),45233.0)</f>
        <v>45233</v>
      </c>
      <c r="F80" s="222" t="str">
        <f>IFERROR(__xludf.DUMMYFUNCTION("""COMPUTED_VALUE"""),"BIHAR")</f>
        <v>BIHAR</v>
      </c>
      <c r="G80" s="215">
        <f>IFERROR(__xludf.DUMMYFUNCTION("""COMPUTED_VALUE"""),1.2270027139999997E7)</f>
        <v>12270027.14</v>
      </c>
      <c r="H80" s="215">
        <f>IFERROR(__xludf.DUMMYFUNCTION("""COMPUTED_VALUE"""),1.4526657799999999E7)</f>
        <v>14526657.8</v>
      </c>
      <c r="I80" s="216">
        <f>IFERROR(__xludf.DUMMYFUNCTION("""COMPUTED_VALUE"""),26530.0)</f>
        <v>26530</v>
      </c>
      <c r="J80" s="216">
        <f>IFERROR(__xludf.DUMMYFUNCTION("""COMPUTED_VALUE"""),1750000.0)</f>
        <v>1750000</v>
      </c>
      <c r="K80" s="217">
        <f>IFERROR(__xludf.DUMMYFUNCTION("""COMPUTED_VALUE"""),0.0)</f>
        <v>0</v>
      </c>
      <c r="L80" s="217">
        <f>IFERROR(__xludf.DUMMYFUNCTION("""COMPUTED_VALUE"""),5250000.0)</f>
        <v>5250000</v>
      </c>
      <c r="M80" s="217">
        <f>IFERROR(__xludf.DUMMYFUNCTION("""COMPUTED_VALUE"""),3773496.0)</f>
        <v>3773496</v>
      </c>
      <c r="N80" s="217">
        <f>IFERROR(__xludf.DUMMYFUNCTION("""COMPUTED_VALUE"""),0.0)</f>
        <v>0</v>
      </c>
      <c r="O80" s="217">
        <f>IFERROR(__xludf.DUMMYFUNCTION("""COMPUTED_VALUE"""),1976847.34)</f>
        <v>1976847.34</v>
      </c>
      <c r="P80" s="218">
        <f>IFERROR(__xludf.DUMMYFUNCTION("""COMPUTED_VALUE"""),0.7187611428571429)</f>
        <v>0.7187611429</v>
      </c>
      <c r="Q80" s="218">
        <f>IFERROR(__xludf.DUMMYFUNCTION("""COMPUTED_VALUE"""),0.0)</f>
        <v>0</v>
      </c>
      <c r="R80" s="218">
        <f>IFERROR(__xludf.DUMMYFUNCTION("""COMPUTED_VALUE"""),0.3765423504761905)</f>
        <v>0.3765423505</v>
      </c>
      <c r="S80" s="187">
        <f>IFERROR(__xludf.DUMMYFUNCTION("""COMPUTED_VALUE"""),60.0)</f>
        <v>60</v>
      </c>
      <c r="T80" s="187">
        <f>IFERROR(__xludf.DUMMYFUNCTION("""COMPUTED_VALUE"""),44.0)</f>
        <v>44</v>
      </c>
      <c r="U80" s="187">
        <f>IFERROR(__xludf.DUMMYFUNCTION("""COMPUTED_VALUE"""),4.0)</f>
        <v>4</v>
      </c>
      <c r="V80" s="187">
        <f>IFERROR(__xludf.DUMMYFUNCTION("""COMPUTED_VALUE"""),3.0)</f>
        <v>3</v>
      </c>
      <c r="W80" s="187">
        <f>IFERROR(__xludf.DUMMYFUNCTION("""COMPUTED_VALUE"""),64.0)</f>
        <v>64</v>
      </c>
      <c r="X80" s="187">
        <f>IFERROR(__xludf.DUMMYFUNCTION("""COMPUTED_VALUE"""),20.0)</f>
        <v>20</v>
      </c>
      <c r="Y80" s="188">
        <f>IFERROR(__xludf.DUMMYFUNCTION("""COMPUTED_VALUE"""),3649618.94)</f>
        <v>3649618.94</v>
      </c>
      <c r="Z80" s="188">
        <f>IFERROR(__xludf.DUMMYFUNCTION("""COMPUTED_VALUE"""),123876.58)</f>
        <v>123876.58</v>
      </c>
      <c r="AA80" s="187">
        <f>IFERROR(__xludf.DUMMYFUNCTION("""COMPUTED_VALUE"""),30.0)</f>
        <v>30</v>
      </c>
      <c r="AB80" s="187">
        <f>IFERROR(__xludf.DUMMYFUNCTION("""COMPUTED_VALUE"""),3.0)</f>
        <v>3</v>
      </c>
      <c r="AC80" s="187">
        <f>IFERROR(__xludf.DUMMYFUNCTION("""COMPUTED_VALUE"""),33.0)</f>
        <v>33</v>
      </c>
      <c r="AD80" s="187">
        <f>IFERROR(__xludf.DUMMYFUNCTION("""COMPUTED_VALUE"""),0.0)</f>
        <v>0</v>
      </c>
      <c r="AE80" s="187">
        <f>IFERROR(__xludf.DUMMYFUNCTION("""COMPUTED_VALUE"""),36.0)</f>
        <v>36</v>
      </c>
      <c r="AF80" s="187">
        <f>IFERROR(__xludf.DUMMYFUNCTION("""COMPUTED_VALUE"""),47.0)</f>
        <v>47</v>
      </c>
      <c r="AG80" s="187">
        <f>IFERROR(__xludf.DUMMYFUNCTION("""COMPUTED_VALUE"""),127.0)</f>
        <v>127</v>
      </c>
      <c r="AH80" s="187">
        <f>IFERROR(__xludf.DUMMYFUNCTION("""COMPUTED_VALUE"""),3.0)</f>
        <v>3</v>
      </c>
      <c r="AI80" s="187">
        <f>IFERROR(__xludf.DUMMYFUNCTION("""COMPUTED_VALUE"""),40.0)</f>
        <v>40</v>
      </c>
      <c r="AJ80" s="187">
        <f>IFERROR(__xludf.DUMMYFUNCTION("""COMPUTED_VALUE"""),2.0)</f>
        <v>2</v>
      </c>
      <c r="AK80" s="187">
        <f>IFERROR(__xludf.DUMMYFUNCTION("""COMPUTED_VALUE"""),2.0)</f>
        <v>2</v>
      </c>
      <c r="AL80" s="187">
        <f>IFERROR(__xludf.DUMMYFUNCTION("""COMPUTED_VALUE"""),2.0)</f>
        <v>2</v>
      </c>
      <c r="AM80" s="187">
        <f>IFERROR(__xludf.DUMMYFUNCTION("""COMPUTED_VALUE"""),2.0)</f>
        <v>2</v>
      </c>
      <c r="AN80" s="187">
        <f>IFERROR(__xludf.DUMMYFUNCTION("""COMPUTED_VALUE"""),134.0)</f>
        <v>134</v>
      </c>
      <c r="AO80" s="187">
        <f>IFERROR(__xludf.DUMMYFUNCTION("""COMPUTED_VALUE"""),225.0)</f>
        <v>225</v>
      </c>
      <c r="AP80" s="187">
        <f>IFERROR(__xludf.DUMMYFUNCTION("""COMPUTED_VALUE"""),72.0)</f>
        <v>72</v>
      </c>
      <c r="AQ80" s="217">
        <f>IFERROR(__xludf.DUMMYFUNCTION("""COMPUTED_VALUE"""),52409.666666666664)</f>
        <v>52409.66667</v>
      </c>
      <c r="AR80" s="188">
        <f>IFERROR(__xludf.DUMMYFUNCTION("""COMPUTED_VALUE"""),3.125)</f>
        <v>3.125</v>
      </c>
      <c r="AS80" s="217">
        <f>IFERROR(__xludf.DUMMYFUNCTION("""COMPUTED_VALUE"""),79590.0)</f>
        <v>79590</v>
      </c>
      <c r="AT80" s="217"/>
      <c r="AU80" s="218">
        <f>IFERROR(__xludf.DUMMYFUNCTION("""COMPUTED_VALUE"""),0.021091846923913526)</f>
        <v>0.02109184692</v>
      </c>
      <c r="AV80" s="217">
        <f>IFERROR(__xludf.DUMMYFUNCTION("""COMPUTED_VALUE"""),114348.36363636363)</f>
        <v>114348.3636</v>
      </c>
      <c r="AW80" s="219">
        <f>IFERROR(__xludf.DUMMYFUNCTION("""COMPUTED_VALUE"""),52.0)</f>
        <v>52</v>
      </c>
      <c r="AX80" s="219">
        <f>IFERROR(__xludf.DUMMYFUNCTION("""COMPUTED_VALUE"""),719.0)</f>
        <v>719</v>
      </c>
      <c r="AY80" s="262">
        <f>IFERROR(__xludf.DUMMYFUNCTION("""COMPUTED_VALUE"""),5423.54)</f>
        <v>5423.54</v>
      </c>
      <c r="AZ80" s="263">
        <f>IFERROR(__xludf.DUMMYFUNCTION("""COMPUTED_VALUE"""),123.0)</f>
        <v>123</v>
      </c>
      <c r="BA80" s="263">
        <f>IFERROR(__xludf.DUMMYFUNCTION("""COMPUTED_VALUE"""),33.0)</f>
        <v>33</v>
      </c>
      <c r="BB80" s="263">
        <f>IFERROR(__xludf.DUMMYFUNCTION("""COMPUTED_VALUE"""),18.0)</f>
        <v>18</v>
      </c>
      <c r="BC80" s="263">
        <f>IFERROR(__xludf.DUMMYFUNCTION("""COMPUTED_VALUE"""),13.0)</f>
        <v>13</v>
      </c>
      <c r="BD80" s="265"/>
      <c r="BE80" s="258"/>
      <c r="BF80" s="255" t="e">
        <v>#REF!</v>
      </c>
      <c r="BG80" s="256">
        <f t="shared" si="4"/>
        <v>3773496</v>
      </c>
      <c r="BH80" s="257" t="str">
        <f t="shared" si="5"/>
        <v>#REF!</v>
      </c>
      <c r="BI80" s="98"/>
      <c r="BJ80" s="98"/>
      <c r="BK80" s="98"/>
      <c r="BL80" s="98"/>
      <c r="BM80" s="98"/>
      <c r="BN80" s="98"/>
      <c r="BO80" s="98"/>
      <c r="BP80" s="98"/>
      <c r="BQ80" s="98"/>
      <c r="BR80" s="98"/>
    </row>
    <row r="81">
      <c r="A81" s="6" t="str">
        <f>IFERROR(__xludf.DUMMYFUNCTION("""COMPUTED_VALUE"""),"Sandeep Dadheech")</f>
        <v>Sandeep Dadheech</v>
      </c>
      <c r="B81" s="98" t="str">
        <f>IFERROR(__xludf.DUMMYFUNCTION("""COMPUTED_VALUE"""),"Bihar")</f>
        <v>Bihar</v>
      </c>
      <c r="C81" s="212" t="str">
        <f>IFERROR(__xludf.DUMMYFUNCTION("""COMPUTED_VALUE"""),"Gaurav Kumar")</f>
        <v>Gaurav Kumar</v>
      </c>
      <c r="D81" s="98" t="str">
        <f>IFERROR(__xludf.DUMMYFUNCTION("""COMPUTED_VALUE"""),"Chapra")</f>
        <v>Chapra</v>
      </c>
      <c r="E81" s="213">
        <f>IFERROR(__xludf.DUMMYFUNCTION("""COMPUTED_VALUE"""),45236.0)</f>
        <v>45236</v>
      </c>
      <c r="F81" s="222" t="str">
        <f>IFERROR(__xludf.DUMMYFUNCTION("""COMPUTED_VALUE"""),"BIHAR")</f>
        <v>BIHAR</v>
      </c>
      <c r="G81" s="215">
        <f>IFERROR(__xludf.DUMMYFUNCTION("""COMPUTED_VALUE"""),1.8137542849999998E7)</f>
        <v>18137542.85</v>
      </c>
      <c r="H81" s="215">
        <f>IFERROR(__xludf.DUMMYFUNCTION("""COMPUTED_VALUE"""),1.5550099E7)</f>
        <v>15550099</v>
      </c>
      <c r="I81" s="216">
        <f>IFERROR(__xludf.DUMMYFUNCTION("""COMPUTED_VALUE"""),27680.0)</f>
        <v>27680</v>
      </c>
      <c r="J81" s="56">
        <f>IFERROR(__xludf.DUMMYFUNCTION("""COMPUTED_VALUE"""),1833333.0)</f>
        <v>1833333</v>
      </c>
      <c r="K81" s="217">
        <f>IFERROR(__xludf.DUMMYFUNCTION("""COMPUTED_VALUE"""),0.0)</f>
        <v>0</v>
      </c>
      <c r="L81" s="217">
        <f>IFERROR(__xludf.DUMMYFUNCTION("""COMPUTED_VALUE"""),5499999.0)</f>
        <v>5499999</v>
      </c>
      <c r="M81" s="217">
        <f>IFERROR(__xludf.DUMMYFUNCTION("""COMPUTED_VALUE"""),5190987.0)</f>
        <v>5190987</v>
      </c>
      <c r="N81" s="217">
        <f>IFERROR(__xludf.DUMMYFUNCTION("""COMPUTED_VALUE"""),0.0)</f>
        <v>0</v>
      </c>
      <c r="O81" s="217">
        <f>IFERROR(__xludf.DUMMYFUNCTION("""COMPUTED_VALUE"""),5396912.0)</f>
        <v>5396912</v>
      </c>
      <c r="P81" s="218">
        <f>IFERROR(__xludf.DUMMYFUNCTION("""COMPUTED_VALUE"""),0.9438159897847254)</f>
        <v>0.9438159898</v>
      </c>
      <c r="Q81" s="218">
        <f>IFERROR(__xludf.DUMMYFUNCTION("""COMPUTED_VALUE"""),0.0)</f>
        <v>0</v>
      </c>
      <c r="R81" s="218">
        <f>IFERROR(__xludf.DUMMYFUNCTION("""COMPUTED_VALUE"""),0.9812569056830738)</f>
        <v>0.9812569057</v>
      </c>
      <c r="S81" s="187">
        <f>IFERROR(__xludf.DUMMYFUNCTION("""COMPUTED_VALUE"""),82.0)</f>
        <v>82</v>
      </c>
      <c r="T81" s="187">
        <f>IFERROR(__xludf.DUMMYFUNCTION("""COMPUTED_VALUE"""),65.0)</f>
        <v>65</v>
      </c>
      <c r="U81" s="187">
        <f>IFERROR(__xludf.DUMMYFUNCTION("""COMPUTED_VALUE"""),3.0)</f>
        <v>3</v>
      </c>
      <c r="V81" s="187">
        <f>IFERROR(__xludf.DUMMYFUNCTION("""COMPUTED_VALUE"""),3.0)</f>
        <v>3</v>
      </c>
      <c r="W81" s="187">
        <f>IFERROR(__xludf.DUMMYFUNCTION("""COMPUTED_VALUE"""),85.0)</f>
        <v>85</v>
      </c>
      <c r="X81" s="187">
        <f>IFERROR(__xludf.DUMMYFUNCTION("""COMPUTED_VALUE"""),20.0)</f>
        <v>20</v>
      </c>
      <c r="Y81" s="188">
        <f>IFERROR(__xludf.DUMMYFUNCTION("""COMPUTED_VALUE"""),4721507.28)</f>
        <v>4721507.28</v>
      </c>
      <c r="Z81" s="188">
        <f>IFERROR(__xludf.DUMMYFUNCTION("""COMPUTED_VALUE"""),469479.68)</f>
        <v>469479.68</v>
      </c>
      <c r="AA81" s="187">
        <f>IFERROR(__xludf.DUMMYFUNCTION("""COMPUTED_VALUE"""),44.0)</f>
        <v>44</v>
      </c>
      <c r="AB81" s="187">
        <f>IFERROR(__xludf.DUMMYFUNCTION("""COMPUTED_VALUE"""),3.0)</f>
        <v>3</v>
      </c>
      <c r="AC81" s="187">
        <f>IFERROR(__xludf.DUMMYFUNCTION("""COMPUTED_VALUE"""),47.0)</f>
        <v>47</v>
      </c>
      <c r="AD81" s="187">
        <f>IFERROR(__xludf.DUMMYFUNCTION("""COMPUTED_VALUE"""),0.0)</f>
        <v>0</v>
      </c>
      <c r="AE81" s="187">
        <f>IFERROR(__xludf.DUMMYFUNCTION("""COMPUTED_VALUE"""),13.0)</f>
        <v>13</v>
      </c>
      <c r="AF81" s="187">
        <f>IFERROR(__xludf.DUMMYFUNCTION("""COMPUTED_VALUE"""),21.0)</f>
        <v>21</v>
      </c>
      <c r="AG81" s="187">
        <f>IFERROR(__xludf.DUMMYFUNCTION("""COMPUTED_VALUE"""),180.0)</f>
        <v>180</v>
      </c>
      <c r="AH81" s="187">
        <f>IFERROR(__xludf.DUMMYFUNCTION("""COMPUTED_VALUE"""),0.0)</f>
        <v>0</v>
      </c>
      <c r="AI81" s="187">
        <f>IFERROR(__xludf.DUMMYFUNCTION("""COMPUTED_VALUE"""),0.0)</f>
        <v>0</v>
      </c>
      <c r="AJ81" s="187">
        <f>IFERROR(__xludf.DUMMYFUNCTION("""COMPUTED_VALUE"""),0.0)</f>
        <v>0</v>
      </c>
      <c r="AK81" s="187">
        <f>IFERROR(__xludf.DUMMYFUNCTION("""COMPUTED_VALUE"""),0.0)</f>
        <v>0</v>
      </c>
      <c r="AL81" s="187">
        <f>IFERROR(__xludf.DUMMYFUNCTION("""COMPUTED_VALUE"""),0.0)</f>
        <v>0</v>
      </c>
      <c r="AM81" s="187">
        <f>IFERROR(__xludf.DUMMYFUNCTION("""COMPUTED_VALUE"""),0.0)</f>
        <v>0</v>
      </c>
      <c r="AN81" s="187">
        <f>IFERROR(__xludf.DUMMYFUNCTION("""COMPUTED_VALUE"""),362.0)</f>
        <v>362</v>
      </c>
      <c r="AO81" s="187">
        <f>IFERROR(__xludf.DUMMYFUNCTION("""COMPUTED_VALUE"""),383.0)</f>
        <v>383</v>
      </c>
      <c r="AP81" s="187">
        <f>IFERROR(__xludf.DUMMYFUNCTION("""COMPUTED_VALUE"""),68.0)</f>
        <v>68</v>
      </c>
      <c r="AQ81" s="217">
        <f>IFERROR(__xludf.DUMMYFUNCTION("""COMPUTED_VALUE"""),76338.04411764706)</f>
        <v>76338.04412</v>
      </c>
      <c r="AR81" s="188">
        <f>IFERROR(__xludf.DUMMYFUNCTION("""COMPUTED_VALUE"""),5.632352941176471)</f>
        <v>5.632352941</v>
      </c>
      <c r="AS81" s="217">
        <f>IFERROR(__xludf.DUMMYFUNCTION("""COMPUTED_VALUE"""),83040.0)</f>
        <v>83040</v>
      </c>
      <c r="AT81" s="217"/>
      <c r="AU81" s="218">
        <f>IFERROR(__xludf.DUMMYFUNCTION("""COMPUTED_VALUE"""),0.015996957803978317)</f>
        <v>0.0159969578</v>
      </c>
      <c r="AV81" s="217">
        <f>IFERROR(__xludf.DUMMYFUNCTION("""COMPUTED_VALUE"""),110446.53191489361)</f>
        <v>110446.5319</v>
      </c>
      <c r="AW81" s="219">
        <f>IFERROR(__xludf.DUMMYFUNCTION("""COMPUTED_VALUE"""),174.0)</f>
        <v>174</v>
      </c>
      <c r="AX81" s="219">
        <f>IFERROR(__xludf.DUMMYFUNCTION("""COMPUTED_VALUE"""),553.0)</f>
        <v>553</v>
      </c>
      <c r="AY81" s="262">
        <f>IFERROR(__xludf.DUMMYFUNCTION("""COMPUTED_VALUE"""),5850.8)</f>
        <v>5850.8</v>
      </c>
      <c r="AZ81" s="263">
        <f>IFERROR(__xludf.DUMMYFUNCTION("""COMPUTED_VALUE"""),90.0)</f>
        <v>90</v>
      </c>
      <c r="BA81" s="263">
        <f>IFERROR(__xludf.DUMMYFUNCTION("""COMPUTED_VALUE"""),47.0)</f>
        <v>47</v>
      </c>
      <c r="BB81" s="263">
        <f>IFERROR(__xludf.DUMMYFUNCTION("""COMPUTED_VALUE"""),18.0)</f>
        <v>18</v>
      </c>
      <c r="BC81" s="263">
        <f>IFERROR(__xludf.DUMMYFUNCTION("""COMPUTED_VALUE"""),20.0)</f>
        <v>20</v>
      </c>
      <c r="BD81" s="265"/>
      <c r="BE81" s="258"/>
      <c r="BF81" s="255" t="e">
        <v>#REF!</v>
      </c>
      <c r="BG81" s="256">
        <f t="shared" si="4"/>
        <v>5190987</v>
      </c>
      <c r="BH81" s="257" t="str">
        <f t="shared" si="5"/>
        <v>#REF!</v>
      </c>
      <c r="BI81" s="98"/>
      <c r="BJ81" s="98"/>
      <c r="BK81" s="98"/>
      <c r="BL81" s="98"/>
      <c r="BM81" s="98"/>
      <c r="BN81" s="98"/>
      <c r="BO81" s="98"/>
      <c r="BP81" s="98"/>
      <c r="BQ81" s="98"/>
      <c r="BR81" s="98"/>
    </row>
    <row r="82">
      <c r="A82" s="6" t="str">
        <f>IFERROR(__xludf.DUMMYFUNCTION("""COMPUTED_VALUE"""),"Sandeep Dadheech")</f>
        <v>Sandeep Dadheech</v>
      </c>
      <c r="B82" s="98" t="str">
        <f>IFERROR(__xludf.DUMMYFUNCTION("""COMPUTED_VALUE"""),"Jharkhand")</f>
        <v>Jharkhand</v>
      </c>
      <c r="C82" s="212" t="str">
        <f>IFERROR(__xludf.DUMMYFUNCTION("""COMPUTED_VALUE"""),"SRAVAN KUMAR SHARMA")</f>
        <v>SRAVAN KUMAR SHARMA</v>
      </c>
      <c r="D82" s="98" t="str">
        <f>IFERROR(__xludf.DUMMYFUNCTION("""COMPUTED_VALUE"""),"Dumka")</f>
        <v>Dumka</v>
      </c>
      <c r="E82" s="213">
        <f>IFERROR(__xludf.DUMMYFUNCTION("""COMPUTED_VALUE"""),45236.0)</f>
        <v>45236</v>
      </c>
      <c r="F82" s="222" t="str">
        <f>IFERROR(__xludf.DUMMYFUNCTION("""COMPUTED_VALUE"""),"BIHAR, JHARKHAND")</f>
        <v>BIHAR, JHARKHAND</v>
      </c>
      <c r="G82" s="215">
        <f>IFERROR(__xludf.DUMMYFUNCTION("""COMPUTED_VALUE"""),1.616494175E7)</f>
        <v>16164941.75</v>
      </c>
      <c r="H82" s="215">
        <f>IFERROR(__xludf.DUMMYFUNCTION("""COMPUTED_VALUE"""),1.87784184E7)</f>
        <v>18778418.4</v>
      </c>
      <c r="I82" s="216">
        <f>IFERROR(__xludf.DUMMYFUNCTION("""COMPUTED_VALUE"""),29985.0)</f>
        <v>29985</v>
      </c>
      <c r="J82" s="216">
        <f>IFERROR(__xludf.DUMMYFUNCTION("""COMPUTED_VALUE"""),2250000.0)</f>
        <v>2250000</v>
      </c>
      <c r="K82" s="217">
        <f>IFERROR(__xludf.DUMMYFUNCTION("""COMPUTED_VALUE"""),0.0)</f>
        <v>0</v>
      </c>
      <c r="L82" s="217">
        <f>IFERROR(__xludf.DUMMYFUNCTION("""COMPUTED_VALUE"""),6750000.0)</f>
        <v>6750000</v>
      </c>
      <c r="M82" s="217">
        <f>IFERROR(__xludf.DUMMYFUNCTION("""COMPUTED_VALUE"""),3476078.0)</f>
        <v>3476078</v>
      </c>
      <c r="N82" s="217">
        <f>IFERROR(__xludf.DUMMYFUNCTION("""COMPUTED_VALUE"""),0.0)</f>
        <v>0</v>
      </c>
      <c r="O82" s="217">
        <f>IFERROR(__xludf.DUMMYFUNCTION("""COMPUTED_VALUE"""),3331537.0)</f>
        <v>3331537</v>
      </c>
      <c r="P82" s="218">
        <f>IFERROR(__xludf.DUMMYFUNCTION("""COMPUTED_VALUE"""),0.5149745185185185)</f>
        <v>0.5149745185</v>
      </c>
      <c r="Q82" s="218">
        <f>IFERROR(__xludf.DUMMYFUNCTION("""COMPUTED_VALUE"""),0.0)</f>
        <v>0</v>
      </c>
      <c r="R82" s="218">
        <f>IFERROR(__xludf.DUMMYFUNCTION("""COMPUTED_VALUE"""),0.493561037037037)</f>
        <v>0.493561037</v>
      </c>
      <c r="S82" s="187">
        <f>IFERROR(__xludf.DUMMYFUNCTION("""COMPUTED_VALUE"""),34.0)</f>
        <v>34</v>
      </c>
      <c r="T82" s="187">
        <f>IFERROR(__xludf.DUMMYFUNCTION("""COMPUTED_VALUE"""),35.0)</f>
        <v>35</v>
      </c>
      <c r="U82" s="187">
        <f>IFERROR(__xludf.DUMMYFUNCTION("""COMPUTED_VALUE"""),1.0)</f>
        <v>1</v>
      </c>
      <c r="V82" s="187">
        <f>IFERROR(__xludf.DUMMYFUNCTION("""COMPUTED_VALUE"""),1.0)</f>
        <v>1</v>
      </c>
      <c r="W82" s="187">
        <f>IFERROR(__xludf.DUMMYFUNCTION("""COMPUTED_VALUE"""),35.0)</f>
        <v>35</v>
      </c>
      <c r="X82" s="187">
        <f>IFERROR(__xludf.DUMMYFUNCTION("""COMPUTED_VALUE"""),0.0)</f>
        <v>0</v>
      </c>
      <c r="Y82" s="188">
        <f>IFERROR(__xludf.DUMMYFUNCTION("""COMPUTED_VALUE"""),3284978.03)</f>
        <v>3284978.03</v>
      </c>
      <c r="Z82" s="188">
        <f>IFERROR(__xludf.DUMMYFUNCTION("""COMPUTED_VALUE"""),191100.05)</f>
        <v>191100.05</v>
      </c>
      <c r="AA82" s="187">
        <f>IFERROR(__xludf.DUMMYFUNCTION("""COMPUTED_VALUE"""),20.0)</f>
        <v>20</v>
      </c>
      <c r="AB82" s="187">
        <f>IFERROR(__xludf.DUMMYFUNCTION("""COMPUTED_VALUE"""),1.0)</f>
        <v>1</v>
      </c>
      <c r="AC82" s="187">
        <f>IFERROR(__xludf.DUMMYFUNCTION("""COMPUTED_VALUE"""),21.0)</f>
        <v>21</v>
      </c>
      <c r="AD82" s="187">
        <f>IFERROR(__xludf.DUMMYFUNCTION("""COMPUTED_VALUE"""),0.0)</f>
        <v>0</v>
      </c>
      <c r="AE82" s="187">
        <f>IFERROR(__xludf.DUMMYFUNCTION("""COMPUTED_VALUE"""),37.0)</f>
        <v>37</v>
      </c>
      <c r="AF82" s="187">
        <f>IFERROR(__xludf.DUMMYFUNCTION("""COMPUTED_VALUE"""),64.0)</f>
        <v>64</v>
      </c>
      <c r="AG82" s="187">
        <f>IFERROR(__xludf.DUMMYFUNCTION("""COMPUTED_VALUE"""),85.0)</f>
        <v>85</v>
      </c>
      <c r="AH82" s="187">
        <f>IFERROR(__xludf.DUMMYFUNCTION("""COMPUTED_VALUE"""),1.0)</f>
        <v>1</v>
      </c>
      <c r="AI82" s="187">
        <f>IFERROR(__xludf.DUMMYFUNCTION("""COMPUTED_VALUE"""),1.0)</f>
        <v>1</v>
      </c>
      <c r="AJ82" s="187">
        <f>IFERROR(__xludf.DUMMYFUNCTION("""COMPUTED_VALUE"""),0.0)</f>
        <v>0</v>
      </c>
      <c r="AK82" s="187">
        <f>IFERROR(__xludf.DUMMYFUNCTION("""COMPUTED_VALUE"""),0.0)</f>
        <v>0</v>
      </c>
      <c r="AL82" s="187">
        <f>IFERROR(__xludf.DUMMYFUNCTION("""COMPUTED_VALUE"""),0.0)</f>
        <v>0</v>
      </c>
      <c r="AM82" s="187">
        <f>IFERROR(__xludf.DUMMYFUNCTION("""COMPUTED_VALUE"""),0.0)</f>
        <v>0</v>
      </c>
      <c r="AN82" s="187">
        <f>IFERROR(__xludf.DUMMYFUNCTION("""COMPUTED_VALUE"""),210.0)</f>
        <v>210</v>
      </c>
      <c r="AO82" s="187">
        <f>IFERROR(__xludf.DUMMYFUNCTION("""COMPUTED_VALUE"""),275.0)</f>
        <v>275</v>
      </c>
      <c r="AP82" s="187">
        <f>IFERROR(__xludf.DUMMYFUNCTION("""COMPUTED_VALUE"""),67.0)</f>
        <v>67</v>
      </c>
      <c r="AQ82" s="217">
        <f>IFERROR(__xludf.DUMMYFUNCTION("""COMPUTED_VALUE"""),51881.76119402985)</f>
        <v>51881.76119</v>
      </c>
      <c r="AR82" s="188">
        <f>IFERROR(__xludf.DUMMYFUNCTION("""COMPUTED_VALUE"""),4.104477611940299)</f>
        <v>4.104477612</v>
      </c>
      <c r="AS82" s="217">
        <f>IFERROR(__xludf.DUMMYFUNCTION("""COMPUTED_VALUE"""),89955.0)</f>
        <v>89955</v>
      </c>
      <c r="AT82" s="217"/>
      <c r="AU82" s="218">
        <f>IFERROR(__xludf.DUMMYFUNCTION("""COMPUTED_VALUE"""),0.025878303076052954)</f>
        <v>0.02587830308</v>
      </c>
      <c r="AV82" s="217">
        <f>IFERROR(__xludf.DUMMYFUNCTION("""COMPUTED_VALUE"""),165527.52380952382)</f>
        <v>165527.5238</v>
      </c>
      <c r="AW82" s="219">
        <f>IFERROR(__xludf.DUMMYFUNCTION("""COMPUTED_VALUE"""),30.0)</f>
        <v>30</v>
      </c>
      <c r="AX82" s="219">
        <f>IFERROR(__xludf.DUMMYFUNCTION("""COMPUTED_VALUE"""),715.0)</f>
        <v>715</v>
      </c>
      <c r="AY82" s="262">
        <f>IFERROR(__xludf.DUMMYFUNCTION("""COMPUTED_VALUE"""),6244.53)</f>
        <v>6244.53</v>
      </c>
      <c r="AZ82" s="263">
        <f>IFERROR(__xludf.DUMMYFUNCTION("""COMPUTED_VALUE"""),178.0)</f>
        <v>178</v>
      </c>
      <c r="BA82" s="263">
        <f>IFERROR(__xludf.DUMMYFUNCTION("""COMPUTED_VALUE"""),21.0)</f>
        <v>21</v>
      </c>
      <c r="BB82" s="263">
        <f>IFERROR(__xludf.DUMMYFUNCTION("""COMPUTED_VALUE"""),14.0)</f>
        <v>14</v>
      </c>
      <c r="BC82" s="263">
        <f>IFERROR(__xludf.DUMMYFUNCTION("""COMPUTED_VALUE"""),0.0)</f>
        <v>0</v>
      </c>
      <c r="BD82" s="258"/>
      <c r="BE82" s="258"/>
      <c r="BF82" s="255" t="e">
        <v>#REF!</v>
      </c>
      <c r="BG82" s="256">
        <f t="shared" si="4"/>
        <v>3476078</v>
      </c>
      <c r="BH82" s="257" t="str">
        <f t="shared" si="5"/>
        <v>#REF!</v>
      </c>
      <c r="BI82" s="98"/>
      <c r="BJ82" s="98"/>
      <c r="BK82" s="98"/>
      <c r="BL82" s="98"/>
      <c r="BM82" s="98"/>
      <c r="BN82" s="98"/>
      <c r="BO82" s="98"/>
      <c r="BP82" s="98"/>
      <c r="BQ82" s="98"/>
      <c r="BR82" s="98"/>
    </row>
    <row r="83">
      <c r="A83" s="6" t="str">
        <f>IFERROR(__xludf.DUMMYFUNCTION("""COMPUTED_VALUE"""),"Sandeep Dadheech")</f>
        <v>Sandeep Dadheech</v>
      </c>
      <c r="B83" s="98" t="str">
        <f>IFERROR(__xludf.DUMMYFUNCTION("""COMPUTED_VALUE"""),"Odisha")</f>
        <v>Odisha</v>
      </c>
      <c r="C83" s="212" t="str">
        <f>IFERROR(__xludf.DUMMYFUNCTION("""COMPUTED_VALUE"""),"Hrusikesh Satapathy")</f>
        <v>Hrusikesh Satapathy</v>
      </c>
      <c r="D83" s="98" t="str">
        <f>IFERROR(__xludf.DUMMYFUNCTION("""COMPUTED_VALUE"""),"Berhampur")</f>
        <v>Berhampur</v>
      </c>
      <c r="E83" s="213">
        <f>IFERROR(__xludf.DUMMYFUNCTION("""COMPUTED_VALUE"""),45278.0)</f>
        <v>45278</v>
      </c>
      <c r="F83" s="222" t="str">
        <f>IFERROR(__xludf.DUMMYFUNCTION("""COMPUTED_VALUE"""),"ODISHA")</f>
        <v>ODISHA</v>
      </c>
      <c r="G83" s="215">
        <f>IFERROR(__xludf.DUMMYFUNCTION("""COMPUTED_VALUE"""),1.419624017E7)</f>
        <v>14196240.17</v>
      </c>
      <c r="H83" s="215">
        <f>IFERROR(__xludf.DUMMYFUNCTION("""COMPUTED_VALUE"""),1.6156753E7)</f>
        <v>16156753</v>
      </c>
      <c r="I83" s="216">
        <f>IFERROR(__xludf.DUMMYFUNCTION("""COMPUTED_VALUE"""),39855.0)</f>
        <v>39855</v>
      </c>
      <c r="J83" s="216">
        <f>IFERROR(__xludf.DUMMYFUNCTION("""COMPUTED_VALUE"""),2200000.0)</f>
        <v>2200000</v>
      </c>
      <c r="K83" s="217">
        <f>IFERROR(__xludf.DUMMYFUNCTION("""COMPUTED_VALUE"""),0.0)</f>
        <v>0</v>
      </c>
      <c r="L83" s="217">
        <f>IFERROR(__xludf.DUMMYFUNCTION("""COMPUTED_VALUE"""),6600000.0)</f>
        <v>6600000</v>
      </c>
      <c r="M83" s="217">
        <f>IFERROR(__xludf.DUMMYFUNCTION("""COMPUTED_VALUE"""),4548005.0)</f>
        <v>4548005</v>
      </c>
      <c r="N83" s="217">
        <f>IFERROR(__xludf.DUMMYFUNCTION("""COMPUTED_VALUE"""),0.0)</f>
        <v>0</v>
      </c>
      <c r="O83" s="217">
        <f>IFERROR(__xludf.DUMMYFUNCTION("""COMPUTED_VALUE"""),2920415.0)</f>
        <v>2920415</v>
      </c>
      <c r="P83" s="218">
        <f>IFERROR(__xludf.DUMMYFUNCTION("""COMPUTED_VALUE"""),0.6890916666666667)</f>
        <v>0.6890916667</v>
      </c>
      <c r="Q83" s="218">
        <f>IFERROR(__xludf.DUMMYFUNCTION("""COMPUTED_VALUE"""),0.0)</f>
        <v>0</v>
      </c>
      <c r="R83" s="218">
        <f>IFERROR(__xludf.DUMMYFUNCTION("""COMPUTED_VALUE"""),0.4424871212121212)</f>
        <v>0.4424871212</v>
      </c>
      <c r="S83" s="187">
        <f>IFERROR(__xludf.DUMMYFUNCTION("""COMPUTED_VALUE"""),73.0)</f>
        <v>73</v>
      </c>
      <c r="T83" s="187">
        <f>IFERROR(__xludf.DUMMYFUNCTION("""COMPUTED_VALUE"""),71.0)</f>
        <v>71</v>
      </c>
      <c r="U83" s="187">
        <f>IFERROR(__xludf.DUMMYFUNCTION("""COMPUTED_VALUE"""),5.0)</f>
        <v>5</v>
      </c>
      <c r="V83" s="187">
        <f>IFERROR(__xludf.DUMMYFUNCTION("""COMPUTED_VALUE"""),5.0)</f>
        <v>5</v>
      </c>
      <c r="W83" s="187">
        <f>IFERROR(__xludf.DUMMYFUNCTION("""COMPUTED_VALUE"""),78.0)</f>
        <v>78</v>
      </c>
      <c r="X83" s="187">
        <f>IFERROR(__xludf.DUMMYFUNCTION("""COMPUTED_VALUE"""),7.0)</f>
        <v>7</v>
      </c>
      <c r="Y83" s="188">
        <f>IFERROR(__xludf.DUMMYFUNCTION("""COMPUTED_VALUE"""),3958291.04)</f>
        <v>3958291.04</v>
      </c>
      <c r="Z83" s="188">
        <f>IFERROR(__xludf.DUMMYFUNCTION("""COMPUTED_VALUE"""),589714.27)</f>
        <v>589714.27</v>
      </c>
      <c r="AA83" s="187">
        <f>IFERROR(__xludf.DUMMYFUNCTION("""COMPUTED_VALUE"""),34.0)</f>
        <v>34</v>
      </c>
      <c r="AB83" s="187">
        <f>IFERROR(__xludf.DUMMYFUNCTION("""COMPUTED_VALUE"""),5.0)</f>
        <v>5</v>
      </c>
      <c r="AC83" s="187">
        <f>IFERROR(__xludf.DUMMYFUNCTION("""COMPUTED_VALUE"""),39.0)</f>
        <v>39</v>
      </c>
      <c r="AD83" s="187">
        <f>IFERROR(__xludf.DUMMYFUNCTION("""COMPUTED_VALUE"""),0.0)</f>
        <v>0</v>
      </c>
      <c r="AE83" s="187">
        <f>IFERROR(__xludf.DUMMYFUNCTION("""COMPUTED_VALUE"""),1.0)</f>
        <v>1</v>
      </c>
      <c r="AF83" s="187">
        <f>IFERROR(__xludf.DUMMYFUNCTION("""COMPUTED_VALUE"""),1.0)</f>
        <v>1</v>
      </c>
      <c r="AG83" s="187">
        <f>IFERROR(__xludf.DUMMYFUNCTION("""COMPUTED_VALUE"""),125.0)</f>
        <v>125</v>
      </c>
      <c r="AH83" s="187">
        <f>IFERROR(__xludf.DUMMYFUNCTION("""COMPUTED_VALUE"""),1.0)</f>
        <v>1</v>
      </c>
      <c r="AI83" s="187">
        <f>IFERROR(__xludf.DUMMYFUNCTION("""COMPUTED_VALUE"""),8.0)</f>
        <v>8</v>
      </c>
      <c r="AJ83" s="187">
        <f>IFERROR(__xludf.DUMMYFUNCTION("""COMPUTED_VALUE"""),0.0)</f>
        <v>0</v>
      </c>
      <c r="AK83" s="187">
        <f>IFERROR(__xludf.DUMMYFUNCTION("""COMPUTED_VALUE"""),0.0)</f>
        <v>0</v>
      </c>
      <c r="AL83" s="187">
        <f>IFERROR(__xludf.DUMMYFUNCTION("""COMPUTED_VALUE"""),0.0)</f>
        <v>0</v>
      </c>
      <c r="AM83" s="187">
        <f>IFERROR(__xludf.DUMMYFUNCTION("""COMPUTED_VALUE"""),0.0)</f>
        <v>0</v>
      </c>
      <c r="AN83" s="187">
        <f>IFERROR(__xludf.DUMMYFUNCTION("""COMPUTED_VALUE"""),349.0)</f>
        <v>349</v>
      </c>
      <c r="AO83" s="187">
        <f>IFERROR(__xludf.DUMMYFUNCTION("""COMPUTED_VALUE"""),358.0)</f>
        <v>358</v>
      </c>
      <c r="AP83" s="187">
        <f>IFERROR(__xludf.DUMMYFUNCTION("""COMPUTED_VALUE"""),76.0)</f>
        <v>76</v>
      </c>
      <c r="AQ83" s="217">
        <f>IFERROR(__xludf.DUMMYFUNCTION("""COMPUTED_VALUE"""),59842.17105263158)</f>
        <v>59842.17105</v>
      </c>
      <c r="AR83" s="188">
        <f>IFERROR(__xludf.DUMMYFUNCTION("""COMPUTED_VALUE"""),4.7105263157894735)</f>
        <v>4.710526316</v>
      </c>
      <c r="AS83" s="217">
        <f>IFERROR(__xludf.DUMMYFUNCTION("""COMPUTED_VALUE"""),119565.0)</f>
        <v>119565</v>
      </c>
      <c r="AT83" s="217"/>
      <c r="AU83" s="218">
        <f>IFERROR(__xludf.DUMMYFUNCTION("""COMPUTED_VALUE"""),0.02628954893409308)</f>
        <v>0.02628954893</v>
      </c>
      <c r="AV83" s="217">
        <f>IFERROR(__xludf.DUMMYFUNCTION("""COMPUTED_VALUE"""),116615.51282051283)</f>
        <v>116615.5128</v>
      </c>
      <c r="AW83" s="219">
        <f>IFERROR(__xludf.DUMMYFUNCTION("""COMPUTED_VALUE"""),110.0)</f>
        <v>110</v>
      </c>
      <c r="AX83" s="219">
        <f>IFERROR(__xludf.DUMMYFUNCTION("""COMPUTED_VALUE"""),897.0)</f>
        <v>897</v>
      </c>
      <c r="AY83" s="262">
        <f>IFERROR(__xludf.DUMMYFUNCTION("""COMPUTED_VALUE"""),8512.9)</f>
        <v>8512.9</v>
      </c>
      <c r="AZ83" s="263">
        <f>IFERROR(__xludf.DUMMYFUNCTION("""COMPUTED_VALUE"""),120.0)</f>
        <v>120</v>
      </c>
      <c r="BA83" s="263">
        <f>IFERROR(__xludf.DUMMYFUNCTION("""COMPUTED_VALUE"""),39.0)</f>
        <v>39</v>
      </c>
      <c r="BB83" s="263">
        <f>IFERROR(__xludf.DUMMYFUNCTION("""COMPUTED_VALUE"""),35.0)</f>
        <v>35</v>
      </c>
      <c r="BC83" s="263">
        <f>IFERROR(__xludf.DUMMYFUNCTION("""COMPUTED_VALUE"""),4.0)</f>
        <v>4</v>
      </c>
      <c r="BD83" s="265"/>
      <c r="BE83" s="258"/>
      <c r="BF83" s="255" t="e">
        <v>#REF!</v>
      </c>
      <c r="BG83" s="256">
        <f t="shared" si="4"/>
        <v>4548005</v>
      </c>
      <c r="BH83" s="257" t="str">
        <f t="shared" si="5"/>
        <v>#REF!</v>
      </c>
      <c r="BI83" s="98"/>
      <c r="BJ83" s="98"/>
      <c r="BK83" s="98"/>
      <c r="BL83" s="98"/>
      <c r="BM83" s="98"/>
      <c r="BN83" s="98"/>
      <c r="BO83" s="98"/>
      <c r="BP83" s="98"/>
      <c r="BQ83" s="98"/>
      <c r="BR83" s="98"/>
    </row>
    <row r="84">
      <c r="A84" s="6" t="str">
        <f>IFERROR(__xludf.DUMMYFUNCTION("""COMPUTED_VALUE"""),"Sandeep Dadheech")</f>
        <v>Sandeep Dadheech</v>
      </c>
      <c r="B84" s="98" t="str">
        <f>IFERROR(__xludf.DUMMYFUNCTION("""COMPUTED_VALUE"""),"West Bengal")</f>
        <v>West Bengal</v>
      </c>
      <c r="C84" s="212" t="str">
        <f>IFERROR(__xludf.DUMMYFUNCTION("""COMPUTED_VALUE"""),"Ashok Das")</f>
        <v>Ashok Das</v>
      </c>
      <c r="D84" s="98" t="str">
        <f>IFERROR(__xludf.DUMMYFUNCTION("""COMPUTED_VALUE"""),"Kolkata")</f>
        <v>Kolkata</v>
      </c>
      <c r="E84" s="213">
        <f>IFERROR(__xludf.DUMMYFUNCTION("""COMPUTED_VALUE"""),45295.0)</f>
        <v>45295</v>
      </c>
      <c r="F84" s="222" t="str">
        <f>IFERROR(__xludf.DUMMYFUNCTION("""COMPUTED_VALUE"""),"WEST BENGAL")</f>
        <v>WEST BENGAL</v>
      </c>
      <c r="G84" s="215"/>
      <c r="H84" s="215"/>
      <c r="I84" s="216">
        <f>IFERROR(__xludf.DUMMYFUNCTION("""COMPUTED_VALUE"""),88555.0)</f>
        <v>88555</v>
      </c>
      <c r="J84" s="216"/>
      <c r="K84" s="217">
        <f>IFERROR(__xludf.DUMMYFUNCTION("""COMPUTED_VALUE"""),0.0)</f>
        <v>0</v>
      </c>
      <c r="L84" s="217"/>
      <c r="M84" s="217">
        <f>IFERROR(__xludf.DUMMYFUNCTION("""COMPUTED_VALUE"""),0.0)</f>
        <v>0</v>
      </c>
      <c r="N84" s="217">
        <f>IFERROR(__xludf.DUMMYFUNCTION("""COMPUTED_VALUE"""),0.0)</f>
        <v>0</v>
      </c>
      <c r="O84" s="217"/>
      <c r="P84" s="218"/>
      <c r="Q84" s="218">
        <f>IFERROR(__xludf.DUMMYFUNCTION("""COMPUTED_VALUE"""),0.0)</f>
        <v>0</v>
      </c>
      <c r="R84" s="218"/>
      <c r="S84" s="187">
        <f>IFERROR(__xludf.DUMMYFUNCTION("""COMPUTED_VALUE"""),218.0)</f>
        <v>218</v>
      </c>
      <c r="T84" s="187">
        <f>IFERROR(__xludf.DUMMYFUNCTION("""COMPUTED_VALUE"""),27.0)</f>
        <v>27</v>
      </c>
      <c r="U84" s="187">
        <f>IFERROR(__xludf.DUMMYFUNCTION("""COMPUTED_VALUE"""),1.0)</f>
        <v>1</v>
      </c>
      <c r="V84" s="187">
        <f>IFERROR(__xludf.DUMMYFUNCTION("""COMPUTED_VALUE"""),0.0)</f>
        <v>0</v>
      </c>
      <c r="W84" s="187">
        <f>IFERROR(__xludf.DUMMYFUNCTION("""COMPUTED_VALUE"""),219.0)</f>
        <v>219</v>
      </c>
      <c r="X84" s="187">
        <f>IFERROR(__xludf.DUMMYFUNCTION("""COMPUTED_VALUE"""),192.0)</f>
        <v>192</v>
      </c>
      <c r="Y84" s="188">
        <f>IFERROR(__xludf.DUMMYFUNCTION("""COMPUTED_VALUE"""),0.0)</f>
        <v>0</v>
      </c>
      <c r="Z84" s="188">
        <f>IFERROR(__xludf.DUMMYFUNCTION("""COMPUTED_VALUE"""),0.0)</f>
        <v>0</v>
      </c>
      <c r="AA84" s="187">
        <f>IFERROR(__xludf.DUMMYFUNCTION("""COMPUTED_VALUE"""),0.0)</f>
        <v>0</v>
      </c>
      <c r="AB84" s="187">
        <f>IFERROR(__xludf.DUMMYFUNCTION("""COMPUTED_VALUE"""),0.0)</f>
        <v>0</v>
      </c>
      <c r="AC84" s="187">
        <f>IFERROR(__xludf.DUMMYFUNCTION("""COMPUTED_VALUE"""),0.0)</f>
        <v>0</v>
      </c>
      <c r="AD84" s="187">
        <f>IFERROR(__xludf.DUMMYFUNCTION("""COMPUTED_VALUE"""),0.0)</f>
        <v>0</v>
      </c>
      <c r="AE84" s="187">
        <f>IFERROR(__xludf.DUMMYFUNCTION("""COMPUTED_VALUE"""),2.0)</f>
        <v>2</v>
      </c>
      <c r="AF84" s="187">
        <f>IFERROR(__xludf.DUMMYFUNCTION("""COMPUTED_VALUE"""),3.0)</f>
        <v>3</v>
      </c>
      <c r="AG84" s="187">
        <f>IFERROR(__xludf.DUMMYFUNCTION("""COMPUTED_VALUE"""),27.0)</f>
        <v>27</v>
      </c>
      <c r="AH84" s="187">
        <f>IFERROR(__xludf.DUMMYFUNCTION("""COMPUTED_VALUE"""),10.0)</f>
        <v>10</v>
      </c>
      <c r="AI84" s="187">
        <f>IFERROR(__xludf.DUMMYFUNCTION("""COMPUTED_VALUE"""),19.0)</f>
        <v>19</v>
      </c>
      <c r="AJ84" s="187">
        <f>IFERROR(__xludf.DUMMYFUNCTION("""COMPUTED_VALUE"""),0.0)</f>
        <v>0</v>
      </c>
      <c r="AK84" s="187">
        <f>IFERROR(__xludf.DUMMYFUNCTION("""COMPUTED_VALUE"""),0.0)</f>
        <v>0</v>
      </c>
      <c r="AL84" s="187">
        <f>IFERROR(__xludf.DUMMYFUNCTION("""COMPUTED_VALUE"""),0.0)</f>
        <v>0</v>
      </c>
      <c r="AM84" s="187">
        <f>IFERROR(__xludf.DUMMYFUNCTION("""COMPUTED_VALUE"""),0.0)</f>
        <v>0</v>
      </c>
      <c r="AN84" s="187">
        <f>IFERROR(__xludf.DUMMYFUNCTION("""COMPUTED_VALUE"""),32.0)</f>
        <v>32</v>
      </c>
      <c r="AO84" s="187">
        <f>IFERROR(__xludf.DUMMYFUNCTION("""COMPUTED_VALUE"""),54.0)</f>
        <v>54</v>
      </c>
      <c r="AP84" s="187">
        <f>IFERROR(__xludf.DUMMYFUNCTION("""COMPUTED_VALUE"""),74.0)</f>
        <v>74</v>
      </c>
      <c r="AQ84" s="217">
        <f>IFERROR(__xludf.DUMMYFUNCTION("""COMPUTED_VALUE"""),0.0)</f>
        <v>0</v>
      </c>
      <c r="AR84" s="188">
        <f>IFERROR(__xludf.DUMMYFUNCTION("""COMPUTED_VALUE"""),0.7297297297297297)</f>
        <v>0.7297297297</v>
      </c>
      <c r="AS84" s="217">
        <f>IFERROR(__xludf.DUMMYFUNCTION("""COMPUTED_VALUE"""),265665.0)</f>
        <v>265665</v>
      </c>
      <c r="AT84" s="217"/>
      <c r="AU84" s="218"/>
      <c r="AV84" s="217"/>
      <c r="AW84" s="219">
        <f>IFERROR(__xludf.DUMMYFUNCTION("""COMPUTED_VALUE"""),0.0)</f>
        <v>0</v>
      </c>
      <c r="AX84" s="219">
        <f>IFERROR(__xludf.DUMMYFUNCTION("""COMPUTED_VALUE"""),808.0)</f>
        <v>808</v>
      </c>
      <c r="AY84" s="262">
        <f>IFERROR(__xludf.DUMMYFUNCTION("""COMPUTED_VALUE"""),8322.63)</f>
        <v>8322.63</v>
      </c>
      <c r="AZ84" s="263">
        <f>IFERROR(__xludf.DUMMYFUNCTION("""COMPUTED_VALUE"""),308.0)</f>
        <v>308</v>
      </c>
      <c r="BA84" s="263">
        <f>IFERROR(__xludf.DUMMYFUNCTION("""COMPUTED_VALUE"""),0.0)</f>
        <v>0</v>
      </c>
      <c r="BB84" s="263">
        <f>IFERROR(__xludf.DUMMYFUNCTION("""COMPUTED_VALUE"""),27.0)</f>
        <v>27</v>
      </c>
      <c r="BC84" s="263">
        <f>IFERROR(__xludf.DUMMYFUNCTION("""COMPUTED_VALUE"""),192.0)</f>
        <v>192</v>
      </c>
      <c r="BD84" s="258"/>
      <c r="BE84" s="258"/>
      <c r="BF84" s="255" t="e">
        <v>#REF!</v>
      </c>
      <c r="BG84" s="256">
        <f t="shared" si="4"/>
        <v>0</v>
      </c>
      <c r="BH84" s="257" t="str">
        <f t="shared" si="5"/>
        <v>#REF!</v>
      </c>
      <c r="BI84" s="98"/>
      <c r="BJ84" s="98"/>
      <c r="BK84" s="98"/>
      <c r="BL84" s="98"/>
      <c r="BM84" s="98"/>
      <c r="BN84" s="98"/>
      <c r="BO84" s="98"/>
      <c r="BP84" s="98"/>
      <c r="BQ84" s="98"/>
      <c r="BR84" s="98"/>
    </row>
    <row r="85">
      <c r="A85" s="6" t="str">
        <f>IFERROR(__xludf.DUMMYFUNCTION("""COMPUTED_VALUE"""),"Sandeep Dadheech")</f>
        <v>Sandeep Dadheech</v>
      </c>
      <c r="B85" s="98" t="str">
        <f>IFERROR(__xludf.DUMMYFUNCTION("""COMPUTED_VALUE"""),"North East")</f>
        <v>North East</v>
      </c>
      <c r="C85" s="212" t="str">
        <f>IFERROR(__xludf.DUMMYFUNCTION("""COMPUTED_VALUE"""),"NARAYAN BAISHYA")</f>
        <v>NARAYAN BAISHYA</v>
      </c>
      <c r="D85" s="98" t="str">
        <f>IFERROR(__xludf.DUMMYFUNCTION("""COMPUTED_VALUE"""),"Guwahati")</f>
        <v>Guwahati</v>
      </c>
      <c r="E85" s="213">
        <f>IFERROR(__xludf.DUMMYFUNCTION("""COMPUTED_VALUE"""),45309.0)</f>
        <v>45309</v>
      </c>
      <c r="F85" s="222" t="str">
        <f>IFERROR(__xludf.DUMMYFUNCTION("""COMPUTED_VALUE"""),"ASSAM, MEGHALAYA")</f>
        <v>ASSAM, MEGHALAYA</v>
      </c>
      <c r="G85" s="215">
        <f>IFERROR(__xludf.DUMMYFUNCTION("""COMPUTED_VALUE"""),1.7071034150000002E7)</f>
        <v>17071034.15</v>
      </c>
      <c r="H85" s="215">
        <f>IFERROR(__xludf.DUMMYFUNCTION("""COMPUTED_VALUE"""),1.7208893E7)</f>
        <v>17208893</v>
      </c>
      <c r="I85" s="216">
        <f>IFERROR(__xludf.DUMMYFUNCTION("""COMPUTED_VALUE"""),42820.0)</f>
        <v>42820</v>
      </c>
      <c r="J85" s="216">
        <f>IFERROR(__xludf.DUMMYFUNCTION("""COMPUTED_VALUE"""),2083333.0)</f>
        <v>2083333</v>
      </c>
      <c r="K85" s="217">
        <f>IFERROR(__xludf.DUMMYFUNCTION("""COMPUTED_VALUE"""),0.0)</f>
        <v>0</v>
      </c>
      <c r="L85" s="217">
        <f>IFERROR(__xludf.DUMMYFUNCTION("""COMPUTED_VALUE"""),6249999.0)</f>
        <v>6249999</v>
      </c>
      <c r="M85" s="217">
        <f>IFERROR(__xludf.DUMMYFUNCTION("""COMPUTED_VALUE"""),4155100.0)</f>
        <v>4155100</v>
      </c>
      <c r="N85" s="217">
        <f>IFERROR(__xludf.DUMMYFUNCTION("""COMPUTED_VALUE"""),0.0)</f>
        <v>0</v>
      </c>
      <c r="O85" s="217">
        <f>IFERROR(__xludf.DUMMYFUNCTION("""COMPUTED_VALUE"""),2692307.0)</f>
        <v>2692307</v>
      </c>
      <c r="P85" s="218">
        <f>IFERROR(__xludf.DUMMYFUNCTION("""COMPUTED_VALUE"""),0.664816106370577)</f>
        <v>0.6648161064</v>
      </c>
      <c r="Q85" s="218">
        <f>IFERROR(__xludf.DUMMYFUNCTION("""COMPUTED_VALUE"""),0.0)</f>
        <v>0</v>
      </c>
      <c r="R85" s="218">
        <f>IFERROR(__xludf.DUMMYFUNCTION("""COMPUTED_VALUE"""),0.4307691889230702)</f>
        <v>0.4307691889</v>
      </c>
      <c r="S85" s="187">
        <f>IFERROR(__xludf.DUMMYFUNCTION("""COMPUTED_VALUE"""),82.0)</f>
        <v>82</v>
      </c>
      <c r="T85" s="187">
        <f>IFERROR(__xludf.DUMMYFUNCTION("""COMPUTED_VALUE"""),62.0)</f>
        <v>62</v>
      </c>
      <c r="U85" s="187">
        <f>IFERROR(__xludf.DUMMYFUNCTION("""COMPUTED_VALUE"""),0.0)</f>
        <v>0</v>
      </c>
      <c r="V85" s="187">
        <f>IFERROR(__xludf.DUMMYFUNCTION("""COMPUTED_VALUE"""),0.0)</f>
        <v>0</v>
      </c>
      <c r="W85" s="187">
        <f>IFERROR(__xludf.DUMMYFUNCTION("""COMPUTED_VALUE"""),82.0)</f>
        <v>82</v>
      </c>
      <c r="X85" s="187">
        <f>IFERROR(__xludf.DUMMYFUNCTION("""COMPUTED_VALUE"""),20.0)</f>
        <v>20</v>
      </c>
      <c r="Y85" s="188">
        <f>IFERROR(__xludf.DUMMYFUNCTION("""COMPUTED_VALUE"""),4155100.01)</f>
        <v>4155100.01</v>
      </c>
      <c r="Z85" s="188">
        <f>IFERROR(__xludf.DUMMYFUNCTION("""COMPUTED_VALUE"""),0.0)</f>
        <v>0</v>
      </c>
      <c r="AA85" s="187">
        <f>IFERROR(__xludf.DUMMYFUNCTION("""COMPUTED_VALUE"""),37.0)</f>
        <v>37</v>
      </c>
      <c r="AB85" s="187">
        <f>IFERROR(__xludf.DUMMYFUNCTION("""COMPUTED_VALUE"""),0.0)</f>
        <v>0</v>
      </c>
      <c r="AC85" s="187">
        <f>IFERROR(__xludf.DUMMYFUNCTION("""COMPUTED_VALUE"""),37.0)</f>
        <v>37</v>
      </c>
      <c r="AD85" s="187">
        <f>IFERROR(__xludf.DUMMYFUNCTION("""COMPUTED_VALUE"""),0.0)</f>
        <v>0</v>
      </c>
      <c r="AE85" s="187">
        <f>IFERROR(__xludf.DUMMYFUNCTION("""COMPUTED_VALUE"""),6.0)</f>
        <v>6</v>
      </c>
      <c r="AF85" s="187">
        <f>IFERROR(__xludf.DUMMYFUNCTION("""COMPUTED_VALUE"""),8.0)</f>
        <v>8</v>
      </c>
      <c r="AG85" s="187">
        <f>IFERROR(__xludf.DUMMYFUNCTION("""COMPUTED_VALUE"""),83.0)</f>
        <v>83</v>
      </c>
      <c r="AH85" s="187">
        <f>IFERROR(__xludf.DUMMYFUNCTION("""COMPUTED_VALUE"""),1.0)</f>
        <v>1</v>
      </c>
      <c r="AI85" s="187">
        <f>IFERROR(__xludf.DUMMYFUNCTION("""COMPUTED_VALUE"""),3.0)</f>
        <v>3</v>
      </c>
      <c r="AJ85" s="187">
        <f>IFERROR(__xludf.DUMMYFUNCTION("""COMPUTED_VALUE"""),0.0)</f>
        <v>0</v>
      </c>
      <c r="AK85" s="187">
        <f>IFERROR(__xludf.DUMMYFUNCTION("""COMPUTED_VALUE"""),0.0)</f>
        <v>0</v>
      </c>
      <c r="AL85" s="187">
        <f>IFERROR(__xludf.DUMMYFUNCTION("""COMPUTED_VALUE"""),0.0)</f>
        <v>0</v>
      </c>
      <c r="AM85" s="187">
        <f>IFERROR(__xludf.DUMMYFUNCTION("""COMPUTED_VALUE"""),0.0)</f>
        <v>0</v>
      </c>
      <c r="AN85" s="187">
        <f>IFERROR(__xludf.DUMMYFUNCTION("""COMPUTED_VALUE"""),227.0)</f>
        <v>227</v>
      </c>
      <c r="AO85" s="187">
        <f>IFERROR(__xludf.DUMMYFUNCTION("""COMPUTED_VALUE"""),238.0)</f>
        <v>238</v>
      </c>
      <c r="AP85" s="187">
        <f>IFERROR(__xludf.DUMMYFUNCTION("""COMPUTED_VALUE"""),69.0)</f>
        <v>69</v>
      </c>
      <c r="AQ85" s="217">
        <f>IFERROR(__xludf.DUMMYFUNCTION("""COMPUTED_VALUE"""),60218.840579710144)</f>
        <v>60218.84058</v>
      </c>
      <c r="AR85" s="188">
        <f>IFERROR(__xludf.DUMMYFUNCTION("""COMPUTED_VALUE"""),3.449275362318841)</f>
        <v>3.449275362</v>
      </c>
      <c r="AS85" s="217">
        <f>IFERROR(__xludf.DUMMYFUNCTION("""COMPUTED_VALUE"""),128460.0)</f>
        <v>128460</v>
      </c>
      <c r="AT85" s="217"/>
      <c r="AU85" s="218">
        <f>IFERROR(__xludf.DUMMYFUNCTION("""COMPUTED_VALUE"""),0.030916223436259056)</f>
        <v>0.03091622344</v>
      </c>
      <c r="AV85" s="217">
        <f>IFERROR(__xludf.DUMMYFUNCTION("""COMPUTED_VALUE"""),112300.0)</f>
        <v>112300</v>
      </c>
      <c r="AW85" s="219">
        <f>IFERROR(__xludf.DUMMYFUNCTION("""COMPUTED_VALUE"""),70.0)</f>
        <v>70</v>
      </c>
      <c r="AX85" s="219">
        <f>IFERROR(__xludf.DUMMYFUNCTION("""COMPUTED_VALUE"""),633.0)</f>
        <v>633</v>
      </c>
      <c r="AY85" s="262">
        <f>IFERROR(__xludf.DUMMYFUNCTION("""COMPUTED_VALUE"""),4471.19)</f>
        <v>4471.19</v>
      </c>
      <c r="AZ85" s="263">
        <f>IFERROR(__xludf.DUMMYFUNCTION("""COMPUTED_VALUE"""),72.0)</f>
        <v>72</v>
      </c>
      <c r="BA85" s="263">
        <f>IFERROR(__xludf.DUMMYFUNCTION("""COMPUTED_VALUE"""),37.0)</f>
        <v>37</v>
      </c>
      <c r="BB85" s="263">
        <f>IFERROR(__xludf.DUMMYFUNCTION("""COMPUTED_VALUE"""),33.0)</f>
        <v>33</v>
      </c>
      <c r="BC85" s="263">
        <f>IFERROR(__xludf.DUMMYFUNCTION("""COMPUTED_VALUE"""),12.0)</f>
        <v>12</v>
      </c>
      <c r="BD85" s="258"/>
      <c r="BE85" s="258"/>
      <c r="BF85" s="255" t="e">
        <v>#REF!</v>
      </c>
      <c r="BG85" s="256">
        <f t="shared" si="4"/>
        <v>4155100</v>
      </c>
      <c r="BH85" s="257" t="str">
        <f t="shared" si="5"/>
        <v>#REF!</v>
      </c>
      <c r="BI85" s="98"/>
      <c r="BJ85" s="98"/>
      <c r="BK85" s="98"/>
      <c r="BL85" s="98"/>
      <c r="BM85" s="98"/>
      <c r="BN85" s="98"/>
      <c r="BO85" s="98"/>
      <c r="BP85" s="98"/>
      <c r="BQ85" s="98"/>
      <c r="BR85" s="98"/>
    </row>
    <row r="86">
      <c r="A86" s="6" t="str">
        <f>IFERROR(__xludf.DUMMYFUNCTION("""COMPUTED_VALUE"""),"Sulinder Pal")</f>
        <v>Sulinder Pal</v>
      </c>
      <c r="B86" s="98" t="str">
        <f>IFERROR(__xludf.DUMMYFUNCTION("""COMPUTED_VALUE"""),"Punjab")</f>
        <v>Punjab</v>
      </c>
      <c r="C86" s="212" t="str">
        <f>IFERROR(__xludf.DUMMYFUNCTION("""COMPUTED_VALUE"""),"Ranjit Kumar")</f>
        <v>Ranjit Kumar</v>
      </c>
      <c r="D86" s="98" t="str">
        <f>IFERROR(__xludf.DUMMYFUNCTION("""COMPUTED_VALUE"""),"Abohar")</f>
        <v>Abohar</v>
      </c>
      <c r="E86" s="213">
        <f>IFERROR(__xludf.DUMMYFUNCTION("""COMPUTED_VALUE"""),45311.0)</f>
        <v>45311</v>
      </c>
      <c r="F86" s="222" t="str">
        <f>IFERROR(__xludf.DUMMYFUNCTION("""COMPUTED_VALUE"""),"PUNJAB")</f>
        <v>PUNJAB</v>
      </c>
      <c r="G86" s="215">
        <f>IFERROR(__xludf.DUMMYFUNCTION("""COMPUTED_VALUE"""),6639185.59)</f>
        <v>6639185.59</v>
      </c>
      <c r="H86" s="215">
        <f>IFERROR(__xludf.DUMMYFUNCTION("""COMPUTED_VALUE"""),6886744.0)</f>
        <v>6886744</v>
      </c>
      <c r="I86" s="216">
        <f>IFERROR(__xludf.DUMMYFUNCTION("""COMPUTED_VALUE"""),28835.0)</f>
        <v>28835</v>
      </c>
      <c r="J86" s="216">
        <f>IFERROR(__xludf.DUMMYFUNCTION("""COMPUTED_VALUE"""),1500000.0)</f>
        <v>1500000</v>
      </c>
      <c r="K86" s="217">
        <f>IFERROR(__xludf.DUMMYFUNCTION("""COMPUTED_VALUE"""),0.0)</f>
        <v>0</v>
      </c>
      <c r="L86" s="217">
        <f>IFERROR(__xludf.DUMMYFUNCTION("""COMPUTED_VALUE"""),4500000.0)</f>
        <v>4500000</v>
      </c>
      <c r="M86" s="217">
        <f>IFERROR(__xludf.DUMMYFUNCTION("""COMPUTED_VALUE"""),1917037.0)</f>
        <v>1917037</v>
      </c>
      <c r="N86" s="217">
        <f>IFERROR(__xludf.DUMMYFUNCTION("""COMPUTED_VALUE"""),0.0)</f>
        <v>0</v>
      </c>
      <c r="O86" s="217">
        <f>IFERROR(__xludf.DUMMYFUNCTION("""COMPUTED_VALUE"""),1214541.0)</f>
        <v>1214541</v>
      </c>
      <c r="P86" s="218">
        <f>IFERROR(__xludf.DUMMYFUNCTION("""COMPUTED_VALUE"""),0.42600822222222223)</f>
        <v>0.4260082222</v>
      </c>
      <c r="Q86" s="218">
        <f>IFERROR(__xludf.DUMMYFUNCTION("""COMPUTED_VALUE"""),0.0)</f>
        <v>0</v>
      </c>
      <c r="R86" s="218">
        <f>IFERROR(__xludf.DUMMYFUNCTION("""COMPUTED_VALUE"""),0.269898)</f>
        <v>0.269898</v>
      </c>
      <c r="S86" s="187">
        <f>IFERROR(__xludf.DUMMYFUNCTION("""COMPUTED_VALUE"""),60.0)</f>
        <v>60</v>
      </c>
      <c r="T86" s="187">
        <f>IFERROR(__xludf.DUMMYFUNCTION("""COMPUTED_VALUE"""),63.0)</f>
        <v>63</v>
      </c>
      <c r="U86" s="187">
        <f>IFERROR(__xludf.DUMMYFUNCTION("""COMPUTED_VALUE"""),3.0)</f>
        <v>3</v>
      </c>
      <c r="V86" s="187">
        <f>IFERROR(__xludf.DUMMYFUNCTION("""COMPUTED_VALUE"""),3.0)</f>
        <v>3</v>
      </c>
      <c r="W86" s="187">
        <f>IFERROR(__xludf.DUMMYFUNCTION("""COMPUTED_VALUE"""),63.0)</f>
        <v>63</v>
      </c>
      <c r="X86" s="187">
        <f>IFERROR(__xludf.DUMMYFUNCTION("""COMPUTED_VALUE"""),0.0)</f>
        <v>0</v>
      </c>
      <c r="Y86" s="188">
        <f>IFERROR(__xludf.DUMMYFUNCTION("""COMPUTED_VALUE"""),1810038.81)</f>
        <v>1810038.81</v>
      </c>
      <c r="Z86" s="188">
        <f>IFERROR(__xludf.DUMMYFUNCTION("""COMPUTED_VALUE"""),106997.72)</f>
        <v>106997.72</v>
      </c>
      <c r="AA86" s="187">
        <f>IFERROR(__xludf.DUMMYFUNCTION("""COMPUTED_VALUE"""),57.0)</f>
        <v>57</v>
      </c>
      <c r="AB86" s="187">
        <f>IFERROR(__xludf.DUMMYFUNCTION("""COMPUTED_VALUE"""),3.0)</f>
        <v>3</v>
      </c>
      <c r="AC86" s="187">
        <f>IFERROR(__xludf.DUMMYFUNCTION("""COMPUTED_VALUE"""),60.0)</f>
        <v>60</v>
      </c>
      <c r="AD86" s="187">
        <f>IFERROR(__xludf.DUMMYFUNCTION("""COMPUTED_VALUE"""),0.0)</f>
        <v>0</v>
      </c>
      <c r="AE86" s="187">
        <f>IFERROR(__xludf.DUMMYFUNCTION("""COMPUTED_VALUE"""),20.0)</f>
        <v>20</v>
      </c>
      <c r="AF86" s="187">
        <f>IFERROR(__xludf.DUMMYFUNCTION("""COMPUTED_VALUE"""),38.0)</f>
        <v>38</v>
      </c>
      <c r="AG86" s="187">
        <f>IFERROR(__xludf.DUMMYFUNCTION("""COMPUTED_VALUE"""),221.0)</f>
        <v>221</v>
      </c>
      <c r="AH86" s="187">
        <f>IFERROR(__xludf.DUMMYFUNCTION("""COMPUTED_VALUE"""),1.0)</f>
        <v>1</v>
      </c>
      <c r="AI86" s="187">
        <f>IFERROR(__xludf.DUMMYFUNCTION("""COMPUTED_VALUE"""),51.0)</f>
        <v>51</v>
      </c>
      <c r="AJ86" s="187">
        <f>IFERROR(__xludf.DUMMYFUNCTION("""COMPUTED_VALUE"""),0.0)</f>
        <v>0</v>
      </c>
      <c r="AK86" s="187">
        <f>IFERROR(__xludf.DUMMYFUNCTION("""COMPUTED_VALUE"""),0.0)</f>
        <v>0</v>
      </c>
      <c r="AL86" s="187">
        <f>IFERROR(__xludf.DUMMYFUNCTION("""COMPUTED_VALUE"""),0.0)</f>
        <v>0</v>
      </c>
      <c r="AM86" s="187">
        <f>IFERROR(__xludf.DUMMYFUNCTION("""COMPUTED_VALUE"""),0.0)</f>
        <v>0</v>
      </c>
      <c r="AN86" s="187">
        <f>IFERROR(__xludf.DUMMYFUNCTION("""COMPUTED_VALUE"""),371.0)</f>
        <v>371</v>
      </c>
      <c r="AO86" s="187">
        <f>IFERROR(__xludf.DUMMYFUNCTION("""COMPUTED_VALUE"""),460.0)</f>
        <v>460</v>
      </c>
      <c r="AP86" s="187">
        <f>IFERROR(__xludf.DUMMYFUNCTION("""COMPUTED_VALUE"""),73.0)</f>
        <v>73</v>
      </c>
      <c r="AQ86" s="217">
        <f>IFERROR(__xludf.DUMMYFUNCTION("""COMPUTED_VALUE"""),26260.780821917808)</f>
        <v>26260.78082</v>
      </c>
      <c r="AR86" s="188">
        <f>IFERROR(__xludf.DUMMYFUNCTION("""COMPUTED_VALUE"""),6.301369863013699)</f>
        <v>6.301369863</v>
      </c>
      <c r="AS86" s="217">
        <f>IFERROR(__xludf.DUMMYFUNCTION("""COMPUTED_VALUE"""),86505.0)</f>
        <v>86505</v>
      </c>
      <c r="AT86" s="217"/>
      <c r="AU86" s="218">
        <f>IFERROR(__xludf.DUMMYFUNCTION("""COMPUTED_VALUE"""),0.045124324673963)</f>
        <v>0.04512432467</v>
      </c>
      <c r="AV86" s="217">
        <f>IFERROR(__xludf.DUMMYFUNCTION("""COMPUTED_VALUE"""),31950.616666666665)</f>
        <v>31950.61667</v>
      </c>
      <c r="AW86" s="219">
        <f>IFERROR(__xludf.DUMMYFUNCTION("""COMPUTED_VALUE"""),249.0)</f>
        <v>249</v>
      </c>
      <c r="AX86" s="219">
        <f>IFERROR(__xludf.DUMMYFUNCTION("""COMPUTED_VALUE"""),673.0)</f>
        <v>673</v>
      </c>
      <c r="AY86" s="262">
        <f>IFERROR(__xludf.DUMMYFUNCTION("""COMPUTED_VALUE"""),11048.19)</f>
        <v>11048.19</v>
      </c>
      <c r="AZ86" s="263">
        <f>IFERROR(__xludf.DUMMYFUNCTION("""COMPUTED_VALUE"""),175.0)</f>
        <v>175</v>
      </c>
      <c r="BA86" s="263">
        <f>IFERROR(__xludf.DUMMYFUNCTION("""COMPUTED_VALUE"""),60.0)</f>
        <v>60</v>
      </c>
      <c r="BB86" s="263">
        <f>IFERROR(__xludf.DUMMYFUNCTION("""COMPUTED_VALUE"""),3.0)</f>
        <v>3</v>
      </c>
      <c r="BC86" s="263">
        <f>IFERROR(__xludf.DUMMYFUNCTION("""COMPUTED_VALUE"""),0.0)</f>
        <v>0</v>
      </c>
      <c r="BD86" s="258"/>
      <c r="BE86" s="258"/>
      <c r="BF86" s="255" t="e">
        <v>#REF!</v>
      </c>
      <c r="BG86" s="256">
        <f t="shared" si="4"/>
        <v>1917037</v>
      </c>
      <c r="BH86" s="257" t="str">
        <f t="shared" si="5"/>
        <v>#REF!</v>
      </c>
      <c r="BI86" s="98"/>
      <c r="BJ86" s="98"/>
      <c r="BK86" s="98"/>
      <c r="BL86" s="98"/>
      <c r="BM86" s="98"/>
      <c r="BN86" s="98"/>
      <c r="BO86" s="98"/>
      <c r="BP86" s="98"/>
      <c r="BQ86" s="98"/>
      <c r="BR86" s="98"/>
    </row>
    <row r="87">
      <c r="A87" s="6" t="str">
        <f>IFERROR(__xludf.DUMMYFUNCTION("""COMPUTED_VALUE"""),"Syed Aqil Rizvi")</f>
        <v>Syed Aqil Rizvi</v>
      </c>
      <c r="B87" s="98" t="str">
        <f>IFERROR(__xludf.DUMMYFUNCTION("""COMPUTED_VALUE"""),"East U.P")</f>
        <v>East U.P</v>
      </c>
      <c r="C87" s="212" t="str">
        <f>IFERROR(__xludf.DUMMYFUNCTION("""COMPUTED_VALUE"""),"Vishal Dheer")</f>
        <v>Vishal Dheer</v>
      </c>
      <c r="D87" s="98" t="str">
        <f>IFERROR(__xludf.DUMMYFUNCTION("""COMPUTED_VALUE"""),"Kanpur")</f>
        <v>Kanpur</v>
      </c>
      <c r="E87" s="213">
        <f>IFERROR(__xludf.DUMMYFUNCTION("""COMPUTED_VALUE"""),45323.0)</f>
        <v>45323</v>
      </c>
      <c r="F87" s="222" t="str">
        <f>IFERROR(__xludf.DUMMYFUNCTION("""COMPUTED_VALUE"""),"East U.P")</f>
        <v>East U.P</v>
      </c>
      <c r="G87" s="215">
        <f>IFERROR(__xludf.DUMMYFUNCTION("""COMPUTED_VALUE"""),1.97766866E7)</f>
        <v>19776686.6</v>
      </c>
      <c r="H87" s="215">
        <f>IFERROR(__xludf.DUMMYFUNCTION("""COMPUTED_VALUE"""),2.1171268E7)</f>
        <v>21171268</v>
      </c>
      <c r="I87" s="216">
        <f>IFERROR(__xludf.DUMMYFUNCTION("""COMPUTED_VALUE"""),56000.0)</f>
        <v>56000</v>
      </c>
      <c r="J87" s="216">
        <f>IFERROR(__xludf.DUMMYFUNCTION("""COMPUTED_VALUE"""),2950000.0)</f>
        <v>2950000</v>
      </c>
      <c r="K87" s="217">
        <f>IFERROR(__xludf.DUMMYFUNCTION("""COMPUTED_VALUE"""),1200000.0)</f>
        <v>1200000</v>
      </c>
      <c r="L87" s="217">
        <f>IFERROR(__xludf.DUMMYFUNCTION("""COMPUTED_VALUE"""),7650000.0)</f>
        <v>7650000</v>
      </c>
      <c r="M87" s="217">
        <f>IFERROR(__xludf.DUMMYFUNCTION("""COMPUTED_VALUE"""),2765410.0)</f>
        <v>2765410</v>
      </c>
      <c r="N87" s="217">
        <f>IFERROR(__xludf.DUMMYFUNCTION("""COMPUTED_VALUE"""),147619.41)</f>
        <v>147619.41</v>
      </c>
      <c r="O87" s="217">
        <f>IFERROR(__xludf.DUMMYFUNCTION("""COMPUTED_VALUE"""),2509029.0)</f>
        <v>2509029</v>
      </c>
      <c r="P87" s="218">
        <f>IFERROR(__xludf.DUMMYFUNCTION("""COMPUTED_VALUE"""),0.32915586553672316)</f>
        <v>0.3291558655</v>
      </c>
      <c r="Q87" s="218">
        <f>IFERROR(__xludf.DUMMYFUNCTION("""COMPUTED_VALUE"""),0.12)</f>
        <v>0.12</v>
      </c>
      <c r="R87" s="218">
        <f>IFERROR(__xludf.DUMMYFUNCTION("""COMPUTED_VALUE"""),0.28350610169491525)</f>
        <v>0.2835061017</v>
      </c>
      <c r="S87" s="187">
        <f>IFERROR(__xludf.DUMMYFUNCTION("""COMPUTED_VALUE"""),102.0)</f>
        <v>102</v>
      </c>
      <c r="T87" s="187">
        <f>IFERROR(__xludf.DUMMYFUNCTION("""COMPUTED_VALUE"""),84.0)</f>
        <v>84</v>
      </c>
      <c r="U87" s="187">
        <f>IFERROR(__xludf.DUMMYFUNCTION("""COMPUTED_VALUE"""),4.0)</f>
        <v>4</v>
      </c>
      <c r="V87" s="187">
        <f>IFERROR(__xludf.DUMMYFUNCTION("""COMPUTED_VALUE"""),4.0)</f>
        <v>4</v>
      </c>
      <c r="W87" s="187">
        <f>IFERROR(__xludf.DUMMYFUNCTION("""COMPUTED_VALUE"""),106.0)</f>
        <v>106</v>
      </c>
      <c r="X87" s="187">
        <f>IFERROR(__xludf.DUMMYFUNCTION("""COMPUTED_VALUE"""),22.0)</f>
        <v>22</v>
      </c>
      <c r="Y87" s="188">
        <f>IFERROR(__xludf.DUMMYFUNCTION("""COMPUTED_VALUE"""),2680755.2)</f>
        <v>2680755.2</v>
      </c>
      <c r="Z87" s="188">
        <f>IFERROR(__xludf.DUMMYFUNCTION("""COMPUTED_VALUE"""),84655.12)</f>
        <v>84655.12</v>
      </c>
      <c r="AA87" s="187">
        <f>IFERROR(__xludf.DUMMYFUNCTION("""COMPUTED_VALUE"""),50.0)</f>
        <v>50</v>
      </c>
      <c r="AB87" s="187">
        <f>IFERROR(__xludf.DUMMYFUNCTION("""COMPUTED_VALUE"""),4.0)</f>
        <v>4</v>
      </c>
      <c r="AC87" s="187">
        <f>IFERROR(__xludf.DUMMYFUNCTION("""COMPUTED_VALUE"""),54.0)</f>
        <v>54</v>
      </c>
      <c r="AD87" s="187">
        <f>IFERROR(__xludf.DUMMYFUNCTION("""COMPUTED_VALUE"""),1.0)</f>
        <v>1</v>
      </c>
      <c r="AE87" s="187">
        <f>IFERROR(__xludf.DUMMYFUNCTION("""COMPUTED_VALUE"""),26.0)</f>
        <v>26</v>
      </c>
      <c r="AF87" s="187">
        <f>IFERROR(__xludf.DUMMYFUNCTION("""COMPUTED_VALUE"""),37.0)</f>
        <v>37</v>
      </c>
      <c r="AG87" s="187">
        <f>IFERROR(__xludf.DUMMYFUNCTION("""COMPUTED_VALUE"""),156.0)</f>
        <v>156</v>
      </c>
      <c r="AH87" s="187">
        <f>IFERROR(__xludf.DUMMYFUNCTION("""COMPUTED_VALUE"""),4.0)</f>
        <v>4</v>
      </c>
      <c r="AI87" s="187">
        <f>IFERROR(__xludf.DUMMYFUNCTION("""COMPUTED_VALUE"""),71.0)</f>
        <v>71</v>
      </c>
      <c r="AJ87" s="187">
        <f>IFERROR(__xludf.DUMMYFUNCTION("""COMPUTED_VALUE"""),1.0)</f>
        <v>1</v>
      </c>
      <c r="AK87" s="187">
        <f>IFERROR(__xludf.DUMMYFUNCTION("""COMPUTED_VALUE"""),3.0)</f>
        <v>3</v>
      </c>
      <c r="AL87" s="187">
        <f>IFERROR(__xludf.DUMMYFUNCTION("""COMPUTED_VALUE"""),0.0)</f>
        <v>0</v>
      </c>
      <c r="AM87" s="187">
        <f>IFERROR(__xludf.DUMMYFUNCTION("""COMPUTED_VALUE"""),0.0)</f>
        <v>0</v>
      </c>
      <c r="AN87" s="187">
        <f>IFERROR(__xludf.DUMMYFUNCTION("""COMPUTED_VALUE"""),326.0)</f>
        <v>326</v>
      </c>
      <c r="AO87" s="187">
        <f>IFERROR(__xludf.DUMMYFUNCTION("""COMPUTED_VALUE"""),437.0)</f>
        <v>437</v>
      </c>
      <c r="AP87" s="187">
        <f>IFERROR(__xludf.DUMMYFUNCTION("""COMPUTED_VALUE"""),77.0)</f>
        <v>77</v>
      </c>
      <c r="AQ87" s="217">
        <f>IFERROR(__xludf.DUMMYFUNCTION("""COMPUTED_VALUE"""),37831.55077922078)</f>
        <v>37831.55078</v>
      </c>
      <c r="AR87" s="188">
        <f>IFERROR(__xludf.DUMMYFUNCTION("""COMPUTED_VALUE"""),5.675324675324675)</f>
        <v>5.675324675</v>
      </c>
      <c r="AS87" s="217">
        <f>IFERROR(__xludf.DUMMYFUNCTION("""COMPUTED_VALUE"""),168000.0)</f>
        <v>168000</v>
      </c>
      <c r="AT87" s="217"/>
      <c r="AU87" s="218">
        <f>IFERROR(__xludf.DUMMYFUNCTION("""COMPUTED_VALUE"""),0.05767192031198888)</f>
        <v>0.05767192031</v>
      </c>
      <c r="AV87" s="217">
        <f>IFERROR(__xludf.DUMMYFUNCTION("""COMPUTED_VALUE"""),51211.2962962963)</f>
        <v>51211.2963</v>
      </c>
      <c r="AW87" s="219">
        <f>IFERROR(__xludf.DUMMYFUNCTION("""COMPUTED_VALUE"""),92.0)</f>
        <v>92</v>
      </c>
      <c r="AX87" s="219">
        <f>IFERROR(__xludf.DUMMYFUNCTION("""COMPUTED_VALUE"""),699.0)</f>
        <v>699</v>
      </c>
      <c r="AY87" s="262">
        <f>IFERROR(__xludf.DUMMYFUNCTION("""COMPUTED_VALUE"""),5097.97)</f>
        <v>5097.97</v>
      </c>
      <c r="AZ87" s="263">
        <f>IFERROR(__xludf.DUMMYFUNCTION("""COMPUTED_VALUE"""),61.0)</f>
        <v>61</v>
      </c>
      <c r="BA87" s="263">
        <f>IFERROR(__xludf.DUMMYFUNCTION("""COMPUTED_VALUE"""),54.0)</f>
        <v>54</v>
      </c>
      <c r="BB87" s="263">
        <f>IFERROR(__xludf.DUMMYFUNCTION("""COMPUTED_VALUE"""),36.0)</f>
        <v>36</v>
      </c>
      <c r="BC87" s="263">
        <f>IFERROR(__xludf.DUMMYFUNCTION("""COMPUTED_VALUE"""),16.0)</f>
        <v>16</v>
      </c>
      <c r="BD87" s="258"/>
      <c r="BE87" s="258"/>
      <c r="BF87" s="255" t="e">
        <v>#REF!</v>
      </c>
      <c r="BG87" s="256">
        <f t="shared" si="4"/>
        <v>2913029.41</v>
      </c>
      <c r="BH87" s="257" t="str">
        <f t="shared" si="5"/>
        <v>#REF!</v>
      </c>
      <c r="BI87" s="98"/>
      <c r="BJ87" s="98"/>
      <c r="BK87" s="98"/>
      <c r="BL87" s="98"/>
      <c r="BM87" s="98"/>
      <c r="BN87" s="98"/>
      <c r="BO87" s="98"/>
      <c r="BP87" s="98"/>
      <c r="BQ87" s="98"/>
      <c r="BR87" s="98"/>
    </row>
    <row r="88">
      <c r="A88" s="6" t="str">
        <f>IFERROR(__xludf.DUMMYFUNCTION("""COMPUTED_VALUE"""),"Sandeep Dadheech")</f>
        <v>Sandeep Dadheech</v>
      </c>
      <c r="B88" s="98" t="str">
        <f>IFERROR(__xludf.DUMMYFUNCTION("""COMPUTED_VALUE"""),"West Bengal")</f>
        <v>West Bengal</v>
      </c>
      <c r="C88" s="212" t="str">
        <f>IFERROR(__xludf.DUMMYFUNCTION("""COMPUTED_VALUE"""),"ATANU PAUL")</f>
        <v>ATANU PAUL</v>
      </c>
      <c r="D88" s="98" t="str">
        <f>IFERROR(__xludf.DUMMYFUNCTION("""COMPUTED_VALUE"""),"JAYANAGAR")</f>
        <v>JAYANAGAR</v>
      </c>
      <c r="E88" s="213">
        <f>IFERROR(__xludf.DUMMYFUNCTION("""COMPUTED_VALUE"""),45323.0)</f>
        <v>45323</v>
      </c>
      <c r="F88" s="222" t="str">
        <f>IFERROR(__xludf.DUMMYFUNCTION("""COMPUTED_VALUE"""),"WEST BENGAL")</f>
        <v>WEST BENGAL</v>
      </c>
      <c r="G88" s="215">
        <f>IFERROR(__xludf.DUMMYFUNCTION("""COMPUTED_VALUE"""),1.541835723E7)</f>
        <v>15418357.23</v>
      </c>
      <c r="H88" s="215">
        <f>IFERROR(__xludf.DUMMYFUNCTION("""COMPUTED_VALUE"""),1.5358304E7)</f>
        <v>15358304</v>
      </c>
      <c r="I88" s="216">
        <f>IFERROR(__xludf.DUMMYFUNCTION("""COMPUTED_VALUE"""),30950.0)</f>
        <v>30950</v>
      </c>
      <c r="J88" s="216">
        <f>IFERROR(__xludf.DUMMYFUNCTION("""COMPUTED_VALUE"""),4166667.0)</f>
        <v>4166667</v>
      </c>
      <c r="K88" s="217">
        <f>IFERROR(__xludf.DUMMYFUNCTION("""COMPUTED_VALUE"""),0.0)</f>
        <v>0</v>
      </c>
      <c r="L88" s="217">
        <f>IFERROR(__xludf.DUMMYFUNCTION("""COMPUTED_VALUE"""),1.2500001E7)</f>
        <v>12500001</v>
      </c>
      <c r="M88" s="217">
        <f>IFERROR(__xludf.DUMMYFUNCTION("""COMPUTED_VALUE"""),5038061.0)</f>
        <v>5038061</v>
      </c>
      <c r="N88" s="217">
        <f>IFERROR(__xludf.DUMMYFUNCTION("""COMPUTED_VALUE"""),0.0)</f>
        <v>0</v>
      </c>
      <c r="O88" s="217">
        <f>IFERROR(__xludf.DUMMYFUNCTION("""COMPUTED_VALUE"""),3102195.0)</f>
        <v>3102195</v>
      </c>
      <c r="P88" s="218">
        <f>IFERROR(__xludf.DUMMYFUNCTION("""COMPUTED_VALUE"""),0.4030448477564122)</f>
        <v>0.4030448478</v>
      </c>
      <c r="Q88" s="218">
        <f>IFERROR(__xludf.DUMMYFUNCTION("""COMPUTED_VALUE"""),0.0)</f>
        <v>0</v>
      </c>
      <c r="R88" s="218">
        <f>IFERROR(__xludf.DUMMYFUNCTION("""COMPUTED_VALUE"""),0.2481755801459536)</f>
        <v>0.2481755801</v>
      </c>
      <c r="S88" s="187">
        <f>IFERROR(__xludf.DUMMYFUNCTION("""COMPUTED_VALUE"""),69.0)</f>
        <v>69</v>
      </c>
      <c r="T88" s="187">
        <f>IFERROR(__xludf.DUMMYFUNCTION("""COMPUTED_VALUE"""),64.0)</f>
        <v>64</v>
      </c>
      <c r="U88" s="187">
        <f>IFERROR(__xludf.DUMMYFUNCTION("""COMPUTED_VALUE"""),1.0)</f>
        <v>1</v>
      </c>
      <c r="V88" s="187">
        <f>IFERROR(__xludf.DUMMYFUNCTION("""COMPUTED_VALUE"""),1.0)</f>
        <v>1</v>
      </c>
      <c r="W88" s="187">
        <f>IFERROR(__xludf.DUMMYFUNCTION("""COMPUTED_VALUE"""),70.0)</f>
        <v>70</v>
      </c>
      <c r="X88" s="187">
        <f>IFERROR(__xludf.DUMMYFUNCTION("""COMPUTED_VALUE"""),6.0)</f>
        <v>6</v>
      </c>
      <c r="Y88" s="188">
        <f>IFERROR(__xludf.DUMMYFUNCTION("""COMPUTED_VALUE"""),4975211.92)</f>
        <v>4975211.92</v>
      </c>
      <c r="Z88" s="188">
        <f>IFERROR(__xludf.DUMMYFUNCTION("""COMPUTED_VALUE"""),62848.72)</f>
        <v>62848.72</v>
      </c>
      <c r="AA88" s="187">
        <f>IFERROR(__xludf.DUMMYFUNCTION("""COMPUTED_VALUE"""),35.0)</f>
        <v>35</v>
      </c>
      <c r="AB88" s="187">
        <f>IFERROR(__xludf.DUMMYFUNCTION("""COMPUTED_VALUE"""),1.0)</f>
        <v>1</v>
      </c>
      <c r="AC88" s="187">
        <f>IFERROR(__xludf.DUMMYFUNCTION("""COMPUTED_VALUE"""),36.0)</f>
        <v>36</v>
      </c>
      <c r="AD88" s="187">
        <f>IFERROR(__xludf.DUMMYFUNCTION("""COMPUTED_VALUE"""),0.0)</f>
        <v>0</v>
      </c>
      <c r="AE88" s="187">
        <f>IFERROR(__xludf.DUMMYFUNCTION("""COMPUTED_VALUE"""),74.0)</f>
        <v>74</v>
      </c>
      <c r="AF88" s="187">
        <f>IFERROR(__xludf.DUMMYFUNCTION("""COMPUTED_VALUE"""),113.0)</f>
        <v>113</v>
      </c>
      <c r="AG88" s="187">
        <f>IFERROR(__xludf.DUMMYFUNCTION("""COMPUTED_VALUE"""),162.0)</f>
        <v>162</v>
      </c>
      <c r="AH88" s="187">
        <f>IFERROR(__xludf.DUMMYFUNCTION("""COMPUTED_VALUE"""),3.0)</f>
        <v>3</v>
      </c>
      <c r="AI88" s="187">
        <f>IFERROR(__xludf.DUMMYFUNCTION("""COMPUTED_VALUE"""),18.0)</f>
        <v>18</v>
      </c>
      <c r="AJ88" s="187">
        <f>IFERROR(__xludf.DUMMYFUNCTION("""COMPUTED_VALUE"""),0.0)</f>
        <v>0</v>
      </c>
      <c r="AK88" s="187">
        <f>IFERROR(__xludf.DUMMYFUNCTION("""COMPUTED_VALUE"""),0.0)</f>
        <v>0</v>
      </c>
      <c r="AL88" s="187">
        <f>IFERROR(__xludf.DUMMYFUNCTION("""COMPUTED_VALUE"""),0.0)</f>
        <v>0</v>
      </c>
      <c r="AM88" s="187">
        <f>IFERROR(__xludf.DUMMYFUNCTION("""COMPUTED_VALUE"""),0.0)</f>
        <v>0</v>
      </c>
      <c r="AN88" s="187">
        <f>IFERROR(__xludf.DUMMYFUNCTION("""COMPUTED_VALUE"""),247.0)</f>
        <v>247</v>
      </c>
      <c r="AO88" s="187">
        <f>IFERROR(__xludf.DUMMYFUNCTION("""COMPUTED_VALUE"""),378.0)</f>
        <v>378</v>
      </c>
      <c r="AP88" s="187">
        <f>IFERROR(__xludf.DUMMYFUNCTION("""COMPUTED_VALUE"""),73.0)</f>
        <v>73</v>
      </c>
      <c r="AQ88" s="217">
        <f>IFERROR(__xludf.DUMMYFUNCTION("""COMPUTED_VALUE"""),69014.53424657535)</f>
        <v>69014.53425</v>
      </c>
      <c r="AR88" s="188">
        <f>IFERROR(__xludf.DUMMYFUNCTION("""COMPUTED_VALUE"""),5.178082191780822)</f>
        <v>5.178082192</v>
      </c>
      <c r="AS88" s="217">
        <f>IFERROR(__xludf.DUMMYFUNCTION("""COMPUTED_VALUE"""),92850.0)</f>
        <v>92850</v>
      </c>
      <c r="AT88" s="217"/>
      <c r="AU88" s="218">
        <f>IFERROR(__xludf.DUMMYFUNCTION("""COMPUTED_VALUE"""),0.018429709366361385)</f>
        <v>0.01842970937</v>
      </c>
      <c r="AV88" s="217">
        <f>IFERROR(__xludf.DUMMYFUNCTION("""COMPUTED_VALUE"""),139946.13888888888)</f>
        <v>139946.1389</v>
      </c>
      <c r="AW88" s="219">
        <f>IFERROR(__xludf.DUMMYFUNCTION("""COMPUTED_VALUE"""),118.0)</f>
        <v>118</v>
      </c>
      <c r="AX88" s="219">
        <f>IFERROR(__xludf.DUMMYFUNCTION("""COMPUTED_VALUE"""),862.0)</f>
        <v>862</v>
      </c>
      <c r="AY88" s="262">
        <f>IFERROR(__xludf.DUMMYFUNCTION("""COMPUTED_VALUE"""),6552.77)</f>
        <v>6552.77</v>
      </c>
      <c r="AZ88" s="263">
        <f>IFERROR(__xludf.DUMMYFUNCTION("""COMPUTED_VALUE"""),102.0)</f>
        <v>102</v>
      </c>
      <c r="BA88" s="263">
        <f>IFERROR(__xludf.DUMMYFUNCTION("""COMPUTED_VALUE"""),36.0)</f>
        <v>36</v>
      </c>
      <c r="BB88" s="263">
        <f>IFERROR(__xludf.DUMMYFUNCTION("""COMPUTED_VALUE"""),29.0)</f>
        <v>29</v>
      </c>
      <c r="BC88" s="263">
        <f>IFERROR(__xludf.DUMMYFUNCTION("""COMPUTED_VALUE"""),5.0)</f>
        <v>5</v>
      </c>
      <c r="BD88" s="258"/>
      <c r="BE88" s="258"/>
      <c r="BF88" s="255" t="e">
        <v>#REF!</v>
      </c>
      <c r="BG88" s="256">
        <f t="shared" si="4"/>
        <v>5038061</v>
      </c>
      <c r="BH88" s="257" t="str">
        <f t="shared" si="5"/>
        <v>#REF!</v>
      </c>
      <c r="BI88" s="98"/>
      <c r="BJ88" s="98"/>
      <c r="BK88" s="98"/>
      <c r="BL88" s="98"/>
      <c r="BM88" s="98"/>
      <c r="BN88" s="98"/>
      <c r="BO88" s="98"/>
      <c r="BP88" s="98"/>
      <c r="BQ88" s="98"/>
      <c r="BR88" s="98"/>
    </row>
    <row r="89">
      <c r="A89" s="6" t="str">
        <f>IFERROR(__xludf.DUMMYFUNCTION("""COMPUTED_VALUE"""),"Syed Aqil Rizvi")</f>
        <v>Syed Aqil Rizvi</v>
      </c>
      <c r="B89" s="98" t="str">
        <f>IFERROR(__xludf.DUMMYFUNCTION("""COMPUTED_VALUE"""),"Maharashtra 2")</f>
        <v>Maharashtra 2</v>
      </c>
      <c r="C89" s="212" t="str">
        <f>IFERROR(__xludf.DUMMYFUNCTION("""COMPUTED_VALUE"""),"Dhiraj Ravindra Patle")</f>
        <v>Dhiraj Ravindra Patle</v>
      </c>
      <c r="D89" s="98" t="str">
        <f>IFERROR(__xludf.DUMMYFUNCTION("""COMPUTED_VALUE"""),"Gondia")</f>
        <v>Gondia</v>
      </c>
      <c r="E89" s="213">
        <f>IFERROR(__xludf.DUMMYFUNCTION("""COMPUTED_VALUE"""),45331.0)</f>
        <v>45331</v>
      </c>
      <c r="F89" s="222" t="str">
        <f>IFERROR(__xludf.DUMMYFUNCTION("""COMPUTED_VALUE"""),"MAHARASHTRA")</f>
        <v>MAHARASHTRA</v>
      </c>
      <c r="G89" s="215">
        <f>IFERROR(__xludf.DUMMYFUNCTION("""COMPUTED_VALUE"""),7966662.359999999)</f>
        <v>7966662.36</v>
      </c>
      <c r="H89" s="215">
        <f>IFERROR(__xludf.DUMMYFUNCTION("""COMPUTED_VALUE"""),7711527.0)</f>
        <v>7711527</v>
      </c>
      <c r="I89" s="216">
        <f>IFERROR(__xludf.DUMMYFUNCTION("""COMPUTED_VALUE"""),26212.0)</f>
        <v>26212</v>
      </c>
      <c r="J89" s="216">
        <f>IFERROR(__xludf.DUMMYFUNCTION("""COMPUTED_VALUE"""),1357000.0)</f>
        <v>1357000</v>
      </c>
      <c r="K89" s="217">
        <f>IFERROR(__xludf.DUMMYFUNCTION("""COMPUTED_VALUE"""),0.0)</f>
        <v>0</v>
      </c>
      <c r="L89" s="217">
        <f>IFERROR(__xludf.DUMMYFUNCTION("""COMPUTED_VALUE"""),4071000.0)</f>
        <v>4071000</v>
      </c>
      <c r="M89" s="217">
        <f>IFERROR(__xludf.DUMMYFUNCTION("""COMPUTED_VALUE"""),1964916.0)</f>
        <v>1964916</v>
      </c>
      <c r="N89" s="217">
        <f>IFERROR(__xludf.DUMMYFUNCTION("""COMPUTED_VALUE"""),0.0)</f>
        <v>0</v>
      </c>
      <c r="O89" s="217">
        <f>IFERROR(__xludf.DUMMYFUNCTION("""COMPUTED_VALUE"""),724204.0)</f>
        <v>724204</v>
      </c>
      <c r="P89" s="218">
        <f>IFERROR(__xludf.DUMMYFUNCTION("""COMPUTED_VALUE"""),0.4826617538688283)</f>
        <v>0.4826617539</v>
      </c>
      <c r="Q89" s="218">
        <f>IFERROR(__xludf.DUMMYFUNCTION("""COMPUTED_VALUE"""),0.0)</f>
        <v>0</v>
      </c>
      <c r="R89" s="218">
        <f>IFERROR(__xludf.DUMMYFUNCTION("""COMPUTED_VALUE"""),0.1778933922869074)</f>
        <v>0.1778933923</v>
      </c>
      <c r="S89" s="187">
        <f>IFERROR(__xludf.DUMMYFUNCTION("""COMPUTED_VALUE"""),33.0)</f>
        <v>33</v>
      </c>
      <c r="T89" s="187">
        <f>IFERROR(__xludf.DUMMYFUNCTION("""COMPUTED_VALUE"""),31.0)</f>
        <v>31</v>
      </c>
      <c r="U89" s="187">
        <f>IFERROR(__xludf.DUMMYFUNCTION("""COMPUTED_VALUE"""),2.0)</f>
        <v>2</v>
      </c>
      <c r="V89" s="187">
        <f>IFERROR(__xludf.DUMMYFUNCTION("""COMPUTED_VALUE"""),2.0)</f>
        <v>2</v>
      </c>
      <c r="W89" s="187">
        <f>IFERROR(__xludf.DUMMYFUNCTION("""COMPUTED_VALUE"""),35.0)</f>
        <v>35</v>
      </c>
      <c r="X89" s="187">
        <f>IFERROR(__xludf.DUMMYFUNCTION("""COMPUTED_VALUE"""),4.0)</f>
        <v>4</v>
      </c>
      <c r="Y89" s="188">
        <f>IFERROR(__xludf.DUMMYFUNCTION("""COMPUTED_VALUE"""),1892826.06)</f>
        <v>1892826.06</v>
      </c>
      <c r="Z89" s="188">
        <f>IFERROR(__xludf.DUMMYFUNCTION("""COMPUTED_VALUE"""),72089.6)</f>
        <v>72089.6</v>
      </c>
      <c r="AA89" s="187">
        <f>IFERROR(__xludf.DUMMYFUNCTION("""COMPUTED_VALUE"""),19.0)</f>
        <v>19</v>
      </c>
      <c r="AB89" s="187">
        <f>IFERROR(__xludf.DUMMYFUNCTION("""COMPUTED_VALUE"""),2.0)</f>
        <v>2</v>
      </c>
      <c r="AC89" s="187">
        <f>IFERROR(__xludf.DUMMYFUNCTION("""COMPUTED_VALUE"""),21.0)</f>
        <v>21</v>
      </c>
      <c r="AD89" s="187">
        <f>IFERROR(__xludf.DUMMYFUNCTION("""COMPUTED_VALUE"""),0.0)</f>
        <v>0</v>
      </c>
      <c r="AE89" s="187">
        <f>IFERROR(__xludf.DUMMYFUNCTION("""COMPUTED_VALUE"""),72.0)</f>
        <v>72</v>
      </c>
      <c r="AF89" s="187">
        <f>IFERROR(__xludf.DUMMYFUNCTION("""COMPUTED_VALUE"""),120.0)</f>
        <v>120</v>
      </c>
      <c r="AG89" s="187">
        <f>IFERROR(__xludf.DUMMYFUNCTION("""COMPUTED_VALUE"""),177.0)</f>
        <v>177</v>
      </c>
      <c r="AH89" s="187">
        <f>IFERROR(__xludf.DUMMYFUNCTION("""COMPUTED_VALUE"""),0.0)</f>
        <v>0</v>
      </c>
      <c r="AI89" s="187">
        <f>IFERROR(__xludf.DUMMYFUNCTION("""COMPUTED_VALUE"""),0.0)</f>
        <v>0</v>
      </c>
      <c r="AJ89" s="187">
        <f>IFERROR(__xludf.DUMMYFUNCTION("""COMPUTED_VALUE"""),0.0)</f>
        <v>0</v>
      </c>
      <c r="AK89" s="187">
        <f>IFERROR(__xludf.DUMMYFUNCTION("""COMPUTED_VALUE"""),0.0)</f>
        <v>0</v>
      </c>
      <c r="AL89" s="187">
        <f>IFERROR(__xludf.DUMMYFUNCTION("""COMPUTED_VALUE"""),0.0)</f>
        <v>0</v>
      </c>
      <c r="AM89" s="187">
        <f>IFERROR(__xludf.DUMMYFUNCTION("""COMPUTED_VALUE"""),0.0)</f>
        <v>0</v>
      </c>
      <c r="AN89" s="187">
        <f>IFERROR(__xludf.DUMMYFUNCTION("""COMPUTED_VALUE"""),211.0)</f>
        <v>211</v>
      </c>
      <c r="AO89" s="187">
        <f>IFERROR(__xludf.DUMMYFUNCTION("""COMPUTED_VALUE"""),331.0)</f>
        <v>331</v>
      </c>
      <c r="AP89" s="187">
        <f>IFERROR(__xludf.DUMMYFUNCTION("""COMPUTED_VALUE"""),75.0)</f>
        <v>75</v>
      </c>
      <c r="AQ89" s="217">
        <f>IFERROR(__xludf.DUMMYFUNCTION("""COMPUTED_VALUE"""),26198.88)</f>
        <v>26198.88</v>
      </c>
      <c r="AR89" s="188">
        <f>IFERROR(__xludf.DUMMYFUNCTION("""COMPUTED_VALUE"""),4.413333333333333)</f>
        <v>4.413333333</v>
      </c>
      <c r="AS89" s="217">
        <f>IFERROR(__xludf.DUMMYFUNCTION("""COMPUTED_VALUE"""),78636.0)</f>
        <v>78636</v>
      </c>
      <c r="AT89" s="217"/>
      <c r="AU89" s="218">
        <f>IFERROR(__xludf.DUMMYFUNCTION("""COMPUTED_VALUE"""),0.04002003139065487)</f>
        <v>0.04002003139</v>
      </c>
      <c r="AV89" s="217">
        <f>IFERROR(__xludf.DUMMYFUNCTION("""COMPUTED_VALUE"""),93567.42857142857)</f>
        <v>93567.42857</v>
      </c>
      <c r="AW89" s="219">
        <f>IFERROR(__xludf.DUMMYFUNCTION("""COMPUTED_VALUE"""),55.0)</f>
        <v>55</v>
      </c>
      <c r="AX89" s="219">
        <f>IFERROR(__xludf.DUMMYFUNCTION("""COMPUTED_VALUE"""),789.0)</f>
        <v>789</v>
      </c>
      <c r="AY89" s="262">
        <f>IFERROR(__xludf.DUMMYFUNCTION("""COMPUTED_VALUE"""),4836.38)</f>
        <v>4836.38</v>
      </c>
      <c r="AZ89" s="263">
        <f>IFERROR(__xludf.DUMMYFUNCTION("""COMPUTED_VALUE"""),156.0)</f>
        <v>156</v>
      </c>
      <c r="BA89" s="263">
        <f>IFERROR(__xludf.DUMMYFUNCTION("""COMPUTED_VALUE"""),21.0)</f>
        <v>21</v>
      </c>
      <c r="BB89" s="263">
        <f>IFERROR(__xludf.DUMMYFUNCTION("""COMPUTED_VALUE"""),13.0)</f>
        <v>13</v>
      </c>
      <c r="BC89" s="263">
        <f>IFERROR(__xludf.DUMMYFUNCTION("""COMPUTED_VALUE"""),1.0)</f>
        <v>1</v>
      </c>
      <c r="BD89" s="258"/>
      <c r="BE89" s="258"/>
      <c r="BF89" s="255" t="e">
        <v>#REF!</v>
      </c>
      <c r="BG89" s="256">
        <f t="shared" si="4"/>
        <v>1964916</v>
      </c>
      <c r="BH89" s="257" t="str">
        <f t="shared" si="5"/>
        <v>#REF!</v>
      </c>
      <c r="BI89" s="98"/>
      <c r="BJ89" s="98"/>
      <c r="BK89" s="98"/>
      <c r="BL89" s="98"/>
      <c r="BM89" s="98"/>
      <c r="BN89" s="98"/>
      <c r="BO89" s="98"/>
      <c r="BP89" s="98"/>
      <c r="BQ89" s="98"/>
      <c r="BR89" s="98"/>
    </row>
    <row r="90">
      <c r="A90" s="6" t="str">
        <f>IFERROR(__xludf.DUMMYFUNCTION("""COMPUTED_VALUE"""),"Sulinder Pal")</f>
        <v>Sulinder Pal</v>
      </c>
      <c r="B90" s="98" t="str">
        <f>IFERROR(__xludf.DUMMYFUNCTION("""COMPUTED_VALUE"""),"Punjab")</f>
        <v>Punjab</v>
      </c>
      <c r="C90" s="212" t="str">
        <f>IFERROR(__xludf.DUMMYFUNCTION("""COMPUTED_VALUE"""),"Amit Tangri")</f>
        <v>Amit Tangri</v>
      </c>
      <c r="D90" s="98" t="str">
        <f>IFERROR(__xludf.DUMMYFUNCTION("""COMPUTED_VALUE"""),"Ludhiana")</f>
        <v>Ludhiana</v>
      </c>
      <c r="E90" s="213">
        <f>IFERROR(__xludf.DUMMYFUNCTION("""COMPUTED_VALUE"""),45393.0)</f>
        <v>45393</v>
      </c>
      <c r="F90" s="222" t="str">
        <f>IFERROR(__xludf.DUMMYFUNCTION("""COMPUTED_VALUE"""),"PUNJAB")</f>
        <v>PUNJAB</v>
      </c>
      <c r="G90" s="215">
        <f>IFERROR(__xludf.DUMMYFUNCTION("""COMPUTED_VALUE"""),6963246.180000001)</f>
        <v>6963246.18</v>
      </c>
      <c r="H90" s="215">
        <f>IFERROR(__xludf.DUMMYFUNCTION("""COMPUTED_VALUE"""),6665327.5)</f>
        <v>6665327.5</v>
      </c>
      <c r="I90" s="216">
        <f>IFERROR(__xludf.DUMMYFUNCTION("""COMPUTED_VALUE"""),27000.0)</f>
        <v>27000</v>
      </c>
      <c r="J90" s="216">
        <f>IFERROR(__xludf.DUMMYFUNCTION("""COMPUTED_VALUE"""),1500000.0)</f>
        <v>1500000</v>
      </c>
      <c r="K90" s="217">
        <f>IFERROR(__xludf.DUMMYFUNCTION("""COMPUTED_VALUE"""),0.0)</f>
        <v>0</v>
      </c>
      <c r="L90" s="217">
        <f>IFERROR(__xludf.DUMMYFUNCTION("""COMPUTED_VALUE"""),4500000.0)</f>
        <v>4500000</v>
      </c>
      <c r="M90" s="217">
        <f>IFERROR(__xludf.DUMMYFUNCTION("""COMPUTED_VALUE"""),2074638.0)</f>
        <v>2074638</v>
      </c>
      <c r="N90" s="217">
        <f>IFERROR(__xludf.DUMMYFUNCTION("""COMPUTED_VALUE"""),0.0)</f>
        <v>0</v>
      </c>
      <c r="O90" s="217">
        <f>IFERROR(__xludf.DUMMYFUNCTION("""COMPUTED_VALUE"""),1129344.0)</f>
        <v>1129344</v>
      </c>
      <c r="P90" s="218">
        <f>IFERROR(__xludf.DUMMYFUNCTION("""COMPUTED_VALUE"""),0.46103066666666664)</f>
        <v>0.4610306667</v>
      </c>
      <c r="Q90" s="218">
        <f>IFERROR(__xludf.DUMMYFUNCTION("""COMPUTED_VALUE"""),0.0)</f>
        <v>0</v>
      </c>
      <c r="R90" s="218">
        <f>IFERROR(__xludf.DUMMYFUNCTION("""COMPUTED_VALUE"""),0.2509653333333333)</f>
        <v>0.2509653333</v>
      </c>
      <c r="S90" s="187">
        <f>IFERROR(__xludf.DUMMYFUNCTION("""COMPUTED_VALUE"""),127.0)</f>
        <v>127</v>
      </c>
      <c r="T90" s="187">
        <f>IFERROR(__xludf.DUMMYFUNCTION("""COMPUTED_VALUE"""),107.0)</f>
        <v>107</v>
      </c>
      <c r="U90" s="187">
        <f>IFERROR(__xludf.DUMMYFUNCTION("""COMPUTED_VALUE"""),9.0)</f>
        <v>9</v>
      </c>
      <c r="V90" s="187">
        <f>IFERROR(__xludf.DUMMYFUNCTION("""COMPUTED_VALUE"""),9.0)</f>
        <v>9</v>
      </c>
      <c r="W90" s="187">
        <f>IFERROR(__xludf.DUMMYFUNCTION("""COMPUTED_VALUE"""),136.0)</f>
        <v>136</v>
      </c>
      <c r="X90" s="187">
        <f>IFERROR(__xludf.DUMMYFUNCTION("""COMPUTED_VALUE"""),29.0)</f>
        <v>29</v>
      </c>
      <c r="Y90" s="188">
        <f>IFERROR(__xludf.DUMMYFUNCTION("""COMPUTED_VALUE"""),1926890.73)</f>
        <v>1926890.73</v>
      </c>
      <c r="Z90" s="188">
        <f>IFERROR(__xludf.DUMMYFUNCTION("""COMPUTED_VALUE"""),147746.94)</f>
        <v>147746.94</v>
      </c>
      <c r="AA90" s="187">
        <f>IFERROR(__xludf.DUMMYFUNCTION("""COMPUTED_VALUE"""),57.0)</f>
        <v>57</v>
      </c>
      <c r="AB90" s="187">
        <f>IFERROR(__xludf.DUMMYFUNCTION("""COMPUTED_VALUE"""),9.0)</f>
        <v>9</v>
      </c>
      <c r="AC90" s="187">
        <f>IFERROR(__xludf.DUMMYFUNCTION("""COMPUTED_VALUE"""),66.0)</f>
        <v>66</v>
      </c>
      <c r="AD90" s="187">
        <f>IFERROR(__xludf.DUMMYFUNCTION("""COMPUTED_VALUE"""),0.0)</f>
        <v>0</v>
      </c>
      <c r="AE90" s="187">
        <f>IFERROR(__xludf.DUMMYFUNCTION("""COMPUTED_VALUE"""),15.0)</f>
        <v>15</v>
      </c>
      <c r="AF90" s="187">
        <f>IFERROR(__xludf.DUMMYFUNCTION("""COMPUTED_VALUE"""),23.0)</f>
        <v>23</v>
      </c>
      <c r="AG90" s="187">
        <f>IFERROR(__xludf.DUMMYFUNCTION("""COMPUTED_VALUE"""),432.0)</f>
        <v>432</v>
      </c>
      <c r="AH90" s="187">
        <f>IFERROR(__xludf.DUMMYFUNCTION("""COMPUTED_VALUE"""),2.0)</f>
        <v>2</v>
      </c>
      <c r="AI90" s="187">
        <f>IFERROR(__xludf.DUMMYFUNCTION("""COMPUTED_VALUE"""),18.0)</f>
        <v>18</v>
      </c>
      <c r="AJ90" s="187">
        <f>IFERROR(__xludf.DUMMYFUNCTION("""COMPUTED_VALUE"""),0.0)</f>
        <v>0</v>
      </c>
      <c r="AK90" s="187">
        <f>IFERROR(__xludf.DUMMYFUNCTION("""COMPUTED_VALUE"""),0.0)</f>
        <v>0</v>
      </c>
      <c r="AL90" s="187">
        <f>IFERROR(__xludf.DUMMYFUNCTION("""COMPUTED_VALUE"""),1.0)</f>
        <v>1</v>
      </c>
      <c r="AM90" s="187">
        <f>IFERROR(__xludf.DUMMYFUNCTION("""COMPUTED_VALUE"""),2.0)</f>
        <v>2</v>
      </c>
      <c r="AN90" s="187">
        <f>IFERROR(__xludf.DUMMYFUNCTION("""COMPUTED_VALUE"""),496.0)</f>
        <v>496</v>
      </c>
      <c r="AO90" s="187">
        <f>IFERROR(__xludf.DUMMYFUNCTION("""COMPUTED_VALUE"""),539.0)</f>
        <v>539</v>
      </c>
      <c r="AP90" s="187">
        <f>IFERROR(__xludf.DUMMYFUNCTION("""COMPUTED_VALUE"""),75.0)</f>
        <v>75</v>
      </c>
      <c r="AQ90" s="217">
        <f>IFERROR(__xludf.DUMMYFUNCTION("""COMPUTED_VALUE"""),27661.84)</f>
        <v>27661.84</v>
      </c>
      <c r="AR90" s="188">
        <f>IFERROR(__xludf.DUMMYFUNCTION("""COMPUTED_VALUE"""),7.1866666666666665)</f>
        <v>7.186666667</v>
      </c>
      <c r="AS90" s="217">
        <f>IFERROR(__xludf.DUMMYFUNCTION("""COMPUTED_VALUE"""),81000.0)</f>
        <v>81000</v>
      </c>
      <c r="AT90" s="217"/>
      <c r="AU90" s="218">
        <f>IFERROR(__xludf.DUMMYFUNCTION("""COMPUTED_VALUE"""),0.039042955927732936)</f>
        <v>0.03904295593</v>
      </c>
      <c r="AV90" s="217">
        <f>IFERROR(__xludf.DUMMYFUNCTION("""COMPUTED_VALUE"""),31433.909090909092)</f>
        <v>31433.90909</v>
      </c>
      <c r="AW90" s="219">
        <f>IFERROR(__xludf.DUMMYFUNCTION("""COMPUTED_VALUE"""),148.0)</f>
        <v>148</v>
      </c>
      <c r="AX90" s="219">
        <f>IFERROR(__xludf.DUMMYFUNCTION("""COMPUTED_VALUE"""),675.0)</f>
        <v>675</v>
      </c>
      <c r="AY90" s="262">
        <f>IFERROR(__xludf.DUMMYFUNCTION("""COMPUTED_VALUE"""),8069.9)</f>
        <v>8069.9</v>
      </c>
      <c r="AZ90" s="263">
        <f>IFERROR(__xludf.DUMMYFUNCTION("""COMPUTED_VALUE"""),75.0)</f>
        <v>75</v>
      </c>
      <c r="BA90" s="263">
        <f>IFERROR(__xludf.DUMMYFUNCTION("""COMPUTED_VALUE"""),66.0)</f>
        <v>66</v>
      </c>
      <c r="BB90" s="263">
        <f>IFERROR(__xludf.DUMMYFUNCTION("""COMPUTED_VALUE"""),42.0)</f>
        <v>42</v>
      </c>
      <c r="BC90" s="263">
        <f>IFERROR(__xludf.DUMMYFUNCTION("""COMPUTED_VALUE"""),28.0)</f>
        <v>28</v>
      </c>
      <c r="BD90" s="258"/>
      <c r="BE90" s="258"/>
      <c r="BF90" s="255" t="e">
        <v>#REF!</v>
      </c>
      <c r="BG90" s="256">
        <f t="shared" si="4"/>
        <v>2074638</v>
      </c>
      <c r="BH90" s="257" t="str">
        <f t="shared" si="5"/>
        <v>#REF!</v>
      </c>
      <c r="BI90" s="98"/>
      <c r="BJ90" s="98"/>
      <c r="BK90" s="98"/>
      <c r="BL90" s="98"/>
      <c r="BM90" s="98"/>
      <c r="BN90" s="98"/>
      <c r="BO90" s="98"/>
      <c r="BP90" s="98"/>
      <c r="BQ90" s="98"/>
      <c r="BR90" s="98"/>
    </row>
    <row r="91">
      <c r="A91" s="6" t="str">
        <f>IFERROR(__xludf.DUMMYFUNCTION("""COMPUTED_VALUE"""),"Pawan Sharma")</f>
        <v>Pawan Sharma</v>
      </c>
      <c r="B91" s="98" t="str">
        <f>IFERROR(__xludf.DUMMYFUNCTION("""COMPUTED_VALUE"""),"Rajasthan")</f>
        <v>Rajasthan</v>
      </c>
      <c r="C91" s="212" t="str">
        <f>IFERROR(__xludf.DUMMYFUNCTION("""COMPUTED_VALUE"""),"Gourav Trivedi")</f>
        <v>Gourav Trivedi</v>
      </c>
      <c r="D91" s="98" t="str">
        <f>IFERROR(__xludf.DUMMYFUNCTION("""COMPUTED_VALUE"""),"Karauli")</f>
        <v>Karauli</v>
      </c>
      <c r="E91" s="213">
        <f>IFERROR(__xludf.DUMMYFUNCTION("""COMPUTED_VALUE"""),45428.0)</f>
        <v>45428</v>
      </c>
      <c r="F91" s="222" t="str">
        <f>IFERROR(__xludf.DUMMYFUNCTION("""COMPUTED_VALUE"""),"RAJASTHAN")</f>
        <v>RAJASTHAN</v>
      </c>
      <c r="G91" s="215"/>
      <c r="H91" s="215"/>
      <c r="I91" s="216">
        <f>IFERROR(__xludf.DUMMYFUNCTION("""COMPUTED_VALUE"""),29880.0)</f>
        <v>29880</v>
      </c>
      <c r="J91" s="216"/>
      <c r="K91" s="217">
        <f>IFERROR(__xludf.DUMMYFUNCTION("""COMPUTED_VALUE"""),0.0)</f>
        <v>0</v>
      </c>
      <c r="L91" s="217"/>
      <c r="M91" s="217">
        <f>IFERROR(__xludf.DUMMYFUNCTION("""COMPUTED_VALUE"""),0.0)</f>
        <v>0</v>
      </c>
      <c r="N91" s="217">
        <f>IFERROR(__xludf.DUMMYFUNCTION("""COMPUTED_VALUE"""),0.0)</f>
        <v>0</v>
      </c>
      <c r="O91" s="217"/>
      <c r="P91" s="218"/>
      <c r="Q91" s="218">
        <f>IFERROR(__xludf.DUMMYFUNCTION("""COMPUTED_VALUE"""),0.0)</f>
        <v>0</v>
      </c>
      <c r="R91" s="218"/>
      <c r="S91" s="187">
        <f>IFERROR(__xludf.DUMMYFUNCTION("""COMPUTED_VALUE"""),79.0)</f>
        <v>79</v>
      </c>
      <c r="T91" s="187">
        <f>IFERROR(__xludf.DUMMYFUNCTION("""COMPUTED_VALUE"""),23.0)</f>
        <v>23</v>
      </c>
      <c r="U91" s="187">
        <f>IFERROR(__xludf.DUMMYFUNCTION("""COMPUTED_VALUE"""),1.0)</f>
        <v>1</v>
      </c>
      <c r="V91" s="187">
        <f>IFERROR(__xludf.DUMMYFUNCTION("""COMPUTED_VALUE"""),0.0)</f>
        <v>0</v>
      </c>
      <c r="W91" s="187">
        <f>IFERROR(__xludf.DUMMYFUNCTION("""COMPUTED_VALUE"""),80.0)</f>
        <v>80</v>
      </c>
      <c r="X91" s="187">
        <f>IFERROR(__xludf.DUMMYFUNCTION("""COMPUTED_VALUE"""),57.0)</f>
        <v>57</v>
      </c>
      <c r="Y91" s="188">
        <f>IFERROR(__xludf.DUMMYFUNCTION("""COMPUTED_VALUE"""),0.0)</f>
        <v>0</v>
      </c>
      <c r="Z91" s="188">
        <f>IFERROR(__xludf.DUMMYFUNCTION("""COMPUTED_VALUE"""),0.0)</f>
        <v>0</v>
      </c>
      <c r="AA91" s="187">
        <f>IFERROR(__xludf.DUMMYFUNCTION("""COMPUTED_VALUE"""),0.0)</f>
        <v>0</v>
      </c>
      <c r="AB91" s="187">
        <f>IFERROR(__xludf.DUMMYFUNCTION("""COMPUTED_VALUE"""),0.0)</f>
        <v>0</v>
      </c>
      <c r="AC91" s="187">
        <f>IFERROR(__xludf.DUMMYFUNCTION("""COMPUTED_VALUE"""),0.0)</f>
        <v>0</v>
      </c>
      <c r="AD91" s="187">
        <f>IFERROR(__xludf.DUMMYFUNCTION("""COMPUTED_VALUE"""),0.0)</f>
        <v>0</v>
      </c>
      <c r="AE91" s="187">
        <f>IFERROR(__xludf.DUMMYFUNCTION("""COMPUTED_VALUE"""),65.0)</f>
        <v>65</v>
      </c>
      <c r="AF91" s="187">
        <f>IFERROR(__xludf.DUMMYFUNCTION("""COMPUTED_VALUE"""),86.0)</f>
        <v>86</v>
      </c>
      <c r="AG91" s="187">
        <f>IFERROR(__xludf.DUMMYFUNCTION("""COMPUTED_VALUE"""),278.0)</f>
        <v>278</v>
      </c>
      <c r="AH91" s="187">
        <f>IFERROR(__xludf.DUMMYFUNCTION("""COMPUTED_VALUE"""),8.0)</f>
        <v>8</v>
      </c>
      <c r="AI91" s="187">
        <f>IFERROR(__xludf.DUMMYFUNCTION("""COMPUTED_VALUE"""),41.0)</f>
        <v>41</v>
      </c>
      <c r="AJ91" s="187">
        <f>IFERROR(__xludf.DUMMYFUNCTION("""COMPUTED_VALUE"""),0.0)</f>
        <v>0</v>
      </c>
      <c r="AK91" s="187">
        <f>IFERROR(__xludf.DUMMYFUNCTION("""COMPUTED_VALUE"""),0.0)</f>
        <v>0</v>
      </c>
      <c r="AL91" s="187">
        <f>IFERROR(__xludf.DUMMYFUNCTION("""COMPUTED_VALUE"""),14.0)</f>
        <v>14</v>
      </c>
      <c r="AM91" s="187">
        <f>IFERROR(__xludf.DUMMYFUNCTION("""COMPUTED_VALUE"""),19.0)</f>
        <v>19</v>
      </c>
      <c r="AN91" s="187">
        <f>IFERROR(__xludf.DUMMYFUNCTION("""COMPUTED_VALUE"""),61.0)</f>
        <v>61</v>
      </c>
      <c r="AO91" s="187">
        <f>IFERROR(__xludf.DUMMYFUNCTION("""COMPUTED_VALUE"""),207.0)</f>
        <v>207</v>
      </c>
      <c r="AP91" s="187">
        <f>IFERROR(__xludf.DUMMYFUNCTION("""COMPUTED_VALUE"""),69.0)</f>
        <v>69</v>
      </c>
      <c r="AQ91" s="217">
        <f>IFERROR(__xludf.DUMMYFUNCTION("""COMPUTED_VALUE"""),0.0)</f>
        <v>0</v>
      </c>
      <c r="AR91" s="188">
        <f>IFERROR(__xludf.DUMMYFUNCTION("""COMPUTED_VALUE"""),3.0)</f>
        <v>3</v>
      </c>
      <c r="AS91" s="217">
        <f>IFERROR(__xludf.DUMMYFUNCTION("""COMPUTED_VALUE"""),89640.0)</f>
        <v>89640</v>
      </c>
      <c r="AT91" s="217"/>
      <c r="AU91" s="218"/>
      <c r="AV91" s="217"/>
      <c r="AW91" s="219">
        <f>IFERROR(__xludf.DUMMYFUNCTION("""COMPUTED_VALUE"""),0.0)</f>
        <v>0</v>
      </c>
      <c r="AX91" s="219">
        <f>IFERROR(__xludf.DUMMYFUNCTION("""COMPUTED_VALUE"""),578.0)</f>
        <v>578</v>
      </c>
      <c r="AY91" s="262">
        <f>IFERROR(__xludf.DUMMYFUNCTION("""COMPUTED_VALUE"""),6129.59)</f>
        <v>6129.59</v>
      </c>
      <c r="AZ91" s="263">
        <f>IFERROR(__xludf.DUMMYFUNCTION("""COMPUTED_VALUE"""),267.0)</f>
        <v>267</v>
      </c>
      <c r="BA91" s="263">
        <f>IFERROR(__xludf.DUMMYFUNCTION("""COMPUTED_VALUE"""),0.0)</f>
        <v>0</v>
      </c>
      <c r="BB91" s="263">
        <f>IFERROR(__xludf.DUMMYFUNCTION("""COMPUTED_VALUE"""),23.0)</f>
        <v>23</v>
      </c>
      <c r="BC91" s="263">
        <f>IFERROR(__xludf.DUMMYFUNCTION("""COMPUTED_VALUE"""),57.0)</f>
        <v>57</v>
      </c>
      <c r="BD91" s="265"/>
      <c r="BE91" s="258"/>
      <c r="BF91" s="255" t="e">
        <v>#REF!</v>
      </c>
      <c r="BG91" s="256">
        <f t="shared" si="4"/>
        <v>0</v>
      </c>
      <c r="BH91" s="257" t="str">
        <f t="shared" si="5"/>
        <v>#REF!</v>
      </c>
      <c r="BI91" s="98"/>
      <c r="BJ91" s="98"/>
      <c r="BK91" s="98"/>
      <c r="BL91" s="98"/>
      <c r="BM91" s="98"/>
      <c r="BN91" s="98"/>
      <c r="BO91" s="98"/>
      <c r="BP91" s="98"/>
      <c r="BQ91" s="98"/>
      <c r="BR91" s="98"/>
    </row>
    <row r="92">
      <c r="A92" s="6" t="str">
        <f>IFERROR(__xludf.DUMMYFUNCTION("""COMPUTED_VALUE"""),"Pawan Sharma")</f>
        <v>Pawan Sharma</v>
      </c>
      <c r="B92" s="98" t="str">
        <f>IFERROR(__xludf.DUMMYFUNCTION("""COMPUTED_VALUE"""),"Rajasthan")</f>
        <v>Rajasthan</v>
      </c>
      <c r="C92" s="212" t="str">
        <f>IFERROR(__xludf.DUMMYFUNCTION("""COMPUTED_VALUE"""),"Dinesh Kumar Kaushik")</f>
        <v>Dinesh Kumar Kaushik</v>
      </c>
      <c r="D92" s="98" t="str">
        <f>IFERROR(__xludf.DUMMYFUNCTION("""COMPUTED_VALUE"""),"Bharatpur")</f>
        <v>Bharatpur</v>
      </c>
      <c r="E92" s="213">
        <f>IFERROR(__xludf.DUMMYFUNCTION("""COMPUTED_VALUE"""),45428.0)</f>
        <v>45428</v>
      </c>
      <c r="F92" s="222" t="str">
        <f>IFERROR(__xludf.DUMMYFUNCTION("""COMPUTED_VALUE"""),"RAJASTHAN")</f>
        <v>RAJASTHAN</v>
      </c>
      <c r="G92" s="215">
        <f>IFERROR(__xludf.DUMMYFUNCTION("""COMPUTED_VALUE"""),5898220.88)</f>
        <v>5898220.88</v>
      </c>
      <c r="H92" s="215">
        <f>IFERROR(__xludf.DUMMYFUNCTION("""COMPUTED_VALUE"""),5917829.0)</f>
        <v>5917829</v>
      </c>
      <c r="I92" s="216">
        <f>IFERROR(__xludf.DUMMYFUNCTION("""COMPUTED_VALUE"""),26526.0)</f>
        <v>26526</v>
      </c>
      <c r="J92" s="216">
        <f>IFERROR(__xludf.DUMMYFUNCTION("""COMPUTED_VALUE"""),1200000.0)</f>
        <v>1200000</v>
      </c>
      <c r="K92" s="217">
        <f>IFERROR(__xludf.DUMMYFUNCTION("""COMPUTED_VALUE"""),0.0)</f>
        <v>0</v>
      </c>
      <c r="L92" s="217">
        <f>IFERROR(__xludf.DUMMYFUNCTION("""COMPUTED_VALUE"""),3600000.0)</f>
        <v>3600000</v>
      </c>
      <c r="M92" s="217">
        <f>IFERROR(__xludf.DUMMYFUNCTION("""COMPUTED_VALUE"""),2122298.0)</f>
        <v>2122298</v>
      </c>
      <c r="N92" s="217">
        <f>IFERROR(__xludf.DUMMYFUNCTION("""COMPUTED_VALUE"""),0.0)</f>
        <v>0</v>
      </c>
      <c r="O92" s="217">
        <f>IFERROR(__xludf.DUMMYFUNCTION("""COMPUTED_VALUE"""),0.0)</f>
        <v>0</v>
      </c>
      <c r="P92" s="218">
        <f>IFERROR(__xludf.DUMMYFUNCTION("""COMPUTED_VALUE"""),0.5895272222222222)</f>
        <v>0.5895272222</v>
      </c>
      <c r="Q92" s="218">
        <f>IFERROR(__xludf.DUMMYFUNCTION("""COMPUTED_VALUE"""),0.0)</f>
        <v>0</v>
      </c>
      <c r="R92" s="218">
        <f>IFERROR(__xludf.DUMMYFUNCTION("""COMPUTED_VALUE"""),0.0)</f>
        <v>0</v>
      </c>
      <c r="S92" s="187">
        <f>IFERROR(__xludf.DUMMYFUNCTION("""COMPUTED_VALUE"""),94.0)</f>
        <v>94</v>
      </c>
      <c r="T92" s="187">
        <f>IFERROR(__xludf.DUMMYFUNCTION("""COMPUTED_VALUE"""),77.0)</f>
        <v>77</v>
      </c>
      <c r="U92" s="187">
        <f>IFERROR(__xludf.DUMMYFUNCTION("""COMPUTED_VALUE"""),7.0)</f>
        <v>7</v>
      </c>
      <c r="V92" s="187">
        <f>IFERROR(__xludf.DUMMYFUNCTION("""COMPUTED_VALUE"""),7.0)</f>
        <v>7</v>
      </c>
      <c r="W92" s="187">
        <f>IFERROR(__xludf.DUMMYFUNCTION("""COMPUTED_VALUE"""),101.0)</f>
        <v>101</v>
      </c>
      <c r="X92" s="187">
        <f>IFERROR(__xludf.DUMMYFUNCTION("""COMPUTED_VALUE"""),24.0)</f>
        <v>24</v>
      </c>
      <c r="Y92" s="188">
        <f>IFERROR(__xludf.DUMMYFUNCTION("""COMPUTED_VALUE"""),1956926.68)</f>
        <v>1956926.68</v>
      </c>
      <c r="Z92" s="188">
        <f>IFERROR(__xludf.DUMMYFUNCTION("""COMPUTED_VALUE"""),165370.92)</f>
        <v>165370.92</v>
      </c>
      <c r="AA92" s="187">
        <f>IFERROR(__xludf.DUMMYFUNCTION("""COMPUTED_VALUE"""),32.0)</f>
        <v>32</v>
      </c>
      <c r="AB92" s="187">
        <f>IFERROR(__xludf.DUMMYFUNCTION("""COMPUTED_VALUE"""),7.0)</f>
        <v>7</v>
      </c>
      <c r="AC92" s="187">
        <f>IFERROR(__xludf.DUMMYFUNCTION("""COMPUTED_VALUE"""),39.0)</f>
        <v>39</v>
      </c>
      <c r="AD92" s="187">
        <f>IFERROR(__xludf.DUMMYFUNCTION("""COMPUTED_VALUE"""),0.0)</f>
        <v>0</v>
      </c>
      <c r="AE92" s="187">
        <f>IFERROR(__xludf.DUMMYFUNCTION("""COMPUTED_VALUE"""),45.0)</f>
        <v>45</v>
      </c>
      <c r="AF92" s="187">
        <f>IFERROR(__xludf.DUMMYFUNCTION("""COMPUTED_VALUE"""),70.0)</f>
        <v>70</v>
      </c>
      <c r="AG92" s="187">
        <f>IFERROR(__xludf.DUMMYFUNCTION("""COMPUTED_VALUE"""),492.0)</f>
        <v>492</v>
      </c>
      <c r="AH92" s="187">
        <f>IFERROR(__xludf.DUMMYFUNCTION("""COMPUTED_VALUE"""),5.0)</f>
        <v>5</v>
      </c>
      <c r="AI92" s="187">
        <f>IFERROR(__xludf.DUMMYFUNCTION("""COMPUTED_VALUE"""),52.0)</f>
        <v>52</v>
      </c>
      <c r="AJ92" s="187">
        <f>IFERROR(__xludf.DUMMYFUNCTION("""COMPUTED_VALUE"""),0.0)</f>
        <v>0</v>
      </c>
      <c r="AK92" s="187">
        <f>IFERROR(__xludf.DUMMYFUNCTION("""COMPUTED_VALUE"""),0.0)</f>
        <v>0</v>
      </c>
      <c r="AL92" s="187">
        <f>IFERROR(__xludf.DUMMYFUNCTION("""COMPUTED_VALUE"""),0.0)</f>
        <v>0</v>
      </c>
      <c r="AM92" s="187">
        <f>IFERROR(__xludf.DUMMYFUNCTION("""COMPUTED_VALUE"""),0.0)</f>
        <v>0</v>
      </c>
      <c r="AN92" s="187">
        <f>IFERROR(__xludf.DUMMYFUNCTION("""COMPUTED_VALUE"""),281.0)</f>
        <v>281</v>
      </c>
      <c r="AO92" s="187">
        <f>IFERROR(__xludf.DUMMYFUNCTION("""COMPUTED_VALUE"""),403.0)</f>
        <v>403</v>
      </c>
      <c r="AP92" s="187">
        <f>IFERROR(__xludf.DUMMYFUNCTION("""COMPUTED_VALUE"""),70.0)</f>
        <v>70</v>
      </c>
      <c r="AQ92" s="217">
        <f>IFERROR(__xludf.DUMMYFUNCTION("""COMPUTED_VALUE"""),30318.542857142857)</f>
        <v>30318.54286</v>
      </c>
      <c r="AR92" s="188">
        <f>IFERROR(__xludf.DUMMYFUNCTION("""COMPUTED_VALUE"""),5.757142857142857)</f>
        <v>5.757142857</v>
      </c>
      <c r="AS92" s="217">
        <f>IFERROR(__xludf.DUMMYFUNCTION("""COMPUTED_VALUE"""),79578.0)</f>
        <v>79578</v>
      </c>
      <c r="AT92" s="217"/>
      <c r="AU92" s="218">
        <f>IFERROR(__xludf.DUMMYFUNCTION("""COMPUTED_VALUE"""),0.03749614804330023)</f>
        <v>0.03749614804</v>
      </c>
      <c r="AV92" s="217">
        <f>IFERROR(__xludf.DUMMYFUNCTION("""COMPUTED_VALUE"""),54417.89743589744)</f>
        <v>54417.89744</v>
      </c>
      <c r="AW92" s="219">
        <f>IFERROR(__xludf.DUMMYFUNCTION("""COMPUTED_VALUE"""),65.0)</f>
        <v>65</v>
      </c>
      <c r="AX92" s="219">
        <f>IFERROR(__xludf.DUMMYFUNCTION("""COMPUTED_VALUE"""),813.0)</f>
        <v>813</v>
      </c>
      <c r="AY92" s="262">
        <f>IFERROR(__xludf.DUMMYFUNCTION("""COMPUTED_VALUE"""),9336.76)</f>
        <v>9336.76</v>
      </c>
      <c r="AZ92" s="263">
        <f>IFERROR(__xludf.DUMMYFUNCTION("""COMPUTED_VALUE"""),121.0)</f>
        <v>121</v>
      </c>
      <c r="BA92" s="263">
        <f>IFERROR(__xludf.DUMMYFUNCTION("""COMPUTED_VALUE"""),39.0)</f>
        <v>39</v>
      </c>
      <c r="BB92" s="263">
        <f>IFERROR(__xludf.DUMMYFUNCTION("""COMPUTED_VALUE"""),38.0)</f>
        <v>38</v>
      </c>
      <c r="BC92" s="263">
        <f>IFERROR(__xludf.DUMMYFUNCTION("""COMPUTED_VALUE"""),24.0)</f>
        <v>24</v>
      </c>
      <c r="BD92" s="258"/>
      <c r="BE92" s="258"/>
      <c r="BF92" s="255" t="e">
        <v>#REF!</v>
      </c>
      <c r="BG92" s="256">
        <f t="shared" si="4"/>
        <v>2122298</v>
      </c>
      <c r="BH92" s="257" t="str">
        <f t="shared" si="5"/>
        <v>#REF!</v>
      </c>
      <c r="BI92" s="98"/>
      <c r="BJ92" s="98"/>
      <c r="BK92" s="98"/>
      <c r="BL92" s="98"/>
      <c r="BM92" s="98"/>
      <c r="BN92" s="98"/>
      <c r="BO92" s="98"/>
      <c r="BP92" s="98"/>
      <c r="BQ92" s="98"/>
      <c r="BR92" s="98"/>
    </row>
    <row r="93">
      <c r="A93" s="6" t="str">
        <f>IFERROR(__xludf.DUMMYFUNCTION("""COMPUTED_VALUE"""),"Sandeep Dadheech")</f>
        <v>Sandeep Dadheech</v>
      </c>
      <c r="B93" s="98" t="str">
        <f>IFERROR(__xludf.DUMMYFUNCTION("""COMPUTED_VALUE"""),"Jharkhand")</f>
        <v>Jharkhand</v>
      </c>
      <c r="C93" s="212" t="str">
        <f>IFERROR(__xludf.DUMMYFUNCTION("""COMPUTED_VALUE"""),"SHYAM KUMAR MISHRA")</f>
        <v>SHYAM KUMAR MISHRA</v>
      </c>
      <c r="D93" s="98" t="str">
        <f>IFERROR(__xludf.DUMMYFUNCTION("""COMPUTED_VALUE"""),"Jamshedpur")</f>
        <v>Jamshedpur</v>
      </c>
      <c r="E93" s="213">
        <f>IFERROR(__xludf.DUMMYFUNCTION("""COMPUTED_VALUE"""),45432.0)</f>
        <v>45432</v>
      </c>
      <c r="F93" s="222" t="str">
        <f>IFERROR(__xludf.DUMMYFUNCTION("""COMPUTED_VALUE"""),"JHARKHAND")</f>
        <v>JHARKHAND</v>
      </c>
      <c r="G93" s="215">
        <f>IFERROR(__xludf.DUMMYFUNCTION("""COMPUTED_VALUE"""),3.181613816E7)</f>
        <v>31816138.16</v>
      </c>
      <c r="H93" s="215">
        <f>IFERROR(__xludf.DUMMYFUNCTION("""COMPUTED_VALUE"""),2.5899198E7)</f>
        <v>25899198</v>
      </c>
      <c r="I93" s="216">
        <f>IFERROR(__xludf.DUMMYFUNCTION("""COMPUTED_VALUE"""),45100.0)</f>
        <v>45100</v>
      </c>
      <c r="J93" s="216">
        <f>IFERROR(__xludf.DUMMYFUNCTION("""COMPUTED_VALUE"""),3083333.0)</f>
        <v>3083333</v>
      </c>
      <c r="K93" s="217">
        <f>IFERROR(__xludf.DUMMYFUNCTION("""COMPUTED_VALUE"""),0.0)</f>
        <v>0</v>
      </c>
      <c r="L93" s="217">
        <f>IFERROR(__xludf.DUMMYFUNCTION("""COMPUTED_VALUE"""),9249999.0)</f>
        <v>9249999</v>
      </c>
      <c r="M93" s="217">
        <f>IFERROR(__xludf.DUMMYFUNCTION("""COMPUTED_VALUE"""),7609600.0)</f>
        <v>7609600</v>
      </c>
      <c r="N93" s="217">
        <f>IFERROR(__xludf.DUMMYFUNCTION("""COMPUTED_VALUE"""),0.0)</f>
        <v>0</v>
      </c>
      <c r="O93" s="217">
        <f>IFERROR(__xludf.DUMMYFUNCTION("""COMPUTED_VALUE"""),3801387.0)</f>
        <v>3801387</v>
      </c>
      <c r="P93" s="218">
        <f>IFERROR(__xludf.DUMMYFUNCTION("""COMPUTED_VALUE"""),0.8226595483956268)</f>
        <v>0.8226595484</v>
      </c>
      <c r="Q93" s="218">
        <f>IFERROR(__xludf.DUMMYFUNCTION("""COMPUTED_VALUE"""),0.0)</f>
        <v>0</v>
      </c>
      <c r="R93" s="218">
        <f>IFERROR(__xludf.DUMMYFUNCTION("""COMPUTED_VALUE"""),0.4109608011849515)</f>
        <v>0.4109608012</v>
      </c>
      <c r="S93" s="187">
        <f>IFERROR(__xludf.DUMMYFUNCTION("""COMPUTED_VALUE"""),106.0)</f>
        <v>106</v>
      </c>
      <c r="T93" s="187">
        <f>IFERROR(__xludf.DUMMYFUNCTION("""COMPUTED_VALUE"""),90.0)</f>
        <v>90</v>
      </c>
      <c r="U93" s="187">
        <f>IFERROR(__xludf.DUMMYFUNCTION("""COMPUTED_VALUE"""),1.0)</f>
        <v>1</v>
      </c>
      <c r="V93" s="187">
        <f>IFERROR(__xludf.DUMMYFUNCTION("""COMPUTED_VALUE"""),1.0)</f>
        <v>1</v>
      </c>
      <c r="W93" s="187">
        <f>IFERROR(__xludf.DUMMYFUNCTION("""COMPUTED_VALUE"""),107.0)</f>
        <v>107</v>
      </c>
      <c r="X93" s="187">
        <f>IFERROR(__xludf.DUMMYFUNCTION("""COMPUTED_VALUE"""),17.0)</f>
        <v>17</v>
      </c>
      <c r="Y93" s="188">
        <f>IFERROR(__xludf.DUMMYFUNCTION("""COMPUTED_VALUE"""),7581342.56)</f>
        <v>7581342.56</v>
      </c>
      <c r="Z93" s="188">
        <f>IFERROR(__xludf.DUMMYFUNCTION("""COMPUTED_VALUE"""),28257.88)</f>
        <v>28257.88</v>
      </c>
      <c r="AA93" s="187">
        <f>IFERROR(__xludf.DUMMYFUNCTION("""COMPUTED_VALUE"""),60.0)</f>
        <v>60</v>
      </c>
      <c r="AB93" s="187">
        <f>IFERROR(__xludf.DUMMYFUNCTION("""COMPUTED_VALUE"""),1.0)</f>
        <v>1</v>
      </c>
      <c r="AC93" s="187">
        <f>IFERROR(__xludf.DUMMYFUNCTION("""COMPUTED_VALUE"""),61.0)</f>
        <v>61</v>
      </c>
      <c r="AD93" s="187">
        <f>IFERROR(__xludf.DUMMYFUNCTION("""COMPUTED_VALUE"""),0.0)</f>
        <v>0</v>
      </c>
      <c r="AE93" s="187">
        <f>IFERROR(__xludf.DUMMYFUNCTION("""COMPUTED_VALUE"""),61.0)</f>
        <v>61</v>
      </c>
      <c r="AF93" s="187">
        <f>IFERROR(__xludf.DUMMYFUNCTION("""COMPUTED_VALUE"""),82.0)</f>
        <v>82</v>
      </c>
      <c r="AG93" s="187">
        <f>IFERROR(__xludf.DUMMYFUNCTION("""COMPUTED_VALUE"""),161.0)</f>
        <v>161</v>
      </c>
      <c r="AH93" s="187">
        <f>IFERROR(__xludf.DUMMYFUNCTION("""COMPUTED_VALUE"""),1.0)</f>
        <v>1</v>
      </c>
      <c r="AI93" s="187">
        <f>IFERROR(__xludf.DUMMYFUNCTION("""COMPUTED_VALUE"""),27.0)</f>
        <v>27</v>
      </c>
      <c r="AJ93" s="187">
        <f>IFERROR(__xludf.DUMMYFUNCTION("""COMPUTED_VALUE"""),0.0)</f>
        <v>0</v>
      </c>
      <c r="AK93" s="187">
        <f>IFERROR(__xludf.DUMMYFUNCTION("""COMPUTED_VALUE"""),0.0)</f>
        <v>0</v>
      </c>
      <c r="AL93" s="187">
        <f>IFERROR(__xludf.DUMMYFUNCTION("""COMPUTED_VALUE"""),0.0)</f>
        <v>0</v>
      </c>
      <c r="AM93" s="187">
        <f>IFERROR(__xludf.DUMMYFUNCTION("""COMPUTED_VALUE"""),0.0)</f>
        <v>0</v>
      </c>
      <c r="AN93" s="187">
        <f>IFERROR(__xludf.DUMMYFUNCTION("""COMPUTED_VALUE"""),318.0)</f>
        <v>318</v>
      </c>
      <c r="AO93" s="187">
        <f>IFERROR(__xludf.DUMMYFUNCTION("""COMPUTED_VALUE"""),427.0)</f>
        <v>427</v>
      </c>
      <c r="AP93" s="187">
        <f>IFERROR(__xludf.DUMMYFUNCTION("""COMPUTED_VALUE"""),74.0)</f>
        <v>74</v>
      </c>
      <c r="AQ93" s="217">
        <f>IFERROR(__xludf.DUMMYFUNCTION("""COMPUTED_VALUE"""),102832.43243243243)</f>
        <v>102832.4324</v>
      </c>
      <c r="AR93" s="188">
        <f>IFERROR(__xludf.DUMMYFUNCTION("""COMPUTED_VALUE"""),5.77027027027027)</f>
        <v>5.77027027</v>
      </c>
      <c r="AS93" s="217">
        <f>IFERROR(__xludf.DUMMYFUNCTION("""COMPUTED_VALUE"""),135300.0)</f>
        <v>135300</v>
      </c>
      <c r="AT93" s="217"/>
      <c r="AU93" s="218">
        <f>IFERROR(__xludf.DUMMYFUNCTION("""COMPUTED_VALUE"""),0.017780172413793104)</f>
        <v>0.01778017241</v>
      </c>
      <c r="AV93" s="217">
        <f>IFERROR(__xludf.DUMMYFUNCTION("""COMPUTED_VALUE"""),124747.54098360655)</f>
        <v>124747.541</v>
      </c>
      <c r="AW93" s="219">
        <f>IFERROR(__xludf.DUMMYFUNCTION("""COMPUTED_VALUE"""),162.0)</f>
        <v>162</v>
      </c>
      <c r="AX93" s="219">
        <f>IFERROR(__xludf.DUMMYFUNCTION("""COMPUTED_VALUE"""),719.0)</f>
        <v>719</v>
      </c>
      <c r="AY93" s="262">
        <f>IFERROR(__xludf.DUMMYFUNCTION("""COMPUTED_VALUE"""),4023.72)</f>
        <v>4023.72</v>
      </c>
      <c r="AZ93" s="263">
        <f>IFERROR(__xludf.DUMMYFUNCTION("""COMPUTED_VALUE"""),45.0)</f>
        <v>45</v>
      </c>
      <c r="BA93" s="263">
        <f>IFERROR(__xludf.DUMMYFUNCTION("""COMPUTED_VALUE"""),61.0)</f>
        <v>61</v>
      </c>
      <c r="BB93" s="263">
        <f>IFERROR(__xludf.DUMMYFUNCTION("""COMPUTED_VALUE"""),32.0)</f>
        <v>32</v>
      </c>
      <c r="BC93" s="263">
        <f>IFERROR(__xludf.DUMMYFUNCTION("""COMPUTED_VALUE"""),14.0)</f>
        <v>14</v>
      </c>
      <c r="BD93" s="258"/>
      <c r="BE93" s="258"/>
      <c r="BF93" s="255" t="e">
        <v>#REF!</v>
      </c>
      <c r="BG93" s="256">
        <f t="shared" si="4"/>
        <v>7609600</v>
      </c>
      <c r="BH93" s="257" t="str">
        <f t="shared" si="5"/>
        <v>#REF!</v>
      </c>
      <c r="BI93" s="98"/>
      <c r="BJ93" s="98"/>
      <c r="BK93" s="98"/>
      <c r="BL93" s="98"/>
      <c r="BM93" s="98"/>
      <c r="BN93" s="98"/>
      <c r="BO93" s="98"/>
      <c r="BP93" s="98"/>
      <c r="BQ93" s="98"/>
      <c r="BR93" s="98"/>
    </row>
    <row r="94">
      <c r="A94" s="6" t="str">
        <f>IFERROR(__xludf.DUMMYFUNCTION("""COMPUTED_VALUE"""),"Sandeep Dadheech")</f>
        <v>Sandeep Dadheech</v>
      </c>
      <c r="B94" s="98" t="str">
        <f>IFERROR(__xludf.DUMMYFUNCTION("""COMPUTED_VALUE"""),"Odisha")</f>
        <v>Odisha</v>
      </c>
      <c r="C94" s="212" t="str">
        <f>IFERROR(__xludf.DUMMYFUNCTION("""COMPUTED_VALUE"""),"Manas Ranjan Das")</f>
        <v>Manas Ranjan Das</v>
      </c>
      <c r="D94" s="98" t="str">
        <f>IFERROR(__xludf.DUMMYFUNCTION("""COMPUTED_VALUE"""),"Bhubaneswar")</f>
        <v>Bhubaneswar</v>
      </c>
      <c r="E94" s="213">
        <f>IFERROR(__xludf.DUMMYFUNCTION("""COMPUTED_VALUE"""),45434.0)</f>
        <v>45434</v>
      </c>
      <c r="F94" s="222" t="str">
        <f>IFERROR(__xludf.DUMMYFUNCTION("""COMPUTED_VALUE"""),"ODISHA")</f>
        <v>ODISHA</v>
      </c>
      <c r="G94" s="259">
        <f>IFERROR(__xludf.DUMMYFUNCTION("""COMPUTED_VALUE"""),1.240301753E7)</f>
        <v>12403017.53</v>
      </c>
      <c r="H94" s="259">
        <f>IFERROR(__xludf.DUMMYFUNCTION("""COMPUTED_VALUE"""),1.501783482E7)</f>
        <v>15017834.82</v>
      </c>
      <c r="I94" s="216">
        <f>IFERROR(__xludf.DUMMYFUNCTION("""COMPUTED_VALUE"""),69400.0)</f>
        <v>69400</v>
      </c>
      <c r="J94" s="56">
        <f>IFERROR(__xludf.DUMMYFUNCTION("""COMPUTED_VALUE"""),2333333.0)</f>
        <v>2333333</v>
      </c>
      <c r="K94" s="217">
        <f>IFERROR(__xludf.DUMMYFUNCTION("""COMPUTED_VALUE"""),0.0)</f>
        <v>0</v>
      </c>
      <c r="L94" s="217">
        <f>IFERROR(__xludf.DUMMYFUNCTION("""COMPUTED_VALUE"""),6999999.0)</f>
        <v>6999999</v>
      </c>
      <c r="M94" s="217">
        <f>IFERROR(__xludf.DUMMYFUNCTION("""COMPUTED_VALUE"""),0.0)</f>
        <v>0</v>
      </c>
      <c r="N94" s="217">
        <f>IFERROR(__xludf.DUMMYFUNCTION("""COMPUTED_VALUE"""),0.0)</f>
        <v>0</v>
      </c>
      <c r="O94" s="260">
        <f>IFERROR(__xludf.DUMMYFUNCTION("""COMPUTED_VALUE"""),0.0)</f>
        <v>0</v>
      </c>
      <c r="P94" s="218">
        <f>IFERROR(__xludf.DUMMYFUNCTION("""COMPUTED_VALUE"""),0.0)</f>
        <v>0</v>
      </c>
      <c r="Q94" s="218">
        <f>IFERROR(__xludf.DUMMYFUNCTION("""COMPUTED_VALUE"""),0.0)</f>
        <v>0</v>
      </c>
      <c r="R94" s="218">
        <f>IFERROR(__xludf.DUMMYFUNCTION("""COMPUTED_VALUE"""),0.0)</f>
        <v>0</v>
      </c>
      <c r="S94" s="187">
        <f>IFERROR(__xludf.DUMMYFUNCTION("""COMPUTED_VALUE"""),64.0)</f>
        <v>64</v>
      </c>
      <c r="T94" s="187">
        <f>IFERROR(__xludf.DUMMYFUNCTION("""COMPUTED_VALUE"""),7.0)</f>
        <v>7</v>
      </c>
      <c r="U94" s="187">
        <f>IFERROR(__xludf.DUMMYFUNCTION("""COMPUTED_VALUE"""),0.0)</f>
        <v>0</v>
      </c>
      <c r="V94" s="187">
        <f>IFERROR(__xludf.DUMMYFUNCTION("""COMPUTED_VALUE"""),0.0)</f>
        <v>0</v>
      </c>
      <c r="W94" s="187">
        <f>IFERROR(__xludf.DUMMYFUNCTION("""COMPUTED_VALUE"""),64.0)</f>
        <v>64</v>
      </c>
      <c r="X94" s="187">
        <f>IFERROR(__xludf.DUMMYFUNCTION("""COMPUTED_VALUE"""),57.0)</f>
        <v>57</v>
      </c>
      <c r="Y94" s="188">
        <f>IFERROR(__xludf.DUMMYFUNCTION("""COMPUTED_VALUE"""),0.0)</f>
        <v>0</v>
      </c>
      <c r="Z94" s="188">
        <f>IFERROR(__xludf.DUMMYFUNCTION("""COMPUTED_VALUE"""),0.0)</f>
        <v>0</v>
      </c>
      <c r="AA94" s="187">
        <f>IFERROR(__xludf.DUMMYFUNCTION("""COMPUTED_VALUE"""),0.0)</f>
        <v>0</v>
      </c>
      <c r="AB94" s="187">
        <f>IFERROR(__xludf.DUMMYFUNCTION("""COMPUTED_VALUE"""),0.0)</f>
        <v>0</v>
      </c>
      <c r="AC94" s="187">
        <f>IFERROR(__xludf.DUMMYFUNCTION("""COMPUTED_VALUE"""),0.0)</f>
        <v>0</v>
      </c>
      <c r="AD94" s="187">
        <f>IFERROR(__xludf.DUMMYFUNCTION("""COMPUTED_VALUE"""),0.0)</f>
        <v>0</v>
      </c>
      <c r="AE94" s="187">
        <f>IFERROR(__xludf.DUMMYFUNCTION("""COMPUTED_VALUE"""),0.0)</f>
        <v>0</v>
      </c>
      <c r="AF94" s="187">
        <f>IFERROR(__xludf.DUMMYFUNCTION("""COMPUTED_VALUE"""),0.0)</f>
        <v>0</v>
      </c>
      <c r="AG94" s="187">
        <f>IFERROR(__xludf.DUMMYFUNCTION("""COMPUTED_VALUE"""),21.0)</f>
        <v>21</v>
      </c>
      <c r="AH94" s="187">
        <f>IFERROR(__xludf.DUMMYFUNCTION("""COMPUTED_VALUE"""),1.0)</f>
        <v>1</v>
      </c>
      <c r="AI94" s="187">
        <f>IFERROR(__xludf.DUMMYFUNCTION("""COMPUTED_VALUE"""),3.0)</f>
        <v>3</v>
      </c>
      <c r="AJ94" s="187">
        <f>IFERROR(__xludf.DUMMYFUNCTION("""COMPUTED_VALUE"""),0.0)</f>
        <v>0</v>
      </c>
      <c r="AK94" s="187">
        <f>IFERROR(__xludf.DUMMYFUNCTION("""COMPUTED_VALUE"""),0.0)</f>
        <v>0</v>
      </c>
      <c r="AL94" s="187">
        <f>IFERROR(__xludf.DUMMYFUNCTION("""COMPUTED_VALUE"""),0.0)</f>
        <v>0</v>
      </c>
      <c r="AM94" s="187">
        <f>IFERROR(__xludf.DUMMYFUNCTION("""COMPUTED_VALUE"""),0.0)</f>
        <v>0</v>
      </c>
      <c r="AN94" s="187">
        <f>IFERROR(__xludf.DUMMYFUNCTION("""COMPUTED_VALUE"""),8.0)</f>
        <v>8</v>
      </c>
      <c r="AO94" s="187">
        <f>IFERROR(__xludf.DUMMYFUNCTION("""COMPUTED_VALUE"""),11.0)</f>
        <v>11</v>
      </c>
      <c r="AP94" s="187">
        <f>IFERROR(__xludf.DUMMYFUNCTION("""COMPUTED_VALUE"""),26.0)</f>
        <v>26</v>
      </c>
      <c r="AQ94" s="217">
        <f>IFERROR(__xludf.DUMMYFUNCTION("""COMPUTED_VALUE"""),0.0)</f>
        <v>0</v>
      </c>
      <c r="AR94" s="188">
        <f>IFERROR(__xludf.DUMMYFUNCTION("""COMPUTED_VALUE"""),0.4230769230769231)</f>
        <v>0.4230769231</v>
      </c>
      <c r="AS94" s="217">
        <f>IFERROR(__xludf.DUMMYFUNCTION("""COMPUTED_VALUE"""),208200.0)</f>
        <v>208200</v>
      </c>
      <c r="AT94" s="217"/>
      <c r="AU94" s="218"/>
      <c r="AV94" s="217"/>
      <c r="AW94" s="219">
        <f>IFERROR(__xludf.DUMMYFUNCTION("""COMPUTED_VALUE"""),0.0)</f>
        <v>0</v>
      </c>
      <c r="AX94" s="219">
        <f>IFERROR(__xludf.DUMMYFUNCTION("""COMPUTED_VALUE"""),568.0)</f>
        <v>568</v>
      </c>
      <c r="AY94" s="262">
        <f>IFERROR(__xludf.DUMMYFUNCTION("""COMPUTED_VALUE"""),1539.63)</f>
        <v>1539.63</v>
      </c>
      <c r="AZ94" s="263">
        <f>IFERROR(__xludf.DUMMYFUNCTION("""COMPUTED_VALUE"""),220.0)</f>
        <v>220</v>
      </c>
      <c r="BA94" s="263">
        <f>IFERROR(__xludf.DUMMYFUNCTION("""COMPUTED_VALUE"""),0.0)</f>
        <v>0</v>
      </c>
      <c r="BB94" s="263">
        <f>IFERROR(__xludf.DUMMYFUNCTION("""COMPUTED_VALUE"""),7.0)</f>
        <v>7</v>
      </c>
      <c r="BC94" s="263">
        <f>IFERROR(__xludf.DUMMYFUNCTION("""COMPUTED_VALUE"""),57.0)</f>
        <v>57</v>
      </c>
      <c r="BD94" s="258"/>
      <c r="BE94" s="258"/>
      <c r="BF94" s="241" t="e">
        <v>#REF!</v>
      </c>
      <c r="BG94" s="256">
        <f t="shared" si="4"/>
        <v>0</v>
      </c>
      <c r="BH94" s="257" t="str">
        <f t="shared" si="5"/>
        <v>#REF!</v>
      </c>
      <c r="BI94" s="98"/>
      <c r="BJ94" s="98"/>
      <c r="BK94" s="98"/>
      <c r="BL94" s="98"/>
      <c r="BM94" s="98"/>
      <c r="BN94" s="98"/>
      <c r="BO94" s="98"/>
      <c r="BP94" s="98"/>
      <c r="BQ94" s="98"/>
      <c r="BR94" s="98"/>
    </row>
    <row r="95">
      <c r="A95" s="6" t="str">
        <f>IFERROR(__xludf.DUMMYFUNCTION("""COMPUTED_VALUE"""),"Lalan Kumar")</f>
        <v>Lalan Kumar</v>
      </c>
      <c r="B95" s="98" t="str">
        <f>IFERROR(__xludf.DUMMYFUNCTION("""COMPUTED_VALUE"""),"Maharashtra")</f>
        <v>Maharashtra</v>
      </c>
      <c r="C95" s="212" t="str">
        <f>IFERROR(__xludf.DUMMYFUNCTION("""COMPUTED_VALUE"""),"ANAND BHAGWAN MORE")</f>
        <v>ANAND BHAGWAN MORE</v>
      </c>
      <c r="D95" s="98" t="str">
        <f>IFERROR(__xludf.DUMMYFUNCTION("""COMPUTED_VALUE"""),"Pune")</f>
        <v>Pune</v>
      </c>
      <c r="E95" s="213">
        <f>IFERROR(__xludf.DUMMYFUNCTION("""COMPUTED_VALUE"""),45446.0)</f>
        <v>45446</v>
      </c>
      <c r="F95" s="222" t="str">
        <f>IFERROR(__xludf.DUMMYFUNCTION("""COMPUTED_VALUE"""),"MAHARASHTRA")</f>
        <v>MAHARASHTRA</v>
      </c>
      <c r="G95" s="215">
        <f>IFERROR(__xludf.DUMMYFUNCTION("""COMPUTED_VALUE"""),9948476.829999998)</f>
        <v>9948476.83</v>
      </c>
      <c r="H95" s="215">
        <f>IFERROR(__xludf.DUMMYFUNCTION("""COMPUTED_VALUE"""),9386900.0)</f>
        <v>9386900</v>
      </c>
      <c r="I95" s="216">
        <f>IFERROR(__xludf.DUMMYFUNCTION("""COMPUTED_VALUE"""),39837.0)</f>
        <v>39837</v>
      </c>
      <c r="J95" s="216">
        <f>IFERROR(__xludf.DUMMYFUNCTION("""COMPUTED_VALUE"""),1400000.0)</f>
        <v>1400000</v>
      </c>
      <c r="K95" s="217">
        <f>IFERROR(__xludf.DUMMYFUNCTION("""COMPUTED_VALUE"""),0.0)</f>
        <v>0</v>
      </c>
      <c r="L95" s="217">
        <f>IFERROR(__xludf.DUMMYFUNCTION("""COMPUTED_VALUE"""),4200000.0)</f>
        <v>4200000</v>
      </c>
      <c r="M95" s="217">
        <f>IFERROR(__xludf.DUMMYFUNCTION("""COMPUTED_VALUE"""),2267165.0)</f>
        <v>2267165</v>
      </c>
      <c r="N95" s="217">
        <f>IFERROR(__xludf.DUMMYFUNCTION("""COMPUTED_VALUE"""),0.0)</f>
        <v>0</v>
      </c>
      <c r="O95" s="217">
        <f>IFERROR(__xludf.DUMMYFUNCTION("""COMPUTED_VALUE"""),2267164.0)</f>
        <v>2267164</v>
      </c>
      <c r="P95" s="218">
        <f>IFERROR(__xludf.DUMMYFUNCTION("""COMPUTED_VALUE"""),0.5398011904761905)</f>
        <v>0.5398011905</v>
      </c>
      <c r="Q95" s="218">
        <f>IFERROR(__xludf.DUMMYFUNCTION("""COMPUTED_VALUE"""),0.0)</f>
        <v>0</v>
      </c>
      <c r="R95" s="218">
        <f>IFERROR(__xludf.DUMMYFUNCTION("""COMPUTED_VALUE"""),0.5398009523809524)</f>
        <v>0.5398009524</v>
      </c>
      <c r="S95" s="187">
        <f>IFERROR(__xludf.DUMMYFUNCTION("""COMPUTED_VALUE"""),58.0)</f>
        <v>58</v>
      </c>
      <c r="T95" s="187">
        <f>IFERROR(__xludf.DUMMYFUNCTION("""COMPUTED_VALUE"""),47.0)</f>
        <v>47</v>
      </c>
      <c r="U95" s="187">
        <f>IFERROR(__xludf.DUMMYFUNCTION("""COMPUTED_VALUE"""),2.0)</f>
        <v>2</v>
      </c>
      <c r="V95" s="187">
        <f>IFERROR(__xludf.DUMMYFUNCTION("""COMPUTED_VALUE"""),2.0)</f>
        <v>2</v>
      </c>
      <c r="W95" s="187">
        <f>IFERROR(__xludf.DUMMYFUNCTION("""COMPUTED_VALUE"""),60.0)</f>
        <v>60</v>
      </c>
      <c r="X95" s="187">
        <f>IFERROR(__xludf.DUMMYFUNCTION("""COMPUTED_VALUE"""),13.0)</f>
        <v>13</v>
      </c>
      <c r="Y95" s="188">
        <f>IFERROR(__xludf.DUMMYFUNCTION("""COMPUTED_VALUE"""),2245023.17)</f>
        <v>2245023.17</v>
      </c>
      <c r="Z95" s="188">
        <f>IFERROR(__xludf.DUMMYFUNCTION("""COMPUTED_VALUE"""),22142.08)</f>
        <v>22142.08</v>
      </c>
      <c r="AA95" s="187">
        <f>IFERROR(__xludf.DUMMYFUNCTION("""COMPUTED_VALUE"""),17.0)</f>
        <v>17</v>
      </c>
      <c r="AB95" s="187">
        <f>IFERROR(__xludf.DUMMYFUNCTION("""COMPUTED_VALUE"""),2.0)</f>
        <v>2</v>
      </c>
      <c r="AC95" s="187">
        <f>IFERROR(__xludf.DUMMYFUNCTION("""COMPUTED_VALUE"""),19.0)</f>
        <v>19</v>
      </c>
      <c r="AD95" s="187">
        <f>IFERROR(__xludf.DUMMYFUNCTION("""COMPUTED_VALUE"""),0.0)</f>
        <v>0</v>
      </c>
      <c r="AE95" s="187">
        <f>IFERROR(__xludf.DUMMYFUNCTION("""COMPUTED_VALUE"""),55.0)</f>
        <v>55</v>
      </c>
      <c r="AF95" s="187">
        <f>IFERROR(__xludf.DUMMYFUNCTION("""COMPUTED_VALUE"""),68.0)</f>
        <v>68</v>
      </c>
      <c r="AG95" s="187">
        <f>IFERROR(__xludf.DUMMYFUNCTION("""COMPUTED_VALUE"""),182.0)</f>
        <v>182</v>
      </c>
      <c r="AH95" s="187">
        <f>IFERROR(__xludf.DUMMYFUNCTION("""COMPUTED_VALUE"""),7.0)</f>
        <v>7</v>
      </c>
      <c r="AI95" s="187">
        <f>IFERROR(__xludf.DUMMYFUNCTION("""COMPUTED_VALUE"""),47.0)</f>
        <v>47</v>
      </c>
      <c r="AJ95" s="187">
        <f>IFERROR(__xludf.DUMMYFUNCTION("""COMPUTED_VALUE"""),0.0)</f>
        <v>0</v>
      </c>
      <c r="AK95" s="187">
        <f>IFERROR(__xludf.DUMMYFUNCTION("""COMPUTED_VALUE"""),0.0)</f>
        <v>0</v>
      </c>
      <c r="AL95" s="187">
        <f>IFERROR(__xludf.DUMMYFUNCTION("""COMPUTED_VALUE"""),1.0)</f>
        <v>1</v>
      </c>
      <c r="AM95" s="187">
        <f>IFERROR(__xludf.DUMMYFUNCTION("""COMPUTED_VALUE"""),3.0)</f>
        <v>3</v>
      </c>
      <c r="AN95" s="187">
        <f>IFERROR(__xludf.DUMMYFUNCTION("""COMPUTED_VALUE"""),167.0)</f>
        <v>167</v>
      </c>
      <c r="AO95" s="187">
        <f>IFERROR(__xludf.DUMMYFUNCTION("""COMPUTED_VALUE"""),285.0)</f>
        <v>285</v>
      </c>
      <c r="AP95" s="187">
        <f>IFERROR(__xludf.DUMMYFUNCTION("""COMPUTED_VALUE"""),71.0)</f>
        <v>71</v>
      </c>
      <c r="AQ95" s="217">
        <f>IFERROR(__xludf.DUMMYFUNCTION("""COMPUTED_VALUE"""),31931.901408450703)</f>
        <v>31931.90141</v>
      </c>
      <c r="AR95" s="188">
        <f>IFERROR(__xludf.DUMMYFUNCTION("""COMPUTED_VALUE"""),4.014084507042254)</f>
        <v>4.014084507</v>
      </c>
      <c r="AS95" s="217">
        <f>IFERROR(__xludf.DUMMYFUNCTION("""COMPUTED_VALUE"""),119511.0)</f>
        <v>119511</v>
      </c>
      <c r="AT95" s="217"/>
      <c r="AU95" s="218">
        <f>IFERROR(__xludf.DUMMYFUNCTION("""COMPUTED_VALUE"""),0.05271385188109379)</f>
        <v>0.05271385188</v>
      </c>
      <c r="AV95" s="217">
        <f>IFERROR(__xludf.DUMMYFUNCTION("""COMPUTED_VALUE"""),119324.47368421052)</f>
        <v>119324.4737</v>
      </c>
      <c r="AW95" s="219">
        <f>IFERROR(__xludf.DUMMYFUNCTION("""COMPUTED_VALUE"""),35.0)</f>
        <v>35</v>
      </c>
      <c r="AX95" s="219">
        <f>IFERROR(__xludf.DUMMYFUNCTION("""COMPUTED_VALUE"""),701.0)</f>
        <v>701</v>
      </c>
      <c r="AY95" s="262">
        <f>IFERROR(__xludf.DUMMYFUNCTION("""COMPUTED_VALUE"""),5382.26)</f>
        <v>5382.26</v>
      </c>
      <c r="AZ95" s="263">
        <f>IFERROR(__xludf.DUMMYFUNCTION("""COMPUTED_VALUE"""),115.0)</f>
        <v>115</v>
      </c>
      <c r="BA95" s="263">
        <f>IFERROR(__xludf.DUMMYFUNCTION("""COMPUTED_VALUE"""),19.0)</f>
        <v>19</v>
      </c>
      <c r="BB95" s="263">
        <f>IFERROR(__xludf.DUMMYFUNCTION("""COMPUTED_VALUE"""),28.0)</f>
        <v>28</v>
      </c>
      <c r="BC95" s="263">
        <f>IFERROR(__xludf.DUMMYFUNCTION("""COMPUTED_VALUE"""),13.0)</f>
        <v>13</v>
      </c>
      <c r="BD95" s="265"/>
      <c r="BE95" s="258"/>
      <c r="BF95" s="255" t="e">
        <v>#REF!</v>
      </c>
      <c r="BG95" s="256">
        <f t="shared" si="4"/>
        <v>2267165</v>
      </c>
      <c r="BH95" s="257" t="str">
        <f t="shared" si="5"/>
        <v>#REF!</v>
      </c>
      <c r="BI95" s="98"/>
      <c r="BJ95" s="98"/>
      <c r="BK95" s="98"/>
      <c r="BL95" s="98"/>
      <c r="BM95" s="98"/>
      <c r="BN95" s="98"/>
      <c r="BO95" s="98"/>
      <c r="BP95" s="98"/>
      <c r="BQ95" s="98"/>
      <c r="BR95" s="98"/>
    </row>
    <row r="96">
      <c r="A96" s="6" t="str">
        <f>IFERROR(__xludf.DUMMYFUNCTION("""COMPUTED_VALUE"""),"Sandeep Dadheech")</f>
        <v>Sandeep Dadheech</v>
      </c>
      <c r="B96" s="98" t="str">
        <f>IFERROR(__xludf.DUMMYFUNCTION("""COMPUTED_VALUE"""),"Telangana")</f>
        <v>Telangana</v>
      </c>
      <c r="C96" s="212" t="str">
        <f>IFERROR(__xludf.DUMMYFUNCTION("""COMPUTED_VALUE"""),"Ajay Morthad")</f>
        <v>Ajay Morthad</v>
      </c>
      <c r="D96" s="98" t="str">
        <f>IFERROR(__xludf.DUMMYFUNCTION("""COMPUTED_VALUE"""),"Nizamabad")</f>
        <v>Nizamabad</v>
      </c>
      <c r="E96" s="213">
        <f>IFERROR(__xludf.DUMMYFUNCTION("""COMPUTED_VALUE"""),45453.0)</f>
        <v>45453</v>
      </c>
      <c r="F96" s="222" t="str">
        <f>IFERROR(__xludf.DUMMYFUNCTION("""COMPUTED_VALUE"""),"TELANGANA")</f>
        <v>TELANGANA</v>
      </c>
      <c r="G96" s="215">
        <f>IFERROR(__xludf.DUMMYFUNCTION("""COMPUTED_VALUE"""),9775545.81)</f>
        <v>9775545.81</v>
      </c>
      <c r="H96" s="215">
        <f>IFERROR(__xludf.DUMMYFUNCTION("""COMPUTED_VALUE"""),7435566.1899999995)</f>
        <v>7435566.19</v>
      </c>
      <c r="I96" s="216">
        <f>IFERROR(__xludf.DUMMYFUNCTION("""COMPUTED_VALUE"""),36925.0)</f>
        <v>36925</v>
      </c>
      <c r="J96" s="216">
        <f>IFERROR(__xludf.DUMMYFUNCTION("""COMPUTED_VALUE"""),1500000.0)</f>
        <v>1500000</v>
      </c>
      <c r="K96" s="217">
        <f>IFERROR(__xludf.DUMMYFUNCTION("""COMPUTED_VALUE"""),0.0)</f>
        <v>0</v>
      </c>
      <c r="L96" s="217">
        <f>IFERROR(__xludf.DUMMYFUNCTION("""COMPUTED_VALUE"""),4500000.0)</f>
        <v>4500000</v>
      </c>
      <c r="M96" s="217">
        <f>IFERROR(__xludf.DUMMYFUNCTION("""COMPUTED_VALUE"""),2704831.0)</f>
        <v>2704831</v>
      </c>
      <c r="N96" s="217">
        <f>IFERROR(__xludf.DUMMYFUNCTION("""COMPUTED_VALUE"""),0.0)</f>
        <v>0</v>
      </c>
      <c r="O96" s="217">
        <f>IFERROR(__xludf.DUMMYFUNCTION("""COMPUTED_VALUE"""),1724122.0)</f>
        <v>1724122</v>
      </c>
      <c r="P96" s="218">
        <f>IFERROR(__xludf.DUMMYFUNCTION("""COMPUTED_VALUE"""),0.6010735555555555)</f>
        <v>0.6010735556</v>
      </c>
      <c r="Q96" s="218">
        <f>IFERROR(__xludf.DUMMYFUNCTION("""COMPUTED_VALUE"""),0.0)</f>
        <v>0</v>
      </c>
      <c r="R96" s="218">
        <f>IFERROR(__xludf.DUMMYFUNCTION("""COMPUTED_VALUE"""),0.3831382222222222)</f>
        <v>0.3831382222</v>
      </c>
      <c r="S96" s="187">
        <f>IFERROR(__xludf.DUMMYFUNCTION("""COMPUTED_VALUE"""),142.0)</f>
        <v>142</v>
      </c>
      <c r="T96" s="187">
        <f>IFERROR(__xludf.DUMMYFUNCTION("""COMPUTED_VALUE"""),121.0)</f>
        <v>121</v>
      </c>
      <c r="U96" s="187">
        <f>IFERROR(__xludf.DUMMYFUNCTION("""COMPUTED_VALUE"""),0.0)</f>
        <v>0</v>
      </c>
      <c r="V96" s="187">
        <f>IFERROR(__xludf.DUMMYFUNCTION("""COMPUTED_VALUE"""),0.0)</f>
        <v>0</v>
      </c>
      <c r="W96" s="187">
        <f>IFERROR(__xludf.DUMMYFUNCTION("""COMPUTED_VALUE"""),142.0)</f>
        <v>142</v>
      </c>
      <c r="X96" s="187">
        <f>IFERROR(__xludf.DUMMYFUNCTION("""COMPUTED_VALUE"""),21.0)</f>
        <v>21</v>
      </c>
      <c r="Y96" s="188">
        <f>IFERROR(__xludf.DUMMYFUNCTION("""COMPUTED_VALUE"""),2704830.65)</f>
        <v>2704830.65</v>
      </c>
      <c r="Z96" s="188">
        <f>IFERROR(__xludf.DUMMYFUNCTION("""COMPUTED_VALUE"""),0.0)</f>
        <v>0</v>
      </c>
      <c r="AA96" s="187">
        <f>IFERROR(__xludf.DUMMYFUNCTION("""COMPUTED_VALUE"""),43.0)</f>
        <v>43</v>
      </c>
      <c r="AB96" s="187">
        <f>IFERROR(__xludf.DUMMYFUNCTION("""COMPUTED_VALUE"""),0.0)</f>
        <v>0</v>
      </c>
      <c r="AC96" s="187">
        <f>IFERROR(__xludf.DUMMYFUNCTION("""COMPUTED_VALUE"""),43.0)</f>
        <v>43</v>
      </c>
      <c r="AD96" s="187">
        <f>IFERROR(__xludf.DUMMYFUNCTION("""COMPUTED_VALUE"""),0.0)</f>
        <v>0</v>
      </c>
      <c r="AE96" s="187">
        <f>IFERROR(__xludf.DUMMYFUNCTION("""COMPUTED_VALUE"""),17.0)</f>
        <v>17</v>
      </c>
      <c r="AF96" s="187">
        <f>IFERROR(__xludf.DUMMYFUNCTION("""COMPUTED_VALUE"""),38.0)</f>
        <v>38</v>
      </c>
      <c r="AG96" s="187">
        <f>IFERROR(__xludf.DUMMYFUNCTION("""COMPUTED_VALUE"""),209.0)</f>
        <v>209</v>
      </c>
      <c r="AH96" s="187">
        <f>IFERROR(__xludf.DUMMYFUNCTION("""COMPUTED_VALUE"""),1.0)</f>
        <v>1</v>
      </c>
      <c r="AI96" s="187">
        <f>IFERROR(__xludf.DUMMYFUNCTION("""COMPUTED_VALUE"""),1.0)</f>
        <v>1</v>
      </c>
      <c r="AJ96" s="187">
        <f>IFERROR(__xludf.DUMMYFUNCTION("""COMPUTED_VALUE"""),0.0)</f>
        <v>0</v>
      </c>
      <c r="AK96" s="187">
        <f>IFERROR(__xludf.DUMMYFUNCTION("""COMPUTED_VALUE"""),0.0)</f>
        <v>0</v>
      </c>
      <c r="AL96" s="187">
        <f>IFERROR(__xludf.DUMMYFUNCTION("""COMPUTED_VALUE"""),0.0)</f>
        <v>0</v>
      </c>
      <c r="AM96" s="187">
        <f>IFERROR(__xludf.DUMMYFUNCTION("""COMPUTED_VALUE"""),0.0)</f>
        <v>0</v>
      </c>
      <c r="AN96" s="187">
        <f>IFERROR(__xludf.DUMMYFUNCTION("""COMPUTED_VALUE"""),460.0)</f>
        <v>460</v>
      </c>
      <c r="AO96" s="187">
        <f>IFERROR(__xludf.DUMMYFUNCTION("""COMPUTED_VALUE"""),499.0)</f>
        <v>499</v>
      </c>
      <c r="AP96" s="187">
        <f>IFERROR(__xludf.DUMMYFUNCTION("""COMPUTED_VALUE"""),66.0)</f>
        <v>66</v>
      </c>
      <c r="AQ96" s="217">
        <f>IFERROR(__xludf.DUMMYFUNCTION("""COMPUTED_VALUE"""),40982.28787878788)</f>
        <v>40982.28788</v>
      </c>
      <c r="AR96" s="188">
        <f>IFERROR(__xludf.DUMMYFUNCTION("""COMPUTED_VALUE"""),7.5606060606060606)</f>
        <v>7.560606061</v>
      </c>
      <c r="AS96" s="217">
        <f>IFERROR(__xludf.DUMMYFUNCTION("""COMPUTED_VALUE"""),110775.0)</f>
        <v>110775</v>
      </c>
      <c r="AT96" s="217"/>
      <c r="AU96" s="218">
        <f>IFERROR(__xludf.DUMMYFUNCTION("""COMPUTED_VALUE"""),0.040954499560231304)</f>
        <v>0.04095449956</v>
      </c>
      <c r="AV96" s="217">
        <f>IFERROR(__xludf.DUMMYFUNCTION("""COMPUTED_VALUE"""),62903.04651162791)</f>
        <v>62903.04651</v>
      </c>
      <c r="AW96" s="219">
        <f>IFERROR(__xludf.DUMMYFUNCTION("""COMPUTED_VALUE"""),94.0)</f>
        <v>94</v>
      </c>
      <c r="AX96" s="219">
        <f>IFERROR(__xludf.DUMMYFUNCTION("""COMPUTED_VALUE"""),814.0)</f>
        <v>814</v>
      </c>
      <c r="AY96" s="262">
        <f>IFERROR(__xludf.DUMMYFUNCTION("""COMPUTED_VALUE"""),7164.27)</f>
        <v>7164.27</v>
      </c>
      <c r="AZ96" s="263">
        <f>IFERROR(__xludf.DUMMYFUNCTION("""COMPUTED_VALUE"""),59.0)</f>
        <v>59</v>
      </c>
      <c r="BA96" s="263">
        <f>IFERROR(__xludf.DUMMYFUNCTION("""COMPUTED_VALUE"""),43.0)</f>
        <v>43</v>
      </c>
      <c r="BB96" s="263">
        <f>IFERROR(__xludf.DUMMYFUNCTION("""COMPUTED_VALUE"""),79.0)</f>
        <v>79</v>
      </c>
      <c r="BC96" s="263">
        <f>IFERROR(__xludf.DUMMYFUNCTION("""COMPUTED_VALUE"""),20.0)</f>
        <v>20</v>
      </c>
      <c r="BD96" s="258"/>
      <c r="BE96" s="258"/>
      <c r="BF96" s="255" t="e">
        <v>#REF!</v>
      </c>
      <c r="BG96" s="256">
        <f t="shared" si="4"/>
        <v>2704831</v>
      </c>
      <c r="BH96" s="257" t="str">
        <f t="shared" si="5"/>
        <v>#REF!</v>
      </c>
      <c r="BI96" s="98"/>
      <c r="BJ96" s="98"/>
      <c r="BK96" s="98"/>
      <c r="BL96" s="98"/>
      <c r="BM96" s="98"/>
      <c r="BN96" s="98"/>
      <c r="BO96" s="98"/>
      <c r="BP96" s="98"/>
      <c r="BQ96" s="98"/>
      <c r="BR96" s="98"/>
    </row>
    <row r="97">
      <c r="A97" s="6" t="str">
        <f>IFERROR(__xludf.DUMMYFUNCTION("""COMPUTED_VALUE"""),"Sandeep Dadheech")</f>
        <v>Sandeep Dadheech</v>
      </c>
      <c r="B97" s="98" t="str">
        <f>IFERROR(__xludf.DUMMYFUNCTION("""COMPUTED_VALUE"""),"West Bengal")</f>
        <v>West Bengal</v>
      </c>
      <c r="C97" s="212" t="str">
        <f>IFERROR(__xludf.DUMMYFUNCTION("""COMPUTED_VALUE"""),"Sudip Sarkar")</f>
        <v>Sudip Sarkar</v>
      </c>
      <c r="D97" s="98" t="str">
        <f>IFERROR(__xludf.DUMMYFUNCTION("""COMPUTED_VALUE"""),"Birbhum")</f>
        <v>Birbhum</v>
      </c>
      <c r="E97" s="213">
        <f>IFERROR(__xludf.DUMMYFUNCTION("""COMPUTED_VALUE"""),45460.0)</f>
        <v>45460</v>
      </c>
      <c r="F97" s="222" t="str">
        <f>IFERROR(__xludf.DUMMYFUNCTION("""COMPUTED_VALUE"""),"WEST BENGAL")</f>
        <v>WEST BENGAL</v>
      </c>
      <c r="G97" s="215">
        <f>IFERROR(__xludf.DUMMYFUNCTION("""COMPUTED_VALUE"""),1.8000674859999996E7)</f>
        <v>18000674.86</v>
      </c>
      <c r="H97" s="215">
        <f>IFERROR(__xludf.DUMMYFUNCTION("""COMPUTED_VALUE"""),1.5309253E7)</f>
        <v>15309253</v>
      </c>
      <c r="I97" s="216">
        <f>IFERROR(__xludf.DUMMYFUNCTION("""COMPUTED_VALUE"""),29900.0)</f>
        <v>29900</v>
      </c>
      <c r="J97" s="216">
        <f>IFERROR(__xludf.DUMMYFUNCTION("""COMPUTED_VALUE"""),4166667.0)</f>
        <v>4166667</v>
      </c>
      <c r="K97" s="217">
        <f>IFERROR(__xludf.DUMMYFUNCTION("""COMPUTED_VALUE"""),0.0)</f>
        <v>0</v>
      </c>
      <c r="L97" s="217">
        <f>IFERROR(__xludf.DUMMYFUNCTION("""COMPUTED_VALUE"""),1.2500001E7)</f>
        <v>12500001</v>
      </c>
      <c r="M97" s="217">
        <f>IFERROR(__xludf.DUMMYFUNCTION("""COMPUTED_VALUE"""),6682208.0)</f>
        <v>6682208</v>
      </c>
      <c r="N97" s="217">
        <f>IFERROR(__xludf.DUMMYFUNCTION("""COMPUTED_VALUE"""),0.0)</f>
        <v>0</v>
      </c>
      <c r="O97" s="217">
        <f>IFERROR(__xludf.DUMMYFUNCTION("""COMPUTED_VALUE"""),5912262.0)</f>
        <v>5912262</v>
      </c>
      <c r="P97" s="218">
        <f>IFERROR(__xludf.DUMMYFUNCTION("""COMPUTED_VALUE"""),0.5345765972338722)</f>
        <v>0.5345765972</v>
      </c>
      <c r="Q97" s="218">
        <f>IFERROR(__xludf.DUMMYFUNCTION("""COMPUTED_VALUE"""),0.0)</f>
        <v>0</v>
      </c>
      <c r="R97" s="218">
        <f>IFERROR(__xludf.DUMMYFUNCTION("""COMPUTED_VALUE"""),0.4729809221615262)</f>
        <v>0.4729809222</v>
      </c>
      <c r="S97" s="187">
        <f>IFERROR(__xludf.DUMMYFUNCTION("""COMPUTED_VALUE"""),81.0)</f>
        <v>81</v>
      </c>
      <c r="T97" s="187">
        <f>IFERROR(__xludf.DUMMYFUNCTION("""COMPUTED_VALUE"""),66.0)</f>
        <v>66</v>
      </c>
      <c r="U97" s="187">
        <f>IFERROR(__xludf.DUMMYFUNCTION("""COMPUTED_VALUE"""),5.0)</f>
        <v>5</v>
      </c>
      <c r="V97" s="187">
        <f>IFERROR(__xludf.DUMMYFUNCTION("""COMPUTED_VALUE"""),4.0)</f>
        <v>4</v>
      </c>
      <c r="W97" s="187">
        <f>IFERROR(__xludf.DUMMYFUNCTION("""COMPUTED_VALUE"""),86.0)</f>
        <v>86</v>
      </c>
      <c r="X97" s="187">
        <f>IFERROR(__xludf.DUMMYFUNCTION("""COMPUTED_VALUE"""),20.0)</f>
        <v>20</v>
      </c>
      <c r="Y97" s="188">
        <f>IFERROR(__xludf.DUMMYFUNCTION("""COMPUTED_VALUE"""),6024794.37)</f>
        <v>6024794.37</v>
      </c>
      <c r="Z97" s="188">
        <f>IFERROR(__xludf.DUMMYFUNCTION("""COMPUTED_VALUE"""),657413.8)</f>
        <v>657413.8</v>
      </c>
      <c r="AA97" s="187">
        <f>IFERROR(__xludf.DUMMYFUNCTION("""COMPUTED_VALUE"""),32.0)</f>
        <v>32</v>
      </c>
      <c r="AB97" s="187">
        <f>IFERROR(__xludf.DUMMYFUNCTION("""COMPUTED_VALUE"""),4.0)</f>
        <v>4</v>
      </c>
      <c r="AC97" s="187">
        <f>IFERROR(__xludf.DUMMYFUNCTION("""COMPUTED_VALUE"""),36.0)</f>
        <v>36</v>
      </c>
      <c r="AD97" s="187">
        <f>IFERROR(__xludf.DUMMYFUNCTION("""COMPUTED_VALUE"""),0.0)</f>
        <v>0</v>
      </c>
      <c r="AE97" s="187">
        <f>IFERROR(__xludf.DUMMYFUNCTION("""COMPUTED_VALUE"""),5.0)</f>
        <v>5</v>
      </c>
      <c r="AF97" s="187">
        <f>IFERROR(__xludf.DUMMYFUNCTION("""COMPUTED_VALUE"""),6.0)</f>
        <v>6</v>
      </c>
      <c r="AG97" s="187">
        <f>IFERROR(__xludf.DUMMYFUNCTION("""COMPUTED_VALUE"""),72.0)</f>
        <v>72</v>
      </c>
      <c r="AH97" s="187">
        <f>IFERROR(__xludf.DUMMYFUNCTION("""COMPUTED_VALUE"""),3.0)</f>
        <v>3</v>
      </c>
      <c r="AI97" s="187">
        <f>IFERROR(__xludf.DUMMYFUNCTION("""COMPUTED_VALUE"""),27.0)</f>
        <v>27</v>
      </c>
      <c r="AJ97" s="187">
        <f>IFERROR(__xludf.DUMMYFUNCTION("""COMPUTED_VALUE"""),0.0)</f>
        <v>0</v>
      </c>
      <c r="AK97" s="187">
        <f>IFERROR(__xludf.DUMMYFUNCTION("""COMPUTED_VALUE"""),0.0)</f>
        <v>0</v>
      </c>
      <c r="AL97" s="187">
        <f>IFERROR(__xludf.DUMMYFUNCTION("""COMPUTED_VALUE"""),0.0)</f>
        <v>0</v>
      </c>
      <c r="AM97" s="187">
        <f>IFERROR(__xludf.DUMMYFUNCTION("""COMPUTED_VALUE"""),0.0)</f>
        <v>0</v>
      </c>
      <c r="AN97" s="187">
        <f>IFERROR(__xludf.DUMMYFUNCTION("""COMPUTED_VALUE"""),278.0)</f>
        <v>278</v>
      </c>
      <c r="AO97" s="187">
        <f>IFERROR(__xludf.DUMMYFUNCTION("""COMPUTED_VALUE"""),311.0)</f>
        <v>311</v>
      </c>
      <c r="AP97" s="187">
        <f>IFERROR(__xludf.DUMMYFUNCTION("""COMPUTED_VALUE"""),79.0)</f>
        <v>79</v>
      </c>
      <c r="AQ97" s="217">
        <f>IFERROR(__xludf.DUMMYFUNCTION("""COMPUTED_VALUE"""),84584.91139240506)</f>
        <v>84584.91139</v>
      </c>
      <c r="AR97" s="188">
        <f>IFERROR(__xludf.DUMMYFUNCTION("""COMPUTED_VALUE"""),3.9367088607594938)</f>
        <v>3.936708861</v>
      </c>
      <c r="AS97" s="217">
        <f>IFERROR(__xludf.DUMMYFUNCTION("""COMPUTED_VALUE"""),89700.0)</f>
        <v>89700</v>
      </c>
      <c r="AT97" s="217"/>
      <c r="AU97" s="218">
        <f>IFERROR(__xludf.DUMMYFUNCTION("""COMPUTED_VALUE"""),0.013423706655045758)</f>
        <v>0.01342370666</v>
      </c>
      <c r="AV97" s="217">
        <f>IFERROR(__xludf.DUMMYFUNCTION("""COMPUTED_VALUE"""),185616.88888888888)</f>
        <v>185616.8889</v>
      </c>
      <c r="AW97" s="219">
        <f>IFERROR(__xludf.DUMMYFUNCTION("""COMPUTED_VALUE"""),91.0)</f>
        <v>91</v>
      </c>
      <c r="AX97" s="219">
        <f>IFERROR(__xludf.DUMMYFUNCTION("""COMPUTED_VALUE"""),857.0)</f>
        <v>857</v>
      </c>
      <c r="AY97" s="262">
        <f>IFERROR(__xludf.DUMMYFUNCTION("""COMPUTED_VALUE"""),7058.58)</f>
        <v>7058.58</v>
      </c>
      <c r="AZ97" s="263">
        <f>IFERROR(__xludf.DUMMYFUNCTION("""COMPUTED_VALUE"""),107.0)</f>
        <v>107</v>
      </c>
      <c r="BA97" s="263">
        <f>IFERROR(__xludf.DUMMYFUNCTION("""COMPUTED_VALUE"""),36.0)</f>
        <v>36</v>
      </c>
      <c r="BB97" s="263">
        <f>IFERROR(__xludf.DUMMYFUNCTION("""COMPUTED_VALUE"""),30.0)</f>
        <v>30</v>
      </c>
      <c r="BC97" s="263">
        <f>IFERROR(__xludf.DUMMYFUNCTION("""COMPUTED_VALUE"""),20.0)</f>
        <v>20</v>
      </c>
      <c r="BD97" s="258"/>
      <c r="BE97" s="258"/>
      <c r="BF97" s="255" t="e">
        <v>#REF!</v>
      </c>
      <c r="BG97" s="256">
        <f t="shared" si="4"/>
        <v>6682208</v>
      </c>
      <c r="BH97" s="257" t="str">
        <f t="shared" si="5"/>
        <v>#REF!</v>
      </c>
      <c r="BI97" s="98"/>
      <c r="BJ97" s="98"/>
      <c r="BK97" s="98"/>
      <c r="BL97" s="98"/>
      <c r="BM97" s="98"/>
      <c r="BN97" s="98"/>
      <c r="BO97" s="98"/>
      <c r="BP97" s="98"/>
      <c r="BQ97" s="98"/>
      <c r="BR97" s="98"/>
    </row>
    <row r="98">
      <c r="A98" s="6" t="str">
        <f>IFERROR(__xludf.DUMMYFUNCTION("""COMPUTED_VALUE"""),"Syed Aqil Rizvi")</f>
        <v>Syed Aqil Rizvi</v>
      </c>
      <c r="B98" s="98" t="str">
        <f>IFERROR(__xludf.DUMMYFUNCTION("""COMPUTED_VALUE"""),"East U.P")</f>
        <v>East U.P</v>
      </c>
      <c r="C98" s="212" t="str">
        <f>IFERROR(__xludf.DUMMYFUNCTION("""COMPUTED_VALUE"""),"Wasim Ahmad")</f>
        <v>Wasim Ahmad</v>
      </c>
      <c r="D98" s="98" t="str">
        <f>IFERROR(__xludf.DUMMYFUNCTION("""COMPUTED_VALUE"""),"Sultanpur")</f>
        <v>Sultanpur</v>
      </c>
      <c r="E98" s="213">
        <f>IFERROR(__xludf.DUMMYFUNCTION("""COMPUTED_VALUE"""),45482.0)</f>
        <v>45482</v>
      </c>
      <c r="F98" s="222" t="str">
        <f>IFERROR(__xludf.DUMMYFUNCTION("""COMPUTED_VALUE"""),"East U.P")</f>
        <v>East U.P</v>
      </c>
      <c r="G98" s="215">
        <f>IFERROR(__xludf.DUMMYFUNCTION("""COMPUTED_VALUE"""),1.3646292250000002E7)</f>
        <v>13646292.25</v>
      </c>
      <c r="H98" s="215">
        <f>IFERROR(__xludf.DUMMYFUNCTION("""COMPUTED_VALUE"""),1.343893E7)</f>
        <v>13438930</v>
      </c>
      <c r="I98" s="216">
        <f>IFERROR(__xludf.DUMMYFUNCTION("""COMPUTED_VALUE"""),28940.0)</f>
        <v>28940</v>
      </c>
      <c r="J98" s="216">
        <f>IFERROR(__xludf.DUMMYFUNCTION("""COMPUTED_VALUE"""),1900000.0)</f>
        <v>1900000</v>
      </c>
      <c r="K98" s="217">
        <f>IFERROR(__xludf.DUMMYFUNCTION("""COMPUTED_VALUE"""),0.0)</f>
        <v>0</v>
      </c>
      <c r="L98" s="217">
        <f>IFERROR(__xludf.DUMMYFUNCTION("""COMPUTED_VALUE"""),5700000.0)</f>
        <v>5700000</v>
      </c>
      <c r="M98" s="217">
        <f>IFERROR(__xludf.DUMMYFUNCTION("""COMPUTED_VALUE"""),3773259.0)</f>
        <v>3773259</v>
      </c>
      <c r="N98" s="217">
        <f>IFERROR(__xludf.DUMMYFUNCTION("""COMPUTED_VALUE"""),0.0)</f>
        <v>0</v>
      </c>
      <c r="O98" s="217">
        <f>IFERROR(__xludf.DUMMYFUNCTION("""COMPUTED_VALUE"""),2738915.0)</f>
        <v>2738915</v>
      </c>
      <c r="P98" s="218">
        <f>IFERROR(__xludf.DUMMYFUNCTION("""COMPUTED_VALUE"""),0.6619752631578948)</f>
        <v>0.6619752632</v>
      </c>
      <c r="Q98" s="218">
        <f>IFERROR(__xludf.DUMMYFUNCTION("""COMPUTED_VALUE"""),0.0)</f>
        <v>0</v>
      </c>
      <c r="R98" s="218">
        <f>IFERROR(__xludf.DUMMYFUNCTION("""COMPUTED_VALUE"""),0.4805114035087719)</f>
        <v>0.4805114035</v>
      </c>
      <c r="S98" s="187">
        <f>IFERROR(__xludf.DUMMYFUNCTION("""COMPUTED_VALUE"""),58.0)</f>
        <v>58</v>
      </c>
      <c r="T98" s="187">
        <f>IFERROR(__xludf.DUMMYFUNCTION("""COMPUTED_VALUE"""),53.0)</f>
        <v>53</v>
      </c>
      <c r="U98" s="187">
        <f>IFERROR(__xludf.DUMMYFUNCTION("""COMPUTED_VALUE"""),3.0)</f>
        <v>3</v>
      </c>
      <c r="V98" s="187">
        <f>IFERROR(__xludf.DUMMYFUNCTION("""COMPUTED_VALUE"""),3.0)</f>
        <v>3</v>
      </c>
      <c r="W98" s="187">
        <f>IFERROR(__xludf.DUMMYFUNCTION("""COMPUTED_VALUE"""),61.0)</f>
        <v>61</v>
      </c>
      <c r="X98" s="187">
        <f>IFERROR(__xludf.DUMMYFUNCTION("""COMPUTED_VALUE"""),8.0)</f>
        <v>8</v>
      </c>
      <c r="Y98" s="188">
        <f>IFERROR(__xludf.DUMMYFUNCTION("""COMPUTED_VALUE"""),3497214.91)</f>
        <v>3497214.91</v>
      </c>
      <c r="Z98" s="188">
        <f>IFERROR(__xludf.DUMMYFUNCTION("""COMPUTED_VALUE"""),276043.78)</f>
        <v>276043.78</v>
      </c>
      <c r="AA98" s="187">
        <f>IFERROR(__xludf.DUMMYFUNCTION("""COMPUTED_VALUE"""),31.0)</f>
        <v>31</v>
      </c>
      <c r="AB98" s="187">
        <f>IFERROR(__xludf.DUMMYFUNCTION("""COMPUTED_VALUE"""),3.0)</f>
        <v>3</v>
      </c>
      <c r="AC98" s="187">
        <f>IFERROR(__xludf.DUMMYFUNCTION("""COMPUTED_VALUE"""),34.0)</f>
        <v>34</v>
      </c>
      <c r="AD98" s="187">
        <f>IFERROR(__xludf.DUMMYFUNCTION("""COMPUTED_VALUE"""),0.0)</f>
        <v>0</v>
      </c>
      <c r="AE98" s="187">
        <f>IFERROR(__xludf.DUMMYFUNCTION("""COMPUTED_VALUE"""),34.0)</f>
        <v>34</v>
      </c>
      <c r="AF98" s="187">
        <f>IFERROR(__xludf.DUMMYFUNCTION("""COMPUTED_VALUE"""),41.0)</f>
        <v>41</v>
      </c>
      <c r="AG98" s="187">
        <f>IFERROR(__xludf.DUMMYFUNCTION("""COMPUTED_VALUE"""),242.0)</f>
        <v>242</v>
      </c>
      <c r="AH98" s="187">
        <f>IFERROR(__xludf.DUMMYFUNCTION("""COMPUTED_VALUE"""),1.0)</f>
        <v>1</v>
      </c>
      <c r="AI98" s="187">
        <f>IFERROR(__xludf.DUMMYFUNCTION("""COMPUTED_VALUE"""),25.0)</f>
        <v>25</v>
      </c>
      <c r="AJ98" s="187">
        <f>IFERROR(__xludf.DUMMYFUNCTION("""COMPUTED_VALUE"""),0.0)</f>
        <v>0</v>
      </c>
      <c r="AK98" s="187">
        <f>IFERROR(__xludf.DUMMYFUNCTION("""COMPUTED_VALUE"""),0.0)</f>
        <v>0</v>
      </c>
      <c r="AL98" s="187">
        <f>IFERROR(__xludf.DUMMYFUNCTION("""COMPUTED_VALUE"""),0.0)</f>
        <v>0</v>
      </c>
      <c r="AM98" s="187">
        <f>IFERROR(__xludf.DUMMYFUNCTION("""COMPUTED_VALUE"""),0.0)</f>
        <v>0</v>
      </c>
      <c r="AN98" s="187">
        <f>IFERROR(__xludf.DUMMYFUNCTION("""COMPUTED_VALUE"""),233.0)</f>
        <v>233</v>
      </c>
      <c r="AO98" s="187">
        <f>IFERROR(__xludf.DUMMYFUNCTION("""COMPUTED_VALUE"""),299.0)</f>
        <v>299</v>
      </c>
      <c r="AP98" s="187">
        <f>IFERROR(__xludf.DUMMYFUNCTION("""COMPUTED_VALUE"""),74.0)</f>
        <v>74</v>
      </c>
      <c r="AQ98" s="217">
        <f>IFERROR(__xludf.DUMMYFUNCTION("""COMPUTED_VALUE"""),50989.98648648649)</f>
        <v>50989.98649</v>
      </c>
      <c r="AR98" s="188">
        <f>IFERROR(__xludf.DUMMYFUNCTION("""COMPUTED_VALUE"""),4.04054054054054)</f>
        <v>4.040540541</v>
      </c>
      <c r="AS98" s="217">
        <f>IFERROR(__xludf.DUMMYFUNCTION("""COMPUTED_VALUE"""),86820.0)</f>
        <v>86820</v>
      </c>
      <c r="AT98" s="217"/>
      <c r="AU98" s="218">
        <f>IFERROR(__xludf.DUMMYFUNCTION("""COMPUTED_VALUE"""),0.023009287197088776)</f>
        <v>0.0230092872</v>
      </c>
      <c r="AV98" s="217">
        <f>IFERROR(__xludf.DUMMYFUNCTION("""COMPUTED_VALUE"""),110978.20588235294)</f>
        <v>110978.2059</v>
      </c>
      <c r="AW98" s="219">
        <f>IFERROR(__xludf.DUMMYFUNCTION("""COMPUTED_VALUE"""),133.0)</f>
        <v>133</v>
      </c>
      <c r="AX98" s="219">
        <f>IFERROR(__xludf.DUMMYFUNCTION("""COMPUTED_VALUE"""),608.0)</f>
        <v>608</v>
      </c>
      <c r="AY98" s="262">
        <f>IFERROR(__xludf.DUMMYFUNCTION("""COMPUTED_VALUE"""),5002.23)</f>
        <v>5002.23</v>
      </c>
      <c r="AZ98" s="263">
        <f>IFERROR(__xludf.DUMMYFUNCTION("""COMPUTED_VALUE"""),94.0)</f>
        <v>94</v>
      </c>
      <c r="BA98" s="263">
        <f>IFERROR(__xludf.DUMMYFUNCTION("""COMPUTED_VALUE"""),34.0)</f>
        <v>34</v>
      </c>
      <c r="BB98" s="263">
        <f>IFERROR(__xludf.DUMMYFUNCTION("""COMPUTED_VALUE"""),19.0)</f>
        <v>19</v>
      </c>
      <c r="BC98" s="263">
        <f>IFERROR(__xludf.DUMMYFUNCTION("""COMPUTED_VALUE"""),8.0)</f>
        <v>8</v>
      </c>
      <c r="BD98" s="265"/>
      <c r="BE98" s="258"/>
      <c r="BF98" s="255" t="e">
        <v>#REF!</v>
      </c>
      <c r="BG98" s="256">
        <f t="shared" si="4"/>
        <v>3773259</v>
      </c>
      <c r="BH98" s="257" t="str">
        <f t="shared" si="5"/>
        <v>#REF!</v>
      </c>
      <c r="BI98" s="98"/>
      <c r="BJ98" s="98"/>
      <c r="BK98" s="98"/>
      <c r="BL98" s="98"/>
      <c r="BM98" s="98"/>
      <c r="BN98" s="98"/>
      <c r="BO98" s="98"/>
      <c r="BP98" s="98"/>
      <c r="BQ98" s="98"/>
      <c r="BR98" s="98"/>
    </row>
    <row r="99">
      <c r="A99" s="6" t="str">
        <f>IFERROR(__xludf.DUMMYFUNCTION("""COMPUTED_VALUE"""),"Lalan Kumar")</f>
        <v>Lalan Kumar</v>
      </c>
      <c r="B99" s="98" t="str">
        <f>IFERROR(__xludf.DUMMYFUNCTION("""COMPUTED_VALUE"""),"Maharashtra")</f>
        <v>Maharashtra</v>
      </c>
      <c r="C99" s="212" t="str">
        <f>IFERROR(__xludf.DUMMYFUNCTION("""COMPUTED_VALUE"""),"Syed Sohel Hashmi")</f>
        <v>Syed Sohel Hashmi</v>
      </c>
      <c r="D99" s="98" t="str">
        <f>IFERROR(__xludf.DUMMYFUNCTION("""COMPUTED_VALUE"""),"Nanded")</f>
        <v>Nanded</v>
      </c>
      <c r="E99" s="213">
        <f>IFERROR(__xludf.DUMMYFUNCTION("""COMPUTED_VALUE"""),45483.0)</f>
        <v>45483</v>
      </c>
      <c r="F99" s="222" t="str">
        <f>IFERROR(__xludf.DUMMYFUNCTION("""COMPUTED_VALUE"""),"MAHARASHTRA")</f>
        <v>MAHARASHTRA</v>
      </c>
      <c r="G99" s="259">
        <f>IFERROR(__xludf.DUMMYFUNCTION("""COMPUTED_VALUE"""),7287331.7299999995)</f>
        <v>7287331.73</v>
      </c>
      <c r="H99" s="259">
        <f>IFERROR(__xludf.DUMMYFUNCTION("""COMPUTED_VALUE"""),6647527.0)</f>
        <v>6647527</v>
      </c>
      <c r="I99" s="216">
        <f>IFERROR(__xludf.DUMMYFUNCTION("""COMPUTED_VALUE"""),42475.0)</f>
        <v>42475</v>
      </c>
      <c r="J99" s="56">
        <f>IFERROR(__xludf.DUMMYFUNCTION("""COMPUTED_VALUE"""),1200000.0)</f>
        <v>1200000</v>
      </c>
      <c r="K99" s="217">
        <f>IFERROR(__xludf.DUMMYFUNCTION("""COMPUTED_VALUE"""),0.0)</f>
        <v>0</v>
      </c>
      <c r="L99" s="217">
        <f>IFERROR(__xludf.DUMMYFUNCTION("""COMPUTED_VALUE"""),3600000.0)</f>
        <v>3600000</v>
      </c>
      <c r="M99" s="217">
        <f>IFERROR(__xludf.DUMMYFUNCTION("""COMPUTED_VALUE"""),1860924.0)</f>
        <v>1860924</v>
      </c>
      <c r="N99" s="217">
        <f>IFERROR(__xludf.DUMMYFUNCTION("""COMPUTED_VALUE"""),0.0)</f>
        <v>0</v>
      </c>
      <c r="O99" s="260">
        <f>IFERROR(__xludf.DUMMYFUNCTION("""COMPUTED_VALUE"""),1757524.0)</f>
        <v>1757524</v>
      </c>
      <c r="P99" s="218">
        <f>IFERROR(__xludf.DUMMYFUNCTION("""COMPUTED_VALUE"""),0.5169233333333333)</f>
        <v>0.5169233333</v>
      </c>
      <c r="Q99" s="218">
        <f>IFERROR(__xludf.DUMMYFUNCTION("""COMPUTED_VALUE"""),0.0)</f>
        <v>0</v>
      </c>
      <c r="R99" s="218">
        <f>IFERROR(__xludf.DUMMYFUNCTION("""COMPUTED_VALUE"""),0.4882011111111111)</f>
        <v>0.4882011111</v>
      </c>
      <c r="S99" s="187">
        <f>IFERROR(__xludf.DUMMYFUNCTION("""COMPUTED_VALUE"""),84.0)</f>
        <v>84</v>
      </c>
      <c r="T99" s="187">
        <f>IFERROR(__xludf.DUMMYFUNCTION("""COMPUTED_VALUE"""),70.0)</f>
        <v>70</v>
      </c>
      <c r="U99" s="187">
        <f>IFERROR(__xludf.DUMMYFUNCTION("""COMPUTED_VALUE"""),11.0)</f>
        <v>11</v>
      </c>
      <c r="V99" s="187">
        <f>IFERROR(__xludf.DUMMYFUNCTION("""COMPUTED_VALUE"""),5.0)</f>
        <v>5</v>
      </c>
      <c r="W99" s="187">
        <f>IFERROR(__xludf.DUMMYFUNCTION("""COMPUTED_VALUE"""),95.0)</f>
        <v>95</v>
      </c>
      <c r="X99" s="187">
        <f>IFERROR(__xludf.DUMMYFUNCTION("""COMPUTED_VALUE"""),25.0)</f>
        <v>25</v>
      </c>
      <c r="Y99" s="188">
        <f>IFERROR(__xludf.DUMMYFUNCTION("""COMPUTED_VALUE"""),1821762.78)</f>
        <v>1821762.78</v>
      </c>
      <c r="Z99" s="188">
        <f>IFERROR(__xludf.DUMMYFUNCTION("""COMPUTED_VALUE"""),39161.6)</f>
        <v>39161.6</v>
      </c>
      <c r="AA99" s="187">
        <f>IFERROR(__xludf.DUMMYFUNCTION("""COMPUTED_VALUE"""),46.0)</f>
        <v>46</v>
      </c>
      <c r="AB99" s="187">
        <f>IFERROR(__xludf.DUMMYFUNCTION("""COMPUTED_VALUE"""),5.0)</f>
        <v>5</v>
      </c>
      <c r="AC99" s="187">
        <f>IFERROR(__xludf.DUMMYFUNCTION("""COMPUTED_VALUE"""),51.0)</f>
        <v>51</v>
      </c>
      <c r="AD99" s="187">
        <f>IFERROR(__xludf.DUMMYFUNCTION("""COMPUTED_VALUE"""),0.0)</f>
        <v>0</v>
      </c>
      <c r="AE99" s="187">
        <f>IFERROR(__xludf.DUMMYFUNCTION("""COMPUTED_VALUE"""),67.0)</f>
        <v>67</v>
      </c>
      <c r="AF99" s="187">
        <f>IFERROR(__xludf.DUMMYFUNCTION("""COMPUTED_VALUE"""),94.0)</f>
        <v>94</v>
      </c>
      <c r="AG99" s="187">
        <f>IFERROR(__xludf.DUMMYFUNCTION("""COMPUTED_VALUE"""),181.0)</f>
        <v>181</v>
      </c>
      <c r="AH99" s="187">
        <f>IFERROR(__xludf.DUMMYFUNCTION("""COMPUTED_VALUE"""),3.0)</f>
        <v>3</v>
      </c>
      <c r="AI99" s="187">
        <f>IFERROR(__xludf.DUMMYFUNCTION("""COMPUTED_VALUE"""),32.0)</f>
        <v>32</v>
      </c>
      <c r="AJ99" s="187">
        <f>IFERROR(__xludf.DUMMYFUNCTION("""COMPUTED_VALUE"""),0.0)</f>
        <v>0</v>
      </c>
      <c r="AK99" s="187">
        <f>IFERROR(__xludf.DUMMYFUNCTION("""COMPUTED_VALUE"""),0.0)</f>
        <v>0</v>
      </c>
      <c r="AL99" s="187">
        <f>IFERROR(__xludf.DUMMYFUNCTION("""COMPUTED_VALUE"""),0.0)</f>
        <v>0</v>
      </c>
      <c r="AM99" s="187">
        <f>IFERROR(__xludf.DUMMYFUNCTION("""COMPUTED_VALUE"""),0.0)</f>
        <v>0</v>
      </c>
      <c r="AN99" s="187">
        <f>IFERROR(__xludf.DUMMYFUNCTION("""COMPUTED_VALUE"""),203.0)</f>
        <v>203</v>
      </c>
      <c r="AO99" s="187">
        <f>IFERROR(__xludf.DUMMYFUNCTION("""COMPUTED_VALUE"""),329.0)</f>
        <v>329</v>
      </c>
      <c r="AP99" s="187">
        <f>IFERROR(__xludf.DUMMYFUNCTION("""COMPUTED_VALUE"""),72.0)</f>
        <v>72</v>
      </c>
      <c r="AQ99" s="217">
        <f>IFERROR(__xludf.DUMMYFUNCTION("""COMPUTED_VALUE"""),25846.166666666668)</f>
        <v>25846.16667</v>
      </c>
      <c r="AR99" s="188">
        <f>IFERROR(__xludf.DUMMYFUNCTION("""COMPUTED_VALUE"""),4.569444444444445)</f>
        <v>4.569444444</v>
      </c>
      <c r="AS99" s="217">
        <f>IFERROR(__xludf.DUMMYFUNCTION("""COMPUTED_VALUE"""),127425.0)</f>
        <v>127425</v>
      </c>
      <c r="AT99" s="217"/>
      <c r="AU99" s="218">
        <f>IFERROR(__xludf.DUMMYFUNCTION("""COMPUTED_VALUE"""),0.06847404837596807)</f>
        <v>0.06847404838</v>
      </c>
      <c r="AV99" s="217">
        <f>IFERROR(__xludf.DUMMYFUNCTION("""COMPUTED_VALUE"""),36488.705882352944)</f>
        <v>36488.70588</v>
      </c>
      <c r="AW99" s="219">
        <f>IFERROR(__xludf.DUMMYFUNCTION("""COMPUTED_VALUE"""),102.0)</f>
        <v>102</v>
      </c>
      <c r="AX99" s="219">
        <f>IFERROR(__xludf.DUMMYFUNCTION("""COMPUTED_VALUE"""),658.0)</f>
        <v>658</v>
      </c>
      <c r="AY99" s="262">
        <f>IFERROR(__xludf.DUMMYFUNCTION("""COMPUTED_VALUE"""),6887.86)</f>
        <v>6887.86</v>
      </c>
      <c r="AZ99" s="263">
        <f>IFERROR(__xludf.DUMMYFUNCTION("""COMPUTED_VALUE"""),98.0)</f>
        <v>98</v>
      </c>
      <c r="BA99" s="263">
        <f>IFERROR(__xludf.DUMMYFUNCTION("""COMPUTED_VALUE"""),51.0)</f>
        <v>51</v>
      </c>
      <c r="BB99" s="263">
        <f>IFERROR(__xludf.DUMMYFUNCTION("""COMPUTED_VALUE"""),21.0)</f>
        <v>21</v>
      </c>
      <c r="BC99" s="263">
        <f>IFERROR(__xludf.DUMMYFUNCTION("""COMPUTED_VALUE"""),23.0)</f>
        <v>23</v>
      </c>
      <c r="BD99" s="258"/>
      <c r="BE99" s="258"/>
      <c r="BF99" s="241" t="e">
        <v>#REF!</v>
      </c>
      <c r="BG99" s="256">
        <f t="shared" si="4"/>
        <v>1860924</v>
      </c>
      <c r="BH99" s="257" t="str">
        <f t="shared" si="5"/>
        <v>#REF!</v>
      </c>
      <c r="BI99" s="98"/>
      <c r="BJ99" s="98"/>
      <c r="BK99" s="98"/>
      <c r="BL99" s="98"/>
      <c r="BM99" s="98"/>
      <c r="BN99" s="98"/>
      <c r="BO99" s="98"/>
      <c r="BP99" s="98"/>
      <c r="BQ99" s="98"/>
      <c r="BR99" s="98"/>
    </row>
    <row r="100">
      <c r="A100" s="6" t="str">
        <f>IFERROR(__xludf.DUMMYFUNCTION("""COMPUTED_VALUE"""),"Biju C.O")</f>
        <v>Biju C.O</v>
      </c>
      <c r="B100" s="98" t="str">
        <f>IFERROR(__xludf.DUMMYFUNCTION("""COMPUTED_VALUE"""),"Kerala")</f>
        <v>Kerala</v>
      </c>
      <c r="C100" s="212" t="str">
        <f>IFERROR(__xludf.DUMMYFUNCTION("""COMPUTED_VALUE"""),"Girish B")</f>
        <v>Girish B</v>
      </c>
      <c r="D100" s="98" t="str">
        <f>IFERROR(__xludf.DUMMYFUNCTION("""COMPUTED_VALUE"""),"Kasaragod")</f>
        <v>Kasaragod</v>
      </c>
      <c r="E100" s="213">
        <f>IFERROR(__xludf.DUMMYFUNCTION("""COMPUTED_VALUE"""),45488.0)</f>
        <v>45488</v>
      </c>
      <c r="F100" s="222" t="str">
        <f>IFERROR(__xludf.DUMMYFUNCTION("""COMPUTED_VALUE"""),"KERALA")</f>
        <v>KERALA</v>
      </c>
      <c r="G100" s="215">
        <f>IFERROR(__xludf.DUMMYFUNCTION("""COMPUTED_VALUE"""),6662120.4)</f>
        <v>6662120.4</v>
      </c>
      <c r="H100" s="215">
        <f>IFERROR(__xludf.DUMMYFUNCTION("""COMPUTED_VALUE"""),1.0090804E7)</f>
        <v>10090804</v>
      </c>
      <c r="I100" s="216">
        <f>IFERROR(__xludf.DUMMYFUNCTION("""COMPUTED_VALUE"""),20000.0)</f>
        <v>20000</v>
      </c>
      <c r="J100" s="216">
        <f>IFERROR(__xludf.DUMMYFUNCTION("""COMPUTED_VALUE"""),825000.0)</f>
        <v>825000</v>
      </c>
      <c r="K100" s="217">
        <f>IFERROR(__xludf.DUMMYFUNCTION("""COMPUTED_VALUE"""),0.0)</f>
        <v>0</v>
      </c>
      <c r="L100" s="217">
        <f>IFERROR(__xludf.DUMMYFUNCTION("""COMPUTED_VALUE"""),3600000.0)</f>
        <v>3600000</v>
      </c>
      <c r="M100" s="217">
        <f>IFERROR(__xludf.DUMMYFUNCTION("""COMPUTED_VALUE"""),1827897.0)</f>
        <v>1827897</v>
      </c>
      <c r="N100" s="217">
        <f>IFERROR(__xludf.DUMMYFUNCTION("""COMPUTED_VALUE"""),0.0)</f>
        <v>0</v>
      </c>
      <c r="O100" s="217">
        <f>IFERROR(__xludf.DUMMYFUNCTION("""COMPUTED_VALUE"""),2277465.0)</f>
        <v>2277465</v>
      </c>
      <c r="P100" s="218">
        <f>IFERROR(__xludf.DUMMYFUNCTION("""COMPUTED_VALUE"""),0.5077491666666667)</f>
        <v>0.5077491667</v>
      </c>
      <c r="Q100" s="218">
        <f>IFERROR(__xludf.DUMMYFUNCTION("""COMPUTED_VALUE"""),0.0)</f>
        <v>0</v>
      </c>
      <c r="R100" s="218">
        <f>IFERROR(__xludf.DUMMYFUNCTION("""COMPUTED_VALUE"""),0.6326291666666667)</f>
        <v>0.6326291667</v>
      </c>
      <c r="S100" s="187">
        <f>IFERROR(__xludf.DUMMYFUNCTION("""COMPUTED_VALUE"""),101.0)</f>
        <v>101</v>
      </c>
      <c r="T100" s="187">
        <f>IFERROR(__xludf.DUMMYFUNCTION("""COMPUTED_VALUE"""),99.0)</f>
        <v>99</v>
      </c>
      <c r="U100" s="187">
        <f>IFERROR(__xludf.DUMMYFUNCTION("""COMPUTED_VALUE"""),4.0)</f>
        <v>4</v>
      </c>
      <c r="V100" s="187">
        <f>IFERROR(__xludf.DUMMYFUNCTION("""COMPUTED_VALUE"""),4.0)</f>
        <v>4</v>
      </c>
      <c r="W100" s="187">
        <f>IFERROR(__xludf.DUMMYFUNCTION("""COMPUTED_VALUE"""),105.0)</f>
        <v>105</v>
      </c>
      <c r="X100" s="187">
        <f>IFERROR(__xludf.DUMMYFUNCTION("""COMPUTED_VALUE"""),6.0)</f>
        <v>6</v>
      </c>
      <c r="Y100" s="188">
        <f>IFERROR(__xludf.DUMMYFUNCTION("""COMPUTED_VALUE"""),1693371.0)</f>
        <v>1693371</v>
      </c>
      <c r="Z100" s="188">
        <f>IFERROR(__xludf.DUMMYFUNCTION("""COMPUTED_VALUE"""),134526.0)</f>
        <v>134526</v>
      </c>
      <c r="AA100" s="187">
        <f>IFERROR(__xludf.DUMMYFUNCTION("""COMPUTED_VALUE"""),50.0)</f>
        <v>50</v>
      </c>
      <c r="AB100" s="187">
        <f>IFERROR(__xludf.DUMMYFUNCTION("""COMPUTED_VALUE"""),4.0)</f>
        <v>4</v>
      </c>
      <c r="AC100" s="187">
        <f>IFERROR(__xludf.DUMMYFUNCTION("""COMPUTED_VALUE"""),54.0)</f>
        <v>54</v>
      </c>
      <c r="AD100" s="187">
        <f>IFERROR(__xludf.DUMMYFUNCTION("""COMPUTED_VALUE"""),0.0)</f>
        <v>0</v>
      </c>
      <c r="AE100" s="187">
        <f>IFERROR(__xludf.DUMMYFUNCTION("""COMPUTED_VALUE"""),34.0)</f>
        <v>34</v>
      </c>
      <c r="AF100" s="187">
        <f>IFERROR(__xludf.DUMMYFUNCTION("""COMPUTED_VALUE"""),55.0)</f>
        <v>55</v>
      </c>
      <c r="AG100" s="187">
        <f>IFERROR(__xludf.DUMMYFUNCTION("""COMPUTED_VALUE"""),17.0)</f>
        <v>17</v>
      </c>
      <c r="AH100" s="187">
        <f>IFERROR(__xludf.DUMMYFUNCTION("""COMPUTED_VALUE"""),2.0)</f>
        <v>2</v>
      </c>
      <c r="AI100" s="187">
        <f>IFERROR(__xludf.DUMMYFUNCTION("""COMPUTED_VALUE"""),10.0)</f>
        <v>10</v>
      </c>
      <c r="AJ100" s="187">
        <f>IFERROR(__xludf.DUMMYFUNCTION("""COMPUTED_VALUE"""),0.0)</f>
        <v>0</v>
      </c>
      <c r="AK100" s="187">
        <f>IFERROR(__xludf.DUMMYFUNCTION("""COMPUTED_VALUE"""),0.0)</f>
        <v>0</v>
      </c>
      <c r="AL100" s="187">
        <f>IFERROR(__xludf.DUMMYFUNCTION("""COMPUTED_VALUE"""),0.0)</f>
        <v>0</v>
      </c>
      <c r="AM100" s="187">
        <f>IFERROR(__xludf.DUMMYFUNCTION("""COMPUTED_VALUE"""),0.0)</f>
        <v>0</v>
      </c>
      <c r="AN100" s="187">
        <f>IFERROR(__xludf.DUMMYFUNCTION("""COMPUTED_VALUE"""),367.0)</f>
        <v>367</v>
      </c>
      <c r="AO100" s="187">
        <f>IFERROR(__xludf.DUMMYFUNCTION("""COMPUTED_VALUE"""),432.0)</f>
        <v>432</v>
      </c>
      <c r="AP100" s="187">
        <f>IFERROR(__xludf.DUMMYFUNCTION("""COMPUTED_VALUE"""),71.0)</f>
        <v>71</v>
      </c>
      <c r="AQ100" s="217">
        <f>IFERROR(__xludf.DUMMYFUNCTION("""COMPUTED_VALUE"""),25745.028169014084)</f>
        <v>25745.02817</v>
      </c>
      <c r="AR100" s="188">
        <f>IFERROR(__xludf.DUMMYFUNCTION("""COMPUTED_VALUE"""),6.084507042253521)</f>
        <v>6.084507042</v>
      </c>
      <c r="AS100" s="217">
        <f>IFERROR(__xludf.DUMMYFUNCTION("""COMPUTED_VALUE"""),60000.0)</f>
        <v>60000</v>
      </c>
      <c r="AT100" s="217"/>
      <c r="AU100" s="218">
        <f>IFERROR(__xludf.DUMMYFUNCTION("""COMPUTED_VALUE"""),0.0328246066381202)</f>
        <v>0.03282460664</v>
      </c>
      <c r="AV100" s="217">
        <f>IFERROR(__xludf.DUMMYFUNCTION("""COMPUTED_VALUE"""),33849.944444444445)</f>
        <v>33849.94444</v>
      </c>
      <c r="AW100" s="219">
        <f>IFERROR(__xludf.DUMMYFUNCTION("""COMPUTED_VALUE"""),104.0)</f>
        <v>104</v>
      </c>
      <c r="AX100" s="219">
        <f>IFERROR(__xludf.DUMMYFUNCTION("""COMPUTED_VALUE"""),617.0)</f>
        <v>617</v>
      </c>
      <c r="AY100" s="262">
        <f>IFERROR(__xludf.DUMMYFUNCTION("""COMPUTED_VALUE"""),6511.48)</f>
        <v>6511.48</v>
      </c>
      <c r="AZ100" s="263">
        <f>IFERROR(__xludf.DUMMYFUNCTION("""COMPUTED_VALUE"""),66.0)</f>
        <v>66</v>
      </c>
      <c r="BA100" s="263">
        <f>IFERROR(__xludf.DUMMYFUNCTION("""COMPUTED_VALUE"""),54.0)</f>
        <v>54</v>
      </c>
      <c r="BB100" s="263">
        <f>IFERROR(__xludf.DUMMYFUNCTION("""COMPUTED_VALUE"""),45.0)</f>
        <v>45</v>
      </c>
      <c r="BC100" s="263">
        <f>IFERROR(__xludf.DUMMYFUNCTION("""COMPUTED_VALUE"""),6.0)</f>
        <v>6</v>
      </c>
      <c r="BD100" s="258"/>
      <c r="BE100" s="258"/>
      <c r="BF100" s="255" t="e">
        <v>#REF!</v>
      </c>
      <c r="BG100" s="256">
        <f t="shared" si="4"/>
        <v>1827897</v>
      </c>
      <c r="BH100" s="257" t="str">
        <f t="shared" si="5"/>
        <v>#REF!</v>
      </c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</row>
    <row r="101">
      <c r="A101" s="6" t="str">
        <f>IFERROR(__xludf.DUMMYFUNCTION("""COMPUTED_VALUE"""),"Lalan Kumar")</f>
        <v>Lalan Kumar</v>
      </c>
      <c r="B101" s="98" t="str">
        <f>IFERROR(__xludf.DUMMYFUNCTION("""COMPUTED_VALUE"""),"Maharashtra")</f>
        <v>Maharashtra</v>
      </c>
      <c r="C101" s="212" t="str">
        <f>IFERROR(__xludf.DUMMYFUNCTION("""COMPUTED_VALUE"""),"Kunal Sanjay Sasane")</f>
        <v>Kunal Sanjay Sasane</v>
      </c>
      <c r="D101" s="98" t="str">
        <f>IFERROR(__xludf.DUMMYFUNCTION("""COMPUTED_VALUE"""),"Kolhapur")</f>
        <v>Kolhapur</v>
      </c>
      <c r="E101" s="213">
        <f>IFERROR(__xludf.DUMMYFUNCTION("""COMPUTED_VALUE"""),45516.0)</f>
        <v>45516</v>
      </c>
      <c r="F101" s="222" t="str">
        <f>IFERROR(__xludf.DUMMYFUNCTION("""COMPUTED_VALUE"""),"MAHARASHTRA")</f>
        <v>MAHARASHTRA</v>
      </c>
      <c r="G101" s="215">
        <f>IFERROR(__xludf.DUMMYFUNCTION("""COMPUTED_VALUE"""),6205273.289999999)</f>
        <v>6205273.29</v>
      </c>
      <c r="H101" s="215">
        <f>IFERROR(__xludf.DUMMYFUNCTION("""COMPUTED_VALUE"""),6239646.0)</f>
        <v>6239646</v>
      </c>
      <c r="I101" s="216">
        <f>IFERROR(__xludf.DUMMYFUNCTION("""COMPUTED_VALUE"""),27260.0)</f>
        <v>27260</v>
      </c>
      <c r="J101" s="216">
        <f>IFERROR(__xludf.DUMMYFUNCTION("""COMPUTED_VALUE"""),1200000.0)</f>
        <v>1200000</v>
      </c>
      <c r="K101" s="217">
        <f>IFERROR(__xludf.DUMMYFUNCTION("""COMPUTED_VALUE"""),0.0)</f>
        <v>0</v>
      </c>
      <c r="L101" s="217">
        <f>IFERROR(__xludf.DUMMYFUNCTION("""COMPUTED_VALUE"""),3600000.0)</f>
        <v>3600000</v>
      </c>
      <c r="M101" s="217">
        <f>IFERROR(__xludf.DUMMYFUNCTION("""COMPUTED_VALUE"""),2030107.0)</f>
        <v>2030107</v>
      </c>
      <c r="N101" s="217">
        <f>IFERROR(__xludf.DUMMYFUNCTION("""COMPUTED_VALUE"""),0.0)</f>
        <v>0</v>
      </c>
      <c r="O101" s="217">
        <f>IFERROR(__xludf.DUMMYFUNCTION("""COMPUTED_VALUE"""),2009813.0)</f>
        <v>2009813</v>
      </c>
      <c r="P101" s="218">
        <f>IFERROR(__xludf.DUMMYFUNCTION("""COMPUTED_VALUE"""),0.5639186111111111)</f>
        <v>0.5639186111</v>
      </c>
      <c r="Q101" s="218">
        <f>IFERROR(__xludf.DUMMYFUNCTION("""COMPUTED_VALUE"""),0.0)</f>
        <v>0</v>
      </c>
      <c r="R101" s="218">
        <f>IFERROR(__xludf.DUMMYFUNCTION("""COMPUTED_VALUE"""),0.5582813888888889)</f>
        <v>0.5582813889</v>
      </c>
      <c r="S101" s="187">
        <f>IFERROR(__xludf.DUMMYFUNCTION("""COMPUTED_VALUE"""),106.0)</f>
        <v>106</v>
      </c>
      <c r="T101" s="187">
        <f>IFERROR(__xludf.DUMMYFUNCTION("""COMPUTED_VALUE"""),77.0)</f>
        <v>77</v>
      </c>
      <c r="U101" s="187">
        <f>IFERROR(__xludf.DUMMYFUNCTION("""COMPUTED_VALUE"""),0.0)</f>
        <v>0</v>
      </c>
      <c r="V101" s="187">
        <f>IFERROR(__xludf.DUMMYFUNCTION("""COMPUTED_VALUE"""),0.0)</f>
        <v>0</v>
      </c>
      <c r="W101" s="187">
        <f>IFERROR(__xludf.DUMMYFUNCTION("""COMPUTED_VALUE"""),106.0)</f>
        <v>106</v>
      </c>
      <c r="X101" s="187">
        <f>IFERROR(__xludf.DUMMYFUNCTION("""COMPUTED_VALUE"""),29.0)</f>
        <v>29</v>
      </c>
      <c r="Y101" s="188">
        <f>IFERROR(__xludf.DUMMYFUNCTION("""COMPUTED_VALUE"""),2030106.66)</f>
        <v>2030106.66</v>
      </c>
      <c r="Z101" s="188">
        <f>IFERROR(__xludf.DUMMYFUNCTION("""COMPUTED_VALUE"""),0.0)</f>
        <v>0</v>
      </c>
      <c r="AA101" s="187">
        <f>IFERROR(__xludf.DUMMYFUNCTION("""COMPUTED_VALUE"""),46.0)</f>
        <v>46</v>
      </c>
      <c r="AB101" s="187">
        <f>IFERROR(__xludf.DUMMYFUNCTION("""COMPUTED_VALUE"""),0.0)</f>
        <v>0</v>
      </c>
      <c r="AC101" s="187">
        <f>IFERROR(__xludf.DUMMYFUNCTION("""COMPUTED_VALUE"""),46.0)</f>
        <v>46</v>
      </c>
      <c r="AD101" s="187">
        <f>IFERROR(__xludf.DUMMYFUNCTION("""COMPUTED_VALUE"""),0.0)</f>
        <v>0</v>
      </c>
      <c r="AE101" s="187">
        <f>IFERROR(__xludf.DUMMYFUNCTION("""COMPUTED_VALUE"""),161.0)</f>
        <v>161</v>
      </c>
      <c r="AF101" s="187">
        <f>IFERROR(__xludf.DUMMYFUNCTION("""COMPUTED_VALUE"""),180.0)</f>
        <v>180</v>
      </c>
      <c r="AG101" s="187">
        <f>IFERROR(__xludf.DUMMYFUNCTION("""COMPUTED_VALUE"""),282.0)</f>
        <v>282</v>
      </c>
      <c r="AH101" s="187">
        <f>IFERROR(__xludf.DUMMYFUNCTION("""COMPUTED_VALUE"""),1.0)</f>
        <v>1</v>
      </c>
      <c r="AI101" s="187">
        <f>IFERROR(__xludf.DUMMYFUNCTION("""COMPUTED_VALUE"""),4.0)</f>
        <v>4</v>
      </c>
      <c r="AJ101" s="187">
        <f>IFERROR(__xludf.DUMMYFUNCTION("""COMPUTED_VALUE"""),0.0)</f>
        <v>0</v>
      </c>
      <c r="AK101" s="187">
        <f>IFERROR(__xludf.DUMMYFUNCTION("""COMPUTED_VALUE"""),0.0)</f>
        <v>0</v>
      </c>
      <c r="AL101" s="187">
        <f>IFERROR(__xludf.DUMMYFUNCTION("""COMPUTED_VALUE"""),0.0)</f>
        <v>0</v>
      </c>
      <c r="AM101" s="187">
        <f>IFERROR(__xludf.DUMMYFUNCTION("""COMPUTED_VALUE"""),0.0)</f>
        <v>0</v>
      </c>
      <c r="AN101" s="187">
        <f>IFERROR(__xludf.DUMMYFUNCTION("""COMPUTED_VALUE"""),153.0)</f>
        <v>153</v>
      </c>
      <c r="AO101" s="187">
        <f>IFERROR(__xludf.DUMMYFUNCTION("""COMPUTED_VALUE"""),337.0)</f>
        <v>337</v>
      </c>
      <c r="AP101" s="187">
        <f>IFERROR(__xludf.DUMMYFUNCTION("""COMPUTED_VALUE"""),73.0)</f>
        <v>73</v>
      </c>
      <c r="AQ101" s="217">
        <f>IFERROR(__xludf.DUMMYFUNCTION("""COMPUTED_VALUE"""),27809.68493150685)</f>
        <v>27809.68493</v>
      </c>
      <c r="AR101" s="188">
        <f>IFERROR(__xludf.DUMMYFUNCTION("""COMPUTED_VALUE"""),4.616438356164384)</f>
        <v>4.616438356</v>
      </c>
      <c r="AS101" s="217">
        <f>IFERROR(__xludf.DUMMYFUNCTION("""COMPUTED_VALUE"""),81780.0)</f>
        <v>81780</v>
      </c>
      <c r="AT101" s="217"/>
      <c r="AU101" s="218">
        <f>IFERROR(__xludf.DUMMYFUNCTION("""COMPUTED_VALUE"""),0.040283590963431974)</f>
        <v>0.04028359096</v>
      </c>
      <c r="AV101" s="217">
        <f>IFERROR(__xludf.DUMMYFUNCTION("""COMPUTED_VALUE"""),44132.760869565216)</f>
        <v>44132.76087</v>
      </c>
      <c r="AW101" s="219">
        <f>IFERROR(__xludf.DUMMYFUNCTION("""COMPUTED_VALUE"""),106.0)</f>
        <v>106</v>
      </c>
      <c r="AX101" s="219">
        <f>IFERROR(__xludf.DUMMYFUNCTION("""COMPUTED_VALUE"""),746.0)</f>
        <v>746</v>
      </c>
      <c r="AY101" s="262">
        <f>IFERROR(__xludf.DUMMYFUNCTION("""COMPUTED_VALUE"""),6181.62)</f>
        <v>6181.62</v>
      </c>
      <c r="AZ101" s="263">
        <f>IFERROR(__xludf.DUMMYFUNCTION("""COMPUTED_VALUE"""),80.0)</f>
        <v>80</v>
      </c>
      <c r="BA101" s="263">
        <f>IFERROR(__xludf.DUMMYFUNCTION("""COMPUTED_VALUE"""),46.0)</f>
        <v>46</v>
      </c>
      <c r="BB101" s="263">
        <f>IFERROR(__xludf.DUMMYFUNCTION("""COMPUTED_VALUE"""),39.0)</f>
        <v>39</v>
      </c>
      <c r="BC101" s="263">
        <f>IFERROR(__xludf.DUMMYFUNCTION("""COMPUTED_VALUE"""),21.0)</f>
        <v>21</v>
      </c>
      <c r="BD101" s="258"/>
      <c r="BE101" s="258"/>
      <c r="BF101" s="255" t="e">
        <v>#REF!</v>
      </c>
      <c r="BG101" s="256">
        <f t="shared" si="4"/>
        <v>2030107</v>
      </c>
      <c r="BH101" s="257" t="str">
        <f t="shared" si="5"/>
        <v>#REF!</v>
      </c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</row>
    <row r="102">
      <c r="A102" s="6" t="str">
        <f>IFERROR(__xludf.DUMMYFUNCTION("""COMPUTED_VALUE"""),"Pawan Sharma")</f>
        <v>Pawan Sharma</v>
      </c>
      <c r="B102" s="98" t="str">
        <f>IFERROR(__xludf.DUMMYFUNCTION("""COMPUTED_VALUE"""),"Rajasthan")</f>
        <v>Rajasthan</v>
      </c>
      <c r="C102" s="212" t="str">
        <f>IFERROR(__xludf.DUMMYFUNCTION("""COMPUTED_VALUE"""),"Kanhaiya Lal Salvi")</f>
        <v>Kanhaiya Lal Salvi</v>
      </c>
      <c r="D102" s="98" t="str">
        <f>IFERROR(__xludf.DUMMYFUNCTION("""COMPUTED_VALUE"""),"Chittorgarh")</f>
        <v>Chittorgarh</v>
      </c>
      <c r="E102" s="213">
        <f>IFERROR(__xludf.DUMMYFUNCTION("""COMPUTED_VALUE"""),45518.0)</f>
        <v>45518</v>
      </c>
      <c r="F102" s="222" t="str">
        <f>IFERROR(__xludf.DUMMYFUNCTION("""COMPUTED_VALUE"""),"RAJASTHAN")</f>
        <v>RAJASTHAN</v>
      </c>
      <c r="G102" s="215">
        <f>IFERROR(__xludf.DUMMYFUNCTION("""COMPUTED_VALUE"""),2887869.8400000003)</f>
        <v>2887869.84</v>
      </c>
      <c r="H102" s="215">
        <f>IFERROR(__xludf.DUMMYFUNCTION("""COMPUTED_VALUE"""),515244.0)</f>
        <v>515244</v>
      </c>
      <c r="I102" s="216">
        <f>IFERROR(__xludf.DUMMYFUNCTION("""COMPUTED_VALUE"""),23570.0)</f>
        <v>23570</v>
      </c>
      <c r="J102" s="216">
        <f>IFERROR(__xludf.DUMMYFUNCTION("""COMPUTED_VALUE"""),800000.0)</f>
        <v>800000</v>
      </c>
      <c r="K102" s="217">
        <f>IFERROR(__xludf.DUMMYFUNCTION("""COMPUTED_VALUE"""),0.0)</f>
        <v>0</v>
      </c>
      <c r="L102" s="217">
        <f>IFERROR(__xludf.DUMMYFUNCTION("""COMPUTED_VALUE"""),2400000.0)</f>
        <v>2400000</v>
      </c>
      <c r="M102" s="217">
        <f>IFERROR(__xludf.DUMMYFUNCTION("""COMPUTED_VALUE"""),669564.0)</f>
        <v>669564</v>
      </c>
      <c r="N102" s="217">
        <f>IFERROR(__xludf.DUMMYFUNCTION("""COMPUTED_VALUE"""),0.0)</f>
        <v>0</v>
      </c>
      <c r="O102" s="217">
        <f>IFERROR(__xludf.DUMMYFUNCTION("""COMPUTED_VALUE"""),250654.0)</f>
        <v>250654</v>
      </c>
      <c r="P102" s="218">
        <f>IFERROR(__xludf.DUMMYFUNCTION("""COMPUTED_VALUE"""),0.278985)</f>
        <v>0.278985</v>
      </c>
      <c r="Q102" s="218">
        <f>IFERROR(__xludf.DUMMYFUNCTION("""COMPUTED_VALUE"""),0.0)</f>
        <v>0</v>
      </c>
      <c r="R102" s="218">
        <f>IFERROR(__xludf.DUMMYFUNCTION("""COMPUTED_VALUE"""),0.10443916666666667)</f>
        <v>0.1044391667</v>
      </c>
      <c r="S102" s="187">
        <f>IFERROR(__xludf.DUMMYFUNCTION("""COMPUTED_VALUE"""),86.0)</f>
        <v>86</v>
      </c>
      <c r="T102" s="187">
        <f>IFERROR(__xludf.DUMMYFUNCTION("""COMPUTED_VALUE"""),76.0)</f>
        <v>76</v>
      </c>
      <c r="U102" s="187">
        <f>IFERROR(__xludf.DUMMYFUNCTION("""COMPUTED_VALUE"""),2.0)</f>
        <v>2</v>
      </c>
      <c r="V102" s="187">
        <f>IFERROR(__xludf.DUMMYFUNCTION("""COMPUTED_VALUE"""),2.0)</f>
        <v>2</v>
      </c>
      <c r="W102" s="187">
        <f>IFERROR(__xludf.DUMMYFUNCTION("""COMPUTED_VALUE"""),88.0)</f>
        <v>88</v>
      </c>
      <c r="X102" s="187">
        <f>IFERROR(__xludf.DUMMYFUNCTION("""COMPUTED_VALUE"""),12.0)</f>
        <v>12</v>
      </c>
      <c r="Y102" s="188">
        <f>IFERROR(__xludf.DUMMYFUNCTION("""COMPUTED_VALUE"""),616628.48)</f>
        <v>616628.48</v>
      </c>
      <c r="Z102" s="188">
        <f>IFERROR(__xludf.DUMMYFUNCTION("""COMPUTED_VALUE"""),52935.68)</f>
        <v>52935.68</v>
      </c>
      <c r="AA102" s="187">
        <f>IFERROR(__xludf.DUMMYFUNCTION("""COMPUTED_VALUE"""),35.0)</f>
        <v>35</v>
      </c>
      <c r="AB102" s="187">
        <f>IFERROR(__xludf.DUMMYFUNCTION("""COMPUTED_VALUE"""),2.0)</f>
        <v>2</v>
      </c>
      <c r="AC102" s="187">
        <f>IFERROR(__xludf.DUMMYFUNCTION("""COMPUTED_VALUE"""),37.0)</f>
        <v>37</v>
      </c>
      <c r="AD102" s="187">
        <f>IFERROR(__xludf.DUMMYFUNCTION("""COMPUTED_VALUE"""),0.0)</f>
        <v>0</v>
      </c>
      <c r="AE102" s="187">
        <f>IFERROR(__xludf.DUMMYFUNCTION("""COMPUTED_VALUE"""),62.0)</f>
        <v>62</v>
      </c>
      <c r="AF102" s="187">
        <f>IFERROR(__xludf.DUMMYFUNCTION("""COMPUTED_VALUE"""),72.0)</f>
        <v>72</v>
      </c>
      <c r="AG102" s="187">
        <f>IFERROR(__xludf.DUMMYFUNCTION("""COMPUTED_VALUE"""),223.0)</f>
        <v>223</v>
      </c>
      <c r="AH102" s="187">
        <f>IFERROR(__xludf.DUMMYFUNCTION("""COMPUTED_VALUE"""),2.0)</f>
        <v>2</v>
      </c>
      <c r="AI102" s="187">
        <f>IFERROR(__xludf.DUMMYFUNCTION("""COMPUTED_VALUE"""),63.0)</f>
        <v>63</v>
      </c>
      <c r="AJ102" s="187">
        <f>IFERROR(__xludf.DUMMYFUNCTION("""COMPUTED_VALUE"""),0.0)</f>
        <v>0</v>
      </c>
      <c r="AK102" s="187">
        <f>IFERROR(__xludf.DUMMYFUNCTION("""COMPUTED_VALUE"""),0.0)</f>
        <v>0</v>
      </c>
      <c r="AL102" s="187">
        <f>IFERROR(__xludf.DUMMYFUNCTION("""COMPUTED_VALUE"""),0.0)</f>
        <v>0</v>
      </c>
      <c r="AM102" s="187">
        <f>IFERROR(__xludf.DUMMYFUNCTION("""COMPUTED_VALUE"""),0.0)</f>
        <v>0</v>
      </c>
      <c r="AN102" s="187">
        <f>IFERROR(__xludf.DUMMYFUNCTION("""COMPUTED_VALUE"""),341.0)</f>
        <v>341</v>
      </c>
      <c r="AO102" s="187">
        <f>IFERROR(__xludf.DUMMYFUNCTION("""COMPUTED_VALUE"""),476.0)</f>
        <v>476</v>
      </c>
      <c r="AP102" s="187">
        <f>IFERROR(__xludf.DUMMYFUNCTION("""COMPUTED_VALUE"""),72.0)</f>
        <v>72</v>
      </c>
      <c r="AQ102" s="217">
        <f>IFERROR(__xludf.DUMMYFUNCTION("""COMPUTED_VALUE"""),9299.5)</f>
        <v>9299.5</v>
      </c>
      <c r="AR102" s="188">
        <f>IFERROR(__xludf.DUMMYFUNCTION("""COMPUTED_VALUE"""),6.611111111111111)</f>
        <v>6.611111111</v>
      </c>
      <c r="AS102" s="217">
        <f>IFERROR(__xludf.DUMMYFUNCTION("""COMPUTED_VALUE"""),70710.0)</f>
        <v>70710</v>
      </c>
      <c r="AT102" s="217"/>
      <c r="AU102" s="218">
        <f>IFERROR(__xludf.DUMMYFUNCTION("""COMPUTED_VALUE"""),0.105606036166819)</f>
        <v>0.1056060362</v>
      </c>
      <c r="AV102" s="217">
        <f>IFERROR(__xludf.DUMMYFUNCTION("""COMPUTED_VALUE"""),18096.324324324323)</f>
        <v>18096.32432</v>
      </c>
      <c r="AW102" s="219">
        <f>IFERROR(__xludf.DUMMYFUNCTION("""COMPUTED_VALUE"""),46.0)</f>
        <v>46</v>
      </c>
      <c r="AX102" s="219">
        <f>IFERROR(__xludf.DUMMYFUNCTION("""COMPUTED_VALUE"""),613.0)</f>
        <v>613</v>
      </c>
      <c r="AY102" s="262">
        <f>IFERROR(__xludf.DUMMYFUNCTION("""COMPUTED_VALUE"""),7869.53)</f>
        <v>7869.53</v>
      </c>
      <c r="AZ102" s="263">
        <f>IFERROR(__xludf.DUMMYFUNCTION("""COMPUTED_VALUE"""),104.0)</f>
        <v>104</v>
      </c>
      <c r="BA102" s="263">
        <f>IFERROR(__xludf.DUMMYFUNCTION("""COMPUTED_VALUE"""),37.0)</f>
        <v>37</v>
      </c>
      <c r="BB102" s="263">
        <f>IFERROR(__xludf.DUMMYFUNCTION("""COMPUTED_VALUE"""),40.0)</f>
        <v>40</v>
      </c>
      <c r="BC102" s="263">
        <f>IFERROR(__xludf.DUMMYFUNCTION("""COMPUTED_VALUE"""),11.0)</f>
        <v>11</v>
      </c>
      <c r="BD102" s="258"/>
      <c r="BE102" s="258"/>
      <c r="BF102" s="255" t="e">
        <v>#REF!</v>
      </c>
      <c r="BG102" s="256">
        <f t="shared" si="4"/>
        <v>669564</v>
      </c>
      <c r="BH102" s="257" t="str">
        <f t="shared" si="5"/>
        <v>#REF!</v>
      </c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</row>
    <row r="103">
      <c r="A103" s="6" t="str">
        <f>IFERROR(__xludf.DUMMYFUNCTION("""COMPUTED_VALUE"""),"Anant Singh")</f>
        <v>Anant Singh</v>
      </c>
      <c r="B103" s="98" t="str">
        <f>IFERROR(__xludf.DUMMYFUNCTION("""COMPUTED_VALUE"""),"Delhi")</f>
        <v>Delhi</v>
      </c>
      <c r="C103" s="212" t="str">
        <f>IFERROR(__xludf.DUMMYFUNCTION("""COMPUTED_VALUE"""),"Manish Gupta")</f>
        <v>Manish Gupta</v>
      </c>
      <c r="D103" s="98" t="str">
        <f>IFERROR(__xludf.DUMMYFUNCTION("""COMPUTED_VALUE"""),"South East Delhi")</f>
        <v>South East Delhi</v>
      </c>
      <c r="E103" s="213">
        <f>IFERROR(__xludf.DUMMYFUNCTION("""COMPUTED_VALUE"""),45551.0)</f>
        <v>45551</v>
      </c>
      <c r="F103" s="222" t="str">
        <f>IFERROR(__xludf.DUMMYFUNCTION("""COMPUTED_VALUE"""),"DELHI, West U.P")</f>
        <v>DELHI, West U.P</v>
      </c>
      <c r="G103" s="215">
        <f>IFERROR(__xludf.DUMMYFUNCTION("""COMPUTED_VALUE"""),1.1338113370000001E7)</f>
        <v>11338113.37</v>
      </c>
      <c r="H103" s="215">
        <f>IFERROR(__xludf.DUMMYFUNCTION("""COMPUTED_VALUE"""),1.1379341E7)</f>
        <v>11379341</v>
      </c>
      <c r="I103" s="216">
        <f>IFERROR(__xludf.DUMMYFUNCTION("""COMPUTED_VALUE"""),28310.0)</f>
        <v>28310</v>
      </c>
      <c r="J103" s="216">
        <f>IFERROR(__xludf.DUMMYFUNCTION("""COMPUTED_VALUE"""),1400000.0)</f>
        <v>1400000</v>
      </c>
      <c r="K103" s="217">
        <f>IFERROR(__xludf.DUMMYFUNCTION("""COMPUTED_VALUE"""),0.0)</f>
        <v>0</v>
      </c>
      <c r="L103" s="217">
        <f>IFERROR(__xludf.DUMMYFUNCTION("""COMPUTED_VALUE"""),4200000.0)</f>
        <v>4200000</v>
      </c>
      <c r="M103" s="217">
        <f>IFERROR(__xludf.DUMMYFUNCTION("""COMPUTED_VALUE"""),2657739.0)</f>
        <v>2657739</v>
      </c>
      <c r="N103" s="217">
        <f>IFERROR(__xludf.DUMMYFUNCTION("""COMPUTED_VALUE"""),0.0)</f>
        <v>0</v>
      </c>
      <c r="O103" s="217">
        <f>IFERROR(__xludf.DUMMYFUNCTION("""COMPUTED_VALUE"""),2840220.01)</f>
        <v>2840220.01</v>
      </c>
      <c r="P103" s="218">
        <f>IFERROR(__xludf.DUMMYFUNCTION("""COMPUTED_VALUE"""),0.632795)</f>
        <v>0.632795</v>
      </c>
      <c r="Q103" s="218">
        <f>IFERROR(__xludf.DUMMYFUNCTION("""COMPUTED_VALUE"""),0.0)</f>
        <v>0</v>
      </c>
      <c r="R103" s="218">
        <f>IFERROR(__xludf.DUMMYFUNCTION("""COMPUTED_VALUE"""),0.6762428595238095)</f>
        <v>0.6762428595</v>
      </c>
      <c r="S103" s="187">
        <f>IFERROR(__xludf.DUMMYFUNCTION("""COMPUTED_VALUE"""),94.0)</f>
        <v>94</v>
      </c>
      <c r="T103" s="187">
        <f>IFERROR(__xludf.DUMMYFUNCTION("""COMPUTED_VALUE"""),81.0)</f>
        <v>81</v>
      </c>
      <c r="U103" s="187">
        <f>IFERROR(__xludf.DUMMYFUNCTION("""COMPUTED_VALUE"""),0.0)</f>
        <v>0</v>
      </c>
      <c r="V103" s="187">
        <f>IFERROR(__xludf.DUMMYFUNCTION("""COMPUTED_VALUE"""),0.0)</f>
        <v>0</v>
      </c>
      <c r="W103" s="187">
        <f>IFERROR(__xludf.DUMMYFUNCTION("""COMPUTED_VALUE"""),94.0)</f>
        <v>94</v>
      </c>
      <c r="X103" s="187">
        <f>IFERROR(__xludf.DUMMYFUNCTION("""COMPUTED_VALUE"""),13.0)</f>
        <v>13</v>
      </c>
      <c r="Y103" s="188">
        <f>IFERROR(__xludf.DUMMYFUNCTION("""COMPUTED_VALUE"""),2657738.96)</f>
        <v>2657738.96</v>
      </c>
      <c r="Z103" s="188">
        <f>IFERROR(__xludf.DUMMYFUNCTION("""COMPUTED_VALUE"""),0.0)</f>
        <v>0</v>
      </c>
      <c r="AA103" s="187">
        <f>IFERROR(__xludf.DUMMYFUNCTION("""COMPUTED_VALUE"""),71.0)</f>
        <v>71</v>
      </c>
      <c r="AB103" s="187">
        <f>IFERROR(__xludf.DUMMYFUNCTION("""COMPUTED_VALUE"""),0.0)</f>
        <v>0</v>
      </c>
      <c r="AC103" s="187">
        <f>IFERROR(__xludf.DUMMYFUNCTION("""COMPUTED_VALUE"""),71.0)</f>
        <v>71</v>
      </c>
      <c r="AD103" s="187">
        <f>IFERROR(__xludf.DUMMYFUNCTION("""COMPUTED_VALUE"""),0.0)</f>
        <v>0</v>
      </c>
      <c r="AE103" s="187">
        <f>IFERROR(__xludf.DUMMYFUNCTION("""COMPUTED_VALUE"""),32.0)</f>
        <v>32</v>
      </c>
      <c r="AF103" s="187">
        <f>IFERROR(__xludf.DUMMYFUNCTION("""COMPUTED_VALUE"""),42.0)</f>
        <v>42</v>
      </c>
      <c r="AG103" s="187">
        <f>IFERROR(__xludf.DUMMYFUNCTION("""COMPUTED_VALUE"""),166.0)</f>
        <v>166</v>
      </c>
      <c r="AH103" s="187">
        <f>IFERROR(__xludf.DUMMYFUNCTION("""COMPUTED_VALUE"""),1.0)</f>
        <v>1</v>
      </c>
      <c r="AI103" s="187">
        <f>IFERROR(__xludf.DUMMYFUNCTION("""COMPUTED_VALUE"""),30.0)</f>
        <v>30</v>
      </c>
      <c r="AJ103" s="187">
        <f>IFERROR(__xludf.DUMMYFUNCTION("""COMPUTED_VALUE"""),0.0)</f>
        <v>0</v>
      </c>
      <c r="AK103" s="187">
        <f>IFERROR(__xludf.DUMMYFUNCTION("""COMPUTED_VALUE"""),0.0)</f>
        <v>0</v>
      </c>
      <c r="AL103" s="187">
        <f>IFERROR(__xludf.DUMMYFUNCTION("""COMPUTED_VALUE"""),1.0)</f>
        <v>1</v>
      </c>
      <c r="AM103" s="187">
        <f>IFERROR(__xludf.DUMMYFUNCTION("""COMPUTED_VALUE"""),1.0)</f>
        <v>1</v>
      </c>
      <c r="AN103" s="187">
        <f>IFERROR(__xludf.DUMMYFUNCTION("""COMPUTED_VALUE"""),313.0)</f>
        <v>313</v>
      </c>
      <c r="AO103" s="187">
        <f>IFERROR(__xludf.DUMMYFUNCTION("""COMPUTED_VALUE"""),386.0)</f>
        <v>386</v>
      </c>
      <c r="AP103" s="187">
        <f>IFERROR(__xludf.DUMMYFUNCTION("""COMPUTED_VALUE"""),64.0)</f>
        <v>64</v>
      </c>
      <c r="AQ103" s="217">
        <f>IFERROR(__xludf.DUMMYFUNCTION("""COMPUTED_VALUE"""),41527.171875)</f>
        <v>41527.17188</v>
      </c>
      <c r="AR103" s="188">
        <f>IFERROR(__xludf.DUMMYFUNCTION("""COMPUTED_VALUE"""),6.03125)</f>
        <v>6.03125</v>
      </c>
      <c r="AS103" s="217">
        <f>IFERROR(__xludf.DUMMYFUNCTION("""COMPUTED_VALUE"""),84930.0)</f>
        <v>84930</v>
      </c>
      <c r="AT103" s="217"/>
      <c r="AU103" s="218">
        <f>IFERROR(__xludf.DUMMYFUNCTION("""COMPUTED_VALUE"""),0.031955733802303384)</f>
        <v>0.0319557338</v>
      </c>
      <c r="AV103" s="217">
        <f>IFERROR(__xludf.DUMMYFUNCTION("""COMPUTED_VALUE"""),37432.94366197183)</f>
        <v>37432.94366</v>
      </c>
      <c r="AW103" s="219">
        <f>IFERROR(__xludf.DUMMYFUNCTION("""COMPUTED_VALUE"""),115.0)</f>
        <v>115</v>
      </c>
      <c r="AX103" s="219">
        <f>IFERROR(__xludf.DUMMYFUNCTION("""COMPUTED_VALUE"""),659.0)</f>
        <v>659</v>
      </c>
      <c r="AY103" s="262">
        <f>IFERROR(__xludf.DUMMYFUNCTION("""COMPUTED_VALUE"""),2231.21)</f>
        <v>2231.21</v>
      </c>
      <c r="AZ103" s="263">
        <f>IFERROR(__xludf.DUMMYFUNCTION("""COMPUTED_VALUE"""),28.0)</f>
        <v>28</v>
      </c>
      <c r="BA103" s="263">
        <f>IFERROR(__xludf.DUMMYFUNCTION("""COMPUTED_VALUE"""),71.0)</f>
        <v>71</v>
      </c>
      <c r="BB103" s="263">
        <f>IFERROR(__xludf.DUMMYFUNCTION("""COMPUTED_VALUE"""),13.0)</f>
        <v>13</v>
      </c>
      <c r="BC103" s="263">
        <f>IFERROR(__xludf.DUMMYFUNCTION("""COMPUTED_VALUE"""),10.0)</f>
        <v>10</v>
      </c>
      <c r="BD103" s="258"/>
      <c r="BE103" s="258"/>
      <c r="BF103" s="255" t="e">
        <v>#REF!</v>
      </c>
      <c r="BG103" s="256">
        <f t="shared" si="4"/>
        <v>2657739</v>
      </c>
      <c r="BH103" s="257" t="str">
        <f t="shared" si="5"/>
        <v>#REF!</v>
      </c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</row>
    <row r="104">
      <c r="A104" s="6" t="str">
        <f>IFERROR(__xludf.DUMMYFUNCTION("""COMPUTED_VALUE"""),"Anant Singh")</f>
        <v>Anant Singh</v>
      </c>
      <c r="B104" s="98" t="str">
        <f>IFERROR(__xludf.DUMMYFUNCTION("""COMPUTED_VALUE"""),"West U.P")</f>
        <v>West U.P</v>
      </c>
      <c r="C104" s="212" t="str">
        <f>IFERROR(__xludf.DUMMYFUNCTION("""COMPUTED_VALUE"""),"Rinku")</f>
        <v>Rinku</v>
      </c>
      <c r="D104" s="98" t="str">
        <f>IFERROR(__xludf.DUMMYFUNCTION("""COMPUTED_VALUE"""),"Moradabad")</f>
        <v>Moradabad</v>
      </c>
      <c r="E104" s="213">
        <f>IFERROR(__xludf.DUMMYFUNCTION("""COMPUTED_VALUE"""),45568.0)</f>
        <v>45568</v>
      </c>
      <c r="F104" s="222" t="str">
        <f>IFERROR(__xludf.DUMMYFUNCTION("""COMPUTED_VALUE"""),"UTTARAKHAND, West U.P")</f>
        <v>UTTARAKHAND, West U.P</v>
      </c>
      <c r="G104" s="215">
        <f>IFERROR(__xludf.DUMMYFUNCTION("""COMPUTED_VALUE"""),1.099360711E7)</f>
        <v>10993607.11</v>
      </c>
      <c r="H104" s="215">
        <f>IFERROR(__xludf.DUMMYFUNCTION("""COMPUTED_VALUE"""),1.1376999E7)</f>
        <v>11376999</v>
      </c>
      <c r="I104" s="216">
        <f>IFERROR(__xludf.DUMMYFUNCTION("""COMPUTED_VALUE"""),30405.0)</f>
        <v>30405</v>
      </c>
      <c r="J104" s="216">
        <f>IFERROR(__xludf.DUMMYFUNCTION("""COMPUTED_VALUE"""),1400000.0)</f>
        <v>1400000</v>
      </c>
      <c r="K104" s="217">
        <f>IFERROR(__xludf.DUMMYFUNCTION("""COMPUTED_VALUE"""),0.0)</f>
        <v>0</v>
      </c>
      <c r="L104" s="217">
        <f>IFERROR(__xludf.DUMMYFUNCTION("""COMPUTED_VALUE"""),4200000.0)</f>
        <v>4200000</v>
      </c>
      <c r="M104" s="217">
        <f>IFERROR(__xludf.DUMMYFUNCTION("""COMPUTED_VALUE"""),3015628.0)</f>
        <v>3015628</v>
      </c>
      <c r="N104" s="217">
        <f>IFERROR(__xludf.DUMMYFUNCTION("""COMPUTED_VALUE"""),0.0)</f>
        <v>0</v>
      </c>
      <c r="O104" s="217">
        <f>IFERROR(__xludf.DUMMYFUNCTION("""COMPUTED_VALUE"""),2891303.0)</f>
        <v>2891303</v>
      </c>
      <c r="P104" s="218">
        <f>IFERROR(__xludf.DUMMYFUNCTION("""COMPUTED_VALUE"""),0.7180066666666667)</f>
        <v>0.7180066667</v>
      </c>
      <c r="Q104" s="218">
        <f>IFERROR(__xludf.DUMMYFUNCTION("""COMPUTED_VALUE"""),0.0)</f>
        <v>0</v>
      </c>
      <c r="R104" s="218">
        <f>IFERROR(__xludf.DUMMYFUNCTION("""COMPUTED_VALUE"""),0.6884054761904762)</f>
        <v>0.6884054762</v>
      </c>
      <c r="S104" s="187">
        <f>IFERROR(__xludf.DUMMYFUNCTION("""COMPUTED_VALUE"""),26.0)</f>
        <v>26</v>
      </c>
      <c r="T104" s="187">
        <f>IFERROR(__xludf.DUMMYFUNCTION("""COMPUTED_VALUE"""),31.0)</f>
        <v>31</v>
      </c>
      <c r="U104" s="187">
        <f>IFERROR(__xludf.DUMMYFUNCTION("""COMPUTED_VALUE"""),5.0)</f>
        <v>5</v>
      </c>
      <c r="V104" s="187">
        <f>IFERROR(__xludf.DUMMYFUNCTION("""COMPUTED_VALUE"""),5.0)</f>
        <v>5</v>
      </c>
      <c r="W104" s="187">
        <f>IFERROR(__xludf.DUMMYFUNCTION("""COMPUTED_VALUE"""),31.0)</f>
        <v>31</v>
      </c>
      <c r="X104" s="187">
        <f>IFERROR(__xludf.DUMMYFUNCTION("""COMPUTED_VALUE"""),0.0)</f>
        <v>0</v>
      </c>
      <c r="Y104" s="188">
        <f>IFERROR(__xludf.DUMMYFUNCTION("""COMPUTED_VALUE"""),2367318.17)</f>
        <v>2367318.17</v>
      </c>
      <c r="Z104" s="188">
        <f>IFERROR(__xludf.DUMMYFUNCTION("""COMPUTED_VALUE"""),648309.77)</f>
        <v>648309.77</v>
      </c>
      <c r="AA104" s="187">
        <f>IFERROR(__xludf.DUMMYFUNCTION("""COMPUTED_VALUE"""),17.0)</f>
        <v>17</v>
      </c>
      <c r="AB104" s="187">
        <f>IFERROR(__xludf.DUMMYFUNCTION("""COMPUTED_VALUE"""),5.0)</f>
        <v>5</v>
      </c>
      <c r="AC104" s="187">
        <f>IFERROR(__xludf.DUMMYFUNCTION("""COMPUTED_VALUE"""),22.0)</f>
        <v>22</v>
      </c>
      <c r="AD104" s="187">
        <f>IFERROR(__xludf.DUMMYFUNCTION("""COMPUTED_VALUE"""),0.0)</f>
        <v>0</v>
      </c>
      <c r="AE104" s="187">
        <f>IFERROR(__xludf.DUMMYFUNCTION("""COMPUTED_VALUE"""),116.0)</f>
        <v>116</v>
      </c>
      <c r="AF104" s="187">
        <f>IFERROR(__xludf.DUMMYFUNCTION("""COMPUTED_VALUE"""),210.0)</f>
        <v>210</v>
      </c>
      <c r="AG104" s="187">
        <f>IFERROR(__xludf.DUMMYFUNCTION("""COMPUTED_VALUE"""),98.0)</f>
        <v>98</v>
      </c>
      <c r="AH104" s="187">
        <f>IFERROR(__xludf.DUMMYFUNCTION("""COMPUTED_VALUE"""),1.0)</f>
        <v>1</v>
      </c>
      <c r="AI104" s="187">
        <f>IFERROR(__xludf.DUMMYFUNCTION("""COMPUTED_VALUE"""),29.0)</f>
        <v>29</v>
      </c>
      <c r="AJ104" s="187">
        <f>IFERROR(__xludf.DUMMYFUNCTION("""COMPUTED_VALUE"""),4.0)</f>
        <v>4</v>
      </c>
      <c r="AK104" s="187">
        <f>IFERROR(__xludf.DUMMYFUNCTION("""COMPUTED_VALUE"""),8.0)</f>
        <v>8</v>
      </c>
      <c r="AL104" s="187">
        <f>IFERROR(__xludf.DUMMYFUNCTION("""COMPUTED_VALUE"""),0.0)</f>
        <v>0</v>
      </c>
      <c r="AM104" s="187">
        <f>IFERROR(__xludf.DUMMYFUNCTION("""COMPUTED_VALUE"""),0.0)</f>
        <v>0</v>
      </c>
      <c r="AN104" s="187">
        <f>IFERROR(__xludf.DUMMYFUNCTION("""COMPUTED_VALUE"""),190.0)</f>
        <v>190</v>
      </c>
      <c r="AO104" s="187">
        <f>IFERROR(__xludf.DUMMYFUNCTION("""COMPUTED_VALUE"""),437.0)</f>
        <v>437</v>
      </c>
      <c r="AP104" s="187">
        <f>IFERROR(__xludf.DUMMYFUNCTION("""COMPUTED_VALUE"""),75.0)</f>
        <v>75</v>
      </c>
      <c r="AQ104" s="217">
        <f>IFERROR(__xludf.DUMMYFUNCTION("""COMPUTED_VALUE"""),40208.37333333334)</f>
        <v>40208.37333</v>
      </c>
      <c r="AR104" s="188">
        <f>IFERROR(__xludf.DUMMYFUNCTION("""COMPUTED_VALUE"""),5.826666666666667)</f>
        <v>5.826666667</v>
      </c>
      <c r="AS104" s="217">
        <f>IFERROR(__xludf.DUMMYFUNCTION("""COMPUTED_VALUE"""),91215.0)</f>
        <v>91215</v>
      </c>
      <c r="AT104" s="217"/>
      <c r="AU104" s="218">
        <f>IFERROR(__xludf.DUMMYFUNCTION("""COMPUTED_VALUE"""),0.030247431049187763)</f>
        <v>0.03024743105</v>
      </c>
      <c r="AV104" s="217">
        <f>IFERROR(__xludf.DUMMYFUNCTION("""COMPUTED_VALUE"""),137074.0)</f>
        <v>137074</v>
      </c>
      <c r="AW104" s="219">
        <f>IFERROR(__xludf.DUMMYFUNCTION("""COMPUTED_VALUE"""),48.0)</f>
        <v>48</v>
      </c>
      <c r="AX104" s="219">
        <f>IFERROR(__xludf.DUMMYFUNCTION("""COMPUTED_VALUE"""),608.0)</f>
        <v>608</v>
      </c>
      <c r="AY104" s="262">
        <f>IFERROR(__xludf.DUMMYFUNCTION("""COMPUTED_VALUE"""),5166.18)</f>
        <v>5166.18</v>
      </c>
      <c r="AZ104" s="263">
        <f>IFERROR(__xludf.DUMMYFUNCTION("""COMPUTED_VALUE"""),167.0)</f>
        <v>167</v>
      </c>
      <c r="BA104" s="263">
        <f>IFERROR(__xludf.DUMMYFUNCTION("""COMPUTED_VALUE"""),22.0)</f>
        <v>22</v>
      </c>
      <c r="BB104" s="263">
        <f>IFERROR(__xludf.DUMMYFUNCTION("""COMPUTED_VALUE"""),9.0)</f>
        <v>9</v>
      </c>
      <c r="BC104" s="263">
        <f>IFERROR(__xludf.DUMMYFUNCTION("""COMPUTED_VALUE"""),0.0)</f>
        <v>0</v>
      </c>
      <c r="BD104" s="258"/>
      <c r="BE104" s="258"/>
      <c r="BF104" s="255" t="e">
        <v>#REF!</v>
      </c>
      <c r="BG104" s="256">
        <f t="shared" si="4"/>
        <v>3015628</v>
      </c>
      <c r="BH104" s="257" t="str">
        <f t="shared" si="5"/>
        <v>#REF!</v>
      </c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</row>
    <row r="105">
      <c r="A105" s="6" t="str">
        <f>IFERROR(__xludf.DUMMYFUNCTION("""COMPUTED_VALUE"""),"Sandeep Dadheech")</f>
        <v>Sandeep Dadheech</v>
      </c>
      <c r="B105" s="98" t="str">
        <f>IFERROR(__xludf.DUMMYFUNCTION("""COMPUTED_VALUE"""),"Karnataka")</f>
        <v>Karnataka</v>
      </c>
      <c r="C105" s="212" t="str">
        <f>IFERROR(__xludf.DUMMYFUNCTION("""COMPUTED_VALUE"""),"Prashantha M")</f>
        <v>Prashantha M</v>
      </c>
      <c r="D105" s="98" t="str">
        <f>IFERROR(__xludf.DUMMYFUNCTION("""COMPUTED_VALUE"""),"Mangalore")</f>
        <v>Mangalore</v>
      </c>
      <c r="E105" s="213">
        <f>IFERROR(__xludf.DUMMYFUNCTION("""COMPUTED_VALUE"""),45569.0)</f>
        <v>45569</v>
      </c>
      <c r="F105" s="222" t="str">
        <f>IFERROR(__xludf.DUMMYFUNCTION("""COMPUTED_VALUE"""),"KARNATAKA")</f>
        <v>KARNATAKA</v>
      </c>
      <c r="G105" s="215"/>
      <c r="H105" s="215"/>
      <c r="I105" s="216">
        <f>IFERROR(__xludf.DUMMYFUNCTION("""COMPUTED_VALUE"""),151013.0)</f>
        <v>151013</v>
      </c>
      <c r="J105" s="216"/>
      <c r="K105" s="217">
        <f>IFERROR(__xludf.DUMMYFUNCTION("""COMPUTED_VALUE"""),0.0)</f>
        <v>0</v>
      </c>
      <c r="L105" s="217"/>
      <c r="M105" s="217">
        <f>IFERROR(__xludf.DUMMYFUNCTION("""COMPUTED_VALUE"""),0.0)</f>
        <v>0</v>
      </c>
      <c r="N105" s="217">
        <f>IFERROR(__xludf.DUMMYFUNCTION("""COMPUTED_VALUE"""),0.0)</f>
        <v>0</v>
      </c>
      <c r="O105" s="217"/>
      <c r="P105" s="218"/>
      <c r="Q105" s="218">
        <f>IFERROR(__xludf.DUMMYFUNCTION("""COMPUTED_VALUE"""),0.0)</f>
        <v>0</v>
      </c>
      <c r="R105" s="218"/>
      <c r="S105" s="187">
        <f>IFERROR(__xludf.DUMMYFUNCTION("""COMPUTED_VALUE"""),9.0)</f>
        <v>9</v>
      </c>
      <c r="T105" s="187">
        <f>IFERROR(__xludf.DUMMYFUNCTION("""COMPUTED_VALUE"""),36.0)</f>
        <v>36</v>
      </c>
      <c r="U105" s="187">
        <f>IFERROR(__xludf.DUMMYFUNCTION("""COMPUTED_VALUE"""),28.0)</f>
        <v>28</v>
      </c>
      <c r="V105" s="187">
        <f>IFERROR(__xludf.DUMMYFUNCTION("""COMPUTED_VALUE"""),0.0)</f>
        <v>0</v>
      </c>
      <c r="W105" s="187">
        <f>IFERROR(__xludf.DUMMYFUNCTION("""COMPUTED_VALUE"""),37.0)</f>
        <v>37</v>
      </c>
      <c r="X105" s="187">
        <f>IFERROR(__xludf.DUMMYFUNCTION("""COMPUTED_VALUE"""),1.0)</f>
        <v>1</v>
      </c>
      <c r="Y105" s="188">
        <f>IFERROR(__xludf.DUMMYFUNCTION("""COMPUTED_VALUE"""),0.0)</f>
        <v>0</v>
      </c>
      <c r="Z105" s="188">
        <f>IFERROR(__xludf.DUMMYFUNCTION("""COMPUTED_VALUE"""),0.0)</f>
        <v>0</v>
      </c>
      <c r="AA105" s="187">
        <f>IFERROR(__xludf.DUMMYFUNCTION("""COMPUTED_VALUE"""),0.0)</f>
        <v>0</v>
      </c>
      <c r="AB105" s="187">
        <f>IFERROR(__xludf.DUMMYFUNCTION("""COMPUTED_VALUE"""),0.0)</f>
        <v>0</v>
      </c>
      <c r="AC105" s="187">
        <f>IFERROR(__xludf.DUMMYFUNCTION("""COMPUTED_VALUE"""),0.0)</f>
        <v>0</v>
      </c>
      <c r="AD105" s="187">
        <f>IFERROR(__xludf.DUMMYFUNCTION("""COMPUTED_VALUE"""),0.0)</f>
        <v>0</v>
      </c>
      <c r="AE105" s="187">
        <f>IFERROR(__xludf.DUMMYFUNCTION("""COMPUTED_VALUE"""),65.0)</f>
        <v>65</v>
      </c>
      <c r="AF105" s="187">
        <f>IFERROR(__xludf.DUMMYFUNCTION("""COMPUTED_VALUE"""),103.0)</f>
        <v>103</v>
      </c>
      <c r="AG105" s="187">
        <f>IFERROR(__xludf.DUMMYFUNCTION("""COMPUTED_VALUE"""),36.0)</f>
        <v>36</v>
      </c>
      <c r="AH105" s="187">
        <f>IFERROR(__xludf.DUMMYFUNCTION("""COMPUTED_VALUE"""),4.0)</f>
        <v>4</v>
      </c>
      <c r="AI105" s="187">
        <f>IFERROR(__xludf.DUMMYFUNCTION("""COMPUTED_VALUE"""),15.0)</f>
        <v>15</v>
      </c>
      <c r="AJ105" s="187">
        <f>IFERROR(__xludf.DUMMYFUNCTION("""COMPUTED_VALUE"""),0.0)</f>
        <v>0</v>
      </c>
      <c r="AK105" s="187">
        <f>IFERROR(__xludf.DUMMYFUNCTION("""COMPUTED_VALUE"""),0.0)</f>
        <v>0</v>
      </c>
      <c r="AL105" s="187">
        <f>IFERROR(__xludf.DUMMYFUNCTION("""COMPUTED_VALUE"""),56.0)</f>
        <v>56</v>
      </c>
      <c r="AM105" s="187">
        <f>IFERROR(__xludf.DUMMYFUNCTION("""COMPUTED_VALUE"""),140.0)</f>
        <v>140</v>
      </c>
      <c r="AN105" s="187">
        <f>IFERROR(__xludf.DUMMYFUNCTION("""COMPUTED_VALUE"""),81.0)</f>
        <v>81</v>
      </c>
      <c r="AO105" s="187">
        <f>IFERROR(__xludf.DUMMYFUNCTION("""COMPUTED_VALUE"""),339.0)</f>
        <v>339</v>
      </c>
      <c r="AP105" s="187">
        <f>IFERROR(__xludf.DUMMYFUNCTION("""COMPUTED_VALUE"""),66.0)</f>
        <v>66</v>
      </c>
      <c r="AQ105" s="217">
        <f>IFERROR(__xludf.DUMMYFUNCTION("""COMPUTED_VALUE"""),0.0)</f>
        <v>0</v>
      </c>
      <c r="AR105" s="188">
        <f>IFERROR(__xludf.DUMMYFUNCTION("""COMPUTED_VALUE"""),5.136363636363637)</f>
        <v>5.136363636</v>
      </c>
      <c r="AS105" s="217">
        <f>IFERROR(__xludf.DUMMYFUNCTION("""COMPUTED_VALUE"""),453039.0)</f>
        <v>453039</v>
      </c>
      <c r="AT105" s="217"/>
      <c r="AU105" s="218"/>
      <c r="AV105" s="217"/>
      <c r="AW105" s="219">
        <f>IFERROR(__xludf.DUMMYFUNCTION("""COMPUTED_VALUE"""),0.0)</f>
        <v>0</v>
      </c>
      <c r="AX105" s="219">
        <f>IFERROR(__xludf.DUMMYFUNCTION("""COMPUTED_VALUE"""),725.0)</f>
        <v>725</v>
      </c>
      <c r="AY105" s="262">
        <f>IFERROR(__xludf.DUMMYFUNCTION("""COMPUTED_VALUE"""),8136.5)</f>
        <v>8136.5</v>
      </c>
      <c r="AZ105" s="263">
        <f>IFERROR(__xludf.DUMMYFUNCTION("""COMPUTED_VALUE"""),226.0)</f>
        <v>226</v>
      </c>
      <c r="BA105" s="263">
        <f>IFERROR(__xludf.DUMMYFUNCTION("""COMPUTED_VALUE"""),0.0)</f>
        <v>0</v>
      </c>
      <c r="BB105" s="263">
        <f>IFERROR(__xludf.DUMMYFUNCTION("""COMPUTED_VALUE"""),36.0)</f>
        <v>36</v>
      </c>
      <c r="BC105" s="263">
        <f>IFERROR(__xludf.DUMMYFUNCTION("""COMPUTED_VALUE"""),1.0)</f>
        <v>1</v>
      </c>
      <c r="BD105" s="258"/>
      <c r="BE105" s="258"/>
      <c r="BF105" s="255" t="e">
        <v>#REF!</v>
      </c>
      <c r="BG105" s="256">
        <f t="shared" si="4"/>
        <v>0</v>
      </c>
      <c r="BH105" s="257" t="str">
        <f t="shared" si="5"/>
        <v>#REF!</v>
      </c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</row>
    <row r="106">
      <c r="A106" s="6" t="str">
        <f>IFERROR(__xludf.DUMMYFUNCTION("""COMPUTED_VALUE"""),"Syed Aqil Rizvi")</f>
        <v>Syed Aqil Rizvi</v>
      </c>
      <c r="B106" s="98" t="str">
        <f>IFERROR(__xludf.DUMMYFUNCTION("""COMPUTED_VALUE"""),"East U.P")</f>
        <v>East U.P</v>
      </c>
      <c r="C106" s="212" t="str">
        <f>IFERROR(__xludf.DUMMYFUNCTION("""COMPUTED_VALUE"""),"Deependra Singh")</f>
        <v>Deependra Singh</v>
      </c>
      <c r="D106" s="98" t="str">
        <f>IFERROR(__xludf.DUMMYFUNCTION("""COMPUTED_VALUE"""),"Lucknow")</f>
        <v>Lucknow</v>
      </c>
      <c r="E106" s="213">
        <f>IFERROR(__xludf.DUMMYFUNCTION("""COMPUTED_VALUE"""),45600.0)</f>
        <v>45600</v>
      </c>
      <c r="F106" s="222" t="str">
        <f>IFERROR(__xludf.DUMMYFUNCTION("""COMPUTED_VALUE"""),"East U.P")</f>
        <v>East U.P</v>
      </c>
      <c r="G106" s="259">
        <f>IFERROR(__xludf.DUMMYFUNCTION("""COMPUTED_VALUE"""),2.0009612560000002E7)</f>
        <v>20009612.56</v>
      </c>
      <c r="H106" s="259">
        <f>IFERROR(__xludf.DUMMYFUNCTION("""COMPUTED_VALUE"""),1.9840808E7)</f>
        <v>19840808</v>
      </c>
      <c r="I106" s="216">
        <f>IFERROR(__xludf.DUMMYFUNCTION("""COMPUTED_VALUE"""),51910.0)</f>
        <v>51910</v>
      </c>
      <c r="J106" s="56">
        <f>IFERROR(__xludf.DUMMYFUNCTION("""COMPUTED_VALUE"""),2500000.0)</f>
        <v>2500000</v>
      </c>
      <c r="K106" s="217">
        <f>IFERROR(__xludf.DUMMYFUNCTION("""COMPUTED_VALUE"""),0.0)</f>
        <v>0</v>
      </c>
      <c r="L106" s="217">
        <f>IFERROR(__xludf.DUMMYFUNCTION("""COMPUTED_VALUE"""),7500000.0)</f>
        <v>7500000</v>
      </c>
      <c r="M106" s="217">
        <f>IFERROR(__xludf.DUMMYFUNCTION("""COMPUTED_VALUE"""),5626948.0)</f>
        <v>5626948</v>
      </c>
      <c r="N106" s="217">
        <f>IFERROR(__xludf.DUMMYFUNCTION("""COMPUTED_VALUE"""),0.0)</f>
        <v>0</v>
      </c>
      <c r="O106" s="260">
        <f>IFERROR(__xludf.DUMMYFUNCTION("""COMPUTED_VALUE"""),3543936.0)</f>
        <v>3543936</v>
      </c>
      <c r="P106" s="218">
        <f>IFERROR(__xludf.DUMMYFUNCTION("""COMPUTED_VALUE"""),0.7502597333333333)</f>
        <v>0.7502597333</v>
      </c>
      <c r="Q106" s="218">
        <f>IFERROR(__xludf.DUMMYFUNCTION("""COMPUTED_VALUE"""),0.0)</f>
        <v>0</v>
      </c>
      <c r="R106" s="218">
        <f>IFERROR(__xludf.DUMMYFUNCTION("""COMPUTED_VALUE"""),0.4725248)</f>
        <v>0.4725248</v>
      </c>
      <c r="S106" s="187">
        <f>IFERROR(__xludf.DUMMYFUNCTION("""COMPUTED_VALUE"""),87.0)</f>
        <v>87</v>
      </c>
      <c r="T106" s="187">
        <f>IFERROR(__xludf.DUMMYFUNCTION("""COMPUTED_VALUE"""),80.0)</f>
        <v>80</v>
      </c>
      <c r="U106" s="187">
        <f>IFERROR(__xludf.DUMMYFUNCTION("""COMPUTED_VALUE"""),4.0)</f>
        <v>4</v>
      </c>
      <c r="V106" s="187">
        <f>IFERROR(__xludf.DUMMYFUNCTION("""COMPUTED_VALUE"""),3.0)</f>
        <v>3</v>
      </c>
      <c r="W106" s="187">
        <f>IFERROR(__xludf.DUMMYFUNCTION("""COMPUTED_VALUE"""),91.0)</f>
        <v>91</v>
      </c>
      <c r="X106" s="187">
        <f>IFERROR(__xludf.DUMMYFUNCTION("""COMPUTED_VALUE"""),11.0)</f>
        <v>11</v>
      </c>
      <c r="Y106" s="188">
        <f>IFERROR(__xludf.DUMMYFUNCTION("""COMPUTED_VALUE"""),5317703.12)</f>
        <v>5317703.12</v>
      </c>
      <c r="Z106" s="188">
        <f>IFERROR(__xludf.DUMMYFUNCTION("""COMPUTED_VALUE"""),309244.52)</f>
        <v>309244.52</v>
      </c>
      <c r="AA106" s="187">
        <f>IFERROR(__xludf.DUMMYFUNCTION("""COMPUTED_VALUE"""),44.0)</f>
        <v>44</v>
      </c>
      <c r="AB106" s="187">
        <f>IFERROR(__xludf.DUMMYFUNCTION("""COMPUTED_VALUE"""),3.0)</f>
        <v>3</v>
      </c>
      <c r="AC106" s="187">
        <f>IFERROR(__xludf.DUMMYFUNCTION("""COMPUTED_VALUE"""),47.0)</f>
        <v>47</v>
      </c>
      <c r="AD106" s="187">
        <f>IFERROR(__xludf.DUMMYFUNCTION("""COMPUTED_VALUE"""),0.0)</f>
        <v>0</v>
      </c>
      <c r="AE106" s="187">
        <f>IFERROR(__xludf.DUMMYFUNCTION("""COMPUTED_VALUE"""),7.0)</f>
        <v>7</v>
      </c>
      <c r="AF106" s="187">
        <f>IFERROR(__xludf.DUMMYFUNCTION("""COMPUTED_VALUE"""),10.0)</f>
        <v>10</v>
      </c>
      <c r="AG106" s="187">
        <f>IFERROR(__xludf.DUMMYFUNCTION("""COMPUTED_VALUE"""),75.0)</f>
        <v>75</v>
      </c>
      <c r="AH106" s="187">
        <f>IFERROR(__xludf.DUMMYFUNCTION("""COMPUTED_VALUE"""),1.0)</f>
        <v>1</v>
      </c>
      <c r="AI106" s="187">
        <f>IFERROR(__xludf.DUMMYFUNCTION("""COMPUTED_VALUE"""),22.0)</f>
        <v>22</v>
      </c>
      <c r="AJ106" s="187">
        <f>IFERROR(__xludf.DUMMYFUNCTION("""COMPUTED_VALUE"""),0.0)</f>
        <v>0</v>
      </c>
      <c r="AK106" s="187">
        <f>IFERROR(__xludf.DUMMYFUNCTION("""COMPUTED_VALUE"""),0.0)</f>
        <v>0</v>
      </c>
      <c r="AL106" s="187">
        <f>IFERROR(__xludf.DUMMYFUNCTION("""COMPUTED_VALUE"""),0.0)</f>
        <v>0</v>
      </c>
      <c r="AM106" s="187">
        <f>IFERROR(__xludf.DUMMYFUNCTION("""COMPUTED_VALUE"""),0.0)</f>
        <v>0</v>
      </c>
      <c r="AN106" s="187">
        <f>IFERROR(__xludf.DUMMYFUNCTION("""COMPUTED_VALUE"""),296.0)</f>
        <v>296</v>
      </c>
      <c r="AO106" s="187">
        <f>IFERROR(__xludf.DUMMYFUNCTION("""COMPUTED_VALUE"""),328.0)</f>
        <v>328</v>
      </c>
      <c r="AP106" s="187">
        <f>IFERROR(__xludf.DUMMYFUNCTION("""COMPUTED_VALUE"""),79.0)</f>
        <v>79</v>
      </c>
      <c r="AQ106" s="217">
        <f>IFERROR(__xludf.DUMMYFUNCTION("""COMPUTED_VALUE"""),71227.18987341772)</f>
        <v>71227.18987</v>
      </c>
      <c r="AR106" s="188">
        <f>IFERROR(__xludf.DUMMYFUNCTION("""COMPUTED_VALUE"""),4.151898734177215)</f>
        <v>4.151898734</v>
      </c>
      <c r="AS106" s="217">
        <f>IFERROR(__xludf.DUMMYFUNCTION("""COMPUTED_VALUE"""),155730.0)</f>
        <v>155730</v>
      </c>
      <c r="AT106" s="217"/>
      <c r="AU106" s="218">
        <f>IFERROR(__xludf.DUMMYFUNCTION("""COMPUTED_VALUE"""),0.027675748913976103)</f>
        <v>0.02767574891</v>
      </c>
      <c r="AV106" s="217">
        <f>IFERROR(__xludf.DUMMYFUNCTION("""COMPUTED_VALUE"""),119722.29787234042)</f>
        <v>119722.2979</v>
      </c>
      <c r="AW106" s="219">
        <f>IFERROR(__xludf.DUMMYFUNCTION("""COMPUTED_VALUE"""),86.0)</f>
        <v>86</v>
      </c>
      <c r="AX106" s="219">
        <f>IFERROR(__xludf.DUMMYFUNCTION("""COMPUTED_VALUE"""),579.0)</f>
        <v>579</v>
      </c>
      <c r="AY106" s="262">
        <f>IFERROR(__xludf.DUMMYFUNCTION("""COMPUTED_VALUE"""),6756.02)</f>
        <v>6756.02</v>
      </c>
      <c r="AZ106" s="263">
        <f>IFERROR(__xludf.DUMMYFUNCTION("""COMPUTED_VALUE"""),84.0)</f>
        <v>84</v>
      </c>
      <c r="BA106" s="263">
        <f>IFERROR(__xludf.DUMMYFUNCTION("""COMPUTED_VALUE"""),47.0)</f>
        <v>47</v>
      </c>
      <c r="BB106" s="263">
        <f>IFERROR(__xludf.DUMMYFUNCTION("""COMPUTED_VALUE"""),34.0)</f>
        <v>34</v>
      </c>
      <c r="BC106" s="263">
        <f>IFERROR(__xludf.DUMMYFUNCTION("""COMPUTED_VALUE"""),10.0)</f>
        <v>10</v>
      </c>
      <c r="BD106" s="265"/>
      <c r="BE106" s="258"/>
      <c r="BF106" s="241" t="e">
        <v>#REF!</v>
      </c>
      <c r="BG106" s="256">
        <f t="shared" si="4"/>
        <v>5626948</v>
      </c>
      <c r="BH106" s="257" t="str">
        <f t="shared" si="5"/>
        <v>#REF!</v>
      </c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</row>
    <row r="107">
      <c r="A107" s="6" t="str">
        <f>IFERROR(__xludf.DUMMYFUNCTION("""COMPUTED_VALUE"""),"Syed Aqil Rizvi")</f>
        <v>Syed Aqil Rizvi</v>
      </c>
      <c r="B107" s="98" t="str">
        <f>IFERROR(__xludf.DUMMYFUNCTION("""COMPUTED_VALUE"""),"East U.P")</f>
        <v>East U.P</v>
      </c>
      <c r="C107" s="212" t="str">
        <f>IFERROR(__xludf.DUMMYFUNCTION("""COMPUTED_VALUE"""),"Ankur Srivastava")</f>
        <v>Ankur Srivastava</v>
      </c>
      <c r="D107" s="98" t="str">
        <f>IFERROR(__xludf.DUMMYFUNCTION("""COMPUTED_VALUE"""),"Lucknow")</f>
        <v>Lucknow</v>
      </c>
      <c r="E107" s="213">
        <f>IFERROR(__xludf.DUMMYFUNCTION("""COMPUTED_VALUE"""),45607.0)</f>
        <v>45607</v>
      </c>
      <c r="F107" s="222" t="str">
        <f>IFERROR(__xludf.DUMMYFUNCTION("""COMPUTED_VALUE"""),"East U.P")</f>
        <v>East U.P</v>
      </c>
      <c r="G107" s="259">
        <f>IFERROR(__xludf.DUMMYFUNCTION("""COMPUTED_VALUE"""),1.0214659799999999E7)</f>
        <v>10214659.8</v>
      </c>
      <c r="H107" s="259">
        <f>IFERROR(__xludf.DUMMYFUNCTION("""COMPUTED_VALUE"""),1.0365932E7)</f>
        <v>10365932</v>
      </c>
      <c r="I107" s="216">
        <f>IFERROR(__xludf.DUMMYFUNCTION("""COMPUTED_VALUE"""),33043.0)</f>
        <v>33043</v>
      </c>
      <c r="J107" s="56">
        <f>IFERROR(__xludf.DUMMYFUNCTION("""COMPUTED_VALUE"""),2163333.0)</f>
        <v>2163333</v>
      </c>
      <c r="K107" s="217">
        <f>IFERROR(__xludf.DUMMYFUNCTION("""COMPUTED_VALUE"""),0.0)</f>
        <v>0</v>
      </c>
      <c r="L107" s="217">
        <f>IFERROR(__xludf.DUMMYFUNCTION("""COMPUTED_VALUE"""),6489999.0)</f>
        <v>6489999</v>
      </c>
      <c r="M107" s="217">
        <f>IFERROR(__xludf.DUMMYFUNCTION("""COMPUTED_VALUE"""),2936889.0)</f>
        <v>2936889</v>
      </c>
      <c r="N107" s="217">
        <f>IFERROR(__xludf.DUMMYFUNCTION("""COMPUTED_VALUE"""),0.0)</f>
        <v>0</v>
      </c>
      <c r="O107" s="260">
        <f>IFERROR(__xludf.DUMMYFUNCTION("""COMPUTED_VALUE"""),1911332.0)</f>
        <v>1911332</v>
      </c>
      <c r="P107" s="218">
        <f>IFERROR(__xludf.DUMMYFUNCTION("""COMPUTED_VALUE"""),0.4525253393721632)</f>
        <v>0.4525253394</v>
      </c>
      <c r="Q107" s="218">
        <f>IFERROR(__xludf.DUMMYFUNCTION("""COMPUTED_VALUE"""),0.0)</f>
        <v>0</v>
      </c>
      <c r="R107" s="218">
        <f>IFERROR(__xludf.DUMMYFUNCTION("""COMPUTED_VALUE"""),0.294504205624685)</f>
        <v>0.2945042056</v>
      </c>
      <c r="S107" s="187">
        <f>IFERROR(__xludf.DUMMYFUNCTION("""COMPUTED_VALUE"""),119.0)</f>
        <v>119</v>
      </c>
      <c r="T107" s="187">
        <f>IFERROR(__xludf.DUMMYFUNCTION("""COMPUTED_VALUE"""),91.0)</f>
        <v>91</v>
      </c>
      <c r="U107" s="187">
        <f>IFERROR(__xludf.DUMMYFUNCTION("""COMPUTED_VALUE"""),5.0)</f>
        <v>5</v>
      </c>
      <c r="V107" s="187">
        <f>IFERROR(__xludf.DUMMYFUNCTION("""COMPUTED_VALUE"""),4.0)</f>
        <v>4</v>
      </c>
      <c r="W107" s="187">
        <f>IFERROR(__xludf.DUMMYFUNCTION("""COMPUTED_VALUE"""),124.0)</f>
        <v>124</v>
      </c>
      <c r="X107" s="187">
        <f>IFERROR(__xludf.DUMMYFUNCTION("""COMPUTED_VALUE"""),33.0)</f>
        <v>33</v>
      </c>
      <c r="Y107" s="188">
        <f>IFERROR(__xludf.DUMMYFUNCTION("""COMPUTED_VALUE"""),2838200.93)</f>
        <v>2838200.93</v>
      </c>
      <c r="Z107" s="188">
        <f>IFERROR(__xludf.DUMMYFUNCTION("""COMPUTED_VALUE"""),98688.4)</f>
        <v>98688.4</v>
      </c>
      <c r="AA107" s="187">
        <f>IFERROR(__xludf.DUMMYFUNCTION("""COMPUTED_VALUE"""),37.0)</f>
        <v>37</v>
      </c>
      <c r="AB107" s="187">
        <f>IFERROR(__xludf.DUMMYFUNCTION("""COMPUTED_VALUE"""),4.0)</f>
        <v>4</v>
      </c>
      <c r="AC107" s="187">
        <f>IFERROR(__xludf.DUMMYFUNCTION("""COMPUTED_VALUE"""),41.0)</f>
        <v>41</v>
      </c>
      <c r="AD107" s="187">
        <f>IFERROR(__xludf.DUMMYFUNCTION("""COMPUTED_VALUE"""),0.0)</f>
        <v>0</v>
      </c>
      <c r="AE107" s="187">
        <f>IFERROR(__xludf.DUMMYFUNCTION("""COMPUTED_VALUE"""),19.0)</f>
        <v>19</v>
      </c>
      <c r="AF107" s="187">
        <f>IFERROR(__xludf.DUMMYFUNCTION("""COMPUTED_VALUE"""),20.0)</f>
        <v>20</v>
      </c>
      <c r="AG107" s="187">
        <f>IFERROR(__xludf.DUMMYFUNCTION("""COMPUTED_VALUE"""),142.0)</f>
        <v>142</v>
      </c>
      <c r="AH107" s="187">
        <f>IFERROR(__xludf.DUMMYFUNCTION("""COMPUTED_VALUE"""),2.0)</f>
        <v>2</v>
      </c>
      <c r="AI107" s="187">
        <f>IFERROR(__xludf.DUMMYFUNCTION("""COMPUTED_VALUE"""),32.0)</f>
        <v>32</v>
      </c>
      <c r="AJ107" s="187">
        <f>IFERROR(__xludf.DUMMYFUNCTION("""COMPUTED_VALUE"""),0.0)</f>
        <v>0</v>
      </c>
      <c r="AK107" s="187">
        <f>IFERROR(__xludf.DUMMYFUNCTION("""COMPUTED_VALUE"""),0.0)</f>
        <v>0</v>
      </c>
      <c r="AL107" s="187">
        <f>IFERROR(__xludf.DUMMYFUNCTION("""COMPUTED_VALUE"""),0.0)</f>
        <v>0</v>
      </c>
      <c r="AM107" s="187">
        <f>IFERROR(__xludf.DUMMYFUNCTION("""COMPUTED_VALUE"""),0.0)</f>
        <v>0</v>
      </c>
      <c r="AN107" s="187">
        <f>IFERROR(__xludf.DUMMYFUNCTION("""COMPUTED_VALUE"""),303.0)</f>
        <v>303</v>
      </c>
      <c r="AO107" s="187">
        <f>IFERROR(__xludf.DUMMYFUNCTION("""COMPUTED_VALUE"""),355.0)</f>
        <v>355</v>
      </c>
      <c r="AP107" s="187">
        <f>IFERROR(__xludf.DUMMYFUNCTION("""COMPUTED_VALUE"""),72.0)</f>
        <v>72</v>
      </c>
      <c r="AQ107" s="217">
        <f>IFERROR(__xludf.DUMMYFUNCTION("""COMPUTED_VALUE"""),40790.125)</f>
        <v>40790.125</v>
      </c>
      <c r="AR107" s="188">
        <f>IFERROR(__xludf.DUMMYFUNCTION("""COMPUTED_VALUE"""),4.930555555555555)</f>
        <v>4.930555556</v>
      </c>
      <c r="AS107" s="217">
        <f>IFERROR(__xludf.DUMMYFUNCTION("""COMPUTED_VALUE"""),99129.0)</f>
        <v>99129</v>
      </c>
      <c r="AT107" s="217"/>
      <c r="AU107" s="218">
        <f>IFERROR(__xludf.DUMMYFUNCTION("""COMPUTED_VALUE"""),0.03375306319033508)</f>
        <v>0.03375306319</v>
      </c>
      <c r="AV107" s="217">
        <f>IFERROR(__xludf.DUMMYFUNCTION("""COMPUTED_VALUE"""),71631.43902439025)</f>
        <v>71631.43902</v>
      </c>
      <c r="AW107" s="219">
        <f>IFERROR(__xludf.DUMMYFUNCTION("""COMPUTED_VALUE"""),101.0)</f>
        <v>101</v>
      </c>
      <c r="AX107" s="219">
        <f>IFERROR(__xludf.DUMMYFUNCTION("""COMPUTED_VALUE"""),676.0)</f>
        <v>676</v>
      </c>
      <c r="AY107" s="262">
        <f>IFERROR(__xludf.DUMMYFUNCTION("""COMPUTED_VALUE"""),3286.96)</f>
        <v>3286.96</v>
      </c>
      <c r="AZ107" s="263">
        <f>IFERROR(__xludf.DUMMYFUNCTION("""COMPUTED_VALUE"""),36.0)</f>
        <v>36</v>
      </c>
      <c r="BA107" s="263">
        <f>IFERROR(__xludf.DUMMYFUNCTION("""COMPUTED_VALUE"""),41.0)</f>
        <v>41</v>
      </c>
      <c r="BB107" s="263">
        <f>IFERROR(__xludf.DUMMYFUNCTION("""COMPUTED_VALUE"""),53.0)</f>
        <v>53</v>
      </c>
      <c r="BC107" s="263">
        <f>IFERROR(__xludf.DUMMYFUNCTION("""COMPUTED_VALUE"""),30.0)</f>
        <v>30</v>
      </c>
      <c r="BD107" s="265"/>
      <c r="BE107" s="258"/>
      <c r="BF107" s="241" t="e">
        <v>#REF!</v>
      </c>
      <c r="BG107" s="256">
        <f t="shared" si="4"/>
        <v>2936889</v>
      </c>
      <c r="BH107" s="257" t="str">
        <f t="shared" si="5"/>
        <v>#REF!</v>
      </c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</row>
    <row r="108">
      <c r="A108" s="6" t="str">
        <f>IFERROR(__xludf.DUMMYFUNCTION("""COMPUTED_VALUE"""),"Sandeep Dadheech")</f>
        <v>Sandeep Dadheech</v>
      </c>
      <c r="B108" s="98" t="str">
        <f>IFERROR(__xludf.DUMMYFUNCTION("""COMPUTED_VALUE"""),"Bihar")</f>
        <v>Bihar</v>
      </c>
      <c r="C108" s="212" t="str">
        <f>IFERROR(__xludf.DUMMYFUNCTION("""COMPUTED_VALUE"""),"Ram Shankar Mishra")</f>
        <v>Ram Shankar Mishra</v>
      </c>
      <c r="D108" s="98" t="str">
        <f>IFERROR(__xludf.DUMMYFUNCTION("""COMPUTED_VALUE"""),"Darbhanga")</f>
        <v>Darbhanga</v>
      </c>
      <c r="E108" s="213">
        <f>IFERROR(__xludf.DUMMYFUNCTION("""COMPUTED_VALUE"""),45628.0)</f>
        <v>45628</v>
      </c>
      <c r="F108" s="222" t="str">
        <f>IFERROR(__xludf.DUMMYFUNCTION("""COMPUTED_VALUE"""),"BIHAR")</f>
        <v>BIHAR</v>
      </c>
      <c r="G108" s="215">
        <f>IFERROR(__xludf.DUMMYFUNCTION("""COMPUTED_VALUE"""),1.610422026E7)</f>
        <v>16104220.26</v>
      </c>
      <c r="H108" s="215">
        <f>IFERROR(__xludf.DUMMYFUNCTION("""COMPUTED_VALUE"""),1.7400833E7)</f>
        <v>17400833</v>
      </c>
      <c r="I108" s="216">
        <f>IFERROR(__xludf.DUMMYFUNCTION("""COMPUTED_VALUE"""),26755.0)</f>
        <v>26755</v>
      </c>
      <c r="J108" s="216">
        <f>IFERROR(__xludf.DUMMYFUNCTION("""COMPUTED_VALUE"""),2083333.0)</f>
        <v>2083333</v>
      </c>
      <c r="K108" s="217">
        <f>IFERROR(__xludf.DUMMYFUNCTION("""COMPUTED_VALUE"""),0.0)</f>
        <v>0</v>
      </c>
      <c r="L108" s="217">
        <f>IFERROR(__xludf.DUMMYFUNCTION("""COMPUTED_VALUE"""),6249999.0)</f>
        <v>6249999</v>
      </c>
      <c r="M108" s="217">
        <f>IFERROR(__xludf.DUMMYFUNCTION("""COMPUTED_VALUE"""),5992994.0)</f>
        <v>5992994</v>
      </c>
      <c r="N108" s="217">
        <f>IFERROR(__xludf.DUMMYFUNCTION("""COMPUTED_VALUE"""),0.0)</f>
        <v>0</v>
      </c>
      <c r="O108" s="217">
        <f>IFERROR(__xludf.DUMMYFUNCTION("""COMPUTED_VALUE"""),3416889.0)</f>
        <v>3416889</v>
      </c>
      <c r="P108" s="218">
        <f>IFERROR(__xludf.DUMMYFUNCTION("""COMPUTED_VALUE"""),0.958879193420671)</f>
        <v>0.9588791934</v>
      </c>
      <c r="Q108" s="218">
        <f>IFERROR(__xludf.DUMMYFUNCTION("""COMPUTED_VALUE"""),0.0)</f>
        <v>0</v>
      </c>
      <c r="R108" s="218">
        <f>IFERROR(__xludf.DUMMYFUNCTION("""COMPUTED_VALUE"""),0.5467023274723724)</f>
        <v>0.5467023275</v>
      </c>
      <c r="S108" s="187">
        <f>IFERROR(__xludf.DUMMYFUNCTION("""COMPUTED_VALUE"""),83.0)</f>
        <v>83</v>
      </c>
      <c r="T108" s="187">
        <f>IFERROR(__xludf.DUMMYFUNCTION("""COMPUTED_VALUE"""),68.0)</f>
        <v>68</v>
      </c>
      <c r="U108" s="187">
        <f>IFERROR(__xludf.DUMMYFUNCTION("""COMPUTED_VALUE"""),2.0)</f>
        <v>2</v>
      </c>
      <c r="V108" s="187">
        <f>IFERROR(__xludf.DUMMYFUNCTION("""COMPUTED_VALUE"""),2.0)</f>
        <v>2</v>
      </c>
      <c r="W108" s="187">
        <f>IFERROR(__xludf.DUMMYFUNCTION("""COMPUTED_VALUE"""),85.0)</f>
        <v>85</v>
      </c>
      <c r="X108" s="187">
        <f>IFERROR(__xludf.DUMMYFUNCTION("""COMPUTED_VALUE"""),17.0)</f>
        <v>17</v>
      </c>
      <c r="Y108" s="188">
        <f>IFERROR(__xludf.DUMMYFUNCTION("""COMPUTED_VALUE"""),5902240.18)</f>
        <v>5902240.18</v>
      </c>
      <c r="Z108" s="188">
        <f>IFERROR(__xludf.DUMMYFUNCTION("""COMPUTED_VALUE"""),90754.3)</f>
        <v>90754.3</v>
      </c>
      <c r="AA108" s="187">
        <f>IFERROR(__xludf.DUMMYFUNCTION("""COMPUTED_VALUE"""),44.0)</f>
        <v>44</v>
      </c>
      <c r="AB108" s="187">
        <f>IFERROR(__xludf.DUMMYFUNCTION("""COMPUTED_VALUE"""),2.0)</f>
        <v>2</v>
      </c>
      <c r="AC108" s="187">
        <f>IFERROR(__xludf.DUMMYFUNCTION("""COMPUTED_VALUE"""),46.0)</f>
        <v>46</v>
      </c>
      <c r="AD108" s="187">
        <f>IFERROR(__xludf.DUMMYFUNCTION("""COMPUTED_VALUE"""),0.0)</f>
        <v>0</v>
      </c>
      <c r="AE108" s="187">
        <f>IFERROR(__xludf.DUMMYFUNCTION("""COMPUTED_VALUE"""),42.0)</f>
        <v>42</v>
      </c>
      <c r="AF108" s="187">
        <f>IFERROR(__xludf.DUMMYFUNCTION("""COMPUTED_VALUE"""),63.0)</f>
        <v>63</v>
      </c>
      <c r="AG108" s="187">
        <f>IFERROR(__xludf.DUMMYFUNCTION("""COMPUTED_VALUE"""),137.0)</f>
        <v>137</v>
      </c>
      <c r="AH108" s="187">
        <f>IFERROR(__xludf.DUMMYFUNCTION("""COMPUTED_VALUE"""),1.0)</f>
        <v>1</v>
      </c>
      <c r="AI108" s="187">
        <f>IFERROR(__xludf.DUMMYFUNCTION("""COMPUTED_VALUE"""),35.0)</f>
        <v>35</v>
      </c>
      <c r="AJ108" s="187">
        <f>IFERROR(__xludf.DUMMYFUNCTION("""COMPUTED_VALUE"""),0.0)</f>
        <v>0</v>
      </c>
      <c r="AK108" s="187">
        <f>IFERROR(__xludf.DUMMYFUNCTION("""COMPUTED_VALUE"""),0.0)</f>
        <v>0</v>
      </c>
      <c r="AL108" s="187">
        <f>IFERROR(__xludf.DUMMYFUNCTION("""COMPUTED_VALUE"""),0.0)</f>
        <v>0</v>
      </c>
      <c r="AM108" s="187">
        <f>IFERROR(__xludf.DUMMYFUNCTION("""COMPUTED_VALUE"""),0.0)</f>
        <v>0</v>
      </c>
      <c r="AN108" s="187">
        <f>IFERROR(__xludf.DUMMYFUNCTION("""COMPUTED_VALUE"""),242.0)</f>
        <v>242</v>
      </c>
      <c r="AO108" s="187">
        <f>IFERROR(__xludf.DUMMYFUNCTION("""COMPUTED_VALUE"""),340.0)</f>
        <v>340</v>
      </c>
      <c r="AP108" s="187">
        <f>IFERROR(__xludf.DUMMYFUNCTION("""COMPUTED_VALUE"""),67.0)</f>
        <v>67</v>
      </c>
      <c r="AQ108" s="217">
        <f>IFERROR(__xludf.DUMMYFUNCTION("""COMPUTED_VALUE"""),89447.67164179105)</f>
        <v>89447.67164</v>
      </c>
      <c r="AR108" s="188">
        <f>IFERROR(__xludf.DUMMYFUNCTION("""COMPUTED_VALUE"""),5.074626865671642)</f>
        <v>5.074626866</v>
      </c>
      <c r="AS108" s="217">
        <f>IFERROR(__xludf.DUMMYFUNCTION("""COMPUTED_VALUE"""),80265.0)</f>
        <v>80265</v>
      </c>
      <c r="AT108" s="217"/>
      <c r="AU108" s="218">
        <f>IFERROR(__xludf.DUMMYFUNCTION("""COMPUTED_VALUE"""),0.01339313872164731)</f>
        <v>0.01339313872</v>
      </c>
      <c r="AV108" s="217">
        <f>IFERROR(__xludf.DUMMYFUNCTION("""COMPUTED_VALUE"""),130282.47826086957)</f>
        <v>130282.4783</v>
      </c>
      <c r="AW108" s="219">
        <f>IFERROR(__xludf.DUMMYFUNCTION("""COMPUTED_VALUE"""),87.0)</f>
        <v>87</v>
      </c>
      <c r="AX108" s="219">
        <f>IFERROR(__xludf.DUMMYFUNCTION("""COMPUTED_VALUE"""),623.0)</f>
        <v>623</v>
      </c>
      <c r="AY108" s="262">
        <f>IFERROR(__xludf.DUMMYFUNCTION("""COMPUTED_VALUE"""),4969.69)</f>
        <v>4969.69</v>
      </c>
      <c r="AZ108" s="263">
        <f>IFERROR(__xludf.DUMMYFUNCTION("""COMPUTED_VALUE"""),73.0)</f>
        <v>73</v>
      </c>
      <c r="BA108" s="263">
        <f>IFERROR(__xludf.DUMMYFUNCTION("""COMPUTED_VALUE"""),46.0)</f>
        <v>46</v>
      </c>
      <c r="BB108" s="263">
        <f>IFERROR(__xludf.DUMMYFUNCTION("""COMPUTED_VALUE"""),27.0)</f>
        <v>27</v>
      </c>
      <c r="BC108" s="263">
        <f>IFERROR(__xludf.DUMMYFUNCTION("""COMPUTED_VALUE"""),12.0)</f>
        <v>12</v>
      </c>
      <c r="BD108" s="258"/>
      <c r="BE108" s="258"/>
      <c r="BF108" s="255" t="e">
        <v>#REF!</v>
      </c>
      <c r="BG108" s="256">
        <f t="shared" si="4"/>
        <v>5992994</v>
      </c>
      <c r="BH108" s="257" t="str">
        <f t="shared" si="5"/>
        <v>#REF!</v>
      </c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</row>
    <row r="109">
      <c r="A109" s="6" t="str">
        <f>IFERROR(__xludf.DUMMYFUNCTION("""COMPUTED_VALUE"""),"Biju C.O")</f>
        <v>Biju C.O</v>
      </c>
      <c r="B109" s="98" t="str">
        <f>IFERROR(__xludf.DUMMYFUNCTION("""COMPUTED_VALUE"""),"Tamil Nadu")</f>
        <v>Tamil Nadu</v>
      </c>
      <c r="C109" s="212" t="str">
        <f>IFERROR(__xludf.DUMMYFUNCTION("""COMPUTED_VALUE"""),"Saibulla S.")</f>
        <v>Saibulla S.</v>
      </c>
      <c r="D109" s="98" t="str">
        <f>IFERROR(__xludf.DUMMYFUNCTION("""COMPUTED_VALUE"""),"Madurai")</f>
        <v>Madurai</v>
      </c>
      <c r="E109" s="213">
        <f>IFERROR(__xludf.DUMMYFUNCTION("""COMPUTED_VALUE"""),45635.0)</f>
        <v>45635</v>
      </c>
      <c r="F109" s="222" t="str">
        <f>IFERROR(__xludf.DUMMYFUNCTION("""COMPUTED_VALUE"""),"TAMIL NADU")</f>
        <v>TAMIL NADU</v>
      </c>
      <c r="G109" s="215">
        <f>IFERROR(__xludf.DUMMYFUNCTION("""COMPUTED_VALUE"""),1.06093001E7)</f>
        <v>10609300.1</v>
      </c>
      <c r="H109" s="215">
        <f>IFERROR(__xludf.DUMMYFUNCTION("""COMPUTED_VALUE"""),1.03625649E7)</f>
        <v>10362564.9</v>
      </c>
      <c r="I109" s="216">
        <f>IFERROR(__xludf.DUMMYFUNCTION("""COMPUTED_VALUE"""),36188.0)</f>
        <v>36188</v>
      </c>
      <c r="J109" s="216">
        <f>IFERROR(__xludf.DUMMYFUNCTION("""COMPUTED_VALUE"""),1250000.0)</f>
        <v>1250000</v>
      </c>
      <c r="K109" s="217">
        <f>IFERROR(__xludf.DUMMYFUNCTION("""COMPUTED_VALUE"""),0.0)</f>
        <v>0</v>
      </c>
      <c r="L109" s="217">
        <f>IFERROR(__xludf.DUMMYFUNCTION("""COMPUTED_VALUE"""),3750000.0)</f>
        <v>3750000</v>
      </c>
      <c r="M109" s="217">
        <f>IFERROR(__xludf.DUMMYFUNCTION("""COMPUTED_VALUE"""),2951596.0)</f>
        <v>2951596</v>
      </c>
      <c r="N109" s="217">
        <f>IFERROR(__xludf.DUMMYFUNCTION("""COMPUTED_VALUE"""),0.0)</f>
        <v>0</v>
      </c>
      <c r="O109" s="217">
        <f>IFERROR(__xludf.DUMMYFUNCTION("""COMPUTED_VALUE"""),2794310.0)</f>
        <v>2794310</v>
      </c>
      <c r="P109" s="218">
        <f>IFERROR(__xludf.DUMMYFUNCTION("""COMPUTED_VALUE"""),0.7870922666666667)</f>
        <v>0.7870922667</v>
      </c>
      <c r="Q109" s="218">
        <f>IFERROR(__xludf.DUMMYFUNCTION("""COMPUTED_VALUE"""),0.0)</f>
        <v>0</v>
      </c>
      <c r="R109" s="218">
        <f>IFERROR(__xludf.DUMMYFUNCTION("""COMPUTED_VALUE"""),0.7451493333333333)</f>
        <v>0.7451493333</v>
      </c>
      <c r="S109" s="187">
        <f>IFERROR(__xludf.DUMMYFUNCTION("""COMPUTED_VALUE"""),112.0)</f>
        <v>112</v>
      </c>
      <c r="T109" s="187">
        <f>IFERROR(__xludf.DUMMYFUNCTION("""COMPUTED_VALUE"""),90.0)</f>
        <v>90</v>
      </c>
      <c r="U109" s="187">
        <f>IFERROR(__xludf.DUMMYFUNCTION("""COMPUTED_VALUE"""),12.0)</f>
        <v>12</v>
      </c>
      <c r="V109" s="187">
        <f>IFERROR(__xludf.DUMMYFUNCTION("""COMPUTED_VALUE"""),9.0)</f>
        <v>9</v>
      </c>
      <c r="W109" s="187">
        <f>IFERROR(__xludf.DUMMYFUNCTION("""COMPUTED_VALUE"""),124.0)</f>
        <v>124</v>
      </c>
      <c r="X109" s="187">
        <f>IFERROR(__xludf.DUMMYFUNCTION("""COMPUTED_VALUE"""),34.0)</f>
        <v>34</v>
      </c>
      <c r="Y109" s="188">
        <f>IFERROR(__xludf.DUMMYFUNCTION("""COMPUTED_VALUE"""),2741305.7)</f>
        <v>2741305.7</v>
      </c>
      <c r="Z109" s="188">
        <f>IFERROR(__xludf.DUMMYFUNCTION("""COMPUTED_VALUE"""),210290.3)</f>
        <v>210290.3</v>
      </c>
      <c r="AA109" s="187">
        <f>IFERROR(__xludf.DUMMYFUNCTION("""COMPUTED_VALUE"""),65.0)</f>
        <v>65</v>
      </c>
      <c r="AB109" s="187">
        <f>IFERROR(__xludf.DUMMYFUNCTION("""COMPUTED_VALUE"""),9.0)</f>
        <v>9</v>
      </c>
      <c r="AC109" s="187">
        <f>IFERROR(__xludf.DUMMYFUNCTION("""COMPUTED_VALUE"""),74.0)</f>
        <v>74</v>
      </c>
      <c r="AD109" s="187">
        <f>IFERROR(__xludf.DUMMYFUNCTION("""COMPUTED_VALUE"""),0.0)</f>
        <v>0</v>
      </c>
      <c r="AE109" s="187">
        <f>IFERROR(__xludf.DUMMYFUNCTION("""COMPUTED_VALUE"""),49.0)</f>
        <v>49</v>
      </c>
      <c r="AF109" s="187">
        <f>IFERROR(__xludf.DUMMYFUNCTION("""COMPUTED_VALUE"""),87.0)</f>
        <v>87</v>
      </c>
      <c r="AG109" s="187">
        <f>IFERROR(__xludf.DUMMYFUNCTION("""COMPUTED_VALUE"""),74.0)</f>
        <v>74</v>
      </c>
      <c r="AH109" s="187">
        <f>IFERROR(__xludf.DUMMYFUNCTION("""COMPUTED_VALUE"""),5.0)</f>
        <v>5</v>
      </c>
      <c r="AI109" s="187">
        <f>IFERROR(__xludf.DUMMYFUNCTION("""COMPUTED_VALUE"""),84.0)</f>
        <v>84</v>
      </c>
      <c r="AJ109" s="187">
        <f>IFERROR(__xludf.DUMMYFUNCTION("""COMPUTED_VALUE"""),1.0)</f>
        <v>1</v>
      </c>
      <c r="AK109" s="187">
        <f>IFERROR(__xludf.DUMMYFUNCTION("""COMPUTED_VALUE"""),2.0)</f>
        <v>2</v>
      </c>
      <c r="AL109" s="187">
        <f>IFERROR(__xludf.DUMMYFUNCTION("""COMPUTED_VALUE"""),2.0)</f>
        <v>2</v>
      </c>
      <c r="AM109" s="187">
        <f>IFERROR(__xludf.DUMMYFUNCTION("""COMPUTED_VALUE"""),6.0)</f>
        <v>6</v>
      </c>
      <c r="AN109" s="187">
        <f>IFERROR(__xludf.DUMMYFUNCTION("""COMPUTED_VALUE"""),466.0)</f>
        <v>466</v>
      </c>
      <c r="AO109" s="187">
        <f>IFERROR(__xludf.DUMMYFUNCTION("""COMPUTED_VALUE"""),645.0)</f>
        <v>645</v>
      </c>
      <c r="AP109" s="187">
        <f>IFERROR(__xludf.DUMMYFUNCTION("""COMPUTED_VALUE"""),72.0)</f>
        <v>72</v>
      </c>
      <c r="AQ109" s="217">
        <f>IFERROR(__xludf.DUMMYFUNCTION("""COMPUTED_VALUE"""),40994.38888888889)</f>
        <v>40994.38889</v>
      </c>
      <c r="AR109" s="188">
        <f>IFERROR(__xludf.DUMMYFUNCTION("""COMPUTED_VALUE"""),8.958333333333334)</f>
        <v>8.958333333</v>
      </c>
      <c r="AS109" s="217">
        <f>IFERROR(__xludf.DUMMYFUNCTION("""COMPUTED_VALUE"""),108564.0)</f>
        <v>108564</v>
      </c>
      <c r="AT109" s="217"/>
      <c r="AU109" s="218">
        <f>IFERROR(__xludf.DUMMYFUNCTION("""COMPUTED_VALUE"""),0.0367814565408003)</f>
        <v>0.03678145654</v>
      </c>
      <c r="AV109" s="217">
        <f>IFERROR(__xludf.DUMMYFUNCTION("""COMPUTED_VALUE"""),39886.43243243243)</f>
        <v>39886.43243</v>
      </c>
      <c r="AW109" s="219">
        <f>IFERROR(__xludf.DUMMYFUNCTION("""COMPUTED_VALUE"""),200.0)</f>
        <v>200</v>
      </c>
      <c r="AX109" s="219">
        <f>IFERROR(__xludf.DUMMYFUNCTION("""COMPUTED_VALUE"""),877.0)</f>
        <v>877</v>
      </c>
      <c r="AY109" s="262">
        <f>IFERROR(__xludf.DUMMYFUNCTION("""COMPUTED_VALUE"""),8733.71)</f>
        <v>8733.71</v>
      </c>
      <c r="AZ109" s="263">
        <f>IFERROR(__xludf.DUMMYFUNCTION("""COMPUTED_VALUE"""),97.0)</f>
        <v>97</v>
      </c>
      <c r="BA109" s="263">
        <f>IFERROR(__xludf.DUMMYFUNCTION("""COMPUTED_VALUE"""),74.0)</f>
        <v>74</v>
      </c>
      <c r="BB109" s="263">
        <f>IFERROR(__xludf.DUMMYFUNCTION("""COMPUTED_VALUE"""),29.0)</f>
        <v>29</v>
      </c>
      <c r="BC109" s="263">
        <f>IFERROR(__xludf.DUMMYFUNCTION("""COMPUTED_VALUE"""),21.0)</f>
        <v>21</v>
      </c>
      <c r="BD109" s="258"/>
      <c r="BE109" s="258"/>
      <c r="BF109" s="255" t="e">
        <v>#REF!</v>
      </c>
      <c r="BG109" s="256">
        <f t="shared" si="4"/>
        <v>2951596</v>
      </c>
      <c r="BH109" s="257" t="str">
        <f t="shared" si="5"/>
        <v>#REF!</v>
      </c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</row>
    <row r="110">
      <c r="A110" s="6" t="str">
        <f>IFERROR(__xludf.DUMMYFUNCTION("""COMPUTED_VALUE"""),"Sandeep Dadheech")</f>
        <v>Sandeep Dadheech</v>
      </c>
      <c r="B110" s="98" t="str">
        <f>IFERROR(__xludf.DUMMYFUNCTION("""COMPUTED_VALUE"""),"Telangana")</f>
        <v>Telangana</v>
      </c>
      <c r="C110" s="212" t="str">
        <f>IFERROR(__xludf.DUMMYFUNCTION("""COMPUTED_VALUE"""),"Dasari Adiseshu")</f>
        <v>Dasari Adiseshu</v>
      </c>
      <c r="D110" s="98" t="str">
        <f>IFERROR(__xludf.DUMMYFUNCTION("""COMPUTED_VALUE"""),"Hyderabad")</f>
        <v>Hyderabad</v>
      </c>
      <c r="E110" s="213">
        <f>IFERROR(__xludf.DUMMYFUNCTION("""COMPUTED_VALUE"""),45636.0)</f>
        <v>45636</v>
      </c>
      <c r="F110" s="222" t="str">
        <f>IFERROR(__xludf.DUMMYFUNCTION("""COMPUTED_VALUE"""),"TELANGANA")</f>
        <v>TELANGANA</v>
      </c>
      <c r="G110" s="215">
        <f>IFERROR(__xludf.DUMMYFUNCTION("""COMPUTED_VALUE"""),2.071891915E7)</f>
        <v>20718919.15</v>
      </c>
      <c r="H110" s="215">
        <f>IFERROR(__xludf.DUMMYFUNCTION("""COMPUTED_VALUE"""),1.7200892E7)</f>
        <v>17200892</v>
      </c>
      <c r="I110" s="216">
        <f>IFERROR(__xludf.DUMMYFUNCTION("""COMPUTED_VALUE"""),51910.0)</f>
        <v>51910</v>
      </c>
      <c r="J110" s="216">
        <f>IFERROR(__xludf.DUMMYFUNCTION("""COMPUTED_VALUE"""),1800000.0)</f>
        <v>1800000</v>
      </c>
      <c r="K110" s="217">
        <f>IFERROR(__xludf.DUMMYFUNCTION("""COMPUTED_VALUE"""),0.0)</f>
        <v>0</v>
      </c>
      <c r="L110" s="217">
        <f>IFERROR(__xludf.DUMMYFUNCTION("""COMPUTED_VALUE"""),5400000.0)</f>
        <v>5400000</v>
      </c>
      <c r="M110" s="217">
        <f>IFERROR(__xludf.DUMMYFUNCTION("""COMPUTED_VALUE"""),5379421.0)</f>
        <v>5379421</v>
      </c>
      <c r="N110" s="217">
        <f>IFERROR(__xludf.DUMMYFUNCTION("""COMPUTED_VALUE"""),0.0)</f>
        <v>0</v>
      </c>
      <c r="O110" s="217">
        <f>IFERROR(__xludf.DUMMYFUNCTION("""COMPUTED_VALUE"""),6422299.0)</f>
        <v>6422299</v>
      </c>
      <c r="P110" s="218">
        <f>IFERROR(__xludf.DUMMYFUNCTION("""COMPUTED_VALUE"""),0.9961890740740741)</f>
        <v>0.9961890741</v>
      </c>
      <c r="Q110" s="218">
        <f>IFERROR(__xludf.DUMMYFUNCTION("""COMPUTED_VALUE"""),0.0)</f>
        <v>0</v>
      </c>
      <c r="R110" s="218">
        <f>IFERROR(__xludf.DUMMYFUNCTION("""COMPUTED_VALUE"""),1.1893146296296295)</f>
        <v>1.18931463</v>
      </c>
      <c r="S110" s="187">
        <f>IFERROR(__xludf.DUMMYFUNCTION("""COMPUTED_VALUE"""),200.0)</f>
        <v>200</v>
      </c>
      <c r="T110" s="187">
        <f>IFERROR(__xludf.DUMMYFUNCTION("""COMPUTED_VALUE"""),134.0)</f>
        <v>134</v>
      </c>
      <c r="U110" s="187">
        <f>IFERROR(__xludf.DUMMYFUNCTION("""COMPUTED_VALUE"""),10.0)</f>
        <v>10</v>
      </c>
      <c r="V110" s="187">
        <f>IFERROR(__xludf.DUMMYFUNCTION("""COMPUTED_VALUE"""),10.0)</f>
        <v>10</v>
      </c>
      <c r="W110" s="187">
        <f>IFERROR(__xludf.DUMMYFUNCTION("""COMPUTED_VALUE"""),210.0)</f>
        <v>210</v>
      </c>
      <c r="X110" s="187">
        <f>IFERROR(__xludf.DUMMYFUNCTION("""COMPUTED_VALUE"""),76.0)</f>
        <v>76</v>
      </c>
      <c r="Y110" s="188">
        <f>IFERROR(__xludf.DUMMYFUNCTION("""COMPUTED_VALUE"""),5047004.54)</f>
        <v>5047004.54</v>
      </c>
      <c r="Z110" s="188">
        <f>IFERROR(__xludf.DUMMYFUNCTION("""COMPUTED_VALUE"""),332416.26)</f>
        <v>332416.26</v>
      </c>
      <c r="AA110" s="187">
        <f>IFERROR(__xludf.DUMMYFUNCTION("""COMPUTED_VALUE"""),61.0)</f>
        <v>61</v>
      </c>
      <c r="AB110" s="187">
        <f>IFERROR(__xludf.DUMMYFUNCTION("""COMPUTED_VALUE"""),10.0)</f>
        <v>10</v>
      </c>
      <c r="AC110" s="187">
        <f>IFERROR(__xludf.DUMMYFUNCTION("""COMPUTED_VALUE"""),71.0)</f>
        <v>71</v>
      </c>
      <c r="AD110" s="187">
        <f>IFERROR(__xludf.DUMMYFUNCTION("""COMPUTED_VALUE"""),0.0)</f>
        <v>0</v>
      </c>
      <c r="AE110" s="187">
        <f>IFERROR(__xludf.DUMMYFUNCTION("""COMPUTED_VALUE"""),84.0)</f>
        <v>84</v>
      </c>
      <c r="AF110" s="187">
        <f>IFERROR(__xludf.DUMMYFUNCTION("""COMPUTED_VALUE"""),122.0)</f>
        <v>122</v>
      </c>
      <c r="AG110" s="187">
        <f>IFERROR(__xludf.DUMMYFUNCTION("""COMPUTED_VALUE"""),349.0)</f>
        <v>349</v>
      </c>
      <c r="AH110" s="187">
        <f>IFERROR(__xludf.DUMMYFUNCTION("""COMPUTED_VALUE"""),2.0)</f>
        <v>2</v>
      </c>
      <c r="AI110" s="187">
        <f>IFERROR(__xludf.DUMMYFUNCTION("""COMPUTED_VALUE"""),28.0)</f>
        <v>28</v>
      </c>
      <c r="AJ110" s="187">
        <f>IFERROR(__xludf.DUMMYFUNCTION("""COMPUTED_VALUE"""),0.0)</f>
        <v>0</v>
      </c>
      <c r="AK110" s="187">
        <f>IFERROR(__xludf.DUMMYFUNCTION("""COMPUTED_VALUE"""),0.0)</f>
        <v>0</v>
      </c>
      <c r="AL110" s="187">
        <f>IFERROR(__xludf.DUMMYFUNCTION("""COMPUTED_VALUE"""),3.0)</f>
        <v>3</v>
      </c>
      <c r="AM110" s="187">
        <f>IFERROR(__xludf.DUMMYFUNCTION("""COMPUTED_VALUE"""),7.0)</f>
        <v>7</v>
      </c>
      <c r="AN110" s="187">
        <f>IFERROR(__xludf.DUMMYFUNCTION("""COMPUTED_VALUE"""),334.0)</f>
        <v>334</v>
      </c>
      <c r="AO110" s="187">
        <f>IFERROR(__xludf.DUMMYFUNCTION("""COMPUTED_VALUE"""),491.0)</f>
        <v>491</v>
      </c>
      <c r="AP110" s="187">
        <f>IFERROR(__xludf.DUMMYFUNCTION("""COMPUTED_VALUE"""),69.0)</f>
        <v>69</v>
      </c>
      <c r="AQ110" s="217">
        <f>IFERROR(__xludf.DUMMYFUNCTION("""COMPUTED_VALUE"""),77962.62318840579)</f>
        <v>77962.62319</v>
      </c>
      <c r="AR110" s="188">
        <f>IFERROR(__xludf.DUMMYFUNCTION("""COMPUTED_VALUE"""),7.115942028985507)</f>
        <v>7.115942029</v>
      </c>
      <c r="AS110" s="217">
        <f>IFERROR(__xludf.DUMMYFUNCTION("""COMPUTED_VALUE"""),155730.0)</f>
        <v>155730</v>
      </c>
      <c r="AT110" s="217"/>
      <c r="AU110" s="218">
        <f>IFERROR(__xludf.DUMMYFUNCTION("""COMPUTED_VALUE"""),0.02894921219216715)</f>
        <v>0.02894921219</v>
      </c>
      <c r="AV110" s="217">
        <f>IFERROR(__xludf.DUMMYFUNCTION("""COMPUTED_VALUE"""),75766.49295774648)</f>
        <v>75766.49296</v>
      </c>
      <c r="AW110" s="219">
        <f>IFERROR(__xludf.DUMMYFUNCTION("""COMPUTED_VALUE"""),105.0)</f>
        <v>105</v>
      </c>
      <c r="AX110" s="219">
        <f>IFERROR(__xludf.DUMMYFUNCTION("""COMPUTED_VALUE"""),803.0)</f>
        <v>803</v>
      </c>
      <c r="AY110" s="262">
        <f>IFERROR(__xludf.DUMMYFUNCTION("""COMPUTED_VALUE"""),8195.46)</f>
        <v>8195.46</v>
      </c>
      <c r="AZ110" s="263">
        <f>IFERROR(__xludf.DUMMYFUNCTION("""COMPUTED_VALUE"""),61.0)</f>
        <v>61</v>
      </c>
      <c r="BA110" s="263">
        <f>IFERROR(__xludf.DUMMYFUNCTION("""COMPUTED_VALUE"""),71.0)</f>
        <v>71</v>
      </c>
      <c r="BB110" s="263">
        <f>IFERROR(__xludf.DUMMYFUNCTION("""COMPUTED_VALUE"""),76.0)</f>
        <v>76</v>
      </c>
      <c r="BC110" s="263">
        <f>IFERROR(__xludf.DUMMYFUNCTION("""COMPUTED_VALUE"""),63.0)</f>
        <v>63</v>
      </c>
      <c r="BD110" s="265"/>
      <c r="BE110" s="258"/>
      <c r="BF110" s="255" t="e">
        <v>#REF!</v>
      </c>
      <c r="BG110" s="256">
        <f t="shared" si="4"/>
        <v>5379421</v>
      </c>
      <c r="BH110" s="257" t="str">
        <f t="shared" si="5"/>
        <v>#REF!</v>
      </c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</row>
    <row r="111">
      <c r="A111" s="6" t="str">
        <f>IFERROR(__xludf.DUMMYFUNCTION("""COMPUTED_VALUE"""),"Sandeep Dadheech")</f>
        <v>Sandeep Dadheech</v>
      </c>
      <c r="B111" s="98" t="str">
        <f>IFERROR(__xludf.DUMMYFUNCTION("""COMPUTED_VALUE"""),"West Bengal")</f>
        <v>West Bengal</v>
      </c>
      <c r="C111" s="212" t="str">
        <f>IFERROR(__xludf.DUMMYFUNCTION("""COMPUTED_VALUE"""),"RUDRAPRAKASH JANA")</f>
        <v>RUDRAPRAKASH JANA</v>
      </c>
      <c r="D111" s="98" t="str">
        <f>IFERROR(__xludf.DUMMYFUNCTION("""COMPUTED_VALUE"""),"Paschim Medinipur")</f>
        <v>Paschim Medinipur</v>
      </c>
      <c r="E111" s="213">
        <f>IFERROR(__xludf.DUMMYFUNCTION("""COMPUTED_VALUE"""),45637.0)</f>
        <v>45637</v>
      </c>
      <c r="F111" s="222" t="str">
        <f>IFERROR(__xludf.DUMMYFUNCTION("""COMPUTED_VALUE"""),"WEST BENGAL")</f>
        <v>WEST BENGAL</v>
      </c>
      <c r="G111" s="259">
        <f>IFERROR(__xludf.DUMMYFUNCTION("""COMPUTED_VALUE"""),3.972471294E7)</f>
        <v>39724712.94</v>
      </c>
      <c r="H111" s="259">
        <f>IFERROR(__xludf.DUMMYFUNCTION("""COMPUTED_VALUE"""),4.2058964E7)</f>
        <v>42058964</v>
      </c>
      <c r="I111" s="216">
        <f>IFERROR(__xludf.DUMMYFUNCTION("""COMPUTED_VALUE"""),34090.0)</f>
        <v>34090</v>
      </c>
      <c r="J111" s="56">
        <f>IFERROR(__xludf.DUMMYFUNCTION("""COMPUTED_VALUE"""),5000000.0)</f>
        <v>5000000</v>
      </c>
      <c r="K111" s="217">
        <f>IFERROR(__xludf.DUMMYFUNCTION("""COMPUTED_VALUE"""),0.0)</f>
        <v>0</v>
      </c>
      <c r="L111" s="217">
        <f>IFERROR(__xludf.DUMMYFUNCTION("""COMPUTED_VALUE"""),1.5E7)</f>
        <v>15000000</v>
      </c>
      <c r="M111" s="217">
        <f>IFERROR(__xludf.DUMMYFUNCTION("""COMPUTED_VALUE"""),1.5050245E7)</f>
        <v>15050245</v>
      </c>
      <c r="N111" s="217">
        <f>IFERROR(__xludf.DUMMYFUNCTION("""COMPUTED_VALUE"""),0.0)</f>
        <v>0</v>
      </c>
      <c r="O111" s="260">
        <f>IFERROR(__xludf.DUMMYFUNCTION("""COMPUTED_VALUE"""),1.1037433E7)</f>
        <v>11037433</v>
      </c>
      <c r="P111" s="218">
        <f>IFERROR(__xludf.DUMMYFUNCTION("""COMPUTED_VALUE"""),1.0033496666666666)</f>
        <v>1.003349667</v>
      </c>
      <c r="Q111" s="218">
        <f>IFERROR(__xludf.DUMMYFUNCTION("""COMPUTED_VALUE"""),0.0)</f>
        <v>0</v>
      </c>
      <c r="R111" s="218">
        <f>IFERROR(__xludf.DUMMYFUNCTION("""COMPUTED_VALUE"""),0.7358288666666667)</f>
        <v>0.7358288667</v>
      </c>
      <c r="S111" s="187">
        <f>IFERROR(__xludf.DUMMYFUNCTION("""COMPUTED_VALUE"""),66.0)</f>
        <v>66</v>
      </c>
      <c r="T111" s="187">
        <f>IFERROR(__xludf.DUMMYFUNCTION("""COMPUTED_VALUE"""),61.0)</f>
        <v>61</v>
      </c>
      <c r="U111" s="187">
        <f>IFERROR(__xludf.DUMMYFUNCTION("""COMPUTED_VALUE"""),0.0)</f>
        <v>0</v>
      </c>
      <c r="V111" s="187">
        <f>IFERROR(__xludf.DUMMYFUNCTION("""COMPUTED_VALUE"""),0.0)</f>
        <v>0</v>
      </c>
      <c r="W111" s="187">
        <f>IFERROR(__xludf.DUMMYFUNCTION("""COMPUTED_VALUE"""),66.0)</f>
        <v>66</v>
      </c>
      <c r="X111" s="187">
        <f>IFERROR(__xludf.DUMMYFUNCTION("""COMPUTED_VALUE"""),5.0)</f>
        <v>5</v>
      </c>
      <c r="Y111" s="188">
        <f>IFERROR(__xludf.DUMMYFUNCTION("""COMPUTED_VALUE"""),1.505024544E7)</f>
        <v>15050245.44</v>
      </c>
      <c r="Z111" s="188">
        <f>IFERROR(__xludf.DUMMYFUNCTION("""COMPUTED_VALUE"""),0.0)</f>
        <v>0</v>
      </c>
      <c r="AA111" s="187">
        <f>IFERROR(__xludf.DUMMYFUNCTION("""COMPUTED_VALUE"""),38.0)</f>
        <v>38</v>
      </c>
      <c r="AB111" s="187">
        <f>IFERROR(__xludf.DUMMYFUNCTION("""COMPUTED_VALUE"""),0.0)</f>
        <v>0</v>
      </c>
      <c r="AC111" s="187">
        <f>IFERROR(__xludf.DUMMYFUNCTION("""COMPUTED_VALUE"""),38.0)</f>
        <v>38</v>
      </c>
      <c r="AD111" s="187">
        <f>IFERROR(__xludf.DUMMYFUNCTION("""COMPUTED_VALUE"""),0.0)</f>
        <v>0</v>
      </c>
      <c r="AE111" s="187">
        <f>IFERROR(__xludf.DUMMYFUNCTION("""COMPUTED_VALUE"""),0.0)</f>
        <v>0</v>
      </c>
      <c r="AF111" s="187">
        <f>IFERROR(__xludf.DUMMYFUNCTION("""COMPUTED_VALUE"""),0.0)</f>
        <v>0</v>
      </c>
      <c r="AG111" s="187">
        <f>IFERROR(__xludf.DUMMYFUNCTION("""COMPUTED_VALUE"""),36.0)</f>
        <v>36</v>
      </c>
      <c r="AH111" s="187">
        <f>IFERROR(__xludf.DUMMYFUNCTION("""COMPUTED_VALUE"""),1.0)</f>
        <v>1</v>
      </c>
      <c r="AI111" s="187">
        <f>IFERROR(__xludf.DUMMYFUNCTION("""COMPUTED_VALUE"""),8.0)</f>
        <v>8</v>
      </c>
      <c r="AJ111" s="187">
        <f>IFERROR(__xludf.DUMMYFUNCTION("""COMPUTED_VALUE"""),0.0)</f>
        <v>0</v>
      </c>
      <c r="AK111" s="187">
        <f>IFERROR(__xludf.DUMMYFUNCTION("""COMPUTED_VALUE"""),0.0)</f>
        <v>0</v>
      </c>
      <c r="AL111" s="187">
        <f>IFERROR(__xludf.DUMMYFUNCTION("""COMPUTED_VALUE"""),0.0)</f>
        <v>0</v>
      </c>
      <c r="AM111" s="187">
        <f>IFERROR(__xludf.DUMMYFUNCTION("""COMPUTED_VALUE"""),0.0)</f>
        <v>0</v>
      </c>
      <c r="AN111" s="187">
        <f>IFERROR(__xludf.DUMMYFUNCTION("""COMPUTED_VALUE"""),330.0)</f>
        <v>330</v>
      </c>
      <c r="AO111" s="187">
        <f>IFERROR(__xludf.DUMMYFUNCTION("""COMPUTED_VALUE"""),338.0)</f>
        <v>338</v>
      </c>
      <c r="AP111" s="187">
        <f>IFERROR(__xludf.DUMMYFUNCTION("""COMPUTED_VALUE"""),74.0)</f>
        <v>74</v>
      </c>
      <c r="AQ111" s="217">
        <f>IFERROR(__xludf.DUMMYFUNCTION("""COMPUTED_VALUE"""),203381.6891891892)</f>
        <v>203381.6892</v>
      </c>
      <c r="AR111" s="188">
        <f>IFERROR(__xludf.DUMMYFUNCTION("""COMPUTED_VALUE"""),4.5675675675675675)</f>
        <v>4.567567568</v>
      </c>
      <c r="AS111" s="217">
        <f>IFERROR(__xludf.DUMMYFUNCTION("""COMPUTED_VALUE"""),102270.0)</f>
        <v>102270</v>
      </c>
      <c r="AT111" s="217"/>
      <c r="AU111" s="218">
        <f>IFERROR(__xludf.DUMMYFUNCTION("""COMPUTED_VALUE"""),0.00679523821705228)</f>
        <v>0.006795238217</v>
      </c>
      <c r="AV111" s="217">
        <f>IFERROR(__xludf.DUMMYFUNCTION("""COMPUTED_VALUE"""),396059.0789473684)</f>
        <v>396059.0789</v>
      </c>
      <c r="AW111" s="219">
        <f>IFERROR(__xludf.DUMMYFUNCTION("""COMPUTED_VALUE"""),93.0)</f>
        <v>93</v>
      </c>
      <c r="AX111" s="219">
        <f>IFERROR(__xludf.DUMMYFUNCTION("""COMPUTED_VALUE"""),815.0)</f>
        <v>815</v>
      </c>
      <c r="AY111" s="262">
        <f>IFERROR(__xludf.DUMMYFUNCTION("""COMPUTED_VALUE"""),7780.35)</f>
        <v>7780.35</v>
      </c>
      <c r="AZ111" s="263">
        <f>IFERROR(__xludf.DUMMYFUNCTION("""COMPUTED_VALUE"""),128.0)</f>
        <v>128</v>
      </c>
      <c r="BA111" s="263">
        <f>IFERROR(__xludf.DUMMYFUNCTION("""COMPUTED_VALUE"""),38.0)</f>
        <v>38</v>
      </c>
      <c r="BB111" s="263">
        <f>IFERROR(__xludf.DUMMYFUNCTION("""COMPUTED_VALUE"""),24.0)</f>
        <v>24</v>
      </c>
      <c r="BC111" s="263">
        <f>IFERROR(__xludf.DUMMYFUNCTION("""COMPUTED_VALUE"""),4.0)</f>
        <v>4</v>
      </c>
      <c r="BD111" s="258"/>
      <c r="BE111" s="258"/>
      <c r="BF111" s="241" t="e">
        <v>#REF!</v>
      </c>
      <c r="BG111" s="256">
        <f t="shared" si="4"/>
        <v>15050245</v>
      </c>
      <c r="BH111" s="257" t="str">
        <f t="shared" si="5"/>
        <v>#REF!</v>
      </c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</row>
    <row r="112">
      <c r="A112" s="6" t="str">
        <f>IFERROR(__xludf.DUMMYFUNCTION("""COMPUTED_VALUE"""),"Sunil Patel")</f>
        <v>Sunil Patel</v>
      </c>
      <c r="B112" s="98" t="str">
        <f>IFERROR(__xludf.DUMMYFUNCTION("""COMPUTED_VALUE"""),"Gujarat")</f>
        <v>Gujarat</v>
      </c>
      <c r="C112" s="212" t="str">
        <f>IFERROR(__xludf.DUMMYFUNCTION("""COMPUTED_VALUE"""),"Bhavesh N Ranpara")</f>
        <v>Bhavesh N Ranpara</v>
      </c>
      <c r="D112" s="98" t="str">
        <f>IFERROR(__xludf.DUMMYFUNCTION("""COMPUTED_VALUE"""),"Rajkot")</f>
        <v>Rajkot</v>
      </c>
      <c r="E112" s="213">
        <f>IFERROR(__xludf.DUMMYFUNCTION("""COMPUTED_VALUE"""),45638.0)</f>
        <v>45638</v>
      </c>
      <c r="F112" s="222" t="str">
        <f>IFERROR(__xludf.DUMMYFUNCTION("""COMPUTED_VALUE"""),"GUJARAT")</f>
        <v>GUJARAT</v>
      </c>
      <c r="G112" s="215">
        <f>IFERROR(__xludf.DUMMYFUNCTION("""COMPUTED_VALUE"""),244183.86)</f>
        <v>244183.86</v>
      </c>
      <c r="H112" s="215">
        <f>IFERROR(__xludf.DUMMYFUNCTION("""COMPUTED_VALUE"""),0.0)</f>
        <v>0</v>
      </c>
      <c r="I112" s="216">
        <f>IFERROR(__xludf.DUMMYFUNCTION("""COMPUTED_VALUE"""),47720.0)</f>
        <v>47720</v>
      </c>
      <c r="J112" s="216"/>
      <c r="K112" s="217">
        <f>IFERROR(__xludf.DUMMYFUNCTION("""COMPUTED_VALUE"""),0.0)</f>
        <v>0</v>
      </c>
      <c r="L112" s="217"/>
      <c r="M112" s="217">
        <f>IFERROR(__xludf.DUMMYFUNCTION("""COMPUTED_VALUE"""),55356.0)</f>
        <v>55356</v>
      </c>
      <c r="N112" s="217">
        <f>IFERROR(__xludf.DUMMYFUNCTION("""COMPUTED_VALUE"""),0.0)</f>
        <v>0</v>
      </c>
      <c r="O112" s="217"/>
      <c r="P112" s="218"/>
      <c r="Q112" s="218">
        <f>IFERROR(__xludf.DUMMYFUNCTION("""COMPUTED_VALUE"""),0.0)</f>
        <v>0</v>
      </c>
      <c r="R112" s="218"/>
      <c r="S112" s="187">
        <f>IFERROR(__xludf.DUMMYFUNCTION("""COMPUTED_VALUE"""),104.0)</f>
        <v>104</v>
      </c>
      <c r="T112" s="187">
        <f>IFERROR(__xludf.DUMMYFUNCTION("""COMPUTED_VALUE"""),8.0)</f>
        <v>8</v>
      </c>
      <c r="U112" s="187">
        <f>IFERROR(__xludf.DUMMYFUNCTION("""COMPUTED_VALUE"""),0.0)</f>
        <v>0</v>
      </c>
      <c r="V112" s="187">
        <f>IFERROR(__xludf.DUMMYFUNCTION("""COMPUTED_VALUE"""),0.0)</f>
        <v>0</v>
      </c>
      <c r="W112" s="187">
        <f>IFERROR(__xludf.DUMMYFUNCTION("""COMPUTED_VALUE"""),104.0)</f>
        <v>104</v>
      </c>
      <c r="X112" s="187">
        <f>IFERROR(__xludf.DUMMYFUNCTION("""COMPUTED_VALUE"""),96.0)</f>
        <v>96</v>
      </c>
      <c r="Y112" s="188">
        <f>IFERROR(__xludf.DUMMYFUNCTION("""COMPUTED_VALUE"""),55356.4)</f>
        <v>55356.4</v>
      </c>
      <c r="Z112" s="188">
        <f>IFERROR(__xludf.DUMMYFUNCTION("""COMPUTED_VALUE"""),0.0)</f>
        <v>0</v>
      </c>
      <c r="AA112" s="187">
        <f>IFERROR(__xludf.DUMMYFUNCTION("""COMPUTED_VALUE"""),3.0)</f>
        <v>3</v>
      </c>
      <c r="AB112" s="187">
        <f>IFERROR(__xludf.DUMMYFUNCTION("""COMPUTED_VALUE"""),0.0)</f>
        <v>0</v>
      </c>
      <c r="AC112" s="187">
        <f>IFERROR(__xludf.DUMMYFUNCTION("""COMPUTED_VALUE"""),3.0)</f>
        <v>3</v>
      </c>
      <c r="AD112" s="187">
        <f>IFERROR(__xludf.DUMMYFUNCTION("""COMPUTED_VALUE"""),0.0)</f>
        <v>0</v>
      </c>
      <c r="AE112" s="187">
        <f>IFERROR(__xludf.DUMMYFUNCTION("""COMPUTED_VALUE"""),60.0)</f>
        <v>60</v>
      </c>
      <c r="AF112" s="187">
        <f>IFERROR(__xludf.DUMMYFUNCTION("""COMPUTED_VALUE"""),175.0)</f>
        <v>175</v>
      </c>
      <c r="AG112" s="187">
        <f>IFERROR(__xludf.DUMMYFUNCTION("""COMPUTED_VALUE"""),299.0)</f>
        <v>299</v>
      </c>
      <c r="AH112" s="187">
        <f>IFERROR(__xludf.DUMMYFUNCTION("""COMPUTED_VALUE"""),3.0)</f>
        <v>3</v>
      </c>
      <c r="AI112" s="187">
        <f>IFERROR(__xludf.DUMMYFUNCTION("""COMPUTED_VALUE"""),10.0)</f>
        <v>10</v>
      </c>
      <c r="AJ112" s="187">
        <f>IFERROR(__xludf.DUMMYFUNCTION("""COMPUTED_VALUE"""),0.0)</f>
        <v>0</v>
      </c>
      <c r="AK112" s="187">
        <f>IFERROR(__xludf.DUMMYFUNCTION("""COMPUTED_VALUE"""),0.0)</f>
        <v>0</v>
      </c>
      <c r="AL112" s="187">
        <f>IFERROR(__xludf.DUMMYFUNCTION("""COMPUTED_VALUE"""),1.0)</f>
        <v>1</v>
      </c>
      <c r="AM112" s="187">
        <f>IFERROR(__xludf.DUMMYFUNCTION("""COMPUTED_VALUE"""),1.0)</f>
        <v>1</v>
      </c>
      <c r="AN112" s="187">
        <f>IFERROR(__xludf.DUMMYFUNCTION("""COMPUTED_VALUE"""),18.0)</f>
        <v>18</v>
      </c>
      <c r="AO112" s="187">
        <f>IFERROR(__xludf.DUMMYFUNCTION("""COMPUTED_VALUE"""),204.0)</f>
        <v>204</v>
      </c>
      <c r="AP112" s="187">
        <f>IFERROR(__xludf.DUMMYFUNCTION("""COMPUTED_VALUE"""),72.0)</f>
        <v>72</v>
      </c>
      <c r="AQ112" s="217">
        <f>IFERROR(__xludf.DUMMYFUNCTION("""COMPUTED_VALUE"""),768.8333333333334)</f>
        <v>768.8333333</v>
      </c>
      <c r="AR112" s="188">
        <f>IFERROR(__xludf.DUMMYFUNCTION("""COMPUTED_VALUE"""),2.8333333333333335)</f>
        <v>2.833333333</v>
      </c>
      <c r="AS112" s="217">
        <f>IFERROR(__xludf.DUMMYFUNCTION("""COMPUTED_VALUE"""),143160.0)</f>
        <v>143160</v>
      </c>
      <c r="AT112" s="217"/>
      <c r="AU112" s="218">
        <f>IFERROR(__xludf.DUMMYFUNCTION("""COMPUTED_VALUE"""),2.5861695209191415)</f>
        <v>2.586169521</v>
      </c>
      <c r="AV112" s="217">
        <f>IFERROR(__xludf.DUMMYFUNCTION("""COMPUTED_VALUE"""),18452.0)</f>
        <v>18452</v>
      </c>
      <c r="AW112" s="219">
        <f>IFERROR(__xludf.DUMMYFUNCTION("""COMPUTED_VALUE"""),3.0)</f>
        <v>3</v>
      </c>
      <c r="AX112" s="219">
        <f>IFERROR(__xludf.DUMMYFUNCTION("""COMPUTED_VALUE"""),786.0)</f>
        <v>786</v>
      </c>
      <c r="AY112" s="262">
        <f>IFERROR(__xludf.DUMMYFUNCTION("""COMPUTED_VALUE"""),5419.14)</f>
        <v>5419.14</v>
      </c>
      <c r="AZ112" s="263">
        <f>IFERROR(__xludf.DUMMYFUNCTION("""COMPUTED_VALUE"""),677.0)</f>
        <v>677</v>
      </c>
      <c r="BA112" s="263">
        <f>IFERROR(__xludf.DUMMYFUNCTION("""COMPUTED_VALUE"""),3.0)</f>
        <v>3</v>
      </c>
      <c r="BB112" s="263">
        <f>IFERROR(__xludf.DUMMYFUNCTION("""COMPUTED_VALUE"""),8.0)</f>
        <v>8</v>
      </c>
      <c r="BC112" s="263">
        <f>IFERROR(__xludf.DUMMYFUNCTION("""COMPUTED_VALUE"""),93.0)</f>
        <v>93</v>
      </c>
      <c r="BD112" s="258"/>
      <c r="BE112" s="258"/>
      <c r="BF112" s="255" t="e">
        <v>#REF!</v>
      </c>
      <c r="BG112" s="256">
        <f t="shared" si="4"/>
        <v>55356</v>
      </c>
      <c r="BH112" s="257" t="str">
        <f t="shared" si="5"/>
        <v>#REF!</v>
      </c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</row>
    <row r="113">
      <c r="A113" s="6" t="str">
        <f>IFERROR(__xludf.DUMMYFUNCTION("""COMPUTED_VALUE"""),"Sandeep Dadheech")</f>
        <v>Sandeep Dadheech</v>
      </c>
      <c r="B113" s="98" t="str">
        <f>IFERROR(__xludf.DUMMYFUNCTION("""COMPUTED_VALUE"""),"Jharkhand")</f>
        <v>Jharkhand</v>
      </c>
      <c r="C113" s="212" t="str">
        <f>IFERROR(__xludf.DUMMYFUNCTION("""COMPUTED_VALUE"""),"Nikhil Kumar")</f>
        <v>Nikhil Kumar</v>
      </c>
      <c r="D113" s="98" t="str">
        <f>IFERROR(__xludf.DUMMYFUNCTION("""COMPUTED_VALUE"""),"Ranchi")</f>
        <v>Ranchi</v>
      </c>
      <c r="E113" s="213">
        <f>IFERROR(__xludf.DUMMYFUNCTION("""COMPUTED_VALUE"""),45639.0)</f>
        <v>45639</v>
      </c>
      <c r="F113" s="222" t="str">
        <f>IFERROR(__xludf.DUMMYFUNCTION("""COMPUTED_VALUE"""),"JHARKHAND")</f>
        <v>JHARKHAND</v>
      </c>
      <c r="G113" s="215">
        <f>IFERROR(__xludf.DUMMYFUNCTION("""COMPUTED_VALUE"""),2.0736408149999995E7)</f>
        <v>20736408.15</v>
      </c>
      <c r="H113" s="215">
        <f>IFERROR(__xludf.DUMMYFUNCTION("""COMPUTED_VALUE"""),2.13418086E7)</f>
        <v>21341808.6</v>
      </c>
      <c r="I113" s="216">
        <f>IFERROR(__xludf.DUMMYFUNCTION("""COMPUTED_VALUE"""),33568.0)</f>
        <v>33568</v>
      </c>
      <c r="J113" s="216">
        <f>IFERROR(__xludf.DUMMYFUNCTION("""COMPUTED_VALUE"""),2666667.0)</f>
        <v>2666667</v>
      </c>
      <c r="K113" s="217">
        <f>IFERROR(__xludf.DUMMYFUNCTION("""COMPUTED_VALUE"""),0.0)</f>
        <v>0</v>
      </c>
      <c r="L113" s="217">
        <f>IFERROR(__xludf.DUMMYFUNCTION("""COMPUTED_VALUE"""),8000001.0)</f>
        <v>8000001</v>
      </c>
      <c r="M113" s="217">
        <f>IFERROR(__xludf.DUMMYFUNCTION("""COMPUTED_VALUE"""),6503662.0)</f>
        <v>6503662</v>
      </c>
      <c r="N113" s="217">
        <f>IFERROR(__xludf.DUMMYFUNCTION("""COMPUTED_VALUE"""),0.0)</f>
        <v>0</v>
      </c>
      <c r="O113" s="217">
        <f>IFERROR(__xludf.DUMMYFUNCTION("""COMPUTED_VALUE"""),6159476.8)</f>
        <v>6159476.8</v>
      </c>
      <c r="P113" s="218">
        <f>IFERROR(__xludf.DUMMYFUNCTION("""COMPUTED_VALUE"""),0.8129576483802939)</f>
        <v>0.8129576484</v>
      </c>
      <c r="Q113" s="218">
        <f>IFERROR(__xludf.DUMMYFUNCTION("""COMPUTED_VALUE"""),0.0)</f>
        <v>0</v>
      </c>
      <c r="R113" s="218">
        <f>IFERROR(__xludf.DUMMYFUNCTION("""COMPUTED_VALUE"""),0.7699345037581871)</f>
        <v>0.7699345038</v>
      </c>
      <c r="S113" s="187">
        <f>IFERROR(__xludf.DUMMYFUNCTION("""COMPUTED_VALUE"""),82.0)</f>
        <v>82</v>
      </c>
      <c r="T113" s="187">
        <f>IFERROR(__xludf.DUMMYFUNCTION("""COMPUTED_VALUE"""),70.0)</f>
        <v>70</v>
      </c>
      <c r="U113" s="187">
        <f>IFERROR(__xludf.DUMMYFUNCTION("""COMPUTED_VALUE"""),6.0)</f>
        <v>6</v>
      </c>
      <c r="V113" s="187">
        <f>IFERROR(__xludf.DUMMYFUNCTION("""COMPUTED_VALUE"""),6.0)</f>
        <v>6</v>
      </c>
      <c r="W113" s="187">
        <f>IFERROR(__xludf.DUMMYFUNCTION("""COMPUTED_VALUE"""),88.0)</f>
        <v>88</v>
      </c>
      <c r="X113" s="187">
        <f>IFERROR(__xludf.DUMMYFUNCTION("""COMPUTED_VALUE"""),18.0)</f>
        <v>18</v>
      </c>
      <c r="Y113" s="188">
        <f>IFERROR(__xludf.DUMMYFUNCTION("""COMPUTED_VALUE"""),5479781.53)</f>
        <v>5479781.53</v>
      </c>
      <c r="Z113" s="188">
        <f>IFERROR(__xludf.DUMMYFUNCTION("""COMPUTED_VALUE"""),1023880.15)</f>
        <v>1023880.15</v>
      </c>
      <c r="AA113" s="187">
        <f>IFERROR(__xludf.DUMMYFUNCTION("""COMPUTED_VALUE"""),39.0)</f>
        <v>39</v>
      </c>
      <c r="AB113" s="187">
        <f>IFERROR(__xludf.DUMMYFUNCTION("""COMPUTED_VALUE"""),6.0)</f>
        <v>6</v>
      </c>
      <c r="AC113" s="187">
        <f>IFERROR(__xludf.DUMMYFUNCTION("""COMPUTED_VALUE"""),45.0)</f>
        <v>45</v>
      </c>
      <c r="AD113" s="187">
        <f>IFERROR(__xludf.DUMMYFUNCTION("""COMPUTED_VALUE"""),0.0)</f>
        <v>0</v>
      </c>
      <c r="AE113" s="187">
        <f>IFERROR(__xludf.DUMMYFUNCTION("""COMPUTED_VALUE"""),59.0)</f>
        <v>59</v>
      </c>
      <c r="AF113" s="187">
        <f>IFERROR(__xludf.DUMMYFUNCTION("""COMPUTED_VALUE"""),93.0)</f>
        <v>93</v>
      </c>
      <c r="AG113" s="187">
        <f>IFERROR(__xludf.DUMMYFUNCTION("""COMPUTED_VALUE"""),192.0)</f>
        <v>192</v>
      </c>
      <c r="AH113" s="187">
        <f>IFERROR(__xludf.DUMMYFUNCTION("""COMPUTED_VALUE"""),1.0)</f>
        <v>1</v>
      </c>
      <c r="AI113" s="187">
        <f>IFERROR(__xludf.DUMMYFUNCTION("""COMPUTED_VALUE"""),18.0)</f>
        <v>18</v>
      </c>
      <c r="AJ113" s="187">
        <f>IFERROR(__xludf.DUMMYFUNCTION("""COMPUTED_VALUE"""),0.0)</f>
        <v>0</v>
      </c>
      <c r="AK113" s="187">
        <f>IFERROR(__xludf.DUMMYFUNCTION("""COMPUTED_VALUE"""),0.0)</f>
        <v>0</v>
      </c>
      <c r="AL113" s="187">
        <f>IFERROR(__xludf.DUMMYFUNCTION("""COMPUTED_VALUE"""),0.0)</f>
        <v>0</v>
      </c>
      <c r="AM113" s="187">
        <f>IFERROR(__xludf.DUMMYFUNCTION("""COMPUTED_VALUE"""),0.0)</f>
        <v>0</v>
      </c>
      <c r="AN113" s="187">
        <f>IFERROR(__xludf.DUMMYFUNCTION("""COMPUTED_VALUE"""),220.0)</f>
        <v>220</v>
      </c>
      <c r="AO113" s="187">
        <f>IFERROR(__xludf.DUMMYFUNCTION("""COMPUTED_VALUE"""),331.0)</f>
        <v>331</v>
      </c>
      <c r="AP113" s="187">
        <f>IFERROR(__xludf.DUMMYFUNCTION("""COMPUTED_VALUE"""),76.0)</f>
        <v>76</v>
      </c>
      <c r="AQ113" s="217">
        <f>IFERROR(__xludf.DUMMYFUNCTION("""COMPUTED_VALUE"""),85574.5)</f>
        <v>85574.5</v>
      </c>
      <c r="AR113" s="188">
        <f>IFERROR(__xludf.DUMMYFUNCTION("""COMPUTED_VALUE"""),4.355263157894737)</f>
        <v>4.355263158</v>
      </c>
      <c r="AS113" s="217">
        <f>IFERROR(__xludf.DUMMYFUNCTION("""COMPUTED_VALUE"""),100704.0)</f>
        <v>100704</v>
      </c>
      <c r="AT113" s="217"/>
      <c r="AU113" s="218">
        <f>IFERROR(__xludf.DUMMYFUNCTION("""COMPUTED_VALUE"""),0.015484199517133578)</f>
        <v>0.01548419952</v>
      </c>
      <c r="AV113" s="217">
        <f>IFERROR(__xludf.DUMMYFUNCTION("""COMPUTED_VALUE"""),144525.82222222222)</f>
        <v>144525.8222</v>
      </c>
      <c r="AW113" s="219">
        <f>IFERROR(__xludf.DUMMYFUNCTION("""COMPUTED_VALUE"""),108.0)</f>
        <v>108</v>
      </c>
      <c r="AX113" s="219">
        <f>IFERROR(__xludf.DUMMYFUNCTION("""COMPUTED_VALUE"""),708.0)</f>
        <v>708</v>
      </c>
      <c r="AY113" s="262">
        <f>IFERROR(__xludf.DUMMYFUNCTION("""COMPUTED_VALUE"""),4478.17)</f>
        <v>4478.17</v>
      </c>
      <c r="AZ113" s="263">
        <f>IFERROR(__xludf.DUMMYFUNCTION("""COMPUTED_VALUE"""),64.0)</f>
        <v>64</v>
      </c>
      <c r="BA113" s="263">
        <f>IFERROR(__xludf.DUMMYFUNCTION("""COMPUTED_VALUE"""),45.0)</f>
        <v>45</v>
      </c>
      <c r="BB113" s="263">
        <f>IFERROR(__xludf.DUMMYFUNCTION("""COMPUTED_VALUE"""),31.0)</f>
        <v>31</v>
      </c>
      <c r="BC113" s="263">
        <f>IFERROR(__xludf.DUMMYFUNCTION("""COMPUTED_VALUE"""),12.0)</f>
        <v>12</v>
      </c>
      <c r="BD113" s="258"/>
      <c r="BE113" s="258"/>
      <c r="BF113" s="255" t="e">
        <v>#REF!</v>
      </c>
      <c r="BG113" s="256">
        <f t="shared" si="4"/>
        <v>6503662</v>
      </c>
      <c r="BH113" s="257" t="str">
        <f t="shared" si="5"/>
        <v>#REF!</v>
      </c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</row>
    <row r="114">
      <c r="A114" s="6" t="str">
        <f>IFERROR(__xludf.DUMMYFUNCTION("""COMPUTED_VALUE"""),"Sandeep Dadheech")</f>
        <v>Sandeep Dadheech</v>
      </c>
      <c r="B114" s="98" t="str">
        <f>IFERROR(__xludf.DUMMYFUNCTION("""COMPUTED_VALUE"""),"Bihar")</f>
        <v>Bihar</v>
      </c>
      <c r="C114" s="212" t="str">
        <f>IFERROR(__xludf.DUMMYFUNCTION("""COMPUTED_VALUE"""),"Vijay Kumar")</f>
        <v>Vijay Kumar</v>
      </c>
      <c r="D114" s="98" t="str">
        <f>IFERROR(__xludf.DUMMYFUNCTION("""COMPUTED_VALUE"""),"Katihar")</f>
        <v>Katihar</v>
      </c>
      <c r="E114" s="213">
        <f>IFERROR(__xludf.DUMMYFUNCTION("""COMPUTED_VALUE"""),45640.0)</f>
        <v>45640</v>
      </c>
      <c r="F114" s="222" t="str">
        <f>IFERROR(__xludf.DUMMYFUNCTION("""COMPUTED_VALUE"""),"BIHAR")</f>
        <v>BIHAR</v>
      </c>
      <c r="G114" s="215">
        <f>IFERROR(__xludf.DUMMYFUNCTION("""COMPUTED_VALUE"""),1.814205358E7)</f>
        <v>18142053.58</v>
      </c>
      <c r="H114" s="215">
        <f>IFERROR(__xludf.DUMMYFUNCTION("""COMPUTED_VALUE"""),1.997261582E7)</f>
        <v>19972615.82</v>
      </c>
      <c r="I114" s="216">
        <f>IFERROR(__xludf.DUMMYFUNCTION("""COMPUTED_VALUE"""),28850.0)</f>
        <v>28850</v>
      </c>
      <c r="J114" s="216">
        <f>IFERROR(__xludf.DUMMYFUNCTION("""COMPUTED_VALUE"""),2166667.0)</f>
        <v>2166667</v>
      </c>
      <c r="K114" s="217">
        <f>IFERROR(__xludf.DUMMYFUNCTION("""COMPUTED_VALUE"""),0.0)</f>
        <v>0</v>
      </c>
      <c r="L114" s="217">
        <f>IFERROR(__xludf.DUMMYFUNCTION("""COMPUTED_VALUE"""),6500001.0)</f>
        <v>6500001</v>
      </c>
      <c r="M114" s="217">
        <f>IFERROR(__xludf.DUMMYFUNCTION("""COMPUTED_VALUE"""),3336168.0)</f>
        <v>3336168</v>
      </c>
      <c r="N114" s="217">
        <f>IFERROR(__xludf.DUMMYFUNCTION("""COMPUTED_VALUE"""),0.0)</f>
        <v>0</v>
      </c>
      <c r="O114" s="217">
        <f>IFERROR(__xludf.DUMMYFUNCTION("""COMPUTED_VALUE"""),3336738.0)</f>
        <v>3336738</v>
      </c>
      <c r="P114" s="218">
        <f>IFERROR(__xludf.DUMMYFUNCTION("""COMPUTED_VALUE"""),0.5132565364220714)</f>
        <v>0.5132565364</v>
      </c>
      <c r="Q114" s="218">
        <f>IFERROR(__xludf.DUMMYFUNCTION("""COMPUTED_VALUE"""),0.0)</f>
        <v>0</v>
      </c>
      <c r="R114" s="218">
        <f>IFERROR(__xludf.DUMMYFUNCTION("""COMPUTED_VALUE"""),0.5133442287162725)</f>
        <v>0.5133442287</v>
      </c>
      <c r="S114" s="187">
        <f>IFERROR(__xludf.DUMMYFUNCTION("""COMPUTED_VALUE"""),23.0)</f>
        <v>23</v>
      </c>
      <c r="T114" s="187">
        <f>IFERROR(__xludf.DUMMYFUNCTION("""COMPUTED_VALUE"""),22.0)</f>
        <v>22</v>
      </c>
      <c r="U114" s="187">
        <f>IFERROR(__xludf.DUMMYFUNCTION("""COMPUTED_VALUE"""),0.0)</f>
        <v>0</v>
      </c>
      <c r="V114" s="187">
        <f>IFERROR(__xludf.DUMMYFUNCTION("""COMPUTED_VALUE"""),0.0)</f>
        <v>0</v>
      </c>
      <c r="W114" s="187">
        <f>IFERROR(__xludf.DUMMYFUNCTION("""COMPUTED_VALUE"""),23.0)</f>
        <v>23</v>
      </c>
      <c r="X114" s="187">
        <f>IFERROR(__xludf.DUMMYFUNCTION("""COMPUTED_VALUE"""),1.0)</f>
        <v>1</v>
      </c>
      <c r="Y114" s="188">
        <f>IFERROR(__xludf.DUMMYFUNCTION("""COMPUTED_VALUE"""),3336168.24)</f>
        <v>3336168.24</v>
      </c>
      <c r="Z114" s="188">
        <f>IFERROR(__xludf.DUMMYFUNCTION("""COMPUTED_VALUE"""),0.0)</f>
        <v>0</v>
      </c>
      <c r="AA114" s="187">
        <f>IFERROR(__xludf.DUMMYFUNCTION("""COMPUTED_VALUE"""),16.0)</f>
        <v>16</v>
      </c>
      <c r="AB114" s="187">
        <f>IFERROR(__xludf.DUMMYFUNCTION("""COMPUTED_VALUE"""),0.0)</f>
        <v>0</v>
      </c>
      <c r="AC114" s="187">
        <f>IFERROR(__xludf.DUMMYFUNCTION("""COMPUTED_VALUE"""),16.0)</f>
        <v>16</v>
      </c>
      <c r="AD114" s="187">
        <f>IFERROR(__xludf.DUMMYFUNCTION("""COMPUTED_VALUE"""),0.0)</f>
        <v>0</v>
      </c>
      <c r="AE114" s="187">
        <f>IFERROR(__xludf.DUMMYFUNCTION("""COMPUTED_VALUE"""),21.0)</f>
        <v>21</v>
      </c>
      <c r="AF114" s="187">
        <f>IFERROR(__xludf.DUMMYFUNCTION("""COMPUTED_VALUE"""),26.0)</f>
        <v>26</v>
      </c>
      <c r="AG114" s="187">
        <f>IFERROR(__xludf.DUMMYFUNCTION("""COMPUTED_VALUE"""),97.0)</f>
        <v>97</v>
      </c>
      <c r="AH114" s="187">
        <f>IFERROR(__xludf.DUMMYFUNCTION("""COMPUTED_VALUE"""),1.0)</f>
        <v>1</v>
      </c>
      <c r="AI114" s="187">
        <f>IFERROR(__xludf.DUMMYFUNCTION("""COMPUTED_VALUE"""),3.0)</f>
        <v>3</v>
      </c>
      <c r="AJ114" s="187">
        <f>IFERROR(__xludf.DUMMYFUNCTION("""COMPUTED_VALUE"""),0.0)</f>
        <v>0</v>
      </c>
      <c r="AK114" s="187">
        <f>IFERROR(__xludf.DUMMYFUNCTION("""COMPUTED_VALUE"""),0.0)</f>
        <v>0</v>
      </c>
      <c r="AL114" s="187">
        <f>IFERROR(__xludf.DUMMYFUNCTION("""COMPUTED_VALUE"""),0.0)</f>
        <v>0</v>
      </c>
      <c r="AM114" s="187">
        <f>IFERROR(__xludf.DUMMYFUNCTION("""COMPUTED_VALUE"""),0.0)</f>
        <v>0</v>
      </c>
      <c r="AN114" s="187">
        <f>IFERROR(__xludf.DUMMYFUNCTION("""COMPUTED_VALUE"""),174.0)</f>
        <v>174</v>
      </c>
      <c r="AO114" s="187">
        <f>IFERROR(__xludf.DUMMYFUNCTION("""COMPUTED_VALUE"""),203.0)</f>
        <v>203</v>
      </c>
      <c r="AP114" s="187">
        <f>IFERROR(__xludf.DUMMYFUNCTION("""COMPUTED_VALUE"""),63.0)</f>
        <v>63</v>
      </c>
      <c r="AQ114" s="217">
        <f>IFERROR(__xludf.DUMMYFUNCTION("""COMPUTED_VALUE"""),52955.04761904762)</f>
        <v>52955.04762</v>
      </c>
      <c r="AR114" s="188">
        <f>IFERROR(__xludf.DUMMYFUNCTION("""COMPUTED_VALUE"""),3.2222222222222223)</f>
        <v>3.222222222</v>
      </c>
      <c r="AS114" s="217">
        <f>IFERROR(__xludf.DUMMYFUNCTION("""COMPUTED_VALUE"""),86550.0)</f>
        <v>86550</v>
      </c>
      <c r="AT114" s="217"/>
      <c r="AU114" s="218">
        <f>IFERROR(__xludf.DUMMYFUNCTION("""COMPUTED_VALUE"""),0.025942938125418143)</f>
        <v>0.02594293813</v>
      </c>
      <c r="AV114" s="217">
        <f>IFERROR(__xludf.DUMMYFUNCTION("""COMPUTED_VALUE"""),208510.5)</f>
        <v>208510.5</v>
      </c>
      <c r="AW114" s="219">
        <f>IFERROR(__xludf.DUMMYFUNCTION("""COMPUTED_VALUE"""),51.0)</f>
        <v>51</v>
      </c>
      <c r="AX114" s="219">
        <f>IFERROR(__xludf.DUMMYFUNCTION("""COMPUTED_VALUE"""),697.0)</f>
        <v>697</v>
      </c>
      <c r="AY114" s="262">
        <f>IFERROR(__xludf.DUMMYFUNCTION("""COMPUTED_VALUE"""),4009.02)</f>
        <v>4009.02</v>
      </c>
      <c r="AZ114" s="263">
        <f>IFERROR(__xludf.DUMMYFUNCTION("""COMPUTED_VALUE"""),182.0)</f>
        <v>182</v>
      </c>
      <c r="BA114" s="263">
        <f>IFERROR(__xludf.DUMMYFUNCTION("""COMPUTED_VALUE"""),16.0)</f>
        <v>16</v>
      </c>
      <c r="BB114" s="263">
        <f>IFERROR(__xludf.DUMMYFUNCTION("""COMPUTED_VALUE"""),6.0)</f>
        <v>6</v>
      </c>
      <c r="BC114" s="263">
        <f>IFERROR(__xludf.DUMMYFUNCTION("""COMPUTED_VALUE"""),1.0)</f>
        <v>1</v>
      </c>
      <c r="BD114" s="265"/>
      <c r="BE114" s="258"/>
      <c r="BF114" s="255" t="e">
        <v>#REF!</v>
      </c>
      <c r="BG114" s="256">
        <f t="shared" si="4"/>
        <v>3336168</v>
      </c>
      <c r="BH114" s="257" t="str">
        <f t="shared" si="5"/>
        <v>#REF!</v>
      </c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</row>
    <row r="115">
      <c r="A115" s="6" t="str">
        <f>IFERROR(__xludf.DUMMYFUNCTION("""COMPUTED_VALUE"""),"Anant Singh")</f>
        <v>Anant Singh</v>
      </c>
      <c r="B115" s="98" t="str">
        <f>IFERROR(__xludf.DUMMYFUNCTION("""COMPUTED_VALUE"""),"Uttarakhand")</f>
        <v>Uttarakhand</v>
      </c>
      <c r="C115" s="212" t="str">
        <f>IFERROR(__xludf.DUMMYFUNCTION("""COMPUTED_VALUE"""),"Ashutosh Kumar (Rudrapur)")</f>
        <v>Ashutosh Kumar (Rudrapur)</v>
      </c>
      <c r="D115" s="98" t="str">
        <f>IFERROR(__xludf.DUMMYFUNCTION("""COMPUTED_VALUE"""),"Rudrapur")</f>
        <v>Rudrapur</v>
      </c>
      <c r="E115" s="213">
        <f>IFERROR(__xludf.DUMMYFUNCTION("""COMPUTED_VALUE"""),45658.0)</f>
        <v>45658</v>
      </c>
      <c r="F115" s="222" t="str">
        <f>IFERROR(__xludf.DUMMYFUNCTION("""COMPUTED_VALUE"""),"UTTARAKHAND")</f>
        <v>UTTARAKHAND</v>
      </c>
      <c r="G115" s="215">
        <f>IFERROR(__xludf.DUMMYFUNCTION("""COMPUTED_VALUE"""),7218770.52)</f>
        <v>7218770.52</v>
      </c>
      <c r="H115" s="215">
        <f>IFERROR(__xludf.DUMMYFUNCTION("""COMPUTED_VALUE"""),7122755.0)</f>
        <v>7122755</v>
      </c>
      <c r="I115" s="216">
        <f>IFERROR(__xludf.DUMMYFUNCTION("""COMPUTED_VALUE"""),31455.0)</f>
        <v>31455</v>
      </c>
      <c r="J115" s="216">
        <f>IFERROR(__xludf.DUMMYFUNCTION("""COMPUTED_VALUE"""),1400000.0)</f>
        <v>1400000</v>
      </c>
      <c r="K115" s="217">
        <f>IFERROR(__xludf.DUMMYFUNCTION("""COMPUTED_VALUE"""),0.0)</f>
        <v>0</v>
      </c>
      <c r="L115" s="217">
        <f>IFERROR(__xludf.DUMMYFUNCTION("""COMPUTED_VALUE"""),4200000.0)</f>
        <v>4200000</v>
      </c>
      <c r="M115" s="217">
        <f>IFERROR(__xludf.DUMMYFUNCTION("""COMPUTED_VALUE"""),1633199.0)</f>
        <v>1633199</v>
      </c>
      <c r="N115" s="217">
        <f>IFERROR(__xludf.DUMMYFUNCTION("""COMPUTED_VALUE"""),491489.19)</f>
        <v>491489.19</v>
      </c>
      <c r="O115" s="217">
        <f>IFERROR(__xludf.DUMMYFUNCTION("""COMPUTED_VALUE"""),2329983.0)</f>
        <v>2329983</v>
      </c>
      <c r="P115" s="218">
        <f>IFERROR(__xludf.DUMMYFUNCTION("""COMPUTED_VALUE"""),0.5058781404761905)</f>
        <v>0.5058781405</v>
      </c>
      <c r="Q115" s="218">
        <f>IFERROR(__xludf.DUMMYFUNCTION("""COMPUTED_VALUE"""),0.0)</f>
        <v>0</v>
      </c>
      <c r="R115" s="218">
        <f>IFERROR(__xludf.DUMMYFUNCTION("""COMPUTED_VALUE"""),0.5547578571428572)</f>
        <v>0.5547578571</v>
      </c>
      <c r="S115" s="187">
        <f>IFERROR(__xludf.DUMMYFUNCTION("""COMPUTED_VALUE"""),86.0)</f>
        <v>86</v>
      </c>
      <c r="T115" s="187">
        <f>IFERROR(__xludf.DUMMYFUNCTION("""COMPUTED_VALUE"""),80.0)</f>
        <v>80</v>
      </c>
      <c r="U115" s="187">
        <f>IFERROR(__xludf.DUMMYFUNCTION("""COMPUTED_VALUE"""),12.0)</f>
        <v>12</v>
      </c>
      <c r="V115" s="187">
        <f>IFERROR(__xludf.DUMMYFUNCTION("""COMPUTED_VALUE"""),12.0)</f>
        <v>12</v>
      </c>
      <c r="W115" s="187">
        <f>IFERROR(__xludf.DUMMYFUNCTION("""COMPUTED_VALUE"""),98.0)</f>
        <v>98</v>
      </c>
      <c r="X115" s="187">
        <f>IFERROR(__xludf.DUMMYFUNCTION("""COMPUTED_VALUE"""),18.0)</f>
        <v>18</v>
      </c>
      <c r="Y115" s="188">
        <f>IFERROR(__xludf.DUMMYFUNCTION("""COMPUTED_VALUE"""),1319259.92)</f>
        <v>1319259.92</v>
      </c>
      <c r="Z115" s="188">
        <f>IFERROR(__xludf.DUMMYFUNCTION("""COMPUTED_VALUE"""),313939.0)</f>
        <v>313939</v>
      </c>
      <c r="AA115" s="187">
        <f>IFERROR(__xludf.DUMMYFUNCTION("""COMPUTED_VALUE"""),35.0)</f>
        <v>35</v>
      </c>
      <c r="AB115" s="187">
        <f>IFERROR(__xludf.DUMMYFUNCTION("""COMPUTED_VALUE"""),12.0)</f>
        <v>12</v>
      </c>
      <c r="AC115" s="187">
        <f>IFERROR(__xludf.DUMMYFUNCTION("""COMPUTED_VALUE"""),47.0)</f>
        <v>47</v>
      </c>
      <c r="AD115" s="187">
        <f>IFERROR(__xludf.DUMMYFUNCTION("""COMPUTED_VALUE"""),1.0)</f>
        <v>1</v>
      </c>
      <c r="AE115" s="187">
        <f>IFERROR(__xludf.DUMMYFUNCTION("""COMPUTED_VALUE"""),87.0)</f>
        <v>87</v>
      </c>
      <c r="AF115" s="187">
        <f>IFERROR(__xludf.DUMMYFUNCTION("""COMPUTED_VALUE"""),112.0)</f>
        <v>112</v>
      </c>
      <c r="AG115" s="187">
        <f>IFERROR(__xludf.DUMMYFUNCTION("""COMPUTED_VALUE"""),187.0)</f>
        <v>187</v>
      </c>
      <c r="AH115" s="187">
        <f>IFERROR(__xludf.DUMMYFUNCTION("""COMPUTED_VALUE"""),6.0)</f>
        <v>6</v>
      </c>
      <c r="AI115" s="187">
        <f>IFERROR(__xludf.DUMMYFUNCTION("""COMPUTED_VALUE"""),32.0)</f>
        <v>32</v>
      </c>
      <c r="AJ115" s="187">
        <f>IFERROR(__xludf.DUMMYFUNCTION("""COMPUTED_VALUE"""),2.0)</f>
        <v>2</v>
      </c>
      <c r="AK115" s="187">
        <f>IFERROR(__xludf.DUMMYFUNCTION("""COMPUTED_VALUE"""),3.0)</f>
        <v>3</v>
      </c>
      <c r="AL115" s="187">
        <f>IFERROR(__xludf.DUMMYFUNCTION("""COMPUTED_VALUE"""),38.0)</f>
        <v>38</v>
      </c>
      <c r="AM115" s="187">
        <f>IFERROR(__xludf.DUMMYFUNCTION("""COMPUTED_VALUE"""),77.0)</f>
        <v>77</v>
      </c>
      <c r="AN115" s="187">
        <f>IFERROR(__xludf.DUMMYFUNCTION("""COMPUTED_VALUE"""),192.0)</f>
        <v>192</v>
      </c>
      <c r="AO115" s="187">
        <f>IFERROR(__xludf.DUMMYFUNCTION("""COMPUTED_VALUE"""),416.0)</f>
        <v>416</v>
      </c>
      <c r="AP115" s="187">
        <f>IFERROR(__xludf.DUMMYFUNCTION("""COMPUTED_VALUE"""),72.0)</f>
        <v>72</v>
      </c>
      <c r="AQ115" s="217">
        <f>IFERROR(__xludf.DUMMYFUNCTION("""COMPUTED_VALUE"""),29509.558194444442)</f>
        <v>29509.55819</v>
      </c>
      <c r="AR115" s="188">
        <f>IFERROR(__xludf.DUMMYFUNCTION("""COMPUTED_VALUE"""),5.777777777777778)</f>
        <v>5.777777778</v>
      </c>
      <c r="AS115" s="217">
        <f>IFERROR(__xludf.DUMMYFUNCTION("""COMPUTED_VALUE"""),94365.0)</f>
        <v>94365</v>
      </c>
      <c r="AT115" s="217"/>
      <c r="AU115" s="218">
        <f>IFERROR(__xludf.DUMMYFUNCTION("""COMPUTED_VALUE"""),0.044413575810387504)</f>
        <v>0.04441357581</v>
      </c>
      <c r="AV115" s="217">
        <f>IFERROR(__xludf.DUMMYFUNCTION("""COMPUTED_VALUE"""),34748.914893617024)</f>
        <v>34748.91489</v>
      </c>
      <c r="AW115" s="219">
        <f>IFERROR(__xludf.DUMMYFUNCTION("""COMPUTED_VALUE"""),68.0)</f>
        <v>68</v>
      </c>
      <c r="AX115" s="219">
        <f>IFERROR(__xludf.DUMMYFUNCTION("""COMPUTED_VALUE"""),727.0)</f>
        <v>727</v>
      </c>
      <c r="AY115" s="262">
        <f>IFERROR(__xludf.DUMMYFUNCTION("""COMPUTED_VALUE"""),8079.81)</f>
        <v>8079.81</v>
      </c>
      <c r="AZ115" s="263">
        <f>IFERROR(__xludf.DUMMYFUNCTION("""COMPUTED_VALUE"""),101.0)</f>
        <v>101</v>
      </c>
      <c r="BA115" s="263">
        <f>IFERROR(__xludf.DUMMYFUNCTION("""COMPUTED_VALUE"""),47.0)</f>
        <v>47</v>
      </c>
      <c r="BB115" s="263">
        <f>IFERROR(__xludf.DUMMYFUNCTION("""COMPUTED_VALUE"""),36.0)</f>
        <v>36</v>
      </c>
      <c r="BC115" s="263">
        <f>IFERROR(__xludf.DUMMYFUNCTION("""COMPUTED_VALUE"""),15.0)</f>
        <v>15</v>
      </c>
      <c r="BD115" s="258"/>
      <c r="BE115" s="258"/>
      <c r="BF115" s="255" t="e">
        <v>#REF!</v>
      </c>
      <c r="BG115" s="256">
        <f t="shared" si="4"/>
        <v>2124688.19</v>
      </c>
      <c r="BH115" s="257" t="str">
        <f t="shared" si="5"/>
        <v>#REF!</v>
      </c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</row>
    <row r="116">
      <c r="A116" s="6" t="str">
        <f>IFERROR(__xludf.DUMMYFUNCTION("""COMPUTED_VALUE"""),"Syed Aqil Rizvi")</f>
        <v>Syed Aqil Rizvi</v>
      </c>
      <c r="B116" s="98" t="str">
        <f>IFERROR(__xludf.DUMMYFUNCTION("""COMPUTED_VALUE"""),"Madhya Pradesh")</f>
        <v>Madhya Pradesh</v>
      </c>
      <c r="C116" s="212" t="str">
        <f>IFERROR(__xludf.DUMMYFUNCTION("""COMPUTED_VALUE"""),"Manoj Yadav")</f>
        <v>Manoj Yadav</v>
      </c>
      <c r="D116" s="98" t="str">
        <f>IFERROR(__xludf.DUMMYFUNCTION("""COMPUTED_VALUE"""),"Bhopal")</f>
        <v>Bhopal</v>
      </c>
      <c r="E116" s="213">
        <f>IFERROR(__xludf.DUMMYFUNCTION("""COMPUTED_VALUE"""),45658.0)</f>
        <v>45658</v>
      </c>
      <c r="F116" s="222" t="str">
        <f>IFERROR(__xludf.DUMMYFUNCTION("""COMPUTED_VALUE"""),"MADHYA PRADESH")</f>
        <v>MADHYA PRADESH</v>
      </c>
      <c r="G116" s="215">
        <f>IFERROR(__xludf.DUMMYFUNCTION("""COMPUTED_VALUE"""),6786619.64)</f>
        <v>6786619.64</v>
      </c>
      <c r="H116" s="215">
        <f>IFERROR(__xludf.DUMMYFUNCTION("""COMPUTED_VALUE"""),5232734.0)</f>
        <v>5232734</v>
      </c>
      <c r="I116" s="216">
        <f>IFERROR(__xludf.DUMMYFUNCTION("""COMPUTED_VALUE"""),36188.0)</f>
        <v>36188</v>
      </c>
      <c r="J116" s="216">
        <f>IFERROR(__xludf.DUMMYFUNCTION("""COMPUTED_VALUE"""),1200000.0)</f>
        <v>1200000</v>
      </c>
      <c r="K116" s="217">
        <f>IFERROR(__xludf.DUMMYFUNCTION("""COMPUTED_VALUE"""),0.0)</f>
        <v>0</v>
      </c>
      <c r="L116" s="217">
        <f>IFERROR(__xludf.DUMMYFUNCTION("""COMPUTED_VALUE"""),3600000.0)</f>
        <v>3600000</v>
      </c>
      <c r="M116" s="217">
        <f>IFERROR(__xludf.DUMMYFUNCTION("""COMPUTED_VALUE"""),1321966.0)</f>
        <v>1321966</v>
      </c>
      <c r="N116" s="217">
        <f>IFERROR(__xludf.DUMMYFUNCTION("""COMPUTED_VALUE"""),0.0)</f>
        <v>0</v>
      </c>
      <c r="O116" s="217">
        <f>IFERROR(__xludf.DUMMYFUNCTION("""COMPUTED_VALUE"""),549105.0)</f>
        <v>549105</v>
      </c>
      <c r="P116" s="218">
        <f>IFERROR(__xludf.DUMMYFUNCTION("""COMPUTED_VALUE"""),0.3672127777777778)</f>
        <v>0.3672127778</v>
      </c>
      <c r="Q116" s="218">
        <f>IFERROR(__xludf.DUMMYFUNCTION("""COMPUTED_VALUE"""),0.0)</f>
        <v>0</v>
      </c>
      <c r="R116" s="218">
        <f>IFERROR(__xludf.DUMMYFUNCTION("""COMPUTED_VALUE"""),0.15252916666666666)</f>
        <v>0.1525291667</v>
      </c>
      <c r="S116" s="187">
        <f>IFERROR(__xludf.DUMMYFUNCTION("""COMPUTED_VALUE"""),58.0)</f>
        <v>58</v>
      </c>
      <c r="T116" s="187">
        <f>IFERROR(__xludf.DUMMYFUNCTION("""COMPUTED_VALUE"""),51.0)</f>
        <v>51</v>
      </c>
      <c r="U116" s="187">
        <f>IFERROR(__xludf.DUMMYFUNCTION("""COMPUTED_VALUE"""),1.0)</f>
        <v>1</v>
      </c>
      <c r="V116" s="187">
        <f>IFERROR(__xludf.DUMMYFUNCTION("""COMPUTED_VALUE"""),1.0)</f>
        <v>1</v>
      </c>
      <c r="W116" s="187">
        <f>IFERROR(__xludf.DUMMYFUNCTION("""COMPUTED_VALUE"""),59.0)</f>
        <v>59</v>
      </c>
      <c r="X116" s="187">
        <f>IFERROR(__xludf.DUMMYFUNCTION("""COMPUTED_VALUE"""),8.0)</f>
        <v>8</v>
      </c>
      <c r="Y116" s="188">
        <f>IFERROR(__xludf.DUMMYFUNCTION("""COMPUTED_VALUE"""),1242574.77)</f>
        <v>1242574.77</v>
      </c>
      <c r="Z116" s="188">
        <f>IFERROR(__xludf.DUMMYFUNCTION("""COMPUTED_VALUE"""),79391.69)</f>
        <v>79391.69</v>
      </c>
      <c r="AA116" s="187">
        <f>IFERROR(__xludf.DUMMYFUNCTION("""COMPUTED_VALUE"""),18.0)</f>
        <v>18</v>
      </c>
      <c r="AB116" s="187">
        <f>IFERROR(__xludf.DUMMYFUNCTION("""COMPUTED_VALUE"""),1.0)</f>
        <v>1</v>
      </c>
      <c r="AC116" s="187">
        <f>IFERROR(__xludf.DUMMYFUNCTION("""COMPUTED_VALUE"""),19.0)</f>
        <v>19</v>
      </c>
      <c r="AD116" s="187">
        <f>IFERROR(__xludf.DUMMYFUNCTION("""COMPUTED_VALUE"""),0.0)</f>
        <v>0</v>
      </c>
      <c r="AE116" s="187">
        <f>IFERROR(__xludf.DUMMYFUNCTION("""COMPUTED_VALUE"""),63.0)</f>
        <v>63</v>
      </c>
      <c r="AF116" s="187">
        <f>IFERROR(__xludf.DUMMYFUNCTION("""COMPUTED_VALUE"""),110.0)</f>
        <v>110</v>
      </c>
      <c r="AG116" s="187">
        <f>IFERROR(__xludf.DUMMYFUNCTION("""COMPUTED_VALUE"""),268.0)</f>
        <v>268</v>
      </c>
      <c r="AH116" s="187">
        <f>IFERROR(__xludf.DUMMYFUNCTION("""COMPUTED_VALUE"""),1.0)</f>
        <v>1</v>
      </c>
      <c r="AI116" s="187">
        <f>IFERROR(__xludf.DUMMYFUNCTION("""COMPUTED_VALUE"""),7.0)</f>
        <v>7</v>
      </c>
      <c r="AJ116" s="187">
        <f>IFERROR(__xludf.DUMMYFUNCTION("""COMPUTED_VALUE"""),0.0)</f>
        <v>0</v>
      </c>
      <c r="AK116" s="187">
        <f>IFERROR(__xludf.DUMMYFUNCTION("""COMPUTED_VALUE"""),0.0)</f>
        <v>0</v>
      </c>
      <c r="AL116" s="187">
        <f>IFERROR(__xludf.DUMMYFUNCTION("""COMPUTED_VALUE"""),0.0)</f>
        <v>0</v>
      </c>
      <c r="AM116" s="187">
        <f>IFERROR(__xludf.DUMMYFUNCTION("""COMPUTED_VALUE"""),0.0)</f>
        <v>0</v>
      </c>
      <c r="AN116" s="187">
        <f>IFERROR(__xludf.DUMMYFUNCTION("""COMPUTED_VALUE"""),217.0)</f>
        <v>217</v>
      </c>
      <c r="AO116" s="187">
        <f>IFERROR(__xludf.DUMMYFUNCTION("""COMPUTED_VALUE"""),334.0)</f>
        <v>334</v>
      </c>
      <c r="AP116" s="187">
        <f>IFERROR(__xludf.DUMMYFUNCTION("""COMPUTED_VALUE"""),72.0)</f>
        <v>72</v>
      </c>
      <c r="AQ116" s="217">
        <f>IFERROR(__xludf.DUMMYFUNCTION("""COMPUTED_VALUE"""),18360.63888888889)</f>
        <v>18360.63889</v>
      </c>
      <c r="AR116" s="188">
        <f>IFERROR(__xludf.DUMMYFUNCTION("""COMPUTED_VALUE"""),4.638888888888889)</f>
        <v>4.638888889</v>
      </c>
      <c r="AS116" s="217">
        <f>IFERROR(__xludf.DUMMYFUNCTION("""COMPUTED_VALUE"""),108564.0)</f>
        <v>108564</v>
      </c>
      <c r="AT116" s="217"/>
      <c r="AU116" s="218">
        <f>IFERROR(__xludf.DUMMYFUNCTION("""COMPUTED_VALUE"""),0.08212314083720762)</f>
        <v>0.08212314084</v>
      </c>
      <c r="AV116" s="217">
        <f>IFERROR(__xludf.DUMMYFUNCTION("""COMPUTED_VALUE"""),69577.15789473684)</f>
        <v>69577.15789</v>
      </c>
      <c r="AW116" s="219">
        <f>IFERROR(__xludf.DUMMYFUNCTION("""COMPUTED_VALUE"""),43.0)</f>
        <v>43</v>
      </c>
      <c r="AX116" s="219">
        <f>IFERROR(__xludf.DUMMYFUNCTION("""COMPUTED_VALUE"""),512.0)</f>
        <v>512</v>
      </c>
      <c r="AY116" s="262">
        <f>IFERROR(__xludf.DUMMYFUNCTION("""COMPUTED_VALUE"""),5434.88)</f>
        <v>5434.88</v>
      </c>
      <c r="AZ116" s="263">
        <f>IFERROR(__xludf.DUMMYFUNCTION("""COMPUTED_VALUE"""),107.0)</f>
        <v>107</v>
      </c>
      <c r="BA116" s="263">
        <f>IFERROR(__xludf.DUMMYFUNCTION("""COMPUTED_VALUE"""),19.0)</f>
        <v>19</v>
      </c>
      <c r="BB116" s="263">
        <f>IFERROR(__xludf.DUMMYFUNCTION("""COMPUTED_VALUE"""),34.0)</f>
        <v>34</v>
      </c>
      <c r="BC116" s="263">
        <f>IFERROR(__xludf.DUMMYFUNCTION("""COMPUTED_VALUE"""),6.0)</f>
        <v>6</v>
      </c>
      <c r="BD116" s="258"/>
      <c r="BE116" s="258"/>
      <c r="BF116" s="255" t="e">
        <v>#REF!</v>
      </c>
      <c r="BG116" s="256">
        <f t="shared" si="4"/>
        <v>1321966</v>
      </c>
      <c r="BH116" s="257" t="str">
        <f t="shared" si="5"/>
        <v>#REF!</v>
      </c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</row>
    <row r="117">
      <c r="A117" s="6" t="str">
        <f>IFERROR(__xludf.DUMMYFUNCTION("""COMPUTED_VALUE"""),"Sulinder Pal")</f>
        <v>Sulinder Pal</v>
      </c>
      <c r="B117" s="98" t="str">
        <f>IFERROR(__xludf.DUMMYFUNCTION("""COMPUTED_VALUE"""),"Himachal Pradesh")</f>
        <v>Himachal Pradesh</v>
      </c>
      <c r="C117" s="212" t="str">
        <f>IFERROR(__xludf.DUMMYFUNCTION("""COMPUTED_VALUE"""),"Ritesh Thakur")</f>
        <v>Ritesh Thakur</v>
      </c>
      <c r="D117" s="98" t="str">
        <f>IFERROR(__xludf.DUMMYFUNCTION("""COMPUTED_VALUE"""),"Mandi")</f>
        <v>Mandi</v>
      </c>
      <c r="E117" s="213">
        <f>IFERROR(__xludf.DUMMYFUNCTION("""COMPUTED_VALUE"""),45663.0)</f>
        <v>45663</v>
      </c>
      <c r="F117" s="222" t="str">
        <f>IFERROR(__xludf.DUMMYFUNCTION("""COMPUTED_VALUE"""),"HIMACHAL PRADESH")</f>
        <v>HIMACHAL PRADESH</v>
      </c>
      <c r="G117" s="215"/>
      <c r="H117" s="215"/>
      <c r="I117" s="216">
        <f>IFERROR(__xludf.DUMMYFUNCTION("""COMPUTED_VALUE"""),66667.0)</f>
        <v>66667</v>
      </c>
      <c r="J117" s="216"/>
      <c r="K117" s="217">
        <f>IFERROR(__xludf.DUMMYFUNCTION("""COMPUTED_VALUE"""),0.0)</f>
        <v>0</v>
      </c>
      <c r="L117" s="217"/>
      <c r="M117" s="217">
        <f>IFERROR(__xludf.DUMMYFUNCTION("""COMPUTED_VALUE"""),0.0)</f>
        <v>0</v>
      </c>
      <c r="N117" s="217">
        <f>IFERROR(__xludf.DUMMYFUNCTION("""COMPUTED_VALUE"""),0.0)</f>
        <v>0</v>
      </c>
      <c r="O117" s="217"/>
      <c r="P117" s="218"/>
      <c r="Q117" s="218">
        <f>IFERROR(__xludf.DUMMYFUNCTION("""COMPUTED_VALUE"""),0.0)</f>
        <v>0</v>
      </c>
      <c r="R117" s="218"/>
      <c r="S117" s="187">
        <f>IFERROR(__xludf.DUMMYFUNCTION("""COMPUTED_VALUE"""),44.0)</f>
        <v>44</v>
      </c>
      <c r="T117" s="187">
        <f>IFERROR(__xludf.DUMMYFUNCTION("""COMPUTED_VALUE"""),29.0)</f>
        <v>29</v>
      </c>
      <c r="U117" s="187">
        <f>IFERROR(__xludf.DUMMYFUNCTION("""COMPUTED_VALUE"""),0.0)</f>
        <v>0</v>
      </c>
      <c r="V117" s="187">
        <f>IFERROR(__xludf.DUMMYFUNCTION("""COMPUTED_VALUE"""),0.0)</f>
        <v>0</v>
      </c>
      <c r="W117" s="187">
        <f>IFERROR(__xludf.DUMMYFUNCTION("""COMPUTED_VALUE"""),44.0)</f>
        <v>44</v>
      </c>
      <c r="X117" s="187">
        <f>IFERROR(__xludf.DUMMYFUNCTION("""COMPUTED_VALUE"""),15.0)</f>
        <v>15</v>
      </c>
      <c r="Y117" s="188">
        <f>IFERROR(__xludf.DUMMYFUNCTION("""COMPUTED_VALUE"""),0.0)</f>
        <v>0</v>
      </c>
      <c r="Z117" s="188">
        <f>IFERROR(__xludf.DUMMYFUNCTION("""COMPUTED_VALUE"""),0.0)</f>
        <v>0</v>
      </c>
      <c r="AA117" s="187">
        <f>IFERROR(__xludf.DUMMYFUNCTION("""COMPUTED_VALUE"""),0.0)</f>
        <v>0</v>
      </c>
      <c r="AB117" s="187">
        <f>IFERROR(__xludf.DUMMYFUNCTION("""COMPUTED_VALUE"""),0.0)</f>
        <v>0</v>
      </c>
      <c r="AC117" s="187">
        <f>IFERROR(__xludf.DUMMYFUNCTION("""COMPUTED_VALUE"""),0.0)</f>
        <v>0</v>
      </c>
      <c r="AD117" s="187">
        <f>IFERROR(__xludf.DUMMYFUNCTION("""COMPUTED_VALUE"""),0.0)</f>
        <v>0</v>
      </c>
      <c r="AE117" s="187">
        <f>IFERROR(__xludf.DUMMYFUNCTION("""COMPUTED_VALUE"""),56.0)</f>
        <v>56</v>
      </c>
      <c r="AF117" s="187">
        <f>IFERROR(__xludf.DUMMYFUNCTION("""COMPUTED_VALUE"""),71.0)</f>
        <v>71</v>
      </c>
      <c r="AG117" s="187">
        <f>IFERROR(__xludf.DUMMYFUNCTION("""COMPUTED_VALUE"""),101.0)</f>
        <v>101</v>
      </c>
      <c r="AH117" s="187">
        <f>IFERROR(__xludf.DUMMYFUNCTION("""COMPUTED_VALUE"""),3.0)</f>
        <v>3</v>
      </c>
      <c r="AI117" s="187">
        <f>IFERROR(__xludf.DUMMYFUNCTION("""COMPUTED_VALUE"""),45.0)</f>
        <v>45</v>
      </c>
      <c r="AJ117" s="187">
        <f>IFERROR(__xludf.DUMMYFUNCTION("""COMPUTED_VALUE"""),0.0)</f>
        <v>0</v>
      </c>
      <c r="AK117" s="187">
        <f>IFERROR(__xludf.DUMMYFUNCTION("""COMPUTED_VALUE"""),0.0)</f>
        <v>0</v>
      </c>
      <c r="AL117" s="187">
        <f>IFERROR(__xludf.DUMMYFUNCTION("""COMPUTED_VALUE"""),61.0)</f>
        <v>61</v>
      </c>
      <c r="AM117" s="187">
        <f>IFERROR(__xludf.DUMMYFUNCTION("""COMPUTED_VALUE"""),133.0)</f>
        <v>133</v>
      </c>
      <c r="AN117" s="187">
        <f>IFERROR(__xludf.DUMMYFUNCTION("""COMPUTED_VALUE"""),61.0)</f>
        <v>61</v>
      </c>
      <c r="AO117" s="187">
        <f>IFERROR(__xludf.DUMMYFUNCTION("""COMPUTED_VALUE"""),310.0)</f>
        <v>310</v>
      </c>
      <c r="AP117" s="187">
        <f>IFERROR(__xludf.DUMMYFUNCTION("""COMPUTED_VALUE"""),74.0)</f>
        <v>74</v>
      </c>
      <c r="AQ117" s="217">
        <f>IFERROR(__xludf.DUMMYFUNCTION("""COMPUTED_VALUE"""),0.0)</f>
        <v>0</v>
      </c>
      <c r="AR117" s="188">
        <f>IFERROR(__xludf.DUMMYFUNCTION("""COMPUTED_VALUE"""),4.1891891891891895)</f>
        <v>4.189189189</v>
      </c>
      <c r="AS117" s="217">
        <f>IFERROR(__xludf.DUMMYFUNCTION("""COMPUTED_VALUE"""),200001.0)</f>
        <v>200001</v>
      </c>
      <c r="AT117" s="217"/>
      <c r="AU117" s="218"/>
      <c r="AV117" s="217"/>
      <c r="AW117" s="219">
        <f>IFERROR(__xludf.DUMMYFUNCTION("""COMPUTED_VALUE"""),0.0)</f>
        <v>0</v>
      </c>
      <c r="AX117" s="219">
        <f>IFERROR(__xludf.DUMMYFUNCTION("""COMPUTED_VALUE"""),800.0)</f>
        <v>800</v>
      </c>
      <c r="AY117" s="262">
        <f>IFERROR(__xludf.DUMMYFUNCTION("""COMPUTED_VALUE"""),8268.35)</f>
        <v>8268.35</v>
      </c>
      <c r="AZ117" s="263">
        <f>IFERROR(__xludf.DUMMYFUNCTION("""COMPUTED_VALUE"""),285.0)</f>
        <v>285</v>
      </c>
      <c r="BA117" s="263">
        <f>IFERROR(__xludf.DUMMYFUNCTION("""COMPUTED_VALUE"""),0.0)</f>
        <v>0</v>
      </c>
      <c r="BB117" s="263">
        <f>IFERROR(__xludf.DUMMYFUNCTION("""COMPUTED_VALUE"""),29.0)</f>
        <v>29</v>
      </c>
      <c r="BC117" s="263">
        <f>IFERROR(__xludf.DUMMYFUNCTION("""COMPUTED_VALUE"""),15.0)</f>
        <v>15</v>
      </c>
      <c r="BD117" s="258"/>
      <c r="BE117" s="258"/>
      <c r="BF117" s="255" t="e">
        <v>#REF!</v>
      </c>
      <c r="BG117" s="256">
        <f t="shared" si="4"/>
        <v>0</v>
      </c>
      <c r="BH117" s="257" t="str">
        <f t="shared" si="5"/>
        <v>#REF!</v>
      </c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</row>
    <row r="118">
      <c r="A118" s="6" t="str">
        <f>IFERROR(__xludf.DUMMYFUNCTION("""COMPUTED_VALUE"""),"Sulinder Pal")</f>
        <v>Sulinder Pal</v>
      </c>
      <c r="B118" s="98" t="str">
        <f>IFERROR(__xludf.DUMMYFUNCTION("""COMPUTED_VALUE"""),"Himachal Pradesh")</f>
        <v>Himachal Pradesh</v>
      </c>
      <c r="C118" s="212" t="str">
        <f>IFERROR(__xludf.DUMMYFUNCTION("""COMPUTED_VALUE"""),"Arvind Kumar")</f>
        <v>Arvind Kumar</v>
      </c>
      <c r="D118" s="98" t="str">
        <f>IFERROR(__xludf.DUMMYFUNCTION("""COMPUTED_VALUE"""),"Kangra")</f>
        <v>Kangra</v>
      </c>
      <c r="E118" s="213">
        <f>IFERROR(__xludf.DUMMYFUNCTION("""COMPUTED_VALUE"""),45663.0)</f>
        <v>45663</v>
      </c>
      <c r="F118" s="222" t="str">
        <f>IFERROR(__xludf.DUMMYFUNCTION("""COMPUTED_VALUE"""),"HIMACHAL PRADESH")</f>
        <v>HIMACHAL PRADESH</v>
      </c>
      <c r="G118" s="215"/>
      <c r="H118" s="215"/>
      <c r="I118" s="216">
        <f>IFERROR(__xludf.DUMMYFUNCTION("""COMPUTED_VALUE"""),62500.0)</f>
        <v>62500</v>
      </c>
      <c r="J118" s="216"/>
      <c r="K118" s="217">
        <f>IFERROR(__xludf.DUMMYFUNCTION("""COMPUTED_VALUE"""),0.0)</f>
        <v>0</v>
      </c>
      <c r="L118" s="217"/>
      <c r="M118" s="217">
        <f>IFERROR(__xludf.DUMMYFUNCTION("""COMPUTED_VALUE"""),112904.0)</f>
        <v>112904</v>
      </c>
      <c r="N118" s="217">
        <f>IFERROR(__xludf.DUMMYFUNCTION("""COMPUTED_VALUE"""),0.0)</f>
        <v>0</v>
      </c>
      <c r="O118" s="217"/>
      <c r="P118" s="218"/>
      <c r="Q118" s="218">
        <f>IFERROR(__xludf.DUMMYFUNCTION("""COMPUTED_VALUE"""),0.0)</f>
        <v>0</v>
      </c>
      <c r="R118" s="218"/>
      <c r="S118" s="187">
        <f>IFERROR(__xludf.DUMMYFUNCTION("""COMPUTED_VALUE"""),9.0)</f>
        <v>9</v>
      </c>
      <c r="T118" s="187">
        <f>IFERROR(__xludf.DUMMYFUNCTION("""COMPUTED_VALUE"""),6.0)</f>
        <v>6</v>
      </c>
      <c r="U118" s="187">
        <f>IFERROR(__xludf.DUMMYFUNCTION("""COMPUTED_VALUE"""),0.0)</f>
        <v>0</v>
      </c>
      <c r="V118" s="187">
        <f>IFERROR(__xludf.DUMMYFUNCTION("""COMPUTED_VALUE"""),0.0)</f>
        <v>0</v>
      </c>
      <c r="W118" s="187">
        <f>IFERROR(__xludf.DUMMYFUNCTION("""COMPUTED_VALUE"""),9.0)</f>
        <v>9</v>
      </c>
      <c r="X118" s="187">
        <f>IFERROR(__xludf.DUMMYFUNCTION("""COMPUTED_VALUE"""),3.0)</f>
        <v>3</v>
      </c>
      <c r="Y118" s="188">
        <f>IFERROR(__xludf.DUMMYFUNCTION("""COMPUTED_VALUE"""),112904.3)</f>
        <v>112904.3</v>
      </c>
      <c r="Z118" s="188">
        <f>IFERROR(__xludf.DUMMYFUNCTION("""COMPUTED_VALUE"""),0.0)</f>
        <v>0</v>
      </c>
      <c r="AA118" s="187">
        <f>IFERROR(__xludf.DUMMYFUNCTION("""COMPUTED_VALUE"""),2.0)</f>
        <v>2</v>
      </c>
      <c r="AB118" s="187">
        <f>IFERROR(__xludf.DUMMYFUNCTION("""COMPUTED_VALUE"""),0.0)</f>
        <v>0</v>
      </c>
      <c r="AC118" s="187">
        <f>IFERROR(__xludf.DUMMYFUNCTION("""COMPUTED_VALUE"""),2.0)</f>
        <v>2</v>
      </c>
      <c r="AD118" s="187">
        <f>IFERROR(__xludf.DUMMYFUNCTION("""COMPUTED_VALUE"""),0.0)</f>
        <v>0</v>
      </c>
      <c r="AE118" s="187">
        <f>IFERROR(__xludf.DUMMYFUNCTION("""COMPUTED_VALUE"""),35.0)</f>
        <v>35</v>
      </c>
      <c r="AF118" s="187">
        <f>IFERROR(__xludf.DUMMYFUNCTION("""COMPUTED_VALUE"""),50.0)</f>
        <v>50</v>
      </c>
      <c r="AG118" s="187">
        <f>IFERROR(__xludf.DUMMYFUNCTION("""COMPUTED_VALUE"""),81.0)</f>
        <v>81</v>
      </c>
      <c r="AH118" s="187">
        <f>IFERROR(__xludf.DUMMYFUNCTION("""COMPUTED_VALUE"""),5.0)</f>
        <v>5</v>
      </c>
      <c r="AI118" s="187">
        <f>IFERROR(__xludf.DUMMYFUNCTION("""COMPUTED_VALUE"""),58.0)</f>
        <v>58</v>
      </c>
      <c r="AJ118" s="187">
        <f>IFERROR(__xludf.DUMMYFUNCTION("""COMPUTED_VALUE"""),0.0)</f>
        <v>0</v>
      </c>
      <c r="AK118" s="187">
        <f>IFERROR(__xludf.DUMMYFUNCTION("""COMPUTED_VALUE"""),0.0)</f>
        <v>0</v>
      </c>
      <c r="AL118" s="187">
        <f>IFERROR(__xludf.DUMMYFUNCTION("""COMPUTED_VALUE"""),49.0)</f>
        <v>49</v>
      </c>
      <c r="AM118" s="187">
        <f>IFERROR(__xludf.DUMMYFUNCTION("""COMPUTED_VALUE"""),139.0)</f>
        <v>139</v>
      </c>
      <c r="AN118" s="187">
        <f>IFERROR(__xludf.DUMMYFUNCTION("""COMPUTED_VALUE"""),27.0)</f>
        <v>27</v>
      </c>
      <c r="AO118" s="187">
        <f>IFERROR(__xludf.DUMMYFUNCTION("""COMPUTED_VALUE"""),274.0)</f>
        <v>274</v>
      </c>
      <c r="AP118" s="187">
        <f>IFERROR(__xludf.DUMMYFUNCTION("""COMPUTED_VALUE"""),75.0)</f>
        <v>75</v>
      </c>
      <c r="AQ118" s="217">
        <f>IFERROR(__xludf.DUMMYFUNCTION("""COMPUTED_VALUE"""),1505.3866666666668)</f>
        <v>1505.386667</v>
      </c>
      <c r="AR118" s="188">
        <f>IFERROR(__xludf.DUMMYFUNCTION("""COMPUTED_VALUE"""),3.6533333333333333)</f>
        <v>3.653333333</v>
      </c>
      <c r="AS118" s="217">
        <f>IFERROR(__xludf.DUMMYFUNCTION("""COMPUTED_VALUE"""),187500.0)</f>
        <v>187500</v>
      </c>
      <c r="AT118" s="217"/>
      <c r="AU118" s="218">
        <f>IFERROR(__xludf.DUMMYFUNCTION("""COMPUTED_VALUE"""),1.6607028980372707)</f>
        <v>1.660702898</v>
      </c>
      <c r="AV118" s="217">
        <f>IFERROR(__xludf.DUMMYFUNCTION("""COMPUTED_VALUE"""),56452.0)</f>
        <v>56452</v>
      </c>
      <c r="AW118" s="219">
        <f>IFERROR(__xludf.DUMMYFUNCTION("""COMPUTED_VALUE"""),4.0)</f>
        <v>4</v>
      </c>
      <c r="AX118" s="219">
        <f>IFERROR(__xludf.DUMMYFUNCTION("""COMPUTED_VALUE"""),761.0)</f>
        <v>761</v>
      </c>
      <c r="AY118" s="262">
        <f>IFERROR(__xludf.DUMMYFUNCTION("""COMPUTED_VALUE"""),6086.74)</f>
        <v>6086.74</v>
      </c>
      <c r="AZ118" s="263">
        <f>IFERROR(__xludf.DUMMYFUNCTION("""COMPUTED_VALUE"""),1014.0)</f>
        <v>1014</v>
      </c>
      <c r="BA118" s="263">
        <f>IFERROR(__xludf.DUMMYFUNCTION("""COMPUTED_VALUE"""),2.0)</f>
        <v>2</v>
      </c>
      <c r="BB118" s="263">
        <f>IFERROR(__xludf.DUMMYFUNCTION("""COMPUTED_VALUE"""),4.0)</f>
        <v>4</v>
      </c>
      <c r="BC118" s="263">
        <f>IFERROR(__xludf.DUMMYFUNCTION("""COMPUTED_VALUE"""),3.0)</f>
        <v>3</v>
      </c>
      <c r="BD118" s="265"/>
      <c r="BE118" s="258"/>
      <c r="BF118" s="255" t="e">
        <v>#REF!</v>
      </c>
      <c r="BG118" s="256">
        <f t="shared" si="4"/>
        <v>112904</v>
      </c>
      <c r="BH118" s="257" t="str">
        <f t="shared" si="5"/>
        <v>#REF!</v>
      </c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</row>
    <row r="119">
      <c r="A119" s="6" t="str">
        <f>IFERROR(__xludf.DUMMYFUNCTION("""COMPUTED_VALUE"""),"Sandeep Dadheech")</f>
        <v>Sandeep Dadheech</v>
      </c>
      <c r="B119" s="98" t="str">
        <f>IFERROR(__xludf.DUMMYFUNCTION("""COMPUTED_VALUE"""),"West Bengal")</f>
        <v>West Bengal</v>
      </c>
      <c r="C119" s="212" t="str">
        <f>IFERROR(__xludf.DUMMYFUNCTION("""COMPUTED_VALUE"""),"Sushanta Barman")</f>
        <v>Sushanta Barman</v>
      </c>
      <c r="D119" s="98" t="str">
        <f>IFERROR(__xludf.DUMMYFUNCTION("""COMPUTED_VALUE"""),"South Kolkata")</f>
        <v>South Kolkata</v>
      </c>
      <c r="E119" s="213">
        <f>IFERROR(__xludf.DUMMYFUNCTION("""COMPUTED_VALUE"""),45670.0)</f>
        <v>45670</v>
      </c>
      <c r="F119" s="222" t="str">
        <f>IFERROR(__xludf.DUMMYFUNCTION("""COMPUTED_VALUE"""),"WEST BENGAL")</f>
        <v>WEST BENGAL</v>
      </c>
      <c r="G119" s="215">
        <f>IFERROR(__xludf.DUMMYFUNCTION("""COMPUTED_VALUE"""),1.291897293E7)</f>
        <v>12918972.93</v>
      </c>
      <c r="H119" s="215">
        <f>IFERROR(__xludf.DUMMYFUNCTION("""COMPUTED_VALUE"""),1.29158764E7)</f>
        <v>12915876.4</v>
      </c>
      <c r="I119" s="216">
        <f>IFERROR(__xludf.DUMMYFUNCTION("""COMPUTED_VALUE"""),29375.0)</f>
        <v>29375</v>
      </c>
      <c r="J119" s="216">
        <f>IFERROR(__xludf.DUMMYFUNCTION("""COMPUTED_VALUE"""),2500000.0)</f>
        <v>2500000</v>
      </c>
      <c r="K119" s="217">
        <f>IFERROR(__xludf.DUMMYFUNCTION("""COMPUTED_VALUE"""),0.0)</f>
        <v>0</v>
      </c>
      <c r="L119" s="217">
        <f>IFERROR(__xludf.DUMMYFUNCTION("""COMPUTED_VALUE"""),7500000.0)</f>
        <v>7500000</v>
      </c>
      <c r="M119" s="217">
        <f>IFERROR(__xludf.DUMMYFUNCTION("""COMPUTED_VALUE"""),2296146.0)</f>
        <v>2296146</v>
      </c>
      <c r="N119" s="217">
        <f>IFERROR(__xludf.DUMMYFUNCTION("""COMPUTED_VALUE"""),0.0)</f>
        <v>0</v>
      </c>
      <c r="O119" s="217">
        <f>IFERROR(__xludf.DUMMYFUNCTION("""COMPUTED_VALUE"""),1213738.8900000001)</f>
        <v>1213738.89</v>
      </c>
      <c r="P119" s="218">
        <f>IFERROR(__xludf.DUMMYFUNCTION("""COMPUTED_VALUE"""),0.3061528)</f>
        <v>0.3061528</v>
      </c>
      <c r="Q119" s="218">
        <f>IFERROR(__xludf.DUMMYFUNCTION("""COMPUTED_VALUE"""),0.0)</f>
        <v>0</v>
      </c>
      <c r="R119" s="218">
        <f>IFERROR(__xludf.DUMMYFUNCTION("""COMPUTED_VALUE"""),0.16183185200000003)</f>
        <v>0.161831852</v>
      </c>
      <c r="S119" s="187">
        <f>IFERROR(__xludf.DUMMYFUNCTION("""COMPUTED_VALUE"""),37.0)</f>
        <v>37</v>
      </c>
      <c r="T119" s="187">
        <f>IFERROR(__xludf.DUMMYFUNCTION("""COMPUTED_VALUE"""),37.0)</f>
        <v>37</v>
      </c>
      <c r="U119" s="187">
        <f>IFERROR(__xludf.DUMMYFUNCTION("""COMPUTED_VALUE"""),2.0)</f>
        <v>2</v>
      </c>
      <c r="V119" s="187">
        <f>IFERROR(__xludf.DUMMYFUNCTION("""COMPUTED_VALUE"""),2.0)</f>
        <v>2</v>
      </c>
      <c r="W119" s="187">
        <f>IFERROR(__xludf.DUMMYFUNCTION("""COMPUTED_VALUE"""),39.0)</f>
        <v>39</v>
      </c>
      <c r="X119" s="187">
        <f>IFERROR(__xludf.DUMMYFUNCTION("""COMPUTED_VALUE"""),2.0)</f>
        <v>2</v>
      </c>
      <c r="Y119" s="188">
        <f>IFERROR(__xludf.DUMMYFUNCTION("""COMPUTED_VALUE"""),2065657.34)</f>
        <v>2065657.34</v>
      </c>
      <c r="Z119" s="188">
        <f>IFERROR(__xludf.DUMMYFUNCTION("""COMPUTED_VALUE"""),230488.43)</f>
        <v>230488.43</v>
      </c>
      <c r="AA119" s="187">
        <f>IFERROR(__xludf.DUMMYFUNCTION("""COMPUTED_VALUE"""),21.0)</f>
        <v>21</v>
      </c>
      <c r="AB119" s="187">
        <f>IFERROR(__xludf.DUMMYFUNCTION("""COMPUTED_VALUE"""),2.0)</f>
        <v>2</v>
      </c>
      <c r="AC119" s="187">
        <f>IFERROR(__xludf.DUMMYFUNCTION("""COMPUTED_VALUE"""),23.0)</f>
        <v>23</v>
      </c>
      <c r="AD119" s="187">
        <f>IFERROR(__xludf.DUMMYFUNCTION("""COMPUTED_VALUE"""),0.0)</f>
        <v>0</v>
      </c>
      <c r="AE119" s="187">
        <f>IFERROR(__xludf.DUMMYFUNCTION("""COMPUTED_VALUE"""),11.0)</f>
        <v>11</v>
      </c>
      <c r="AF119" s="187">
        <f>IFERROR(__xludf.DUMMYFUNCTION("""COMPUTED_VALUE"""),13.0)</f>
        <v>13</v>
      </c>
      <c r="AG119" s="187">
        <f>IFERROR(__xludf.DUMMYFUNCTION("""COMPUTED_VALUE"""),138.0)</f>
        <v>138</v>
      </c>
      <c r="AH119" s="187">
        <f>IFERROR(__xludf.DUMMYFUNCTION("""COMPUTED_VALUE"""),2.0)</f>
        <v>2</v>
      </c>
      <c r="AI119" s="187">
        <f>IFERROR(__xludf.DUMMYFUNCTION("""COMPUTED_VALUE"""),52.0)</f>
        <v>52</v>
      </c>
      <c r="AJ119" s="187">
        <f>IFERROR(__xludf.DUMMYFUNCTION("""COMPUTED_VALUE"""),0.0)</f>
        <v>0</v>
      </c>
      <c r="AK119" s="187">
        <f>IFERROR(__xludf.DUMMYFUNCTION("""COMPUTED_VALUE"""),0.0)</f>
        <v>0</v>
      </c>
      <c r="AL119" s="187">
        <f>IFERROR(__xludf.DUMMYFUNCTION("""COMPUTED_VALUE"""),0.0)</f>
        <v>0</v>
      </c>
      <c r="AM119" s="187">
        <f>IFERROR(__xludf.DUMMYFUNCTION("""COMPUTED_VALUE"""),0.0)</f>
        <v>0</v>
      </c>
      <c r="AN119" s="187">
        <f>IFERROR(__xludf.DUMMYFUNCTION("""COMPUTED_VALUE"""),146.0)</f>
        <v>146</v>
      </c>
      <c r="AO119" s="187">
        <f>IFERROR(__xludf.DUMMYFUNCTION("""COMPUTED_VALUE"""),211.0)</f>
        <v>211</v>
      </c>
      <c r="AP119" s="187">
        <f>IFERROR(__xludf.DUMMYFUNCTION("""COMPUTED_VALUE"""),71.0)</f>
        <v>71</v>
      </c>
      <c r="AQ119" s="217">
        <f>IFERROR(__xludf.DUMMYFUNCTION("""COMPUTED_VALUE"""),32340.084507042255)</f>
        <v>32340.08451</v>
      </c>
      <c r="AR119" s="188">
        <f>IFERROR(__xludf.DUMMYFUNCTION("""COMPUTED_VALUE"""),2.971830985915493)</f>
        <v>2.971830986</v>
      </c>
      <c r="AS119" s="217">
        <f>IFERROR(__xludf.DUMMYFUNCTION("""COMPUTED_VALUE"""),88125.0)</f>
        <v>88125</v>
      </c>
      <c r="AT119" s="217"/>
      <c r="AU119" s="218">
        <f>IFERROR(__xludf.DUMMYFUNCTION("""COMPUTED_VALUE"""),0.0383795281310509)</f>
        <v>0.03837952813</v>
      </c>
      <c r="AV119" s="217">
        <f>IFERROR(__xludf.DUMMYFUNCTION("""COMPUTED_VALUE"""),99832.43478260869)</f>
        <v>99832.43478</v>
      </c>
      <c r="AW119" s="219">
        <f>IFERROR(__xludf.DUMMYFUNCTION("""COMPUTED_VALUE"""),43.0)</f>
        <v>43</v>
      </c>
      <c r="AX119" s="219">
        <f>IFERROR(__xludf.DUMMYFUNCTION("""COMPUTED_VALUE"""),851.0)</f>
        <v>851</v>
      </c>
      <c r="AY119" s="262">
        <f>IFERROR(__xludf.DUMMYFUNCTION("""COMPUTED_VALUE"""),3159.04)</f>
        <v>3159.04</v>
      </c>
      <c r="AZ119" s="263">
        <f>IFERROR(__xludf.DUMMYFUNCTION("""COMPUTED_VALUE"""),85.0)</f>
        <v>85</v>
      </c>
      <c r="BA119" s="263">
        <f>IFERROR(__xludf.DUMMYFUNCTION("""COMPUTED_VALUE"""),23.0)</f>
        <v>23</v>
      </c>
      <c r="BB119" s="263">
        <f>IFERROR(__xludf.DUMMYFUNCTION("""COMPUTED_VALUE"""),14.0)</f>
        <v>14</v>
      </c>
      <c r="BC119" s="263">
        <f>IFERROR(__xludf.DUMMYFUNCTION("""COMPUTED_VALUE"""),2.0)</f>
        <v>2</v>
      </c>
      <c r="BD119" s="258"/>
      <c r="BE119" s="258"/>
      <c r="BF119" s="255" t="e">
        <v>#REF!</v>
      </c>
      <c r="BG119" s="256">
        <f t="shared" si="4"/>
        <v>2296146</v>
      </c>
      <c r="BH119" s="257" t="str">
        <f t="shared" si="5"/>
        <v>#REF!</v>
      </c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</row>
    <row r="120">
      <c r="A120" s="6" t="str">
        <f>IFERROR(__xludf.DUMMYFUNCTION("""COMPUTED_VALUE"""),"Biju C.O")</f>
        <v>Biju C.O</v>
      </c>
      <c r="B120" s="98" t="str">
        <f>IFERROR(__xludf.DUMMYFUNCTION("""COMPUTED_VALUE"""),"Kerala")</f>
        <v>Kerala</v>
      </c>
      <c r="C120" s="212" t="str">
        <f>IFERROR(__xludf.DUMMYFUNCTION("""COMPUTED_VALUE"""),"Ameerali Ek (Off Roll)")</f>
        <v>Ameerali Ek (Off Roll)</v>
      </c>
      <c r="D120" s="98" t="str">
        <f>IFERROR(__xludf.DUMMYFUNCTION("""COMPUTED_VALUE"""),"Malappuram")</f>
        <v>Malappuram</v>
      </c>
      <c r="E120" s="213">
        <f>IFERROR(__xludf.DUMMYFUNCTION("""COMPUTED_VALUE"""),45719.0)</f>
        <v>45719</v>
      </c>
      <c r="F120" s="222" t="str">
        <f>IFERROR(__xludf.DUMMYFUNCTION("""COMPUTED_VALUE"""),"KERALA")</f>
        <v>KERALA</v>
      </c>
      <c r="G120" s="215">
        <f>IFERROR(__xludf.DUMMYFUNCTION("""COMPUTED_VALUE"""),1.415497478E7)</f>
        <v>14154974.78</v>
      </c>
      <c r="H120" s="215">
        <f>IFERROR(__xludf.DUMMYFUNCTION("""COMPUTED_VALUE"""),1.222577477E7)</f>
        <v>12225774.77</v>
      </c>
      <c r="I120" s="216">
        <f>IFERROR(__xludf.DUMMYFUNCTION("""COMPUTED_VALUE"""),23000.0)</f>
        <v>23000</v>
      </c>
      <c r="J120" s="216">
        <f>IFERROR(__xludf.DUMMYFUNCTION("""COMPUTED_VALUE"""),965250.0)</f>
        <v>965250</v>
      </c>
      <c r="K120" s="217">
        <f>IFERROR(__xludf.DUMMYFUNCTION("""COMPUTED_VALUE"""),0.0)</f>
        <v>0</v>
      </c>
      <c r="L120" s="217">
        <f>IFERROR(__xludf.DUMMYFUNCTION("""COMPUTED_VALUE"""),4212000.0)</f>
        <v>4212000</v>
      </c>
      <c r="M120" s="217">
        <f>IFERROR(__xludf.DUMMYFUNCTION("""COMPUTED_VALUE"""),4774210.0)</f>
        <v>4774210</v>
      </c>
      <c r="N120" s="217">
        <f>IFERROR(__xludf.DUMMYFUNCTION("""COMPUTED_VALUE"""),0.0)</f>
        <v>0</v>
      </c>
      <c r="O120" s="217">
        <f>IFERROR(__xludf.DUMMYFUNCTION("""COMPUTED_VALUE"""),1489142.0)</f>
        <v>1489142</v>
      </c>
      <c r="P120" s="218">
        <f>IFERROR(__xludf.DUMMYFUNCTION("""COMPUTED_VALUE"""),1.1334781576448243)</f>
        <v>1.133478158</v>
      </c>
      <c r="Q120" s="218">
        <f>IFERROR(__xludf.DUMMYFUNCTION("""COMPUTED_VALUE"""),0.0)</f>
        <v>0</v>
      </c>
      <c r="R120" s="218">
        <f>IFERROR(__xludf.DUMMYFUNCTION("""COMPUTED_VALUE"""),0.3535474833808167)</f>
        <v>0.3535474834</v>
      </c>
      <c r="S120" s="187">
        <f>IFERROR(__xludf.DUMMYFUNCTION("""COMPUTED_VALUE"""),72.0)</f>
        <v>72</v>
      </c>
      <c r="T120" s="187">
        <f>IFERROR(__xludf.DUMMYFUNCTION("""COMPUTED_VALUE"""),70.0)</f>
        <v>70</v>
      </c>
      <c r="U120" s="187">
        <f>IFERROR(__xludf.DUMMYFUNCTION("""COMPUTED_VALUE"""),2.0)</f>
        <v>2</v>
      </c>
      <c r="V120" s="187">
        <f>IFERROR(__xludf.DUMMYFUNCTION("""COMPUTED_VALUE"""),2.0)</f>
        <v>2</v>
      </c>
      <c r="W120" s="187">
        <f>IFERROR(__xludf.DUMMYFUNCTION("""COMPUTED_VALUE"""),74.0)</f>
        <v>74</v>
      </c>
      <c r="X120" s="187">
        <f>IFERROR(__xludf.DUMMYFUNCTION("""COMPUTED_VALUE"""),4.0)</f>
        <v>4</v>
      </c>
      <c r="Y120" s="188">
        <f>IFERROR(__xludf.DUMMYFUNCTION("""COMPUTED_VALUE"""),4684155.6)</f>
        <v>4684155.6</v>
      </c>
      <c r="Z120" s="188">
        <f>IFERROR(__xludf.DUMMYFUNCTION("""COMPUTED_VALUE"""),90054.0)</f>
        <v>90054</v>
      </c>
      <c r="AA120" s="187">
        <f>IFERROR(__xludf.DUMMYFUNCTION("""COMPUTED_VALUE"""),41.0)</f>
        <v>41</v>
      </c>
      <c r="AB120" s="187">
        <f>IFERROR(__xludf.DUMMYFUNCTION("""COMPUTED_VALUE"""),2.0)</f>
        <v>2</v>
      </c>
      <c r="AC120" s="187">
        <f>IFERROR(__xludf.DUMMYFUNCTION("""COMPUTED_VALUE"""),43.0)</f>
        <v>43</v>
      </c>
      <c r="AD120" s="187">
        <f>IFERROR(__xludf.DUMMYFUNCTION("""COMPUTED_VALUE"""),0.0)</f>
        <v>0</v>
      </c>
      <c r="AE120" s="187">
        <f>IFERROR(__xludf.DUMMYFUNCTION("""COMPUTED_VALUE"""),6.0)</f>
        <v>6</v>
      </c>
      <c r="AF120" s="187">
        <f>IFERROR(__xludf.DUMMYFUNCTION("""COMPUTED_VALUE"""),16.0)</f>
        <v>16</v>
      </c>
      <c r="AG120" s="187">
        <f>IFERROR(__xludf.DUMMYFUNCTION("""COMPUTED_VALUE"""),5.0)</f>
        <v>5</v>
      </c>
      <c r="AH120" s="187">
        <f>IFERROR(__xludf.DUMMYFUNCTION("""COMPUTED_VALUE"""),1.0)</f>
        <v>1</v>
      </c>
      <c r="AI120" s="187">
        <f>IFERROR(__xludf.DUMMYFUNCTION("""COMPUTED_VALUE"""),6.0)</f>
        <v>6</v>
      </c>
      <c r="AJ120" s="187">
        <f>IFERROR(__xludf.DUMMYFUNCTION("""COMPUTED_VALUE"""),0.0)</f>
        <v>0</v>
      </c>
      <c r="AK120" s="187">
        <f>IFERROR(__xludf.DUMMYFUNCTION("""COMPUTED_VALUE"""),0.0)</f>
        <v>0</v>
      </c>
      <c r="AL120" s="187">
        <f>IFERROR(__xludf.DUMMYFUNCTION("""COMPUTED_VALUE"""),0.0)</f>
        <v>0</v>
      </c>
      <c r="AM120" s="187">
        <f>IFERROR(__xludf.DUMMYFUNCTION("""COMPUTED_VALUE"""),0.0)</f>
        <v>0</v>
      </c>
      <c r="AN120" s="187">
        <f>IFERROR(__xludf.DUMMYFUNCTION("""COMPUTED_VALUE"""),573.0)</f>
        <v>573</v>
      </c>
      <c r="AO120" s="187">
        <f>IFERROR(__xludf.DUMMYFUNCTION("""COMPUTED_VALUE"""),595.0)</f>
        <v>595</v>
      </c>
      <c r="AP120" s="187">
        <f>IFERROR(__xludf.DUMMYFUNCTION("""COMPUTED_VALUE"""),71.0)</f>
        <v>71</v>
      </c>
      <c r="AQ120" s="217">
        <f>IFERROR(__xludf.DUMMYFUNCTION("""COMPUTED_VALUE"""),67242.39436619719)</f>
        <v>67242.39437</v>
      </c>
      <c r="AR120" s="188">
        <f>IFERROR(__xludf.DUMMYFUNCTION("""COMPUTED_VALUE"""),8.380281690140846)</f>
        <v>8.38028169</v>
      </c>
      <c r="AS120" s="217">
        <f>IFERROR(__xludf.DUMMYFUNCTION("""COMPUTED_VALUE"""),69000.0)</f>
        <v>69000</v>
      </c>
      <c r="AT120" s="217"/>
      <c r="AU120" s="218">
        <f>IFERROR(__xludf.DUMMYFUNCTION("""COMPUTED_VALUE"""),0.014452652899642034)</f>
        <v>0.0144526529</v>
      </c>
      <c r="AV120" s="217">
        <f>IFERROR(__xludf.DUMMYFUNCTION("""COMPUTED_VALUE"""),111028.13953488372)</f>
        <v>111028.1395</v>
      </c>
      <c r="AW120" s="219">
        <f>IFERROR(__xludf.DUMMYFUNCTION("""COMPUTED_VALUE"""),95.0)</f>
        <v>95</v>
      </c>
      <c r="AX120" s="219">
        <f>IFERROR(__xludf.DUMMYFUNCTION("""COMPUTED_VALUE"""),654.0)</f>
        <v>654</v>
      </c>
      <c r="AY120" s="262">
        <f>IFERROR(__xludf.DUMMYFUNCTION("""COMPUTED_VALUE"""),5477.79)</f>
        <v>5477.79</v>
      </c>
      <c r="AZ120" s="263">
        <f>IFERROR(__xludf.DUMMYFUNCTION("""COMPUTED_VALUE"""),78.0)</f>
        <v>78</v>
      </c>
      <c r="BA120" s="263">
        <f>IFERROR(__xludf.DUMMYFUNCTION("""COMPUTED_VALUE"""),43.0)</f>
        <v>43</v>
      </c>
      <c r="BB120" s="263">
        <f>IFERROR(__xludf.DUMMYFUNCTION("""COMPUTED_VALUE"""),27.0)</f>
        <v>27</v>
      </c>
      <c r="BC120" s="263">
        <f>IFERROR(__xludf.DUMMYFUNCTION("""COMPUTED_VALUE"""),4.0)</f>
        <v>4</v>
      </c>
      <c r="BD120" s="265"/>
      <c r="BE120" s="258"/>
      <c r="BF120" s="255" t="e">
        <v>#REF!</v>
      </c>
      <c r="BG120" s="256">
        <f t="shared" si="4"/>
        <v>4774210</v>
      </c>
      <c r="BH120" s="257" t="str">
        <f t="shared" si="5"/>
        <v>#REF!</v>
      </c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</row>
    <row r="121">
      <c r="A121" s="6" t="str">
        <f>IFERROR(__xludf.DUMMYFUNCTION("""COMPUTED_VALUE"""),"Pawan Sharma")</f>
        <v>Pawan Sharma</v>
      </c>
      <c r="B121" s="98" t="str">
        <f>IFERROR(__xludf.DUMMYFUNCTION("""COMPUTED_VALUE"""),"Rajasthan")</f>
        <v>Rajasthan</v>
      </c>
      <c r="C121" s="212" t="str">
        <f>IFERROR(__xludf.DUMMYFUNCTION("""COMPUTED_VALUE"""),"Vikash Gour")</f>
        <v>Vikash Gour</v>
      </c>
      <c r="D121" s="98" t="str">
        <f>IFERROR(__xludf.DUMMYFUNCTION("""COMPUTED_VALUE"""),"Neemrana")</f>
        <v>Neemrana</v>
      </c>
      <c r="E121" s="213">
        <f>IFERROR(__xludf.DUMMYFUNCTION("""COMPUTED_VALUE"""),45733.0)</f>
        <v>45733</v>
      </c>
      <c r="F121" s="222" t="str">
        <f>IFERROR(__xludf.DUMMYFUNCTION("""COMPUTED_VALUE"""),"RAJASTHAN")</f>
        <v>RAJASTHAN</v>
      </c>
      <c r="G121" s="259">
        <f>IFERROR(__xludf.DUMMYFUNCTION("""COMPUTED_VALUE"""),8305428.6000000015)</f>
        <v>8305428.6</v>
      </c>
      <c r="H121" s="259">
        <f>IFERROR(__xludf.DUMMYFUNCTION("""COMPUTED_VALUE"""),6240886.0)</f>
        <v>6240886</v>
      </c>
      <c r="I121" s="216">
        <f>IFERROR(__xludf.DUMMYFUNCTION("""COMPUTED_VALUE"""),33550.0)</f>
        <v>33550</v>
      </c>
      <c r="J121" s="56">
        <f>IFERROR(__xludf.DUMMYFUNCTION("""COMPUTED_VALUE"""),1500000.0)</f>
        <v>1500000</v>
      </c>
      <c r="K121" s="217">
        <f>IFERROR(__xludf.DUMMYFUNCTION("""COMPUTED_VALUE"""),0.0)</f>
        <v>0</v>
      </c>
      <c r="L121" s="217">
        <f>IFERROR(__xludf.DUMMYFUNCTION("""COMPUTED_VALUE"""),4500000.0)</f>
        <v>4500000</v>
      </c>
      <c r="M121" s="217">
        <f>IFERROR(__xludf.DUMMYFUNCTION("""COMPUTED_VALUE"""),2661537.0)</f>
        <v>2661537</v>
      </c>
      <c r="N121" s="217">
        <f>IFERROR(__xludf.DUMMYFUNCTION("""COMPUTED_VALUE"""),0.0)</f>
        <v>0</v>
      </c>
      <c r="O121" s="260">
        <f>IFERROR(__xludf.DUMMYFUNCTION("""COMPUTED_VALUE"""),2390308.0)</f>
        <v>2390308</v>
      </c>
      <c r="P121" s="218">
        <f>IFERROR(__xludf.DUMMYFUNCTION("""COMPUTED_VALUE"""),0.5914526666666666)</f>
        <v>0.5914526667</v>
      </c>
      <c r="Q121" s="218">
        <f>IFERROR(__xludf.DUMMYFUNCTION("""COMPUTED_VALUE"""),0.0)</f>
        <v>0</v>
      </c>
      <c r="R121" s="218">
        <f>IFERROR(__xludf.DUMMYFUNCTION("""COMPUTED_VALUE"""),0.5311795555555555)</f>
        <v>0.5311795556</v>
      </c>
      <c r="S121" s="187">
        <f>IFERROR(__xludf.DUMMYFUNCTION("""COMPUTED_VALUE"""),86.0)</f>
        <v>86</v>
      </c>
      <c r="T121" s="187">
        <f>IFERROR(__xludf.DUMMYFUNCTION("""COMPUTED_VALUE"""),75.0)</f>
        <v>75</v>
      </c>
      <c r="U121" s="187">
        <f>IFERROR(__xludf.DUMMYFUNCTION("""COMPUTED_VALUE"""),7.0)</f>
        <v>7</v>
      </c>
      <c r="V121" s="187">
        <f>IFERROR(__xludf.DUMMYFUNCTION("""COMPUTED_VALUE"""),7.0)</f>
        <v>7</v>
      </c>
      <c r="W121" s="187">
        <f>IFERROR(__xludf.DUMMYFUNCTION("""COMPUTED_VALUE"""),93.0)</f>
        <v>93</v>
      </c>
      <c r="X121" s="187">
        <f>IFERROR(__xludf.DUMMYFUNCTION("""COMPUTED_VALUE"""),18.0)</f>
        <v>18</v>
      </c>
      <c r="Y121" s="188">
        <f>IFERROR(__xludf.DUMMYFUNCTION("""COMPUTED_VALUE"""),1953639.45)</f>
        <v>1953639.45</v>
      </c>
      <c r="Z121" s="188">
        <f>IFERROR(__xludf.DUMMYFUNCTION("""COMPUTED_VALUE"""),707897.24)</f>
        <v>707897.24</v>
      </c>
      <c r="AA121" s="187">
        <f>IFERROR(__xludf.DUMMYFUNCTION("""COMPUTED_VALUE"""),20.0)</f>
        <v>20</v>
      </c>
      <c r="AB121" s="187">
        <f>IFERROR(__xludf.DUMMYFUNCTION("""COMPUTED_VALUE"""),7.0)</f>
        <v>7</v>
      </c>
      <c r="AC121" s="187">
        <f>IFERROR(__xludf.DUMMYFUNCTION("""COMPUTED_VALUE"""),27.0)</f>
        <v>27</v>
      </c>
      <c r="AD121" s="187">
        <f>IFERROR(__xludf.DUMMYFUNCTION("""COMPUTED_VALUE"""),0.0)</f>
        <v>0</v>
      </c>
      <c r="AE121" s="187">
        <f>IFERROR(__xludf.DUMMYFUNCTION("""COMPUTED_VALUE"""),52.0)</f>
        <v>52</v>
      </c>
      <c r="AF121" s="187">
        <f>IFERROR(__xludf.DUMMYFUNCTION("""COMPUTED_VALUE"""),63.0)</f>
        <v>63</v>
      </c>
      <c r="AG121" s="187">
        <f>IFERROR(__xludf.DUMMYFUNCTION("""COMPUTED_VALUE"""),180.0)</f>
        <v>180</v>
      </c>
      <c r="AH121" s="187">
        <f>IFERROR(__xludf.DUMMYFUNCTION("""COMPUTED_VALUE"""),7.0)</f>
        <v>7</v>
      </c>
      <c r="AI121" s="187">
        <f>IFERROR(__xludf.DUMMYFUNCTION("""COMPUTED_VALUE"""),59.0)</f>
        <v>59</v>
      </c>
      <c r="AJ121" s="187">
        <f>IFERROR(__xludf.DUMMYFUNCTION("""COMPUTED_VALUE"""),1.0)</f>
        <v>1</v>
      </c>
      <c r="AK121" s="187">
        <f>IFERROR(__xludf.DUMMYFUNCTION("""COMPUTED_VALUE"""),1.0)</f>
        <v>1</v>
      </c>
      <c r="AL121" s="187">
        <f>IFERROR(__xludf.DUMMYFUNCTION("""COMPUTED_VALUE"""),15.0)</f>
        <v>15</v>
      </c>
      <c r="AM121" s="187">
        <f>IFERROR(__xludf.DUMMYFUNCTION("""COMPUTED_VALUE"""),40.0)</f>
        <v>40</v>
      </c>
      <c r="AN121" s="187">
        <f>IFERROR(__xludf.DUMMYFUNCTION("""COMPUTED_VALUE"""),267.0)</f>
        <v>267</v>
      </c>
      <c r="AO121" s="187">
        <f>IFERROR(__xludf.DUMMYFUNCTION("""COMPUTED_VALUE"""),430.0)</f>
        <v>430</v>
      </c>
      <c r="AP121" s="187">
        <f>IFERROR(__xludf.DUMMYFUNCTION("""COMPUTED_VALUE"""),76.0)</f>
        <v>76</v>
      </c>
      <c r="AQ121" s="217">
        <f>IFERROR(__xludf.DUMMYFUNCTION("""COMPUTED_VALUE"""),35020.22368421053)</f>
        <v>35020.22368</v>
      </c>
      <c r="AR121" s="188">
        <f>IFERROR(__xludf.DUMMYFUNCTION("""COMPUTED_VALUE"""),5.657894736842105)</f>
        <v>5.657894737</v>
      </c>
      <c r="AS121" s="217">
        <f>IFERROR(__xludf.DUMMYFUNCTION("""COMPUTED_VALUE"""),100650.0)</f>
        <v>100650</v>
      </c>
      <c r="AT121" s="217"/>
      <c r="AU121" s="218">
        <f>IFERROR(__xludf.DUMMYFUNCTION("""COMPUTED_VALUE"""),0.037816494754722554)</f>
        <v>0.03781649475</v>
      </c>
      <c r="AV121" s="217">
        <f>IFERROR(__xludf.DUMMYFUNCTION("""COMPUTED_VALUE"""),98575.44444444444)</f>
        <v>98575.44444</v>
      </c>
      <c r="AW121" s="219">
        <f>IFERROR(__xludf.DUMMYFUNCTION("""COMPUTED_VALUE"""),44.0)</f>
        <v>44</v>
      </c>
      <c r="AX121" s="219">
        <f>IFERROR(__xludf.DUMMYFUNCTION("""COMPUTED_VALUE"""),778.0)</f>
        <v>778</v>
      </c>
      <c r="AY121" s="262">
        <f>IFERROR(__xludf.DUMMYFUNCTION("""COMPUTED_VALUE"""),11867.89)</f>
        <v>11867.89</v>
      </c>
      <c r="AZ121" s="263">
        <f>IFERROR(__xludf.DUMMYFUNCTION("""COMPUTED_VALUE"""),158.0)</f>
        <v>158</v>
      </c>
      <c r="BA121" s="263">
        <f>IFERROR(__xludf.DUMMYFUNCTION("""COMPUTED_VALUE"""),27.0)</f>
        <v>27</v>
      </c>
      <c r="BB121" s="263">
        <f>IFERROR(__xludf.DUMMYFUNCTION("""COMPUTED_VALUE"""),49.0)</f>
        <v>49</v>
      </c>
      <c r="BC121" s="263">
        <f>IFERROR(__xludf.DUMMYFUNCTION("""COMPUTED_VALUE"""),17.0)</f>
        <v>17</v>
      </c>
      <c r="BD121" s="258"/>
      <c r="BE121" s="258"/>
      <c r="BF121" s="241" t="e">
        <v>#REF!</v>
      </c>
      <c r="BG121" s="256">
        <f t="shared" si="4"/>
        <v>2661537</v>
      </c>
      <c r="BH121" s="257" t="str">
        <f t="shared" si="5"/>
        <v>#REF!</v>
      </c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</row>
    <row r="122">
      <c r="A122" s="6" t="str">
        <f>IFERROR(__xludf.DUMMYFUNCTION("""COMPUTED_VALUE"""),"Anant Singh")</f>
        <v>Anant Singh</v>
      </c>
      <c r="B122" s="98" t="str">
        <f>IFERROR(__xludf.DUMMYFUNCTION("""COMPUTED_VALUE"""),"Delhi NCR")</f>
        <v>Delhi NCR</v>
      </c>
      <c r="C122" s="212" t="str">
        <f>IFERROR(__xludf.DUMMYFUNCTION("""COMPUTED_VALUE"""),"Ravi (Faridabad)")</f>
        <v>Ravi (Faridabad)</v>
      </c>
      <c r="D122" s="98" t="str">
        <f>IFERROR(__xludf.DUMMYFUNCTION("""COMPUTED_VALUE"""),"Faridabad")</f>
        <v>Faridabad</v>
      </c>
      <c r="E122" s="213">
        <f>IFERROR(__xludf.DUMMYFUNCTION("""COMPUTED_VALUE"""),45736.0)</f>
        <v>45736</v>
      </c>
      <c r="F122" s="222" t="str">
        <f>IFERROR(__xludf.DUMMYFUNCTION("""COMPUTED_VALUE"""),"Delhi NCR")</f>
        <v>Delhi NCR</v>
      </c>
      <c r="G122" s="215">
        <f>IFERROR(__xludf.DUMMYFUNCTION("""COMPUTED_VALUE"""),5077211.3100000005)</f>
        <v>5077211.31</v>
      </c>
      <c r="H122" s="215">
        <f>IFERROR(__xludf.DUMMYFUNCTION("""COMPUTED_VALUE"""),4593238.0)</f>
        <v>4593238</v>
      </c>
      <c r="I122" s="216">
        <f>IFERROR(__xludf.DUMMYFUNCTION("""COMPUTED_VALUE"""),27260.0)</f>
        <v>27260</v>
      </c>
      <c r="J122" s="216">
        <f>IFERROR(__xludf.DUMMYFUNCTION("""COMPUTED_VALUE"""),1350000.0)</f>
        <v>1350000</v>
      </c>
      <c r="K122" s="217">
        <f>IFERROR(__xludf.DUMMYFUNCTION("""COMPUTED_VALUE"""),300000.0)</f>
        <v>300000</v>
      </c>
      <c r="L122" s="217">
        <f>IFERROR(__xludf.DUMMYFUNCTION("""COMPUTED_VALUE"""),3750000.0)</f>
        <v>3750000</v>
      </c>
      <c r="M122" s="217">
        <f>IFERROR(__xludf.DUMMYFUNCTION("""COMPUTED_VALUE"""),56708.0)</f>
        <v>56708</v>
      </c>
      <c r="N122" s="217">
        <f>IFERROR(__xludf.DUMMYFUNCTION("""COMPUTED_VALUE"""),171300.22)</f>
        <v>171300.22</v>
      </c>
      <c r="O122" s="217">
        <f>IFERROR(__xludf.DUMMYFUNCTION("""COMPUTED_VALUE"""),0.0)</f>
        <v>0</v>
      </c>
      <c r="P122" s="218">
        <f>IFERROR(__xludf.DUMMYFUNCTION("""COMPUTED_VALUE"""),0.05629832592592593)</f>
        <v>0.05629832593</v>
      </c>
      <c r="Q122" s="218">
        <f>IFERROR(__xludf.DUMMYFUNCTION("""COMPUTED_VALUE"""),0.57)</f>
        <v>0.57</v>
      </c>
      <c r="R122" s="218">
        <f>IFERROR(__xludf.DUMMYFUNCTION("""COMPUTED_VALUE"""),0.0)</f>
        <v>0</v>
      </c>
      <c r="S122" s="187">
        <f>IFERROR(__xludf.DUMMYFUNCTION("""COMPUTED_VALUE"""),33.0)</f>
        <v>33</v>
      </c>
      <c r="T122" s="187">
        <f>IFERROR(__xludf.DUMMYFUNCTION("""COMPUTED_VALUE"""),27.0)</f>
        <v>27</v>
      </c>
      <c r="U122" s="187">
        <f>IFERROR(__xludf.DUMMYFUNCTION("""COMPUTED_VALUE"""),1.0)</f>
        <v>1</v>
      </c>
      <c r="V122" s="187">
        <f>IFERROR(__xludf.DUMMYFUNCTION("""COMPUTED_VALUE"""),0.0)</f>
        <v>0</v>
      </c>
      <c r="W122" s="187">
        <f>IFERROR(__xludf.DUMMYFUNCTION("""COMPUTED_VALUE"""),34.0)</f>
        <v>34</v>
      </c>
      <c r="X122" s="187">
        <f>IFERROR(__xludf.DUMMYFUNCTION("""COMPUTED_VALUE"""),7.0)</f>
        <v>7</v>
      </c>
      <c r="Y122" s="188">
        <f>IFERROR(__xludf.DUMMYFUNCTION("""COMPUTED_VALUE"""),56707.86)</f>
        <v>56707.86</v>
      </c>
      <c r="Z122" s="188">
        <f>IFERROR(__xludf.DUMMYFUNCTION("""COMPUTED_VALUE"""),0.0)</f>
        <v>0</v>
      </c>
      <c r="AA122" s="187">
        <f>IFERROR(__xludf.DUMMYFUNCTION("""COMPUTED_VALUE"""),4.0)</f>
        <v>4</v>
      </c>
      <c r="AB122" s="187">
        <f>IFERROR(__xludf.DUMMYFUNCTION("""COMPUTED_VALUE"""),0.0)</f>
        <v>0</v>
      </c>
      <c r="AC122" s="187">
        <f>IFERROR(__xludf.DUMMYFUNCTION("""COMPUTED_VALUE"""),4.0)</f>
        <v>4</v>
      </c>
      <c r="AD122" s="187">
        <f>IFERROR(__xludf.DUMMYFUNCTION("""COMPUTED_VALUE"""),1.0)</f>
        <v>1</v>
      </c>
      <c r="AE122" s="187">
        <f>IFERROR(__xludf.DUMMYFUNCTION("""COMPUTED_VALUE"""),77.0)</f>
        <v>77</v>
      </c>
      <c r="AF122" s="187">
        <f>IFERROR(__xludf.DUMMYFUNCTION("""COMPUTED_VALUE"""),125.0)</f>
        <v>125</v>
      </c>
      <c r="AG122" s="187">
        <f>IFERROR(__xludf.DUMMYFUNCTION("""COMPUTED_VALUE"""),257.0)</f>
        <v>257</v>
      </c>
      <c r="AH122" s="187">
        <f>IFERROR(__xludf.DUMMYFUNCTION("""COMPUTED_VALUE"""),3.0)</f>
        <v>3</v>
      </c>
      <c r="AI122" s="187">
        <f>IFERROR(__xludf.DUMMYFUNCTION("""COMPUTED_VALUE"""),7.0)</f>
        <v>7</v>
      </c>
      <c r="AJ122" s="187">
        <f>IFERROR(__xludf.DUMMYFUNCTION("""COMPUTED_VALUE"""),4.0)</f>
        <v>4</v>
      </c>
      <c r="AK122" s="187">
        <f>IFERROR(__xludf.DUMMYFUNCTION("""COMPUTED_VALUE"""),6.0)</f>
        <v>6</v>
      </c>
      <c r="AL122" s="187">
        <f>IFERROR(__xludf.DUMMYFUNCTION("""COMPUTED_VALUE"""),5.0)</f>
        <v>5</v>
      </c>
      <c r="AM122" s="187">
        <f>IFERROR(__xludf.DUMMYFUNCTION("""COMPUTED_VALUE"""),10.0)</f>
        <v>10</v>
      </c>
      <c r="AN122" s="187">
        <f>IFERROR(__xludf.DUMMYFUNCTION("""COMPUTED_VALUE"""),114.0)</f>
        <v>114</v>
      </c>
      <c r="AO122" s="187">
        <f>IFERROR(__xludf.DUMMYFUNCTION("""COMPUTED_VALUE"""),262.0)</f>
        <v>262</v>
      </c>
      <c r="AP122" s="187">
        <f>IFERROR(__xludf.DUMMYFUNCTION("""COMPUTED_VALUE"""),46.0)</f>
        <v>46</v>
      </c>
      <c r="AQ122" s="217">
        <f>IFERROR(__xludf.DUMMYFUNCTION("""COMPUTED_VALUE"""),4956.700434782609)</f>
        <v>4956.700435</v>
      </c>
      <c r="AR122" s="188">
        <f>IFERROR(__xludf.DUMMYFUNCTION("""COMPUTED_VALUE"""),5.695652173913044)</f>
        <v>5.695652174</v>
      </c>
      <c r="AS122" s="217">
        <f>IFERROR(__xludf.DUMMYFUNCTION("""COMPUTED_VALUE"""),81780.0)</f>
        <v>81780</v>
      </c>
      <c r="AT122" s="217"/>
      <c r="AU122" s="218">
        <f>IFERROR(__xludf.DUMMYFUNCTION("""COMPUTED_VALUE"""),0.35867127948281863)</f>
        <v>0.3586712795</v>
      </c>
      <c r="AV122" s="217">
        <f>IFERROR(__xludf.DUMMYFUNCTION("""COMPUTED_VALUE"""),14177.0)</f>
        <v>14177</v>
      </c>
      <c r="AW122" s="219">
        <f>IFERROR(__xludf.DUMMYFUNCTION("""COMPUTED_VALUE"""),4.0)</f>
        <v>4</v>
      </c>
      <c r="AX122" s="219">
        <f>IFERROR(__xludf.DUMMYFUNCTION("""COMPUTED_VALUE"""),409.0)</f>
        <v>409</v>
      </c>
      <c r="AY122" s="262">
        <f>IFERROR(__xludf.DUMMYFUNCTION("""COMPUTED_VALUE"""),2068.0)</f>
        <v>2068</v>
      </c>
      <c r="AZ122" s="263">
        <f>IFERROR(__xludf.DUMMYFUNCTION("""COMPUTED_VALUE"""),77.0)</f>
        <v>77</v>
      </c>
      <c r="BA122" s="263">
        <f>IFERROR(__xludf.DUMMYFUNCTION("""COMPUTED_VALUE"""),4.0)</f>
        <v>4</v>
      </c>
      <c r="BB122" s="263">
        <f>IFERROR(__xludf.DUMMYFUNCTION("""COMPUTED_VALUE"""),23.0)</f>
        <v>23</v>
      </c>
      <c r="BC122" s="263">
        <f>IFERROR(__xludf.DUMMYFUNCTION("""COMPUTED_VALUE"""),7.0)</f>
        <v>7</v>
      </c>
      <c r="BD122" s="258"/>
      <c r="BE122" s="258"/>
      <c r="BF122" s="255" t="e">
        <v>#REF!</v>
      </c>
      <c r="BG122" s="256">
        <f t="shared" si="4"/>
        <v>228008.22</v>
      </c>
      <c r="BH122" s="257" t="str">
        <f t="shared" si="5"/>
        <v>#REF!</v>
      </c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</row>
    <row r="123">
      <c r="A123" s="6" t="str">
        <f>IFERROR(__xludf.DUMMYFUNCTION("""COMPUTED_VALUE"""),"Lalan Kumar")</f>
        <v>Lalan Kumar</v>
      </c>
      <c r="B123" s="98" t="str">
        <f>IFERROR(__xludf.DUMMYFUNCTION("""COMPUTED_VALUE"""),"Maharashtra")</f>
        <v>Maharashtra</v>
      </c>
      <c r="C123" s="212" t="str">
        <f>IFERROR(__xludf.DUMMYFUNCTION("""COMPUTED_VALUE"""),"Chandrakant Mandave")</f>
        <v>Chandrakant Mandave</v>
      </c>
      <c r="D123" s="98" t="str">
        <f>IFERROR(__xludf.DUMMYFUNCTION("""COMPUTED_VALUE"""),"Mumbai")</f>
        <v>Mumbai</v>
      </c>
      <c r="E123" s="213">
        <f>IFERROR(__xludf.DUMMYFUNCTION("""COMPUTED_VALUE"""),45778.0)</f>
        <v>45778</v>
      </c>
      <c r="F123" s="222" t="str">
        <f>IFERROR(__xludf.DUMMYFUNCTION("""COMPUTED_VALUE"""),"MAHARASHTRA")</f>
        <v>MAHARASHTRA</v>
      </c>
      <c r="G123" s="215">
        <f>IFERROR(__xludf.DUMMYFUNCTION("""COMPUTED_VALUE"""),1.0664561009999998E7)</f>
        <v>10664561.01</v>
      </c>
      <c r="H123" s="215">
        <f>IFERROR(__xludf.DUMMYFUNCTION("""COMPUTED_VALUE"""),1.0577645E7)</f>
        <v>10577645</v>
      </c>
      <c r="I123" s="216">
        <f>IFERROR(__xludf.DUMMYFUNCTION("""COMPUTED_VALUE"""),47173.0)</f>
        <v>47173</v>
      </c>
      <c r="J123" s="216">
        <f>IFERROR(__xludf.DUMMYFUNCTION("""COMPUTED_VALUE"""),1400000.0)</f>
        <v>1400000</v>
      </c>
      <c r="K123" s="217">
        <f>IFERROR(__xludf.DUMMYFUNCTION("""COMPUTED_VALUE"""),0.0)</f>
        <v>0</v>
      </c>
      <c r="L123" s="217">
        <f>IFERROR(__xludf.DUMMYFUNCTION("""COMPUTED_VALUE"""),4200000.0)</f>
        <v>4200000</v>
      </c>
      <c r="M123" s="217">
        <f>IFERROR(__xludf.DUMMYFUNCTION("""COMPUTED_VALUE"""),3231997.0)</f>
        <v>3231997</v>
      </c>
      <c r="N123" s="217">
        <f>IFERROR(__xludf.DUMMYFUNCTION("""COMPUTED_VALUE"""),0.0)</f>
        <v>0</v>
      </c>
      <c r="O123" s="217">
        <f>IFERROR(__xludf.DUMMYFUNCTION("""COMPUTED_VALUE"""),3231999.0)</f>
        <v>3231999</v>
      </c>
      <c r="P123" s="218">
        <f>IFERROR(__xludf.DUMMYFUNCTION("""COMPUTED_VALUE"""),0.7695230952380953)</f>
        <v>0.7695230952</v>
      </c>
      <c r="Q123" s="218">
        <f>IFERROR(__xludf.DUMMYFUNCTION("""COMPUTED_VALUE"""),0.0)</f>
        <v>0</v>
      </c>
      <c r="R123" s="218">
        <f>IFERROR(__xludf.DUMMYFUNCTION("""COMPUTED_VALUE"""),0.7695235714285714)</f>
        <v>0.7695235714</v>
      </c>
      <c r="S123" s="187">
        <f>IFERROR(__xludf.DUMMYFUNCTION("""COMPUTED_VALUE"""),83.0)</f>
        <v>83</v>
      </c>
      <c r="T123" s="187">
        <f>IFERROR(__xludf.DUMMYFUNCTION("""COMPUTED_VALUE"""),56.0)</f>
        <v>56</v>
      </c>
      <c r="U123" s="187">
        <f>IFERROR(__xludf.DUMMYFUNCTION("""COMPUTED_VALUE"""),1.0)</f>
        <v>1</v>
      </c>
      <c r="V123" s="187">
        <f>IFERROR(__xludf.DUMMYFUNCTION("""COMPUTED_VALUE"""),0.0)</f>
        <v>0</v>
      </c>
      <c r="W123" s="187">
        <f>IFERROR(__xludf.DUMMYFUNCTION("""COMPUTED_VALUE"""),84.0)</f>
        <v>84</v>
      </c>
      <c r="X123" s="187">
        <f>IFERROR(__xludf.DUMMYFUNCTION("""COMPUTED_VALUE"""),28.0)</f>
        <v>28</v>
      </c>
      <c r="Y123" s="188">
        <f>IFERROR(__xludf.DUMMYFUNCTION("""COMPUTED_VALUE"""),3231997.43)</f>
        <v>3231997.43</v>
      </c>
      <c r="Z123" s="188">
        <f>IFERROR(__xludf.DUMMYFUNCTION("""COMPUTED_VALUE"""),0.0)</f>
        <v>0</v>
      </c>
      <c r="AA123" s="187">
        <f>IFERROR(__xludf.DUMMYFUNCTION("""COMPUTED_VALUE"""),35.0)</f>
        <v>35</v>
      </c>
      <c r="AB123" s="187">
        <f>IFERROR(__xludf.DUMMYFUNCTION("""COMPUTED_VALUE"""),0.0)</f>
        <v>0</v>
      </c>
      <c r="AC123" s="187">
        <f>IFERROR(__xludf.DUMMYFUNCTION("""COMPUTED_VALUE"""),35.0)</f>
        <v>35</v>
      </c>
      <c r="AD123" s="187">
        <f>IFERROR(__xludf.DUMMYFUNCTION("""COMPUTED_VALUE"""),0.0)</f>
        <v>0</v>
      </c>
      <c r="AE123" s="187">
        <f>IFERROR(__xludf.DUMMYFUNCTION("""COMPUTED_VALUE"""),47.0)</f>
        <v>47</v>
      </c>
      <c r="AF123" s="187">
        <f>IFERROR(__xludf.DUMMYFUNCTION("""COMPUTED_VALUE"""),72.0)</f>
        <v>72</v>
      </c>
      <c r="AG123" s="187">
        <f>IFERROR(__xludf.DUMMYFUNCTION("""COMPUTED_VALUE"""),141.0)</f>
        <v>141</v>
      </c>
      <c r="AH123" s="187">
        <f>IFERROR(__xludf.DUMMYFUNCTION("""COMPUTED_VALUE"""),7.0)</f>
        <v>7</v>
      </c>
      <c r="AI123" s="187">
        <f>IFERROR(__xludf.DUMMYFUNCTION("""COMPUTED_VALUE"""),25.0)</f>
        <v>25</v>
      </c>
      <c r="AJ123" s="187">
        <f>IFERROR(__xludf.DUMMYFUNCTION("""COMPUTED_VALUE"""),2.0)</f>
        <v>2</v>
      </c>
      <c r="AK123" s="187">
        <f>IFERROR(__xludf.DUMMYFUNCTION("""COMPUTED_VALUE"""),9.0)</f>
        <v>9</v>
      </c>
      <c r="AL123" s="187">
        <f>IFERROR(__xludf.DUMMYFUNCTION("""COMPUTED_VALUE"""),0.0)</f>
        <v>0</v>
      </c>
      <c r="AM123" s="187">
        <f>IFERROR(__xludf.DUMMYFUNCTION("""COMPUTED_VALUE"""),0.0)</f>
        <v>0</v>
      </c>
      <c r="AN123" s="187">
        <f>IFERROR(__xludf.DUMMYFUNCTION("""COMPUTED_VALUE"""),153.0)</f>
        <v>153</v>
      </c>
      <c r="AO123" s="187">
        <f>IFERROR(__xludf.DUMMYFUNCTION("""COMPUTED_VALUE"""),259.0)</f>
        <v>259</v>
      </c>
      <c r="AP123" s="187">
        <f>IFERROR(__xludf.DUMMYFUNCTION("""COMPUTED_VALUE"""),67.0)</f>
        <v>67</v>
      </c>
      <c r="AQ123" s="217">
        <f>IFERROR(__xludf.DUMMYFUNCTION("""COMPUTED_VALUE"""),48238.76119402985)</f>
        <v>48238.76119</v>
      </c>
      <c r="AR123" s="188">
        <f>IFERROR(__xludf.DUMMYFUNCTION("""COMPUTED_VALUE"""),3.8656716417910446)</f>
        <v>3.865671642</v>
      </c>
      <c r="AS123" s="217">
        <f>IFERROR(__xludf.DUMMYFUNCTION("""COMPUTED_VALUE"""),141519.0)</f>
        <v>141519</v>
      </c>
      <c r="AT123" s="217"/>
      <c r="AU123" s="218">
        <f>IFERROR(__xludf.DUMMYFUNCTION("""COMPUTED_VALUE"""),0.04378685995067446)</f>
        <v>0.04378685995</v>
      </c>
      <c r="AV123" s="217">
        <f>IFERROR(__xludf.DUMMYFUNCTION("""COMPUTED_VALUE"""),92342.77142857143)</f>
        <v>92342.77143</v>
      </c>
      <c r="AW123" s="219">
        <f>IFERROR(__xludf.DUMMYFUNCTION("""COMPUTED_VALUE"""),62.0)</f>
        <v>62</v>
      </c>
      <c r="AX123" s="219">
        <f>IFERROR(__xludf.DUMMYFUNCTION("""COMPUTED_VALUE"""),575.0)</f>
        <v>575</v>
      </c>
      <c r="AY123" s="262">
        <f>IFERROR(__xludf.DUMMYFUNCTION("""COMPUTED_VALUE"""),4593.58)</f>
        <v>4593.58</v>
      </c>
      <c r="AZ123" s="263">
        <f>IFERROR(__xludf.DUMMYFUNCTION("""COMPUTED_VALUE"""),82.0)</f>
        <v>82</v>
      </c>
      <c r="BA123" s="263">
        <f>IFERROR(__xludf.DUMMYFUNCTION("""COMPUTED_VALUE"""),35.0)</f>
        <v>35</v>
      </c>
      <c r="BB123" s="263">
        <f>IFERROR(__xludf.DUMMYFUNCTION("""COMPUTED_VALUE"""),32.0)</f>
        <v>32</v>
      </c>
      <c r="BC123" s="263">
        <f>IFERROR(__xludf.DUMMYFUNCTION("""COMPUTED_VALUE"""),17.0)</f>
        <v>17</v>
      </c>
      <c r="BD123" s="258"/>
      <c r="BE123" s="258"/>
      <c r="BF123" s="255" t="e">
        <v>#REF!</v>
      </c>
      <c r="BG123" s="256">
        <f t="shared" si="4"/>
        <v>3231997</v>
      </c>
      <c r="BH123" s="257" t="str">
        <f t="shared" si="5"/>
        <v>#REF!</v>
      </c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</row>
    <row r="124">
      <c r="A124" s="6" t="str">
        <f>IFERROR(__xludf.DUMMYFUNCTION("""COMPUTED_VALUE"""),"Sulinder Pal")</f>
        <v>Sulinder Pal</v>
      </c>
      <c r="B124" s="98" t="str">
        <f>IFERROR(__xludf.DUMMYFUNCTION("""COMPUTED_VALUE"""),"Punjab")</f>
        <v>Punjab</v>
      </c>
      <c r="C124" s="212" t="str">
        <f>IFERROR(__xludf.DUMMYFUNCTION("""COMPUTED_VALUE"""),"Brinder Singh")</f>
        <v>Brinder Singh</v>
      </c>
      <c r="D124" s="98" t="str">
        <f>IFERROR(__xludf.DUMMYFUNCTION("""COMPUTED_VALUE"""),"Hoshiarpur")</f>
        <v>Hoshiarpur</v>
      </c>
      <c r="E124" s="213">
        <f>IFERROR(__xludf.DUMMYFUNCTION("""COMPUTED_VALUE"""),45782.0)</f>
        <v>45782</v>
      </c>
      <c r="F124" s="222" t="str">
        <f>IFERROR(__xludf.DUMMYFUNCTION("""COMPUTED_VALUE"""),"PUNJAB")</f>
        <v>PUNJAB</v>
      </c>
      <c r="G124" s="215"/>
      <c r="H124" s="215"/>
      <c r="I124" s="216">
        <f>IFERROR(__xludf.DUMMYFUNCTION("""COMPUTED_VALUE"""),64580.0)</f>
        <v>64580</v>
      </c>
      <c r="J124" s="216"/>
      <c r="K124" s="217">
        <f>IFERROR(__xludf.DUMMYFUNCTION("""COMPUTED_VALUE"""),0.0)</f>
        <v>0</v>
      </c>
      <c r="L124" s="217"/>
      <c r="M124" s="217">
        <f>IFERROR(__xludf.DUMMYFUNCTION("""COMPUTED_VALUE"""),0.0)</f>
        <v>0</v>
      </c>
      <c r="N124" s="217">
        <f>IFERROR(__xludf.DUMMYFUNCTION("""COMPUTED_VALUE"""),0.0)</f>
        <v>0</v>
      </c>
      <c r="O124" s="217"/>
      <c r="P124" s="218"/>
      <c r="Q124" s="218">
        <f>IFERROR(__xludf.DUMMYFUNCTION("""COMPUTED_VALUE"""),0.0)</f>
        <v>0</v>
      </c>
      <c r="R124" s="218"/>
      <c r="S124" s="187">
        <f>IFERROR(__xludf.DUMMYFUNCTION("""COMPUTED_VALUE"""),6.0)</f>
        <v>6</v>
      </c>
      <c r="T124" s="187">
        <f>IFERROR(__xludf.DUMMYFUNCTION("""COMPUTED_VALUE"""),4.0)</f>
        <v>4</v>
      </c>
      <c r="U124" s="187">
        <f>IFERROR(__xludf.DUMMYFUNCTION("""COMPUTED_VALUE"""),0.0)</f>
        <v>0</v>
      </c>
      <c r="V124" s="187">
        <f>IFERROR(__xludf.DUMMYFUNCTION("""COMPUTED_VALUE"""),0.0)</f>
        <v>0</v>
      </c>
      <c r="W124" s="187">
        <f>IFERROR(__xludf.DUMMYFUNCTION("""COMPUTED_VALUE"""),6.0)</f>
        <v>6</v>
      </c>
      <c r="X124" s="187">
        <f>IFERROR(__xludf.DUMMYFUNCTION("""COMPUTED_VALUE"""),2.0)</f>
        <v>2</v>
      </c>
      <c r="Y124" s="188">
        <f>IFERROR(__xludf.DUMMYFUNCTION("""COMPUTED_VALUE"""),0.0)</f>
        <v>0</v>
      </c>
      <c r="Z124" s="188">
        <f>IFERROR(__xludf.DUMMYFUNCTION("""COMPUTED_VALUE"""),0.0)</f>
        <v>0</v>
      </c>
      <c r="AA124" s="187">
        <f>IFERROR(__xludf.DUMMYFUNCTION("""COMPUTED_VALUE"""),0.0)</f>
        <v>0</v>
      </c>
      <c r="AB124" s="187">
        <f>IFERROR(__xludf.DUMMYFUNCTION("""COMPUTED_VALUE"""),0.0)</f>
        <v>0</v>
      </c>
      <c r="AC124" s="187">
        <f>IFERROR(__xludf.DUMMYFUNCTION("""COMPUTED_VALUE"""),0.0)</f>
        <v>0</v>
      </c>
      <c r="AD124" s="187">
        <f>IFERROR(__xludf.DUMMYFUNCTION("""COMPUTED_VALUE"""),0.0)</f>
        <v>0</v>
      </c>
      <c r="AE124" s="187">
        <f>IFERROR(__xludf.DUMMYFUNCTION("""COMPUTED_VALUE"""),7.0)</f>
        <v>7</v>
      </c>
      <c r="AF124" s="187">
        <f>IFERROR(__xludf.DUMMYFUNCTION("""COMPUTED_VALUE"""),7.0)</f>
        <v>7</v>
      </c>
      <c r="AG124" s="187">
        <f>IFERROR(__xludf.DUMMYFUNCTION("""COMPUTED_VALUE"""),12.0)</f>
        <v>12</v>
      </c>
      <c r="AH124" s="187">
        <f>IFERROR(__xludf.DUMMYFUNCTION("""COMPUTED_VALUE"""),4.0)</f>
        <v>4</v>
      </c>
      <c r="AI124" s="187">
        <f>IFERROR(__xludf.DUMMYFUNCTION("""COMPUTED_VALUE"""),15.0)</f>
        <v>15</v>
      </c>
      <c r="AJ124" s="187">
        <f>IFERROR(__xludf.DUMMYFUNCTION("""COMPUTED_VALUE"""),0.0)</f>
        <v>0</v>
      </c>
      <c r="AK124" s="187">
        <f>IFERROR(__xludf.DUMMYFUNCTION("""COMPUTED_VALUE"""),0.0)</f>
        <v>0</v>
      </c>
      <c r="AL124" s="187">
        <f>IFERROR(__xludf.DUMMYFUNCTION("""COMPUTED_VALUE"""),72.0)</f>
        <v>72</v>
      </c>
      <c r="AM124" s="187">
        <f>IFERROR(__xludf.DUMMYFUNCTION("""COMPUTED_VALUE"""),219.0)</f>
        <v>219</v>
      </c>
      <c r="AN124" s="187">
        <f>IFERROR(__xludf.DUMMYFUNCTION("""COMPUTED_VALUE"""),4.0)</f>
        <v>4</v>
      </c>
      <c r="AO124" s="187">
        <f>IFERROR(__xludf.DUMMYFUNCTION("""COMPUTED_VALUE"""),245.0)</f>
        <v>245</v>
      </c>
      <c r="AP124" s="187">
        <f>IFERROR(__xludf.DUMMYFUNCTION("""COMPUTED_VALUE"""),72.0)</f>
        <v>72</v>
      </c>
      <c r="AQ124" s="217">
        <f>IFERROR(__xludf.DUMMYFUNCTION("""COMPUTED_VALUE"""),0.0)</f>
        <v>0</v>
      </c>
      <c r="AR124" s="188">
        <f>IFERROR(__xludf.DUMMYFUNCTION("""COMPUTED_VALUE"""),3.4027777777777777)</f>
        <v>3.402777778</v>
      </c>
      <c r="AS124" s="217">
        <f>IFERROR(__xludf.DUMMYFUNCTION("""COMPUTED_VALUE"""),193740.0)</f>
        <v>193740</v>
      </c>
      <c r="AT124" s="217"/>
      <c r="AU124" s="218"/>
      <c r="AV124" s="217"/>
      <c r="AW124" s="219">
        <f>IFERROR(__xludf.DUMMYFUNCTION("""COMPUTED_VALUE"""),0.0)</f>
        <v>0</v>
      </c>
      <c r="AX124" s="219">
        <f>IFERROR(__xludf.DUMMYFUNCTION("""COMPUTED_VALUE"""),858.0)</f>
        <v>858</v>
      </c>
      <c r="AY124" s="262">
        <f>IFERROR(__xludf.DUMMYFUNCTION("""COMPUTED_VALUE"""),15091.53)</f>
        <v>15091.53</v>
      </c>
      <c r="AZ124" s="263">
        <f>IFERROR(__xludf.DUMMYFUNCTION("""COMPUTED_VALUE"""),3773.0)</f>
        <v>3773</v>
      </c>
      <c r="BA124" s="263">
        <f>IFERROR(__xludf.DUMMYFUNCTION("""COMPUTED_VALUE"""),0.0)</f>
        <v>0</v>
      </c>
      <c r="BB124" s="263">
        <f>IFERROR(__xludf.DUMMYFUNCTION("""COMPUTED_VALUE"""),4.0)</f>
        <v>4</v>
      </c>
      <c r="BC124" s="263">
        <f>IFERROR(__xludf.DUMMYFUNCTION("""COMPUTED_VALUE"""),2.0)</f>
        <v>2</v>
      </c>
      <c r="BD124" s="258"/>
      <c r="BE124" s="258"/>
      <c r="BF124" s="255" t="e">
        <v>#REF!</v>
      </c>
      <c r="BG124" s="256">
        <f t="shared" si="4"/>
        <v>0</v>
      </c>
      <c r="BH124" s="257" t="str">
        <f t="shared" si="5"/>
        <v>#REF!</v>
      </c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</row>
    <row r="125">
      <c r="A125" s="6" t="str">
        <f>IFERROR(__xludf.DUMMYFUNCTION("""COMPUTED_VALUE"""),"Sandeep Dadheech")</f>
        <v>Sandeep Dadheech</v>
      </c>
      <c r="B125" s="98" t="str">
        <f>IFERROR(__xludf.DUMMYFUNCTION("""COMPUTED_VALUE"""),"West Bengal")</f>
        <v>West Bengal</v>
      </c>
      <c r="C125" s="212" t="str">
        <f>IFERROR(__xludf.DUMMYFUNCTION("""COMPUTED_VALUE"""),"Susovan Singha")</f>
        <v>Susovan Singha</v>
      </c>
      <c r="D125" s="98" t="str">
        <f>IFERROR(__xludf.DUMMYFUNCTION("""COMPUTED_VALUE"""),"East Midnapore")</f>
        <v>East Midnapore</v>
      </c>
      <c r="E125" s="213">
        <f>IFERROR(__xludf.DUMMYFUNCTION("""COMPUTED_VALUE"""),45784.0)</f>
        <v>45784</v>
      </c>
      <c r="F125" s="222" t="str">
        <f>IFERROR(__xludf.DUMMYFUNCTION("""COMPUTED_VALUE"""),"WEST BENGAL")</f>
        <v>WEST BENGAL</v>
      </c>
      <c r="G125" s="215">
        <f>IFERROR(__xludf.DUMMYFUNCTION("""COMPUTED_VALUE"""),2.726609972E7)</f>
        <v>27266099.72</v>
      </c>
      <c r="H125" s="215">
        <f>IFERROR(__xludf.DUMMYFUNCTION("""COMPUTED_VALUE"""),2.9763299360000003E7)</f>
        <v>29763299.36</v>
      </c>
      <c r="I125" s="216">
        <f>IFERROR(__xludf.DUMMYFUNCTION("""COMPUTED_VALUE"""),25985.0)</f>
        <v>25985</v>
      </c>
      <c r="J125" s="216">
        <f>IFERROR(__xludf.DUMMYFUNCTION("""COMPUTED_VALUE"""),3333333.0)</f>
        <v>3333333</v>
      </c>
      <c r="K125" s="217">
        <f>IFERROR(__xludf.DUMMYFUNCTION("""COMPUTED_VALUE"""),0.0)</f>
        <v>0</v>
      </c>
      <c r="L125" s="217">
        <f>IFERROR(__xludf.DUMMYFUNCTION("""COMPUTED_VALUE"""),9999999.0)</f>
        <v>9999999</v>
      </c>
      <c r="M125" s="217">
        <f>IFERROR(__xludf.DUMMYFUNCTION("""COMPUTED_VALUE"""),5113525.0)</f>
        <v>5113525</v>
      </c>
      <c r="N125" s="217">
        <f>IFERROR(__xludf.DUMMYFUNCTION("""COMPUTED_VALUE"""),0.0)</f>
        <v>0</v>
      </c>
      <c r="O125" s="217">
        <f>IFERROR(__xludf.DUMMYFUNCTION("""COMPUTED_VALUE"""),6692734.1499999985)</f>
        <v>6692734.15</v>
      </c>
      <c r="P125" s="218">
        <f>IFERROR(__xludf.DUMMYFUNCTION("""COMPUTED_VALUE"""),0.5113525511352551)</f>
        <v>0.5113525511</v>
      </c>
      <c r="Q125" s="218">
        <f>IFERROR(__xludf.DUMMYFUNCTION("""COMPUTED_VALUE"""),0.0)</f>
        <v>0</v>
      </c>
      <c r="R125" s="218">
        <f>IFERROR(__xludf.DUMMYFUNCTION("""COMPUTED_VALUE"""),0.669273481927348)</f>
        <v>0.6692734819</v>
      </c>
      <c r="S125" s="187">
        <f>IFERROR(__xludf.DUMMYFUNCTION("""COMPUTED_VALUE"""),40.0)</f>
        <v>40</v>
      </c>
      <c r="T125" s="187">
        <f>IFERROR(__xludf.DUMMYFUNCTION("""COMPUTED_VALUE"""),34.0)</f>
        <v>34</v>
      </c>
      <c r="U125" s="187">
        <f>IFERROR(__xludf.DUMMYFUNCTION("""COMPUTED_VALUE"""),1.0)</f>
        <v>1</v>
      </c>
      <c r="V125" s="187">
        <f>IFERROR(__xludf.DUMMYFUNCTION("""COMPUTED_VALUE"""),1.0)</f>
        <v>1</v>
      </c>
      <c r="W125" s="187">
        <f>IFERROR(__xludf.DUMMYFUNCTION("""COMPUTED_VALUE"""),41.0)</f>
        <v>41</v>
      </c>
      <c r="X125" s="187">
        <f>IFERROR(__xludf.DUMMYFUNCTION("""COMPUTED_VALUE"""),7.0)</f>
        <v>7</v>
      </c>
      <c r="Y125" s="188">
        <f>IFERROR(__xludf.DUMMYFUNCTION("""COMPUTED_VALUE"""),4789251.62)</f>
        <v>4789251.62</v>
      </c>
      <c r="Z125" s="188">
        <f>IFERROR(__xludf.DUMMYFUNCTION("""COMPUTED_VALUE"""),324273.56)</f>
        <v>324273.56</v>
      </c>
      <c r="AA125" s="187">
        <f>IFERROR(__xludf.DUMMYFUNCTION("""COMPUTED_VALUE"""),21.0)</f>
        <v>21</v>
      </c>
      <c r="AB125" s="187">
        <f>IFERROR(__xludf.DUMMYFUNCTION("""COMPUTED_VALUE"""),1.0)</f>
        <v>1</v>
      </c>
      <c r="AC125" s="187">
        <f>IFERROR(__xludf.DUMMYFUNCTION("""COMPUTED_VALUE"""),22.0)</f>
        <v>22</v>
      </c>
      <c r="AD125" s="187">
        <f>IFERROR(__xludf.DUMMYFUNCTION("""COMPUTED_VALUE"""),0.0)</f>
        <v>0</v>
      </c>
      <c r="AE125" s="187">
        <f>IFERROR(__xludf.DUMMYFUNCTION("""COMPUTED_VALUE"""),5.0)</f>
        <v>5</v>
      </c>
      <c r="AF125" s="187">
        <f>IFERROR(__xludf.DUMMYFUNCTION("""COMPUTED_VALUE"""),12.0)</f>
        <v>12</v>
      </c>
      <c r="AG125" s="187">
        <f>IFERROR(__xludf.DUMMYFUNCTION("""COMPUTED_VALUE"""),28.0)</f>
        <v>28</v>
      </c>
      <c r="AH125" s="187">
        <f>IFERROR(__xludf.DUMMYFUNCTION("""COMPUTED_VALUE"""),1.0)</f>
        <v>1</v>
      </c>
      <c r="AI125" s="187">
        <f>IFERROR(__xludf.DUMMYFUNCTION("""COMPUTED_VALUE"""),3.0)</f>
        <v>3</v>
      </c>
      <c r="AJ125" s="187">
        <f>IFERROR(__xludf.DUMMYFUNCTION("""COMPUTED_VALUE"""),0.0)</f>
        <v>0</v>
      </c>
      <c r="AK125" s="187">
        <f>IFERROR(__xludf.DUMMYFUNCTION("""COMPUTED_VALUE"""),0.0)</f>
        <v>0</v>
      </c>
      <c r="AL125" s="187">
        <f>IFERROR(__xludf.DUMMYFUNCTION("""COMPUTED_VALUE"""),0.0)</f>
        <v>0</v>
      </c>
      <c r="AM125" s="187">
        <f>IFERROR(__xludf.DUMMYFUNCTION("""COMPUTED_VALUE"""),0.0)</f>
        <v>0</v>
      </c>
      <c r="AN125" s="187">
        <f>IFERROR(__xludf.DUMMYFUNCTION("""COMPUTED_VALUE"""),294.0)</f>
        <v>294</v>
      </c>
      <c r="AO125" s="187">
        <f>IFERROR(__xludf.DUMMYFUNCTION("""COMPUTED_VALUE"""),309.0)</f>
        <v>309</v>
      </c>
      <c r="AP125" s="187">
        <f>IFERROR(__xludf.DUMMYFUNCTION("""COMPUTED_VALUE"""),69.0)</f>
        <v>69</v>
      </c>
      <c r="AQ125" s="217">
        <f>IFERROR(__xludf.DUMMYFUNCTION("""COMPUTED_VALUE"""),74109.0579710145)</f>
        <v>74109.05797</v>
      </c>
      <c r="AR125" s="188">
        <f>IFERROR(__xludf.DUMMYFUNCTION("""COMPUTED_VALUE"""),4.478260869565218)</f>
        <v>4.47826087</v>
      </c>
      <c r="AS125" s="217">
        <f>IFERROR(__xludf.DUMMYFUNCTION("""COMPUTED_VALUE"""),77955.0)</f>
        <v>77955</v>
      </c>
      <c r="AT125" s="217"/>
      <c r="AU125" s="218">
        <f>IFERROR(__xludf.DUMMYFUNCTION("""COMPUTED_VALUE"""),0.015244865332622799)</f>
        <v>0.01524486533</v>
      </c>
      <c r="AV125" s="217">
        <f>IFERROR(__xludf.DUMMYFUNCTION("""COMPUTED_VALUE"""),232432.95454545456)</f>
        <v>232432.9545</v>
      </c>
      <c r="AW125" s="219">
        <f>IFERROR(__xludf.DUMMYFUNCTION("""COMPUTED_VALUE"""),76.0)</f>
        <v>76</v>
      </c>
      <c r="AX125" s="219">
        <f>IFERROR(__xludf.DUMMYFUNCTION("""COMPUTED_VALUE"""),759.0)</f>
        <v>759</v>
      </c>
      <c r="AY125" s="262">
        <f>IFERROR(__xludf.DUMMYFUNCTION("""COMPUTED_VALUE"""),5909.9)</f>
        <v>5909.9</v>
      </c>
      <c r="AZ125" s="263">
        <f>IFERROR(__xludf.DUMMYFUNCTION("""COMPUTED_VALUE"""),174.0)</f>
        <v>174</v>
      </c>
      <c r="BA125" s="263">
        <f>IFERROR(__xludf.DUMMYFUNCTION("""COMPUTED_VALUE"""),22.0)</f>
        <v>22</v>
      </c>
      <c r="BB125" s="263">
        <f>IFERROR(__xludf.DUMMYFUNCTION("""COMPUTED_VALUE"""),14.0)</f>
        <v>14</v>
      </c>
      <c r="BC125" s="263">
        <f>IFERROR(__xludf.DUMMYFUNCTION("""COMPUTED_VALUE"""),5.0)</f>
        <v>5</v>
      </c>
      <c r="BD125" s="265"/>
      <c r="BE125" s="258"/>
      <c r="BF125" s="255" t="e">
        <v>#REF!</v>
      </c>
      <c r="BG125" s="256">
        <f t="shared" si="4"/>
        <v>5113525</v>
      </c>
      <c r="BH125" s="257" t="str">
        <f t="shared" si="5"/>
        <v>#REF!</v>
      </c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</row>
    <row r="126">
      <c r="A126" s="6" t="str">
        <f>IFERROR(__xludf.DUMMYFUNCTION("""COMPUTED_VALUE"""),"Biju C.O")</f>
        <v>Biju C.O</v>
      </c>
      <c r="B126" s="98" t="str">
        <f>IFERROR(__xludf.DUMMYFUNCTION("""COMPUTED_VALUE"""),"Kerala")</f>
        <v>Kerala</v>
      </c>
      <c r="C126" s="212" t="str">
        <f>IFERROR(__xludf.DUMMYFUNCTION("""COMPUTED_VALUE"""),"Riyas V")</f>
        <v>Riyas V</v>
      </c>
      <c r="D126" s="98" t="str">
        <f>IFERROR(__xludf.DUMMYFUNCTION("""COMPUTED_VALUE"""),"Pattambi")</f>
        <v>Pattambi</v>
      </c>
      <c r="E126" s="213">
        <f>IFERROR(__xludf.DUMMYFUNCTION("""COMPUTED_VALUE"""),45793.0)</f>
        <v>45793</v>
      </c>
      <c r="F126" s="222" t="str">
        <f>IFERROR(__xludf.DUMMYFUNCTION("""COMPUTED_VALUE"""),"KERALA")</f>
        <v>KERALA</v>
      </c>
      <c r="G126" s="215">
        <f>IFERROR(__xludf.DUMMYFUNCTION("""COMPUTED_VALUE"""),1.0690030200585939E7)</f>
        <v>10690030.2</v>
      </c>
      <c r="H126" s="215">
        <f>IFERROR(__xludf.DUMMYFUNCTION("""COMPUTED_VALUE"""),8652964.229999999)</f>
        <v>8652964.23</v>
      </c>
      <c r="I126" s="216">
        <f>IFERROR(__xludf.DUMMYFUNCTION("""COMPUTED_VALUE"""),27000.0)</f>
        <v>27000</v>
      </c>
      <c r="J126" s="216">
        <f>IFERROR(__xludf.DUMMYFUNCTION("""COMPUTED_VALUE"""),962500.0)</f>
        <v>962500</v>
      </c>
      <c r="K126" s="217">
        <f>IFERROR(__xludf.DUMMYFUNCTION("""COMPUTED_VALUE"""),0.0)</f>
        <v>0</v>
      </c>
      <c r="L126" s="217">
        <f>IFERROR(__xludf.DUMMYFUNCTION("""COMPUTED_VALUE"""),4200000.0)</f>
        <v>4200000</v>
      </c>
      <c r="M126" s="217">
        <f>IFERROR(__xludf.DUMMYFUNCTION("""COMPUTED_VALUE"""),4890677.0)</f>
        <v>4890677</v>
      </c>
      <c r="N126" s="217">
        <f>IFERROR(__xludf.DUMMYFUNCTION("""COMPUTED_VALUE"""),0.0)</f>
        <v>0</v>
      </c>
      <c r="O126" s="217">
        <f>IFERROR(__xludf.DUMMYFUNCTION("""COMPUTED_VALUE"""),1502887.29)</f>
        <v>1502887.29</v>
      </c>
      <c r="P126" s="218">
        <f>IFERROR(__xludf.DUMMYFUNCTION("""COMPUTED_VALUE"""),1.1644469047619048)</f>
        <v>1.164446905</v>
      </c>
      <c r="Q126" s="218">
        <f>IFERROR(__xludf.DUMMYFUNCTION("""COMPUTED_VALUE"""),0.0)</f>
        <v>0</v>
      </c>
      <c r="R126" s="218">
        <f>IFERROR(__xludf.DUMMYFUNCTION("""COMPUTED_VALUE"""),0.35783030714285713)</f>
        <v>0.3578303071</v>
      </c>
      <c r="S126" s="187">
        <f>IFERROR(__xludf.DUMMYFUNCTION("""COMPUTED_VALUE"""),74.0)</f>
        <v>74</v>
      </c>
      <c r="T126" s="187">
        <f>IFERROR(__xludf.DUMMYFUNCTION("""COMPUTED_VALUE"""),66.0)</f>
        <v>66</v>
      </c>
      <c r="U126" s="187">
        <f>IFERROR(__xludf.DUMMYFUNCTION("""COMPUTED_VALUE"""),2.0)</f>
        <v>2</v>
      </c>
      <c r="V126" s="187">
        <f>IFERROR(__xludf.DUMMYFUNCTION("""COMPUTED_VALUE"""),2.0)</f>
        <v>2</v>
      </c>
      <c r="W126" s="187">
        <f>IFERROR(__xludf.DUMMYFUNCTION("""COMPUTED_VALUE"""),76.0)</f>
        <v>76</v>
      </c>
      <c r="X126" s="187">
        <f>IFERROR(__xludf.DUMMYFUNCTION("""COMPUTED_VALUE"""),10.0)</f>
        <v>10</v>
      </c>
      <c r="Y126" s="188">
        <f>IFERROR(__xludf.DUMMYFUNCTION("""COMPUTED_VALUE"""),4418512.81)</f>
        <v>4418512.81</v>
      </c>
      <c r="Z126" s="188">
        <f>IFERROR(__xludf.DUMMYFUNCTION("""COMPUTED_VALUE"""),472164.0)</f>
        <v>472164</v>
      </c>
      <c r="AA126" s="187">
        <f>IFERROR(__xludf.DUMMYFUNCTION("""COMPUTED_VALUE"""),42.0)</f>
        <v>42</v>
      </c>
      <c r="AB126" s="187">
        <f>IFERROR(__xludf.DUMMYFUNCTION("""COMPUTED_VALUE"""),2.0)</f>
        <v>2</v>
      </c>
      <c r="AC126" s="187">
        <f>IFERROR(__xludf.DUMMYFUNCTION("""COMPUTED_VALUE"""),44.0)</f>
        <v>44</v>
      </c>
      <c r="AD126" s="187">
        <f>IFERROR(__xludf.DUMMYFUNCTION("""COMPUTED_VALUE"""),0.0)</f>
        <v>0</v>
      </c>
      <c r="AE126" s="187">
        <f>IFERROR(__xludf.DUMMYFUNCTION("""COMPUTED_VALUE"""),3.0)</f>
        <v>3</v>
      </c>
      <c r="AF126" s="187">
        <f>IFERROR(__xludf.DUMMYFUNCTION("""COMPUTED_VALUE"""),3.0)</f>
        <v>3</v>
      </c>
      <c r="AG126" s="187">
        <f>IFERROR(__xludf.DUMMYFUNCTION("""COMPUTED_VALUE"""),3.0)</f>
        <v>3</v>
      </c>
      <c r="AH126" s="187">
        <f>IFERROR(__xludf.DUMMYFUNCTION("""COMPUTED_VALUE"""),1.0)</f>
        <v>1</v>
      </c>
      <c r="AI126" s="187">
        <f>IFERROR(__xludf.DUMMYFUNCTION("""COMPUTED_VALUE"""),7.0)</f>
        <v>7</v>
      </c>
      <c r="AJ126" s="187">
        <f>IFERROR(__xludf.DUMMYFUNCTION("""COMPUTED_VALUE"""),0.0)</f>
        <v>0</v>
      </c>
      <c r="AK126" s="187">
        <f>IFERROR(__xludf.DUMMYFUNCTION("""COMPUTED_VALUE"""),0.0)</f>
        <v>0</v>
      </c>
      <c r="AL126" s="187">
        <f>IFERROR(__xludf.DUMMYFUNCTION("""COMPUTED_VALUE"""),0.0)</f>
        <v>0</v>
      </c>
      <c r="AM126" s="187">
        <f>IFERROR(__xludf.DUMMYFUNCTION("""COMPUTED_VALUE"""),0.0)</f>
        <v>0</v>
      </c>
      <c r="AN126" s="187">
        <f>IFERROR(__xludf.DUMMYFUNCTION("""COMPUTED_VALUE"""),465.0)</f>
        <v>465</v>
      </c>
      <c r="AO126" s="187">
        <f>IFERROR(__xludf.DUMMYFUNCTION("""COMPUTED_VALUE"""),475.0)</f>
        <v>475</v>
      </c>
      <c r="AP126" s="187">
        <f>IFERROR(__xludf.DUMMYFUNCTION("""COMPUTED_VALUE"""),72.0)</f>
        <v>72</v>
      </c>
      <c r="AQ126" s="217">
        <f>IFERROR(__xludf.DUMMYFUNCTION("""COMPUTED_VALUE"""),67926.06944444444)</f>
        <v>67926.06944</v>
      </c>
      <c r="AR126" s="188">
        <f>IFERROR(__xludf.DUMMYFUNCTION("""COMPUTED_VALUE"""),6.597222222222222)</f>
        <v>6.597222222</v>
      </c>
      <c r="AS126" s="217">
        <f>IFERROR(__xludf.DUMMYFUNCTION("""COMPUTED_VALUE"""),81000.0)</f>
        <v>81000</v>
      </c>
      <c r="AT126" s="217"/>
      <c r="AU126" s="218">
        <f>IFERROR(__xludf.DUMMYFUNCTION("""COMPUTED_VALUE"""),0.016562124221247896)</f>
        <v>0.01656212422</v>
      </c>
      <c r="AV126" s="217">
        <f>IFERROR(__xludf.DUMMYFUNCTION("""COMPUTED_VALUE"""),111151.75)</f>
        <v>111151.75</v>
      </c>
      <c r="AW126" s="219">
        <f>IFERROR(__xludf.DUMMYFUNCTION("""COMPUTED_VALUE"""),94.0)</f>
        <v>94</v>
      </c>
      <c r="AX126" s="219">
        <f>IFERROR(__xludf.DUMMYFUNCTION("""COMPUTED_VALUE"""),644.0)</f>
        <v>644</v>
      </c>
      <c r="AY126" s="262">
        <f>IFERROR(__xludf.DUMMYFUNCTION("""COMPUTED_VALUE"""),4290.84)</f>
        <v>4290.84</v>
      </c>
      <c r="AZ126" s="263">
        <f>IFERROR(__xludf.DUMMYFUNCTION("""COMPUTED_VALUE"""),65.0)</f>
        <v>65</v>
      </c>
      <c r="BA126" s="263">
        <f>IFERROR(__xludf.DUMMYFUNCTION("""COMPUTED_VALUE"""),44.0)</f>
        <v>44</v>
      </c>
      <c r="BB126" s="263">
        <f>IFERROR(__xludf.DUMMYFUNCTION("""COMPUTED_VALUE"""),23.0)</f>
        <v>23</v>
      </c>
      <c r="BC126" s="263">
        <f>IFERROR(__xludf.DUMMYFUNCTION("""COMPUTED_VALUE"""),9.0)</f>
        <v>9</v>
      </c>
      <c r="BD126" s="258"/>
      <c r="BE126" s="258"/>
      <c r="BF126" s="255" t="e">
        <v>#REF!</v>
      </c>
      <c r="BG126" s="256">
        <f t="shared" si="4"/>
        <v>4890677</v>
      </c>
      <c r="BH126" s="257" t="str">
        <f t="shared" si="5"/>
        <v>#REF!</v>
      </c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</row>
    <row r="127">
      <c r="A127" s="6" t="str">
        <f>IFERROR(__xludf.DUMMYFUNCTION("""COMPUTED_VALUE"""),"Sunil Patel")</f>
        <v>Sunil Patel</v>
      </c>
      <c r="B127" s="98" t="str">
        <f>IFERROR(__xludf.DUMMYFUNCTION("""COMPUTED_VALUE"""),"Gujarat")</f>
        <v>Gujarat</v>
      </c>
      <c r="C127" s="212" t="str">
        <f>IFERROR(__xludf.DUMMYFUNCTION("""COMPUTED_VALUE"""),"Rathod Vijaybhai")</f>
        <v>Rathod Vijaybhai</v>
      </c>
      <c r="D127" s="98" t="str">
        <f>IFERROR(__xludf.DUMMYFUNCTION("""COMPUTED_VALUE"""),"Surat")</f>
        <v>Surat</v>
      </c>
      <c r="E127" s="213">
        <f>IFERROR(__xludf.DUMMYFUNCTION("""COMPUTED_VALUE"""),45810.0)</f>
        <v>45810</v>
      </c>
      <c r="F127" s="222" t="str">
        <f>IFERROR(__xludf.DUMMYFUNCTION("""COMPUTED_VALUE"""),"GUJARAT")</f>
        <v>GUJARAT</v>
      </c>
      <c r="G127" s="215">
        <f>IFERROR(__xludf.DUMMYFUNCTION("""COMPUTED_VALUE"""),2939713.64)</f>
        <v>2939713.64</v>
      </c>
      <c r="H127" s="215">
        <f>IFERROR(__xludf.DUMMYFUNCTION("""COMPUTED_VALUE"""),0.0)</f>
        <v>0</v>
      </c>
      <c r="I127" s="216">
        <f>IFERROR(__xludf.DUMMYFUNCTION("""COMPUTED_VALUE"""),38285.0)</f>
        <v>38285</v>
      </c>
      <c r="J127" s="216">
        <f>IFERROR(__xludf.DUMMYFUNCTION("""COMPUTED_VALUE"""),1250000.0)</f>
        <v>1250000</v>
      </c>
      <c r="K127" s="217">
        <f>IFERROR(__xludf.DUMMYFUNCTION("""COMPUTED_VALUE"""),0.0)</f>
        <v>0</v>
      </c>
      <c r="L127" s="217">
        <f>IFERROR(__xludf.DUMMYFUNCTION("""COMPUTED_VALUE"""),3750000.0)</f>
        <v>3750000</v>
      </c>
      <c r="M127" s="217">
        <f>IFERROR(__xludf.DUMMYFUNCTION("""COMPUTED_VALUE"""),1081845.0)</f>
        <v>1081845</v>
      </c>
      <c r="N127" s="217">
        <f>IFERROR(__xludf.DUMMYFUNCTION("""COMPUTED_VALUE"""),0.0)</f>
        <v>0</v>
      </c>
      <c r="O127" s="217">
        <f>IFERROR(__xludf.DUMMYFUNCTION("""COMPUTED_VALUE"""),0.0)</f>
        <v>0</v>
      </c>
      <c r="P127" s="218">
        <f>IFERROR(__xludf.DUMMYFUNCTION("""COMPUTED_VALUE"""),0.288492)</f>
        <v>0.288492</v>
      </c>
      <c r="Q127" s="218">
        <f>IFERROR(__xludf.DUMMYFUNCTION("""COMPUTED_VALUE"""),0.0)</f>
        <v>0</v>
      </c>
      <c r="R127" s="218">
        <f>IFERROR(__xludf.DUMMYFUNCTION("""COMPUTED_VALUE"""),0.0)</f>
        <v>0</v>
      </c>
      <c r="S127" s="187">
        <f>IFERROR(__xludf.DUMMYFUNCTION("""COMPUTED_VALUE"""),47.0)</f>
        <v>47</v>
      </c>
      <c r="T127" s="187">
        <f>IFERROR(__xludf.DUMMYFUNCTION("""COMPUTED_VALUE"""),40.0)</f>
        <v>40</v>
      </c>
      <c r="U127" s="187">
        <f>IFERROR(__xludf.DUMMYFUNCTION("""COMPUTED_VALUE"""),6.0)</f>
        <v>6</v>
      </c>
      <c r="V127" s="187">
        <f>IFERROR(__xludf.DUMMYFUNCTION("""COMPUTED_VALUE"""),6.0)</f>
        <v>6</v>
      </c>
      <c r="W127" s="187">
        <f>IFERROR(__xludf.DUMMYFUNCTION("""COMPUTED_VALUE"""),53.0)</f>
        <v>53</v>
      </c>
      <c r="X127" s="187">
        <f>IFERROR(__xludf.DUMMYFUNCTION("""COMPUTED_VALUE"""),13.0)</f>
        <v>13</v>
      </c>
      <c r="Y127" s="188">
        <f>IFERROR(__xludf.DUMMYFUNCTION("""COMPUTED_VALUE"""),748877.82)</f>
        <v>748877.82</v>
      </c>
      <c r="Z127" s="188">
        <f>IFERROR(__xludf.DUMMYFUNCTION("""COMPUTED_VALUE"""),332966.88)</f>
        <v>332966.88</v>
      </c>
      <c r="AA127" s="187">
        <f>IFERROR(__xludf.DUMMYFUNCTION("""COMPUTED_VALUE"""),21.0)</f>
        <v>21</v>
      </c>
      <c r="AB127" s="187">
        <f>IFERROR(__xludf.DUMMYFUNCTION("""COMPUTED_VALUE"""),6.0)</f>
        <v>6</v>
      </c>
      <c r="AC127" s="187">
        <f>IFERROR(__xludf.DUMMYFUNCTION("""COMPUTED_VALUE"""),27.0)</f>
        <v>27</v>
      </c>
      <c r="AD127" s="187">
        <f>IFERROR(__xludf.DUMMYFUNCTION("""COMPUTED_VALUE"""),0.0)</f>
        <v>0</v>
      </c>
      <c r="AE127" s="187">
        <f>IFERROR(__xludf.DUMMYFUNCTION("""COMPUTED_VALUE"""),41.0)</f>
        <v>41</v>
      </c>
      <c r="AF127" s="187">
        <f>IFERROR(__xludf.DUMMYFUNCTION("""COMPUTED_VALUE"""),69.0)</f>
        <v>69</v>
      </c>
      <c r="AG127" s="187">
        <f>IFERROR(__xludf.DUMMYFUNCTION("""COMPUTED_VALUE"""),87.0)</f>
        <v>87</v>
      </c>
      <c r="AH127" s="187">
        <f>IFERROR(__xludf.DUMMYFUNCTION("""COMPUTED_VALUE"""),1.0)</f>
        <v>1</v>
      </c>
      <c r="AI127" s="187">
        <f>IFERROR(__xludf.DUMMYFUNCTION("""COMPUTED_VALUE"""),9.0)</f>
        <v>9</v>
      </c>
      <c r="AJ127" s="187">
        <f>IFERROR(__xludf.DUMMYFUNCTION("""COMPUTED_VALUE"""),0.0)</f>
        <v>0</v>
      </c>
      <c r="AK127" s="187">
        <f>IFERROR(__xludf.DUMMYFUNCTION("""COMPUTED_VALUE"""),0.0)</f>
        <v>0</v>
      </c>
      <c r="AL127" s="187">
        <f>IFERROR(__xludf.DUMMYFUNCTION("""COMPUTED_VALUE"""),1.0)</f>
        <v>1</v>
      </c>
      <c r="AM127" s="187">
        <f>IFERROR(__xludf.DUMMYFUNCTION("""COMPUTED_VALUE"""),1.0)</f>
        <v>1</v>
      </c>
      <c r="AN127" s="187">
        <f>IFERROR(__xludf.DUMMYFUNCTION("""COMPUTED_VALUE"""),194.0)</f>
        <v>194</v>
      </c>
      <c r="AO127" s="187">
        <f>IFERROR(__xludf.DUMMYFUNCTION("""COMPUTED_VALUE"""),273.0)</f>
        <v>273</v>
      </c>
      <c r="AP127" s="187">
        <f>IFERROR(__xludf.DUMMYFUNCTION("""COMPUTED_VALUE"""),72.0)</f>
        <v>72</v>
      </c>
      <c r="AQ127" s="217">
        <f>IFERROR(__xludf.DUMMYFUNCTION("""COMPUTED_VALUE"""),15025.625)</f>
        <v>15025.625</v>
      </c>
      <c r="AR127" s="188">
        <f>IFERROR(__xludf.DUMMYFUNCTION("""COMPUTED_VALUE"""),3.7916666666666665)</f>
        <v>3.791666667</v>
      </c>
      <c r="AS127" s="217">
        <f>IFERROR(__xludf.DUMMYFUNCTION("""COMPUTED_VALUE"""),114855.0)</f>
        <v>114855</v>
      </c>
      <c r="AT127" s="217"/>
      <c r="AU127" s="218">
        <f>IFERROR(__xludf.DUMMYFUNCTION("""COMPUTED_VALUE"""),0.10616585555232035)</f>
        <v>0.1061658556</v>
      </c>
      <c r="AV127" s="217">
        <f>IFERROR(__xludf.DUMMYFUNCTION("""COMPUTED_VALUE"""),40068.333333333336)</f>
        <v>40068.33333</v>
      </c>
      <c r="AW127" s="219">
        <f>IFERROR(__xludf.DUMMYFUNCTION("""COMPUTED_VALUE"""),61.0)</f>
        <v>61</v>
      </c>
      <c r="AX127" s="219">
        <f>IFERROR(__xludf.DUMMYFUNCTION("""COMPUTED_VALUE"""),555.0)</f>
        <v>555</v>
      </c>
      <c r="AY127" s="262">
        <f>IFERROR(__xludf.DUMMYFUNCTION("""COMPUTED_VALUE"""),2056.66)</f>
        <v>2056.66</v>
      </c>
      <c r="AZ127" s="263">
        <f>IFERROR(__xludf.DUMMYFUNCTION("""COMPUTED_VALUE"""),51.0)</f>
        <v>51</v>
      </c>
      <c r="BA127" s="263">
        <f>IFERROR(__xludf.DUMMYFUNCTION("""COMPUTED_VALUE"""),27.0)</f>
        <v>27</v>
      </c>
      <c r="BB127" s="263">
        <f>IFERROR(__xludf.DUMMYFUNCTION("""COMPUTED_VALUE"""),14.0)</f>
        <v>14</v>
      </c>
      <c r="BC127" s="263">
        <f>IFERROR(__xludf.DUMMYFUNCTION("""COMPUTED_VALUE"""),12.0)</f>
        <v>12</v>
      </c>
      <c r="BD127" s="258"/>
      <c r="BE127" s="258"/>
      <c r="BF127" s="255" t="e">
        <v>#REF!</v>
      </c>
      <c r="BG127" s="256">
        <f t="shared" si="4"/>
        <v>1081845</v>
      </c>
      <c r="BH127" s="257" t="str">
        <f t="shared" si="5"/>
        <v>#REF!</v>
      </c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</row>
    <row r="128">
      <c r="A128" s="6" t="str">
        <f>IFERROR(__xludf.DUMMYFUNCTION("""COMPUTED_VALUE"""),"Sandeep Dadheech")</f>
        <v>Sandeep Dadheech</v>
      </c>
      <c r="B128" s="98" t="str">
        <f>IFERROR(__xludf.DUMMYFUNCTION("""COMPUTED_VALUE"""),"West Bengal")</f>
        <v>West Bengal</v>
      </c>
      <c r="C128" s="212" t="str">
        <f>IFERROR(__xludf.DUMMYFUNCTION("""COMPUTED_VALUE"""),"Indrajit Ghosh")</f>
        <v>Indrajit Ghosh</v>
      </c>
      <c r="D128" s="98" t="str">
        <f>IFERROR(__xludf.DUMMYFUNCTION("""COMPUTED_VALUE"""),"Kolkata")</f>
        <v>Kolkata</v>
      </c>
      <c r="E128" s="213">
        <f>IFERROR(__xludf.DUMMYFUNCTION("""COMPUTED_VALUE"""),45817.0)</f>
        <v>45817</v>
      </c>
      <c r="F128" s="222" t="str">
        <f>IFERROR(__xludf.DUMMYFUNCTION("""COMPUTED_VALUE"""),"WEST BENGAL")</f>
        <v>WEST BENGAL</v>
      </c>
      <c r="G128" s="215">
        <f>IFERROR(__xludf.DUMMYFUNCTION("""COMPUTED_VALUE"""),4564361.16)</f>
        <v>4564361.16</v>
      </c>
      <c r="H128" s="215">
        <f>IFERROR(__xludf.DUMMYFUNCTION("""COMPUTED_VALUE"""),4094227.0)</f>
        <v>4094227</v>
      </c>
      <c r="I128" s="216">
        <f>IFERROR(__xludf.DUMMYFUNCTION("""COMPUTED_VALUE"""),32500.0)</f>
        <v>32500</v>
      </c>
      <c r="J128" s="216">
        <f>IFERROR(__xludf.DUMMYFUNCTION("""COMPUTED_VALUE"""),2083333.0)</f>
        <v>2083333</v>
      </c>
      <c r="K128" s="217">
        <f>IFERROR(__xludf.DUMMYFUNCTION("""COMPUTED_VALUE"""),0.0)</f>
        <v>0</v>
      </c>
      <c r="L128" s="217">
        <f>IFERROR(__xludf.DUMMYFUNCTION("""COMPUTED_VALUE"""),6249999.0)</f>
        <v>6249999</v>
      </c>
      <c r="M128" s="217">
        <f>IFERROR(__xludf.DUMMYFUNCTION("""COMPUTED_VALUE"""),2862123.0)</f>
        <v>2862123</v>
      </c>
      <c r="N128" s="217">
        <f>IFERROR(__xludf.DUMMYFUNCTION("""COMPUTED_VALUE"""),0.0)</f>
        <v>0</v>
      </c>
      <c r="O128" s="217">
        <f>IFERROR(__xludf.DUMMYFUNCTION("""COMPUTED_VALUE"""),1592702.0)</f>
        <v>1592702</v>
      </c>
      <c r="P128" s="218">
        <f>IFERROR(__xludf.DUMMYFUNCTION("""COMPUTED_VALUE"""),0.4579397532703605)</f>
        <v>0.4579397533</v>
      </c>
      <c r="Q128" s="218">
        <f>IFERROR(__xludf.DUMMYFUNCTION("""COMPUTED_VALUE"""),0.0)</f>
        <v>0</v>
      </c>
      <c r="R128" s="218">
        <f>IFERROR(__xludf.DUMMYFUNCTION("""COMPUTED_VALUE"""),0.2548323607731777)</f>
        <v>0.2548323608</v>
      </c>
      <c r="S128" s="187">
        <f>IFERROR(__xludf.DUMMYFUNCTION("""COMPUTED_VALUE"""),79.0)</f>
        <v>79</v>
      </c>
      <c r="T128" s="187">
        <f>IFERROR(__xludf.DUMMYFUNCTION("""COMPUTED_VALUE"""),53.0)</f>
        <v>53</v>
      </c>
      <c r="U128" s="187">
        <f>IFERROR(__xludf.DUMMYFUNCTION("""COMPUTED_VALUE"""),4.0)</f>
        <v>4</v>
      </c>
      <c r="V128" s="187">
        <f>IFERROR(__xludf.DUMMYFUNCTION("""COMPUTED_VALUE"""),2.0)</f>
        <v>2</v>
      </c>
      <c r="W128" s="187">
        <f>IFERROR(__xludf.DUMMYFUNCTION("""COMPUTED_VALUE"""),83.0)</f>
        <v>83</v>
      </c>
      <c r="X128" s="187">
        <f>IFERROR(__xludf.DUMMYFUNCTION("""COMPUTED_VALUE"""),30.0)</f>
        <v>30</v>
      </c>
      <c r="Y128" s="188">
        <f>IFERROR(__xludf.DUMMYFUNCTION("""COMPUTED_VALUE"""),2786700.66)</f>
        <v>2786700.66</v>
      </c>
      <c r="Z128" s="188">
        <f>IFERROR(__xludf.DUMMYFUNCTION("""COMPUTED_VALUE"""),75422.7)</f>
        <v>75422.7</v>
      </c>
      <c r="AA128" s="187">
        <f>IFERROR(__xludf.DUMMYFUNCTION("""COMPUTED_VALUE"""),24.0)</f>
        <v>24</v>
      </c>
      <c r="AB128" s="187">
        <f>IFERROR(__xludf.DUMMYFUNCTION("""COMPUTED_VALUE"""),2.0)</f>
        <v>2</v>
      </c>
      <c r="AC128" s="187">
        <f>IFERROR(__xludf.DUMMYFUNCTION("""COMPUTED_VALUE"""),26.0)</f>
        <v>26</v>
      </c>
      <c r="AD128" s="187">
        <f>IFERROR(__xludf.DUMMYFUNCTION("""COMPUTED_VALUE"""),0.0)</f>
        <v>0</v>
      </c>
      <c r="AE128" s="187">
        <f>IFERROR(__xludf.DUMMYFUNCTION("""COMPUTED_VALUE"""),53.0)</f>
        <v>53</v>
      </c>
      <c r="AF128" s="187">
        <f>IFERROR(__xludf.DUMMYFUNCTION("""COMPUTED_VALUE"""),74.0)</f>
        <v>74</v>
      </c>
      <c r="AG128" s="187">
        <f>IFERROR(__xludf.DUMMYFUNCTION("""COMPUTED_VALUE"""),166.0)</f>
        <v>166</v>
      </c>
      <c r="AH128" s="187">
        <f>IFERROR(__xludf.DUMMYFUNCTION("""COMPUTED_VALUE"""),1.0)</f>
        <v>1</v>
      </c>
      <c r="AI128" s="187">
        <f>IFERROR(__xludf.DUMMYFUNCTION("""COMPUTED_VALUE"""),4.0)</f>
        <v>4</v>
      </c>
      <c r="AJ128" s="187">
        <f>IFERROR(__xludf.DUMMYFUNCTION("""COMPUTED_VALUE"""),0.0)</f>
        <v>0</v>
      </c>
      <c r="AK128" s="187">
        <f>IFERROR(__xludf.DUMMYFUNCTION("""COMPUTED_VALUE"""),0.0)</f>
        <v>0</v>
      </c>
      <c r="AL128" s="187">
        <f>IFERROR(__xludf.DUMMYFUNCTION("""COMPUTED_VALUE"""),0.0)</f>
        <v>0</v>
      </c>
      <c r="AM128" s="187">
        <f>IFERROR(__xludf.DUMMYFUNCTION("""COMPUTED_VALUE"""),0.0)</f>
        <v>0</v>
      </c>
      <c r="AN128" s="187">
        <f>IFERROR(__xludf.DUMMYFUNCTION("""COMPUTED_VALUE"""),200.0)</f>
        <v>200</v>
      </c>
      <c r="AO128" s="187">
        <f>IFERROR(__xludf.DUMMYFUNCTION("""COMPUTED_VALUE"""),278.0)</f>
        <v>278</v>
      </c>
      <c r="AP128" s="187">
        <f>IFERROR(__xludf.DUMMYFUNCTION("""COMPUTED_VALUE"""),72.0)</f>
        <v>72</v>
      </c>
      <c r="AQ128" s="217">
        <f>IFERROR(__xludf.DUMMYFUNCTION("""COMPUTED_VALUE"""),39751.708333333336)</f>
        <v>39751.70833</v>
      </c>
      <c r="AR128" s="188">
        <f>IFERROR(__xludf.DUMMYFUNCTION("""COMPUTED_VALUE"""),3.861111111111111)</f>
        <v>3.861111111</v>
      </c>
      <c r="AS128" s="217">
        <f>IFERROR(__xludf.DUMMYFUNCTION("""COMPUTED_VALUE"""),97500.0)</f>
        <v>97500</v>
      </c>
      <c r="AT128" s="217"/>
      <c r="AU128" s="218">
        <f>IFERROR(__xludf.DUMMYFUNCTION("""COMPUTED_VALUE"""),0.034065621917716324)</f>
        <v>0.03406562192</v>
      </c>
      <c r="AV128" s="217">
        <f>IFERROR(__xludf.DUMMYFUNCTION("""COMPUTED_VALUE"""),110081.65384615384)</f>
        <v>110081.6538</v>
      </c>
      <c r="AW128" s="219">
        <f>IFERROR(__xludf.DUMMYFUNCTION("""COMPUTED_VALUE"""),43.0)</f>
        <v>43</v>
      </c>
      <c r="AX128" s="219">
        <f>IFERROR(__xludf.DUMMYFUNCTION("""COMPUTED_VALUE"""),715.0)</f>
        <v>715</v>
      </c>
      <c r="AY128" s="262">
        <f>IFERROR(__xludf.DUMMYFUNCTION("""COMPUTED_VALUE"""),5487.16)</f>
        <v>5487.16</v>
      </c>
      <c r="AZ128" s="263">
        <f>IFERROR(__xludf.DUMMYFUNCTION("""COMPUTED_VALUE"""),104.0)</f>
        <v>104</v>
      </c>
      <c r="BA128" s="263">
        <f>IFERROR(__xludf.DUMMYFUNCTION("""COMPUTED_VALUE"""),26.0)</f>
        <v>26</v>
      </c>
      <c r="BB128" s="263">
        <f>IFERROR(__xludf.DUMMYFUNCTION("""COMPUTED_VALUE"""),27.0)</f>
        <v>27</v>
      </c>
      <c r="BC128" s="263">
        <f>IFERROR(__xludf.DUMMYFUNCTION("""COMPUTED_VALUE"""),30.0)</f>
        <v>30</v>
      </c>
      <c r="BD128" s="258"/>
      <c r="BE128" s="258"/>
      <c r="BF128" s="255" t="e">
        <v>#REF!</v>
      </c>
      <c r="BG128" s="256">
        <f t="shared" si="4"/>
        <v>2862123</v>
      </c>
      <c r="BH128" s="257" t="str">
        <f t="shared" si="5"/>
        <v>#REF!</v>
      </c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</row>
    <row r="129">
      <c r="A129" s="6" t="str">
        <f>IFERROR(__xludf.DUMMYFUNCTION("""COMPUTED_VALUE"""),"Syed Aqil Rizvi")</f>
        <v>Syed Aqil Rizvi</v>
      </c>
      <c r="B129" s="98" t="str">
        <f>IFERROR(__xludf.DUMMYFUNCTION("""COMPUTED_VALUE"""),"Chattisgarh")</f>
        <v>Chattisgarh</v>
      </c>
      <c r="C129" s="212" t="str">
        <f>IFERROR(__xludf.DUMMYFUNCTION("""COMPUTED_VALUE"""),"Pradeep Rajak")</f>
        <v>Pradeep Rajak</v>
      </c>
      <c r="D129" s="98" t="str">
        <f>IFERROR(__xludf.DUMMYFUNCTION("""COMPUTED_VALUE"""),"Bilaspur")</f>
        <v>Bilaspur</v>
      </c>
      <c r="E129" s="213">
        <f>IFERROR(__xludf.DUMMYFUNCTION("""COMPUTED_VALUE"""),45839.0)</f>
        <v>45839</v>
      </c>
      <c r="F129" s="222" t="str">
        <f>IFERROR(__xludf.DUMMYFUNCTION("""COMPUTED_VALUE"""),"CHATTISGARH")</f>
        <v>CHATTISGARH</v>
      </c>
      <c r="G129" s="215">
        <f>IFERROR(__xludf.DUMMYFUNCTION("""COMPUTED_VALUE"""),6654740.519999999)</f>
        <v>6654740.52</v>
      </c>
      <c r="H129" s="215">
        <f>IFERROR(__xludf.DUMMYFUNCTION("""COMPUTED_VALUE"""),5604384.0)</f>
        <v>5604384</v>
      </c>
      <c r="I129" s="216">
        <f>IFERROR(__xludf.DUMMYFUNCTION("""COMPUTED_VALUE"""),27800.0)</f>
        <v>27800</v>
      </c>
      <c r="J129" s="216">
        <f>IFERROR(__xludf.DUMMYFUNCTION("""COMPUTED_VALUE"""),1650000.0)</f>
        <v>1650000</v>
      </c>
      <c r="K129" s="217">
        <f>IFERROR(__xludf.DUMMYFUNCTION("""COMPUTED_VALUE"""),0.0)</f>
        <v>0</v>
      </c>
      <c r="L129" s="217">
        <f>IFERROR(__xludf.DUMMYFUNCTION("""COMPUTED_VALUE"""),4950000.0)</f>
        <v>4950000</v>
      </c>
      <c r="M129" s="217">
        <f>IFERROR(__xludf.DUMMYFUNCTION("""COMPUTED_VALUE"""),3281352.0)</f>
        <v>3281352</v>
      </c>
      <c r="N129" s="217">
        <f>IFERROR(__xludf.DUMMYFUNCTION("""COMPUTED_VALUE"""),0.0)</f>
        <v>0</v>
      </c>
      <c r="O129" s="217">
        <f>IFERROR(__xludf.DUMMYFUNCTION("""COMPUTED_VALUE"""),3089381.0)</f>
        <v>3089381</v>
      </c>
      <c r="P129" s="218">
        <f>IFERROR(__xludf.DUMMYFUNCTION("""COMPUTED_VALUE"""),0.6628993939393939)</f>
        <v>0.6628993939</v>
      </c>
      <c r="Q129" s="218">
        <f>IFERROR(__xludf.DUMMYFUNCTION("""COMPUTED_VALUE"""),0.0)</f>
        <v>0</v>
      </c>
      <c r="R129" s="218">
        <f>IFERROR(__xludf.DUMMYFUNCTION("""COMPUTED_VALUE"""),0.6241173737373737)</f>
        <v>0.6241173737</v>
      </c>
      <c r="S129" s="187">
        <f>IFERROR(__xludf.DUMMYFUNCTION("""COMPUTED_VALUE"""),85.0)</f>
        <v>85</v>
      </c>
      <c r="T129" s="187">
        <f>IFERROR(__xludf.DUMMYFUNCTION("""COMPUTED_VALUE"""),89.0)</f>
        <v>89</v>
      </c>
      <c r="U129" s="187">
        <f>IFERROR(__xludf.DUMMYFUNCTION("""COMPUTED_VALUE"""),4.0)</f>
        <v>4</v>
      </c>
      <c r="V129" s="187">
        <f>IFERROR(__xludf.DUMMYFUNCTION("""COMPUTED_VALUE"""),4.0)</f>
        <v>4</v>
      </c>
      <c r="W129" s="187">
        <f>IFERROR(__xludf.DUMMYFUNCTION("""COMPUTED_VALUE"""),89.0)</f>
        <v>89</v>
      </c>
      <c r="X129" s="187">
        <f>IFERROR(__xludf.DUMMYFUNCTION("""COMPUTED_VALUE"""),0.0)</f>
        <v>0</v>
      </c>
      <c r="Y129" s="188">
        <f>IFERROR(__xludf.DUMMYFUNCTION("""COMPUTED_VALUE"""),3123277.42)</f>
        <v>3123277.42</v>
      </c>
      <c r="Z129" s="188">
        <f>IFERROR(__xludf.DUMMYFUNCTION("""COMPUTED_VALUE"""),158074.4)</f>
        <v>158074.4</v>
      </c>
      <c r="AA129" s="187">
        <f>IFERROR(__xludf.DUMMYFUNCTION("""COMPUTED_VALUE"""),58.0)</f>
        <v>58</v>
      </c>
      <c r="AB129" s="187">
        <f>IFERROR(__xludf.DUMMYFUNCTION("""COMPUTED_VALUE"""),4.0)</f>
        <v>4</v>
      </c>
      <c r="AC129" s="187">
        <f>IFERROR(__xludf.DUMMYFUNCTION("""COMPUTED_VALUE"""),62.0)</f>
        <v>62</v>
      </c>
      <c r="AD129" s="187">
        <f>IFERROR(__xludf.DUMMYFUNCTION("""COMPUTED_VALUE"""),0.0)</f>
        <v>0</v>
      </c>
      <c r="AE129" s="187">
        <f>IFERROR(__xludf.DUMMYFUNCTION("""COMPUTED_VALUE"""),26.0)</f>
        <v>26</v>
      </c>
      <c r="AF129" s="187">
        <f>IFERROR(__xludf.DUMMYFUNCTION("""COMPUTED_VALUE"""),62.0)</f>
        <v>62</v>
      </c>
      <c r="AG129" s="187">
        <f>IFERROR(__xludf.DUMMYFUNCTION("""COMPUTED_VALUE"""),1.0)</f>
        <v>1</v>
      </c>
      <c r="AH129" s="187">
        <f>IFERROR(__xludf.DUMMYFUNCTION("""COMPUTED_VALUE"""),1.0)</f>
        <v>1</v>
      </c>
      <c r="AI129" s="187">
        <f>IFERROR(__xludf.DUMMYFUNCTION("""COMPUTED_VALUE"""),23.0)</f>
        <v>23</v>
      </c>
      <c r="AJ129" s="187">
        <f>IFERROR(__xludf.DUMMYFUNCTION("""COMPUTED_VALUE"""),0.0)</f>
        <v>0</v>
      </c>
      <c r="AK129" s="187">
        <f>IFERROR(__xludf.DUMMYFUNCTION("""COMPUTED_VALUE"""),0.0)</f>
        <v>0</v>
      </c>
      <c r="AL129" s="187">
        <f>IFERROR(__xludf.DUMMYFUNCTION("""COMPUTED_VALUE"""),0.0)</f>
        <v>0</v>
      </c>
      <c r="AM129" s="187">
        <f>IFERROR(__xludf.DUMMYFUNCTION("""COMPUTED_VALUE"""),0.0)</f>
        <v>0</v>
      </c>
      <c r="AN129" s="187">
        <f>IFERROR(__xludf.DUMMYFUNCTION("""COMPUTED_VALUE"""),425.0)</f>
        <v>425</v>
      </c>
      <c r="AO129" s="187">
        <f>IFERROR(__xludf.DUMMYFUNCTION("""COMPUTED_VALUE"""),510.0)</f>
        <v>510</v>
      </c>
      <c r="AP129" s="187">
        <f>IFERROR(__xludf.DUMMYFUNCTION("""COMPUTED_VALUE"""),78.0)</f>
        <v>78</v>
      </c>
      <c r="AQ129" s="217">
        <f>IFERROR(__xludf.DUMMYFUNCTION("""COMPUTED_VALUE"""),42068.61538461538)</f>
        <v>42068.61538</v>
      </c>
      <c r="AR129" s="188">
        <f>IFERROR(__xludf.DUMMYFUNCTION("""COMPUTED_VALUE"""),6.538461538461538)</f>
        <v>6.538461538</v>
      </c>
      <c r="AS129" s="217">
        <f>IFERROR(__xludf.DUMMYFUNCTION("""COMPUTED_VALUE"""),83400.0)</f>
        <v>83400</v>
      </c>
      <c r="AT129" s="217"/>
      <c r="AU129" s="218">
        <f>IFERROR(__xludf.DUMMYFUNCTION("""COMPUTED_VALUE"""),0.02541635277166241)</f>
        <v>0.02541635277</v>
      </c>
      <c r="AV129" s="217">
        <f>IFERROR(__xludf.DUMMYFUNCTION("""COMPUTED_VALUE"""),52925.032258064515)</f>
        <v>52925.03226</v>
      </c>
      <c r="AW129" s="219">
        <f>IFERROR(__xludf.DUMMYFUNCTION("""COMPUTED_VALUE"""),136.0)</f>
        <v>136</v>
      </c>
      <c r="AX129" s="219">
        <f>IFERROR(__xludf.DUMMYFUNCTION("""COMPUTED_VALUE"""),720.0)</f>
        <v>720</v>
      </c>
      <c r="AY129" s="262">
        <f>IFERROR(__xludf.DUMMYFUNCTION("""COMPUTED_VALUE"""),6693.1)</f>
        <v>6693.1</v>
      </c>
      <c r="AZ129" s="263">
        <f>IFERROR(__xludf.DUMMYFUNCTION("""COMPUTED_VALUE"""),75.0)</f>
        <v>75</v>
      </c>
      <c r="BA129" s="263">
        <f>IFERROR(__xludf.DUMMYFUNCTION("""COMPUTED_VALUE"""),62.0)</f>
        <v>62</v>
      </c>
      <c r="BB129" s="263">
        <f>IFERROR(__xludf.DUMMYFUNCTION("""COMPUTED_VALUE"""),27.0)</f>
        <v>27</v>
      </c>
      <c r="BC129" s="263">
        <f>IFERROR(__xludf.DUMMYFUNCTION("""COMPUTED_VALUE"""),0.0)</f>
        <v>0</v>
      </c>
      <c r="BD129" s="265"/>
      <c r="BE129" s="258"/>
      <c r="BF129" s="255" t="e">
        <v>#REF!</v>
      </c>
      <c r="BG129" s="256">
        <f t="shared" si="4"/>
        <v>3281352</v>
      </c>
      <c r="BH129" s="257" t="str">
        <f t="shared" si="5"/>
        <v>#REF!</v>
      </c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</row>
    <row r="130">
      <c r="A130" s="6" t="str">
        <f>IFERROR(__xludf.DUMMYFUNCTION("""COMPUTED_VALUE"""),"Biju C.O")</f>
        <v>Biju C.O</v>
      </c>
      <c r="B130" s="98" t="str">
        <f>IFERROR(__xludf.DUMMYFUNCTION("""COMPUTED_VALUE"""),"Kerala")</f>
        <v>Kerala</v>
      </c>
      <c r="C130" s="212" t="str">
        <f>IFERROR(__xludf.DUMMYFUNCTION("""COMPUTED_VALUE"""),"Shafeeq Parengal")</f>
        <v>Shafeeq Parengal</v>
      </c>
      <c r="D130" s="98" t="str">
        <f>IFERROR(__xludf.DUMMYFUNCTION("""COMPUTED_VALUE"""),"Malappuram")</f>
        <v>Malappuram</v>
      </c>
      <c r="E130" s="213">
        <f>IFERROR(__xludf.DUMMYFUNCTION("""COMPUTED_VALUE"""),45842.0)</f>
        <v>45842</v>
      </c>
      <c r="F130" s="222" t="str">
        <f>IFERROR(__xludf.DUMMYFUNCTION("""COMPUTED_VALUE"""),"KERALA")</f>
        <v>KERALA</v>
      </c>
      <c r="G130" s="215">
        <f>IFERROR(__xludf.DUMMYFUNCTION("""COMPUTED_VALUE"""),9683539.1)</f>
        <v>9683539.1</v>
      </c>
      <c r="H130" s="215">
        <f>IFERROR(__xludf.DUMMYFUNCTION("""COMPUTED_VALUE"""),6241226.0)</f>
        <v>6241226</v>
      </c>
      <c r="I130" s="216">
        <f>IFERROR(__xludf.DUMMYFUNCTION("""COMPUTED_VALUE"""),48765.0)</f>
        <v>48765</v>
      </c>
      <c r="J130" s="216">
        <f>IFERROR(__xludf.DUMMYFUNCTION("""COMPUTED_VALUE"""),825000.0)</f>
        <v>825000</v>
      </c>
      <c r="K130" s="217">
        <f>IFERROR(__xludf.DUMMYFUNCTION("""COMPUTED_VALUE"""),0.0)</f>
        <v>0</v>
      </c>
      <c r="L130" s="217">
        <f>IFERROR(__xludf.DUMMYFUNCTION("""COMPUTED_VALUE"""),3600000.0)</f>
        <v>3600000</v>
      </c>
      <c r="M130" s="217">
        <f>IFERROR(__xludf.DUMMYFUNCTION("""COMPUTED_VALUE"""),3535138.0)</f>
        <v>3535138</v>
      </c>
      <c r="N130" s="217">
        <f>IFERROR(__xludf.DUMMYFUNCTION("""COMPUTED_VALUE"""),0.0)</f>
        <v>0</v>
      </c>
      <c r="O130" s="217">
        <f>IFERROR(__xludf.DUMMYFUNCTION("""COMPUTED_VALUE"""),2498851.0)</f>
        <v>2498851</v>
      </c>
      <c r="P130" s="218">
        <f>IFERROR(__xludf.DUMMYFUNCTION("""COMPUTED_VALUE"""),0.9819827777777778)</f>
        <v>0.9819827778</v>
      </c>
      <c r="Q130" s="218">
        <f>IFERROR(__xludf.DUMMYFUNCTION("""COMPUTED_VALUE"""),0.0)</f>
        <v>0</v>
      </c>
      <c r="R130" s="218">
        <f>IFERROR(__xludf.DUMMYFUNCTION("""COMPUTED_VALUE"""),0.6941252777777778)</f>
        <v>0.6941252778</v>
      </c>
      <c r="S130" s="187">
        <f>IFERROR(__xludf.DUMMYFUNCTION("""COMPUTED_VALUE"""),125.0)</f>
        <v>125</v>
      </c>
      <c r="T130" s="187">
        <f>IFERROR(__xludf.DUMMYFUNCTION("""COMPUTED_VALUE"""),104.0)</f>
        <v>104</v>
      </c>
      <c r="U130" s="187">
        <f>IFERROR(__xludf.DUMMYFUNCTION("""COMPUTED_VALUE"""),4.0)</f>
        <v>4</v>
      </c>
      <c r="V130" s="187">
        <f>IFERROR(__xludf.DUMMYFUNCTION("""COMPUTED_VALUE"""),3.0)</f>
        <v>3</v>
      </c>
      <c r="W130" s="187">
        <f>IFERROR(__xludf.DUMMYFUNCTION("""COMPUTED_VALUE"""),129.0)</f>
        <v>129</v>
      </c>
      <c r="X130" s="187">
        <f>IFERROR(__xludf.DUMMYFUNCTION("""COMPUTED_VALUE"""),25.0)</f>
        <v>25</v>
      </c>
      <c r="Y130" s="188">
        <f>IFERROR(__xludf.DUMMYFUNCTION("""COMPUTED_VALUE"""),3475298.38)</f>
        <v>3475298.38</v>
      </c>
      <c r="Z130" s="188">
        <f>IFERROR(__xludf.DUMMYFUNCTION("""COMPUTED_VALUE"""),59839.8)</f>
        <v>59839.8</v>
      </c>
      <c r="AA130" s="187">
        <f>IFERROR(__xludf.DUMMYFUNCTION("""COMPUTED_VALUE"""),17.0)</f>
        <v>17</v>
      </c>
      <c r="AB130" s="187">
        <f>IFERROR(__xludf.DUMMYFUNCTION("""COMPUTED_VALUE"""),3.0)</f>
        <v>3</v>
      </c>
      <c r="AC130" s="187">
        <f>IFERROR(__xludf.DUMMYFUNCTION("""COMPUTED_VALUE"""),20.0)</f>
        <v>20</v>
      </c>
      <c r="AD130" s="187">
        <f>IFERROR(__xludf.DUMMYFUNCTION("""COMPUTED_VALUE"""),0.0)</f>
        <v>0</v>
      </c>
      <c r="AE130" s="187">
        <f>IFERROR(__xludf.DUMMYFUNCTION("""COMPUTED_VALUE"""),54.0)</f>
        <v>54</v>
      </c>
      <c r="AF130" s="187">
        <f>IFERROR(__xludf.DUMMYFUNCTION("""COMPUTED_VALUE"""),107.0)</f>
        <v>107</v>
      </c>
      <c r="AG130" s="187">
        <f>IFERROR(__xludf.DUMMYFUNCTION("""COMPUTED_VALUE"""),106.0)</f>
        <v>106</v>
      </c>
      <c r="AH130" s="187">
        <f>IFERROR(__xludf.DUMMYFUNCTION("""COMPUTED_VALUE"""),2.0)</f>
        <v>2</v>
      </c>
      <c r="AI130" s="187">
        <f>IFERROR(__xludf.DUMMYFUNCTION("""COMPUTED_VALUE"""),11.0)</f>
        <v>11</v>
      </c>
      <c r="AJ130" s="187">
        <f>IFERROR(__xludf.DUMMYFUNCTION("""COMPUTED_VALUE"""),0.0)</f>
        <v>0</v>
      </c>
      <c r="AK130" s="187">
        <f>IFERROR(__xludf.DUMMYFUNCTION("""COMPUTED_VALUE"""),0.0)</f>
        <v>0</v>
      </c>
      <c r="AL130" s="187">
        <f>IFERROR(__xludf.DUMMYFUNCTION("""COMPUTED_VALUE"""),0.0)</f>
        <v>0</v>
      </c>
      <c r="AM130" s="187">
        <f>IFERROR(__xludf.DUMMYFUNCTION("""COMPUTED_VALUE"""),0.0)</f>
        <v>0</v>
      </c>
      <c r="AN130" s="187">
        <f>IFERROR(__xludf.DUMMYFUNCTION("""COMPUTED_VALUE"""),371.0)</f>
        <v>371</v>
      </c>
      <c r="AO130" s="187">
        <f>IFERROR(__xludf.DUMMYFUNCTION("""COMPUTED_VALUE"""),489.0)</f>
        <v>489</v>
      </c>
      <c r="AP130" s="187">
        <f>IFERROR(__xludf.DUMMYFUNCTION("""COMPUTED_VALUE"""),67.0)</f>
        <v>67</v>
      </c>
      <c r="AQ130" s="217">
        <f>IFERROR(__xludf.DUMMYFUNCTION("""COMPUTED_VALUE"""),52763.253731343284)</f>
        <v>52763.25373</v>
      </c>
      <c r="AR130" s="188">
        <f>IFERROR(__xludf.DUMMYFUNCTION("""COMPUTED_VALUE"""),7.298507462686567)</f>
        <v>7.298507463</v>
      </c>
      <c r="AS130" s="217">
        <f>IFERROR(__xludf.DUMMYFUNCTION("""COMPUTED_VALUE"""),146295.0)</f>
        <v>146295</v>
      </c>
      <c r="AT130" s="217"/>
      <c r="AU130" s="218">
        <f>IFERROR(__xludf.DUMMYFUNCTION("""COMPUTED_VALUE"""),0.041383108665064845)</f>
        <v>0.04138310867</v>
      </c>
      <c r="AV130" s="217">
        <f>IFERROR(__xludf.DUMMYFUNCTION("""COMPUTED_VALUE"""),176756.9)</f>
        <v>176756.9</v>
      </c>
      <c r="AW130" s="219">
        <f>IFERROR(__xludf.DUMMYFUNCTION("""COMPUTED_VALUE"""),58.0)</f>
        <v>58</v>
      </c>
      <c r="AX130" s="219">
        <f>IFERROR(__xludf.DUMMYFUNCTION("""COMPUTED_VALUE"""),633.0)</f>
        <v>633</v>
      </c>
      <c r="AY130" s="262">
        <f>IFERROR(__xludf.DUMMYFUNCTION("""COMPUTED_VALUE"""),8327.17)</f>
        <v>8327.17</v>
      </c>
      <c r="AZ130" s="263">
        <f>IFERROR(__xludf.DUMMYFUNCTION("""COMPUTED_VALUE"""),80.0)</f>
        <v>80</v>
      </c>
      <c r="BA130" s="263">
        <f>IFERROR(__xludf.DUMMYFUNCTION("""COMPUTED_VALUE"""),20.0)</f>
        <v>20</v>
      </c>
      <c r="BB130" s="263">
        <f>IFERROR(__xludf.DUMMYFUNCTION("""COMPUTED_VALUE"""),84.0)</f>
        <v>84</v>
      </c>
      <c r="BC130" s="263">
        <f>IFERROR(__xludf.DUMMYFUNCTION("""COMPUTED_VALUE"""),25.0)</f>
        <v>25</v>
      </c>
      <c r="BD130" s="265"/>
      <c r="BE130" s="258"/>
      <c r="BF130" s="255" t="e">
        <v>#REF!</v>
      </c>
      <c r="BG130" s="256">
        <f t="shared" si="4"/>
        <v>3535138</v>
      </c>
      <c r="BH130" s="257" t="str">
        <f t="shared" si="5"/>
        <v>#REF!</v>
      </c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</row>
    <row r="131">
      <c r="A131" s="6" t="str">
        <f>IFERROR(__xludf.DUMMYFUNCTION("""COMPUTED_VALUE"""),"Syed Aqil Rizvi")</f>
        <v>Syed Aqil Rizvi</v>
      </c>
      <c r="B131" s="98" t="str">
        <f>IFERROR(__xludf.DUMMYFUNCTION("""COMPUTED_VALUE"""),"East U.P")</f>
        <v>East U.P</v>
      </c>
      <c r="C131" s="212" t="str">
        <f>IFERROR(__xludf.DUMMYFUNCTION("""COMPUTED_VALUE"""),"Rohit Kumar")</f>
        <v>Rohit Kumar</v>
      </c>
      <c r="D131" s="98" t="str">
        <f>IFERROR(__xludf.DUMMYFUNCTION("""COMPUTED_VALUE"""),"Gorakhpur")</f>
        <v>Gorakhpur</v>
      </c>
      <c r="E131" s="213">
        <f>IFERROR(__xludf.DUMMYFUNCTION("""COMPUTED_VALUE"""),45843.0)</f>
        <v>45843</v>
      </c>
      <c r="F131" s="222" t="str">
        <f>IFERROR(__xludf.DUMMYFUNCTION("""COMPUTED_VALUE"""),"East U.P")</f>
        <v>East U.P</v>
      </c>
      <c r="G131" s="215">
        <f>IFERROR(__xludf.DUMMYFUNCTION("""COMPUTED_VALUE"""),6669494.85)</f>
        <v>6669494.85</v>
      </c>
      <c r="H131" s="215">
        <f>IFERROR(__xludf.DUMMYFUNCTION("""COMPUTED_VALUE"""),6525936.0)</f>
        <v>6525936</v>
      </c>
      <c r="I131" s="216">
        <f>IFERROR(__xludf.DUMMYFUNCTION("""COMPUTED_VALUE"""),41430.0)</f>
        <v>41430</v>
      </c>
      <c r="J131" s="216">
        <f>IFERROR(__xludf.DUMMYFUNCTION("""COMPUTED_VALUE"""),2000000.0)</f>
        <v>2000000</v>
      </c>
      <c r="K131" s="217">
        <f>IFERROR(__xludf.DUMMYFUNCTION("""COMPUTED_VALUE"""),0.0)</f>
        <v>0</v>
      </c>
      <c r="L131" s="217">
        <f>IFERROR(__xludf.DUMMYFUNCTION("""COMPUTED_VALUE"""),6000000.0)</f>
        <v>6000000</v>
      </c>
      <c r="M131" s="217">
        <f>IFERROR(__xludf.DUMMYFUNCTION("""COMPUTED_VALUE"""),2546023.0)</f>
        <v>2546023</v>
      </c>
      <c r="N131" s="217">
        <f>IFERROR(__xludf.DUMMYFUNCTION("""COMPUTED_VALUE"""),0.0)</f>
        <v>0</v>
      </c>
      <c r="O131" s="217">
        <f>IFERROR(__xludf.DUMMYFUNCTION("""COMPUTED_VALUE"""),1491329.0)</f>
        <v>1491329</v>
      </c>
      <c r="P131" s="218">
        <f>IFERROR(__xludf.DUMMYFUNCTION("""COMPUTED_VALUE"""),0.42433716666666665)</f>
        <v>0.4243371667</v>
      </c>
      <c r="Q131" s="218">
        <f>IFERROR(__xludf.DUMMYFUNCTION("""COMPUTED_VALUE"""),0.0)</f>
        <v>0</v>
      </c>
      <c r="R131" s="218">
        <f>IFERROR(__xludf.DUMMYFUNCTION("""COMPUTED_VALUE"""),0.24855483333333334)</f>
        <v>0.2485548333</v>
      </c>
      <c r="S131" s="187">
        <f>IFERROR(__xludf.DUMMYFUNCTION("""COMPUTED_VALUE"""),86.0)</f>
        <v>86</v>
      </c>
      <c r="T131" s="187">
        <f>IFERROR(__xludf.DUMMYFUNCTION("""COMPUTED_VALUE"""),69.0)</f>
        <v>69</v>
      </c>
      <c r="U131" s="187">
        <f>IFERROR(__xludf.DUMMYFUNCTION("""COMPUTED_VALUE"""),20.0)</f>
        <v>20</v>
      </c>
      <c r="V131" s="187">
        <f>IFERROR(__xludf.DUMMYFUNCTION("""COMPUTED_VALUE"""),20.0)</f>
        <v>20</v>
      </c>
      <c r="W131" s="187">
        <f>IFERROR(__xludf.DUMMYFUNCTION("""COMPUTED_VALUE"""),106.0)</f>
        <v>106</v>
      </c>
      <c r="X131" s="187">
        <f>IFERROR(__xludf.DUMMYFUNCTION("""COMPUTED_VALUE"""),37.0)</f>
        <v>37</v>
      </c>
      <c r="Y131" s="188">
        <f>IFERROR(__xludf.DUMMYFUNCTION("""COMPUTED_VALUE"""),1629642.93)</f>
        <v>1629642.93</v>
      </c>
      <c r="Z131" s="188">
        <f>IFERROR(__xludf.DUMMYFUNCTION("""COMPUTED_VALUE"""),916380.51)</f>
        <v>916380.51</v>
      </c>
      <c r="AA131" s="187">
        <f>IFERROR(__xludf.DUMMYFUNCTION("""COMPUTED_VALUE"""),25.0)</f>
        <v>25</v>
      </c>
      <c r="AB131" s="187">
        <f>IFERROR(__xludf.DUMMYFUNCTION("""COMPUTED_VALUE"""),20.0)</f>
        <v>20</v>
      </c>
      <c r="AC131" s="187">
        <f>IFERROR(__xludf.DUMMYFUNCTION("""COMPUTED_VALUE"""),45.0)</f>
        <v>45</v>
      </c>
      <c r="AD131" s="187">
        <f>IFERROR(__xludf.DUMMYFUNCTION("""COMPUTED_VALUE"""),0.0)</f>
        <v>0</v>
      </c>
      <c r="AE131" s="187">
        <f>IFERROR(__xludf.DUMMYFUNCTION("""COMPUTED_VALUE"""),58.0)</f>
        <v>58</v>
      </c>
      <c r="AF131" s="187">
        <f>IFERROR(__xludf.DUMMYFUNCTION("""COMPUTED_VALUE"""),94.0)</f>
        <v>94</v>
      </c>
      <c r="AG131" s="187">
        <f>IFERROR(__xludf.DUMMYFUNCTION("""COMPUTED_VALUE"""),34.0)</f>
        <v>34</v>
      </c>
      <c r="AH131" s="187">
        <f>IFERROR(__xludf.DUMMYFUNCTION("""COMPUTED_VALUE"""),2.0)</f>
        <v>2</v>
      </c>
      <c r="AI131" s="187">
        <f>IFERROR(__xludf.DUMMYFUNCTION("""COMPUTED_VALUE"""),52.0)</f>
        <v>52</v>
      </c>
      <c r="AJ131" s="187">
        <f>IFERROR(__xludf.DUMMYFUNCTION("""COMPUTED_VALUE"""),0.0)</f>
        <v>0</v>
      </c>
      <c r="AK131" s="187">
        <f>IFERROR(__xludf.DUMMYFUNCTION("""COMPUTED_VALUE"""),0.0)</f>
        <v>0</v>
      </c>
      <c r="AL131" s="187">
        <f>IFERROR(__xludf.DUMMYFUNCTION("""COMPUTED_VALUE"""),0.0)</f>
        <v>0</v>
      </c>
      <c r="AM131" s="187">
        <f>IFERROR(__xludf.DUMMYFUNCTION("""COMPUTED_VALUE"""),0.0)</f>
        <v>0</v>
      </c>
      <c r="AN131" s="187">
        <f>IFERROR(__xludf.DUMMYFUNCTION("""COMPUTED_VALUE"""),252.0)</f>
        <v>252</v>
      </c>
      <c r="AO131" s="187">
        <f>IFERROR(__xludf.DUMMYFUNCTION("""COMPUTED_VALUE"""),398.0)</f>
        <v>398</v>
      </c>
      <c r="AP131" s="187">
        <f>IFERROR(__xludf.DUMMYFUNCTION("""COMPUTED_VALUE"""),74.0)</f>
        <v>74</v>
      </c>
      <c r="AQ131" s="217">
        <f>IFERROR(__xludf.DUMMYFUNCTION("""COMPUTED_VALUE"""),34405.71621621621)</f>
        <v>34405.71622</v>
      </c>
      <c r="AR131" s="188">
        <f>IFERROR(__xludf.DUMMYFUNCTION("""COMPUTED_VALUE"""),5.378378378378378)</f>
        <v>5.378378378</v>
      </c>
      <c r="AS131" s="217">
        <f>IFERROR(__xludf.DUMMYFUNCTION("""COMPUTED_VALUE"""),124290.0)</f>
        <v>124290</v>
      </c>
      <c r="AT131" s="217"/>
      <c r="AU131" s="218">
        <f>IFERROR(__xludf.DUMMYFUNCTION("""COMPUTED_VALUE"""),0.04881731233378489)</f>
        <v>0.04881731233</v>
      </c>
      <c r="AV131" s="217">
        <f>IFERROR(__xludf.DUMMYFUNCTION("""COMPUTED_VALUE"""),56578.28888888889)</f>
        <v>56578.28889</v>
      </c>
      <c r="AW131" s="219">
        <f>IFERROR(__xludf.DUMMYFUNCTION("""COMPUTED_VALUE"""),91.0)</f>
        <v>91</v>
      </c>
      <c r="AX131" s="219">
        <f>IFERROR(__xludf.DUMMYFUNCTION("""COMPUTED_VALUE"""),733.0)</f>
        <v>733</v>
      </c>
      <c r="AY131" s="262">
        <f>IFERROR(__xludf.DUMMYFUNCTION("""COMPUTED_VALUE"""),7912.97)</f>
        <v>7912.97</v>
      </c>
      <c r="AZ131" s="263">
        <f>IFERROR(__xludf.DUMMYFUNCTION("""COMPUTED_VALUE"""),115.0)</f>
        <v>115</v>
      </c>
      <c r="BA131" s="263">
        <f>IFERROR(__xludf.DUMMYFUNCTION("""COMPUTED_VALUE"""),45.0)</f>
        <v>45</v>
      </c>
      <c r="BB131" s="263">
        <f>IFERROR(__xludf.DUMMYFUNCTION("""COMPUTED_VALUE"""),30.0)</f>
        <v>30</v>
      </c>
      <c r="BC131" s="263">
        <f>IFERROR(__xludf.DUMMYFUNCTION("""COMPUTED_VALUE"""),31.0)</f>
        <v>31</v>
      </c>
      <c r="BD131" s="265"/>
      <c r="BE131" s="258"/>
      <c r="BF131" s="255" t="e">
        <v>#REF!</v>
      </c>
      <c r="BG131" s="256">
        <f t="shared" si="4"/>
        <v>2546023</v>
      </c>
      <c r="BH131" s="257" t="str">
        <f t="shared" si="5"/>
        <v>#REF!</v>
      </c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</row>
    <row r="132">
      <c r="A132" s="6" t="str">
        <f>IFERROR(__xludf.DUMMYFUNCTION("""COMPUTED_VALUE"""),"Sandeep Dadheech")</f>
        <v>Sandeep Dadheech</v>
      </c>
      <c r="B132" s="98" t="str">
        <f>IFERROR(__xludf.DUMMYFUNCTION("""COMPUTED_VALUE"""),"West Bengal")</f>
        <v>West Bengal</v>
      </c>
      <c r="C132" s="212" t="str">
        <f>IFERROR(__xludf.DUMMYFUNCTION("""COMPUTED_VALUE"""),"Shuvadip Ghosh")</f>
        <v>Shuvadip Ghosh</v>
      </c>
      <c r="D132" s="98" t="str">
        <f>IFERROR(__xludf.DUMMYFUNCTION("""COMPUTED_VALUE"""),"West Midnapore")</f>
        <v>West Midnapore</v>
      </c>
      <c r="E132" s="213">
        <f>IFERROR(__xludf.DUMMYFUNCTION("""COMPUTED_VALUE"""),45845.0)</f>
        <v>45845</v>
      </c>
      <c r="F132" s="222" t="str">
        <f>IFERROR(__xludf.DUMMYFUNCTION("""COMPUTED_VALUE"""),"WEST BENGAL")</f>
        <v>WEST BENGAL</v>
      </c>
      <c r="G132" s="215">
        <f>IFERROR(__xludf.DUMMYFUNCTION("""COMPUTED_VALUE"""),1.4689717780000001E7)</f>
        <v>14689717.78</v>
      </c>
      <c r="H132" s="215">
        <f>IFERROR(__xludf.DUMMYFUNCTION("""COMPUTED_VALUE"""),1.7523182E7)</f>
        <v>17523182</v>
      </c>
      <c r="I132" s="216">
        <f>IFERROR(__xludf.DUMMYFUNCTION("""COMPUTED_VALUE"""),24120.0)</f>
        <v>24120</v>
      </c>
      <c r="J132" s="216">
        <f>IFERROR(__xludf.DUMMYFUNCTION("""COMPUTED_VALUE"""),3000000.0)</f>
        <v>3000000</v>
      </c>
      <c r="K132" s="217">
        <f>IFERROR(__xludf.DUMMYFUNCTION("""COMPUTED_VALUE"""),0.0)</f>
        <v>0</v>
      </c>
      <c r="L132" s="217">
        <f>IFERROR(__xludf.DUMMYFUNCTION("""COMPUTED_VALUE"""),9000000.0)</f>
        <v>9000000</v>
      </c>
      <c r="M132" s="217">
        <f>IFERROR(__xludf.DUMMYFUNCTION("""COMPUTED_VALUE"""),8516885.0)</f>
        <v>8516885</v>
      </c>
      <c r="N132" s="217">
        <f>IFERROR(__xludf.DUMMYFUNCTION("""COMPUTED_VALUE"""),0.0)</f>
        <v>0</v>
      </c>
      <c r="O132" s="217">
        <f>IFERROR(__xludf.DUMMYFUNCTION("""COMPUTED_VALUE"""),4113587.0)</f>
        <v>4113587</v>
      </c>
      <c r="P132" s="218">
        <f>IFERROR(__xludf.DUMMYFUNCTION("""COMPUTED_VALUE"""),0.9463205555555556)</f>
        <v>0.9463205556</v>
      </c>
      <c r="Q132" s="218">
        <f>IFERROR(__xludf.DUMMYFUNCTION("""COMPUTED_VALUE"""),0.0)</f>
        <v>0</v>
      </c>
      <c r="R132" s="218">
        <f>IFERROR(__xludf.DUMMYFUNCTION("""COMPUTED_VALUE"""),0.45706522222222223)</f>
        <v>0.4570652222</v>
      </c>
      <c r="S132" s="187">
        <f>IFERROR(__xludf.DUMMYFUNCTION("""COMPUTED_VALUE"""),46.0)</f>
        <v>46</v>
      </c>
      <c r="T132" s="187">
        <f>IFERROR(__xludf.DUMMYFUNCTION("""COMPUTED_VALUE"""),45.0)</f>
        <v>45</v>
      </c>
      <c r="U132" s="187">
        <f>IFERROR(__xludf.DUMMYFUNCTION("""COMPUTED_VALUE"""),2.0)</f>
        <v>2</v>
      </c>
      <c r="V132" s="187">
        <f>IFERROR(__xludf.DUMMYFUNCTION("""COMPUTED_VALUE"""),2.0)</f>
        <v>2</v>
      </c>
      <c r="W132" s="187">
        <f>IFERROR(__xludf.DUMMYFUNCTION("""COMPUTED_VALUE"""),48.0)</f>
        <v>48</v>
      </c>
      <c r="X132" s="187">
        <f>IFERROR(__xludf.DUMMYFUNCTION("""COMPUTED_VALUE"""),3.0)</f>
        <v>3</v>
      </c>
      <c r="Y132" s="188">
        <f>IFERROR(__xludf.DUMMYFUNCTION("""COMPUTED_VALUE"""),8247204.66)</f>
        <v>8247204.66</v>
      </c>
      <c r="Z132" s="188">
        <f>IFERROR(__xludf.DUMMYFUNCTION("""COMPUTED_VALUE"""),269680.68)</f>
        <v>269680.68</v>
      </c>
      <c r="AA132" s="187">
        <f>IFERROR(__xludf.DUMMYFUNCTION("""COMPUTED_VALUE"""),31.0)</f>
        <v>31</v>
      </c>
      <c r="AB132" s="187">
        <f>IFERROR(__xludf.DUMMYFUNCTION("""COMPUTED_VALUE"""),2.0)</f>
        <v>2</v>
      </c>
      <c r="AC132" s="187">
        <f>IFERROR(__xludf.DUMMYFUNCTION("""COMPUTED_VALUE"""),33.0)</f>
        <v>33</v>
      </c>
      <c r="AD132" s="187">
        <f>IFERROR(__xludf.DUMMYFUNCTION("""COMPUTED_VALUE"""),0.0)</f>
        <v>0</v>
      </c>
      <c r="AE132" s="187">
        <f>IFERROR(__xludf.DUMMYFUNCTION("""COMPUTED_VALUE"""),17.0)</f>
        <v>17</v>
      </c>
      <c r="AF132" s="187">
        <f>IFERROR(__xludf.DUMMYFUNCTION("""COMPUTED_VALUE"""),19.0)</f>
        <v>19</v>
      </c>
      <c r="AG132" s="187">
        <f>IFERROR(__xludf.DUMMYFUNCTION("""COMPUTED_VALUE"""),39.0)</f>
        <v>39</v>
      </c>
      <c r="AH132" s="187">
        <f>IFERROR(__xludf.DUMMYFUNCTION("""COMPUTED_VALUE"""),1.0)</f>
        <v>1</v>
      </c>
      <c r="AI132" s="187">
        <f>IFERROR(__xludf.DUMMYFUNCTION("""COMPUTED_VALUE"""),8.0)</f>
        <v>8</v>
      </c>
      <c r="AJ132" s="187">
        <f>IFERROR(__xludf.DUMMYFUNCTION("""COMPUTED_VALUE"""),0.0)</f>
        <v>0</v>
      </c>
      <c r="AK132" s="187">
        <f>IFERROR(__xludf.DUMMYFUNCTION("""COMPUTED_VALUE"""),0.0)</f>
        <v>0</v>
      </c>
      <c r="AL132" s="187">
        <f>IFERROR(__xludf.DUMMYFUNCTION("""COMPUTED_VALUE"""),0.0)</f>
        <v>0</v>
      </c>
      <c r="AM132" s="187">
        <f>IFERROR(__xludf.DUMMYFUNCTION("""COMPUTED_VALUE"""),0.0)</f>
        <v>0</v>
      </c>
      <c r="AN132" s="187">
        <f>IFERROR(__xludf.DUMMYFUNCTION("""COMPUTED_VALUE"""),280.0)</f>
        <v>280</v>
      </c>
      <c r="AO132" s="187">
        <f>IFERROR(__xludf.DUMMYFUNCTION("""COMPUTED_VALUE"""),307.0)</f>
        <v>307</v>
      </c>
      <c r="AP132" s="187">
        <f>IFERROR(__xludf.DUMMYFUNCTION("""COMPUTED_VALUE"""),72.0)</f>
        <v>72</v>
      </c>
      <c r="AQ132" s="217">
        <f>IFERROR(__xludf.DUMMYFUNCTION("""COMPUTED_VALUE"""),118290.06944444444)</f>
        <v>118290.0694</v>
      </c>
      <c r="AR132" s="188">
        <f>IFERROR(__xludf.DUMMYFUNCTION("""COMPUTED_VALUE"""),4.263888888888889)</f>
        <v>4.263888889</v>
      </c>
      <c r="AS132" s="217">
        <f>IFERROR(__xludf.DUMMYFUNCTION("""COMPUTED_VALUE"""),72360.0)</f>
        <v>72360</v>
      </c>
      <c r="AT132" s="260"/>
      <c r="AU132" s="218">
        <f>IFERROR(__xludf.DUMMYFUNCTION("""COMPUTED_VALUE"""),0.008496063995228302)</f>
        <v>0.008496063995</v>
      </c>
      <c r="AV132" s="217">
        <f>IFERROR(__xludf.DUMMYFUNCTION("""COMPUTED_VALUE"""),258087.42424242425)</f>
        <v>258087.4242</v>
      </c>
      <c r="AW132" s="219">
        <f>IFERROR(__xludf.DUMMYFUNCTION("""COMPUTED_VALUE"""),65.0)</f>
        <v>65</v>
      </c>
      <c r="AX132" s="219">
        <f>IFERROR(__xludf.DUMMYFUNCTION("""COMPUTED_VALUE"""),846.0)</f>
        <v>846</v>
      </c>
      <c r="AY132" s="262">
        <f>IFERROR(__xludf.DUMMYFUNCTION("""COMPUTED_VALUE"""),8649.17)</f>
        <v>8649.17</v>
      </c>
      <c r="AZ132" s="263">
        <f>IFERROR(__xludf.DUMMYFUNCTION("""COMPUTED_VALUE"""),192.0)</f>
        <v>192</v>
      </c>
      <c r="BA132" s="263">
        <f>IFERROR(__xludf.DUMMYFUNCTION("""COMPUTED_VALUE"""),33.0)</f>
        <v>33</v>
      </c>
      <c r="BB132" s="263">
        <f>IFERROR(__xludf.DUMMYFUNCTION("""COMPUTED_VALUE"""),12.0)</f>
        <v>12</v>
      </c>
      <c r="BC132" s="263">
        <f>IFERROR(__xludf.DUMMYFUNCTION("""COMPUTED_VALUE"""),3.0)</f>
        <v>3</v>
      </c>
      <c r="BD132" s="265"/>
      <c r="BE132" s="258"/>
      <c r="BF132" s="255" t="e">
        <v>#REF!</v>
      </c>
      <c r="BG132" s="256">
        <f t="shared" si="4"/>
        <v>8516885</v>
      </c>
      <c r="BH132" s="257" t="str">
        <f t="shared" si="5"/>
        <v>#REF!</v>
      </c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</row>
    <row r="133">
      <c r="A133" s="6" t="str">
        <f>IFERROR(__xludf.DUMMYFUNCTION("""COMPUTED_VALUE"""),"Biju C.O")</f>
        <v>Biju C.O</v>
      </c>
      <c r="B133" s="98" t="str">
        <f>IFERROR(__xludf.DUMMYFUNCTION("""COMPUTED_VALUE"""),"Kerala")</f>
        <v>Kerala</v>
      </c>
      <c r="C133" s="212" t="str">
        <f>IFERROR(__xludf.DUMMYFUNCTION("""COMPUTED_VALUE"""),"SANOJ M.")</f>
        <v>SANOJ M.</v>
      </c>
      <c r="D133" s="98" t="str">
        <f>IFERROR(__xludf.DUMMYFUNCTION("""COMPUTED_VALUE"""),"Palakkad")</f>
        <v>Palakkad</v>
      </c>
      <c r="E133" s="213">
        <f>IFERROR(__xludf.DUMMYFUNCTION("""COMPUTED_VALUE"""),45859.0)</f>
        <v>45859</v>
      </c>
      <c r="F133" s="222" t="str">
        <f>IFERROR(__xludf.DUMMYFUNCTION("""COMPUTED_VALUE"""),"KERALA")</f>
        <v>KERALA</v>
      </c>
      <c r="G133" s="215"/>
      <c r="H133" s="215"/>
      <c r="I133" s="216">
        <f>IFERROR(__xludf.DUMMYFUNCTION("""COMPUTED_VALUE"""),51910.0)</f>
        <v>51910</v>
      </c>
      <c r="J133" s="216">
        <f>IFERROR(__xludf.DUMMYFUNCTION("""COMPUTED_VALUE"""),825000.0)</f>
        <v>825000</v>
      </c>
      <c r="K133" s="217">
        <f>IFERROR(__xludf.DUMMYFUNCTION("""COMPUTED_VALUE"""),0.0)</f>
        <v>0</v>
      </c>
      <c r="L133" s="217">
        <f>IFERROR(__xludf.DUMMYFUNCTION("""COMPUTED_VALUE"""),3600000.0)</f>
        <v>3600000</v>
      </c>
      <c r="M133" s="217">
        <f>IFERROR(__xludf.DUMMYFUNCTION("""COMPUTED_VALUE"""),1433124.0)</f>
        <v>1433124</v>
      </c>
      <c r="N133" s="217">
        <f>IFERROR(__xludf.DUMMYFUNCTION("""COMPUTED_VALUE"""),0.0)</f>
        <v>0</v>
      </c>
      <c r="O133" s="217"/>
      <c r="P133" s="218">
        <f>IFERROR(__xludf.DUMMYFUNCTION("""COMPUTED_VALUE"""),0.39809)</f>
        <v>0.39809</v>
      </c>
      <c r="Q133" s="218">
        <f>IFERROR(__xludf.DUMMYFUNCTION("""COMPUTED_VALUE"""),0.0)</f>
        <v>0</v>
      </c>
      <c r="R133" s="218">
        <f>IFERROR(__xludf.DUMMYFUNCTION("""COMPUTED_VALUE"""),0.0)</f>
        <v>0</v>
      </c>
      <c r="S133" s="187">
        <f>IFERROR(__xludf.DUMMYFUNCTION("""COMPUTED_VALUE"""),213.0)</f>
        <v>213</v>
      </c>
      <c r="T133" s="187">
        <f>IFERROR(__xludf.DUMMYFUNCTION("""COMPUTED_VALUE"""),114.0)</f>
        <v>114</v>
      </c>
      <c r="U133" s="187">
        <f>IFERROR(__xludf.DUMMYFUNCTION("""COMPUTED_VALUE"""),3.0)</f>
        <v>3</v>
      </c>
      <c r="V133" s="187">
        <f>IFERROR(__xludf.DUMMYFUNCTION("""COMPUTED_VALUE"""),0.0)</f>
        <v>0</v>
      </c>
      <c r="W133" s="187">
        <f>IFERROR(__xludf.DUMMYFUNCTION("""COMPUTED_VALUE"""),216.0)</f>
        <v>216</v>
      </c>
      <c r="X133" s="187">
        <f>IFERROR(__xludf.DUMMYFUNCTION("""COMPUTED_VALUE"""),102.0)</f>
        <v>102</v>
      </c>
      <c r="Y133" s="188">
        <f>IFERROR(__xludf.DUMMYFUNCTION("""COMPUTED_VALUE"""),1433124.0)</f>
        <v>1433124</v>
      </c>
      <c r="Z133" s="188">
        <f>IFERROR(__xludf.DUMMYFUNCTION("""COMPUTED_VALUE"""),0.0)</f>
        <v>0</v>
      </c>
      <c r="AA133" s="187">
        <f>IFERROR(__xludf.DUMMYFUNCTION("""COMPUTED_VALUE"""),13.0)</f>
        <v>13</v>
      </c>
      <c r="AB133" s="187">
        <f>IFERROR(__xludf.DUMMYFUNCTION("""COMPUTED_VALUE"""),0.0)</f>
        <v>0</v>
      </c>
      <c r="AC133" s="187">
        <f>IFERROR(__xludf.DUMMYFUNCTION("""COMPUTED_VALUE"""),13.0)</f>
        <v>13</v>
      </c>
      <c r="AD133" s="187">
        <f>IFERROR(__xludf.DUMMYFUNCTION("""COMPUTED_VALUE"""),0.0)</f>
        <v>0</v>
      </c>
      <c r="AE133" s="187">
        <f>IFERROR(__xludf.DUMMYFUNCTION("""COMPUTED_VALUE"""),25.0)</f>
        <v>25</v>
      </c>
      <c r="AF133" s="187">
        <f>IFERROR(__xludf.DUMMYFUNCTION("""COMPUTED_VALUE"""),60.0)</f>
        <v>60</v>
      </c>
      <c r="AG133" s="187">
        <f>IFERROR(__xludf.DUMMYFUNCTION("""COMPUTED_VALUE"""),12.0)</f>
        <v>12</v>
      </c>
      <c r="AH133" s="187">
        <f>IFERROR(__xludf.DUMMYFUNCTION("""COMPUTED_VALUE"""),2.0)</f>
        <v>2</v>
      </c>
      <c r="AI133" s="187">
        <f>IFERROR(__xludf.DUMMYFUNCTION("""COMPUTED_VALUE"""),8.0)</f>
        <v>8</v>
      </c>
      <c r="AJ133" s="187">
        <f>IFERROR(__xludf.DUMMYFUNCTION("""COMPUTED_VALUE"""),0.0)</f>
        <v>0</v>
      </c>
      <c r="AK133" s="187">
        <f>IFERROR(__xludf.DUMMYFUNCTION("""COMPUTED_VALUE"""),0.0)</f>
        <v>0</v>
      </c>
      <c r="AL133" s="187">
        <f>IFERROR(__xludf.DUMMYFUNCTION("""COMPUTED_VALUE"""),0.0)</f>
        <v>0</v>
      </c>
      <c r="AM133" s="187">
        <f>IFERROR(__xludf.DUMMYFUNCTION("""COMPUTED_VALUE"""),0.0)</f>
        <v>0</v>
      </c>
      <c r="AN133" s="187">
        <f>IFERROR(__xludf.DUMMYFUNCTION("""COMPUTED_VALUE"""),307.0)</f>
        <v>307</v>
      </c>
      <c r="AO133" s="187">
        <f>IFERROR(__xludf.DUMMYFUNCTION("""COMPUTED_VALUE"""),375.0)</f>
        <v>375</v>
      </c>
      <c r="AP133" s="187">
        <f>IFERROR(__xludf.DUMMYFUNCTION("""COMPUTED_VALUE"""),69.0)</f>
        <v>69</v>
      </c>
      <c r="AQ133" s="217">
        <f>IFERROR(__xludf.DUMMYFUNCTION("""COMPUTED_VALUE"""),20769.91304347826)</f>
        <v>20769.91304</v>
      </c>
      <c r="AR133" s="188">
        <f>IFERROR(__xludf.DUMMYFUNCTION("""COMPUTED_VALUE"""),5.434782608695652)</f>
        <v>5.434782609</v>
      </c>
      <c r="AS133" s="217">
        <f>IFERROR(__xludf.DUMMYFUNCTION("""COMPUTED_VALUE"""),155730.0)</f>
        <v>155730</v>
      </c>
      <c r="AT133" s="217"/>
      <c r="AU133" s="218">
        <f>IFERROR(__xludf.DUMMYFUNCTION("""COMPUTED_VALUE"""),0.10866470731074213)</f>
        <v>0.1086647073</v>
      </c>
      <c r="AV133" s="217">
        <f>IFERROR(__xludf.DUMMYFUNCTION("""COMPUTED_VALUE"""),110240.30769230769)</f>
        <v>110240.3077</v>
      </c>
      <c r="AW133" s="219">
        <f>IFERROR(__xludf.DUMMYFUNCTION("""COMPUTED_VALUE"""),25.0)</f>
        <v>25</v>
      </c>
      <c r="AX133" s="219">
        <f>IFERROR(__xludf.DUMMYFUNCTION("""COMPUTED_VALUE"""),662.0)</f>
        <v>662</v>
      </c>
      <c r="AY133" s="262">
        <f>IFERROR(__xludf.DUMMYFUNCTION("""COMPUTED_VALUE"""),7464.13)</f>
        <v>7464.13</v>
      </c>
      <c r="AZ133" s="263">
        <f>IFERROR(__xludf.DUMMYFUNCTION("""COMPUTED_VALUE"""),65.0)</f>
        <v>65</v>
      </c>
      <c r="BA133" s="263">
        <f>IFERROR(__xludf.DUMMYFUNCTION("""COMPUTED_VALUE"""),13.0)</f>
        <v>13</v>
      </c>
      <c r="BB133" s="263">
        <f>IFERROR(__xludf.DUMMYFUNCTION("""COMPUTED_VALUE"""),101.0)</f>
        <v>101</v>
      </c>
      <c r="BC133" s="263">
        <f>IFERROR(__xludf.DUMMYFUNCTION("""COMPUTED_VALUE"""),102.0)</f>
        <v>102</v>
      </c>
      <c r="BD133" s="265"/>
      <c r="BE133" s="258"/>
      <c r="BF133" s="255" t="e">
        <v>#REF!</v>
      </c>
      <c r="BG133" s="256">
        <f t="shared" si="4"/>
        <v>1433124</v>
      </c>
      <c r="BH133" s="257" t="str">
        <f t="shared" si="5"/>
        <v>#REF!</v>
      </c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</row>
    <row r="134">
      <c r="A134" s="6" t="str">
        <f>IFERROR(__xludf.DUMMYFUNCTION("""COMPUTED_VALUE"""),"Pawan Sharma")</f>
        <v>Pawan Sharma</v>
      </c>
      <c r="B134" s="98" t="str">
        <f>IFERROR(__xludf.DUMMYFUNCTION("""COMPUTED_VALUE"""),"Rajasthan")</f>
        <v>Rajasthan</v>
      </c>
      <c r="C134" s="212" t="str">
        <f>IFERROR(__xludf.DUMMYFUNCTION("""COMPUTED_VALUE"""),"SHOYKARAN NAI")</f>
        <v>SHOYKARAN NAI</v>
      </c>
      <c r="D134" s="98" t="str">
        <f>IFERROR(__xludf.DUMMYFUNCTION("""COMPUTED_VALUE"""),"Churu")</f>
        <v>Churu</v>
      </c>
      <c r="E134" s="213">
        <f>IFERROR(__xludf.DUMMYFUNCTION("""COMPUTED_VALUE"""),45861.0)</f>
        <v>45861</v>
      </c>
      <c r="F134" s="222" t="str">
        <f>IFERROR(__xludf.DUMMYFUNCTION("""COMPUTED_VALUE"""),"RAJASTHAN")</f>
        <v>RAJASTHAN</v>
      </c>
      <c r="G134" s="215">
        <f>IFERROR(__xludf.DUMMYFUNCTION("""COMPUTED_VALUE"""),2995134.11)</f>
        <v>2995134.11</v>
      </c>
      <c r="H134" s="215">
        <f>IFERROR(__xludf.DUMMYFUNCTION("""COMPUTED_VALUE"""),1279491.0)</f>
        <v>1279491</v>
      </c>
      <c r="I134" s="216">
        <f>IFERROR(__xludf.DUMMYFUNCTION("""COMPUTED_VALUE"""),24120.0)</f>
        <v>24120</v>
      </c>
      <c r="J134" s="216">
        <f>IFERROR(__xludf.DUMMYFUNCTION("""COMPUTED_VALUE"""),800000.0)</f>
        <v>800000</v>
      </c>
      <c r="K134" s="217">
        <f>IFERROR(__xludf.DUMMYFUNCTION("""COMPUTED_VALUE"""),0.0)</f>
        <v>0</v>
      </c>
      <c r="L134" s="217">
        <f>IFERROR(__xludf.DUMMYFUNCTION("""COMPUTED_VALUE"""),2400000.0)</f>
        <v>2400000</v>
      </c>
      <c r="M134" s="217">
        <f>IFERROR(__xludf.DUMMYFUNCTION("""COMPUTED_VALUE"""),845659.0)</f>
        <v>845659</v>
      </c>
      <c r="N134" s="217">
        <f>IFERROR(__xludf.DUMMYFUNCTION("""COMPUTED_VALUE"""),0.0)</f>
        <v>0</v>
      </c>
      <c r="O134" s="217">
        <f>IFERROR(__xludf.DUMMYFUNCTION("""COMPUTED_VALUE"""),228794.0)</f>
        <v>228794</v>
      </c>
      <c r="P134" s="218">
        <f>IFERROR(__xludf.DUMMYFUNCTION("""COMPUTED_VALUE"""),0.35235791666666666)</f>
        <v>0.3523579167</v>
      </c>
      <c r="Q134" s="218">
        <f>IFERROR(__xludf.DUMMYFUNCTION("""COMPUTED_VALUE"""),0.0)</f>
        <v>0</v>
      </c>
      <c r="R134" s="218">
        <f>IFERROR(__xludf.DUMMYFUNCTION("""COMPUTED_VALUE"""),0.09533083333333334)</f>
        <v>0.09533083333</v>
      </c>
      <c r="S134" s="187">
        <f>IFERROR(__xludf.DUMMYFUNCTION("""COMPUTED_VALUE"""),36.0)</f>
        <v>36</v>
      </c>
      <c r="T134" s="187">
        <f>IFERROR(__xludf.DUMMYFUNCTION("""COMPUTED_VALUE"""),38.0)</f>
        <v>38</v>
      </c>
      <c r="U134" s="187">
        <f>IFERROR(__xludf.DUMMYFUNCTION("""COMPUTED_VALUE"""),5.0)</f>
        <v>5</v>
      </c>
      <c r="V134" s="187">
        <f>IFERROR(__xludf.DUMMYFUNCTION("""COMPUTED_VALUE"""),5.0)</f>
        <v>5</v>
      </c>
      <c r="W134" s="187">
        <f>IFERROR(__xludf.DUMMYFUNCTION("""COMPUTED_VALUE"""),41.0)</f>
        <v>41</v>
      </c>
      <c r="X134" s="187">
        <f>IFERROR(__xludf.DUMMYFUNCTION("""COMPUTED_VALUE"""),3.0)</f>
        <v>3</v>
      </c>
      <c r="Y134" s="188">
        <f>IFERROR(__xludf.DUMMYFUNCTION("""COMPUTED_VALUE"""),644829.6)</f>
        <v>644829.6</v>
      </c>
      <c r="Z134" s="188">
        <f>IFERROR(__xludf.DUMMYFUNCTION("""COMPUTED_VALUE"""),200828.91)</f>
        <v>200828.91</v>
      </c>
      <c r="AA134" s="187">
        <f>IFERROR(__xludf.DUMMYFUNCTION("""COMPUTED_VALUE"""),16.0)</f>
        <v>16</v>
      </c>
      <c r="AB134" s="187">
        <f>IFERROR(__xludf.DUMMYFUNCTION("""COMPUTED_VALUE"""),5.0)</f>
        <v>5</v>
      </c>
      <c r="AC134" s="187">
        <f>IFERROR(__xludf.DUMMYFUNCTION("""COMPUTED_VALUE"""),21.0)</f>
        <v>21</v>
      </c>
      <c r="AD134" s="187">
        <f>IFERROR(__xludf.DUMMYFUNCTION("""COMPUTED_VALUE"""),0.0)</f>
        <v>0</v>
      </c>
      <c r="AE134" s="187">
        <f>IFERROR(__xludf.DUMMYFUNCTION("""COMPUTED_VALUE"""),148.0)</f>
        <v>148</v>
      </c>
      <c r="AF134" s="187">
        <f>IFERROR(__xludf.DUMMYFUNCTION("""COMPUTED_VALUE"""),203.0)</f>
        <v>203</v>
      </c>
      <c r="AG134" s="187">
        <f>IFERROR(__xludf.DUMMYFUNCTION("""COMPUTED_VALUE"""),150.0)</f>
        <v>150</v>
      </c>
      <c r="AH134" s="187">
        <f>IFERROR(__xludf.DUMMYFUNCTION("""COMPUTED_VALUE"""),2.0)</f>
        <v>2</v>
      </c>
      <c r="AI134" s="187">
        <f>IFERROR(__xludf.DUMMYFUNCTION("""COMPUTED_VALUE"""),44.0)</f>
        <v>44</v>
      </c>
      <c r="AJ134" s="187">
        <f>IFERROR(__xludf.DUMMYFUNCTION("""COMPUTED_VALUE"""),0.0)</f>
        <v>0</v>
      </c>
      <c r="AK134" s="187">
        <f>IFERROR(__xludf.DUMMYFUNCTION("""COMPUTED_VALUE"""),0.0)</f>
        <v>0</v>
      </c>
      <c r="AL134" s="187">
        <f>IFERROR(__xludf.DUMMYFUNCTION("""COMPUTED_VALUE"""),2.0)</f>
        <v>2</v>
      </c>
      <c r="AM134" s="187">
        <f>IFERROR(__xludf.DUMMYFUNCTION("""COMPUTED_VALUE"""),3.0)</f>
        <v>3</v>
      </c>
      <c r="AN134" s="187">
        <f>IFERROR(__xludf.DUMMYFUNCTION("""COMPUTED_VALUE"""),148.0)</f>
        <v>148</v>
      </c>
      <c r="AO134" s="187">
        <f>IFERROR(__xludf.DUMMYFUNCTION("""COMPUTED_VALUE"""),398.0)</f>
        <v>398</v>
      </c>
      <c r="AP134" s="187">
        <f>IFERROR(__xludf.DUMMYFUNCTION("""COMPUTED_VALUE"""),70.0)</f>
        <v>70</v>
      </c>
      <c r="AQ134" s="217">
        <f>IFERROR(__xludf.DUMMYFUNCTION("""COMPUTED_VALUE"""),12080.842857142858)</f>
        <v>12080.84286</v>
      </c>
      <c r="AR134" s="188">
        <f>IFERROR(__xludf.DUMMYFUNCTION("""COMPUTED_VALUE"""),5.685714285714286)</f>
        <v>5.685714286</v>
      </c>
      <c r="AS134" s="217">
        <f>IFERROR(__xludf.DUMMYFUNCTION("""COMPUTED_VALUE"""),72360.0)</f>
        <v>72360</v>
      </c>
      <c r="AT134" s="217"/>
      <c r="AU134" s="218">
        <f>IFERROR(__xludf.DUMMYFUNCTION("""COMPUTED_VALUE"""),0.08556640442542443)</f>
        <v>0.08556640443</v>
      </c>
      <c r="AV134" s="217">
        <f>IFERROR(__xludf.DUMMYFUNCTION("""COMPUTED_VALUE"""),40269.47619047619)</f>
        <v>40269.47619</v>
      </c>
      <c r="AW134" s="219">
        <f>IFERROR(__xludf.DUMMYFUNCTION("""COMPUTED_VALUE"""),35.0)</f>
        <v>35</v>
      </c>
      <c r="AX134" s="219">
        <f>IFERROR(__xludf.DUMMYFUNCTION("""COMPUTED_VALUE"""),747.0)</f>
        <v>747</v>
      </c>
      <c r="AY134" s="262">
        <f>IFERROR(__xludf.DUMMYFUNCTION("""COMPUTED_VALUE"""),6027.88)</f>
        <v>6027.88</v>
      </c>
      <c r="AZ134" s="263">
        <f>IFERROR(__xludf.DUMMYFUNCTION("""COMPUTED_VALUE"""),159.0)</f>
        <v>159</v>
      </c>
      <c r="BA134" s="263">
        <f>IFERROR(__xludf.DUMMYFUNCTION("""COMPUTED_VALUE"""),21.0)</f>
        <v>21</v>
      </c>
      <c r="BB134" s="263">
        <f>IFERROR(__xludf.DUMMYFUNCTION("""COMPUTED_VALUE"""),17.0)</f>
        <v>17</v>
      </c>
      <c r="BC134" s="263">
        <f>IFERROR(__xludf.DUMMYFUNCTION("""COMPUTED_VALUE"""),3.0)</f>
        <v>3</v>
      </c>
      <c r="BD134" s="258"/>
      <c r="BE134" s="258"/>
      <c r="BF134" s="255" t="e">
        <v>#REF!</v>
      </c>
      <c r="BG134" s="256">
        <f t="shared" si="4"/>
        <v>845659</v>
      </c>
      <c r="BH134" s="257" t="str">
        <f t="shared" si="5"/>
        <v>#REF!</v>
      </c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</row>
    <row r="135">
      <c r="A135" s="6" t="str">
        <f>IFERROR(__xludf.DUMMYFUNCTION("""COMPUTED_VALUE"""),"Anant Singh")</f>
        <v>Anant Singh</v>
      </c>
      <c r="B135" s="98" t="str">
        <f>IFERROR(__xludf.DUMMYFUNCTION("""COMPUTED_VALUE"""),"Uttarakhand")</f>
        <v>Uttarakhand</v>
      </c>
      <c r="C135" s="212" t="str">
        <f>IFERROR(__xludf.DUMMYFUNCTION("""COMPUTED_VALUE"""),"Shivam Chauhan")</f>
        <v>Shivam Chauhan</v>
      </c>
      <c r="D135" s="98" t="str">
        <f>IFERROR(__xludf.DUMMYFUNCTION("""COMPUTED_VALUE"""),"Haridwar")</f>
        <v>Haridwar</v>
      </c>
      <c r="E135" s="213">
        <f>IFERROR(__xludf.DUMMYFUNCTION("""COMPUTED_VALUE"""),45887.0)</f>
        <v>45887</v>
      </c>
      <c r="F135" s="222" t="str">
        <f>IFERROR(__xludf.DUMMYFUNCTION("""COMPUTED_VALUE"""),"UTTARAKHAND")</f>
        <v>UTTARAKHAND</v>
      </c>
      <c r="G135" s="215">
        <f>IFERROR(__xludf.DUMMYFUNCTION("""COMPUTED_VALUE"""),6525450.8100000005)</f>
        <v>6525450.81</v>
      </c>
      <c r="H135" s="215">
        <f>IFERROR(__xludf.DUMMYFUNCTION("""COMPUTED_VALUE"""),6391465.0)</f>
        <v>6391465</v>
      </c>
      <c r="I135" s="216">
        <f>IFERROR(__xludf.DUMMYFUNCTION("""COMPUTED_VALUE"""),28835.0)</f>
        <v>28835</v>
      </c>
      <c r="J135" s="216">
        <f>IFERROR(__xludf.DUMMYFUNCTION("""COMPUTED_VALUE"""),1300000.0)</f>
        <v>1300000</v>
      </c>
      <c r="K135" s="217">
        <f>IFERROR(__xludf.DUMMYFUNCTION("""COMPUTED_VALUE"""),0.0)</f>
        <v>0</v>
      </c>
      <c r="L135" s="217">
        <f>IFERROR(__xludf.DUMMYFUNCTION("""COMPUTED_VALUE"""),3900000.0)</f>
        <v>3900000</v>
      </c>
      <c r="M135" s="217">
        <f>IFERROR(__xludf.DUMMYFUNCTION("""COMPUTED_VALUE"""),2143935.0)</f>
        <v>2143935</v>
      </c>
      <c r="N135" s="217">
        <f>IFERROR(__xludf.DUMMYFUNCTION("""COMPUTED_VALUE"""),0.0)</f>
        <v>0</v>
      </c>
      <c r="O135" s="217">
        <f>IFERROR(__xludf.DUMMYFUNCTION("""COMPUTED_VALUE"""),1936657.0)</f>
        <v>1936657</v>
      </c>
      <c r="P135" s="218">
        <f>IFERROR(__xludf.DUMMYFUNCTION("""COMPUTED_VALUE"""),0.5497269230769231)</f>
        <v>0.5497269231</v>
      </c>
      <c r="Q135" s="218">
        <f>IFERROR(__xludf.DUMMYFUNCTION("""COMPUTED_VALUE"""),0.0)</f>
        <v>0</v>
      </c>
      <c r="R135" s="218">
        <f>IFERROR(__xludf.DUMMYFUNCTION("""COMPUTED_VALUE"""),0.49657871794871794)</f>
        <v>0.4965787179</v>
      </c>
      <c r="S135" s="187">
        <f>IFERROR(__xludf.DUMMYFUNCTION("""COMPUTED_VALUE"""),115.0)</f>
        <v>115</v>
      </c>
      <c r="T135" s="187">
        <f>IFERROR(__xludf.DUMMYFUNCTION("""COMPUTED_VALUE"""),121.0)</f>
        <v>121</v>
      </c>
      <c r="U135" s="187">
        <f>IFERROR(__xludf.DUMMYFUNCTION("""COMPUTED_VALUE"""),21.0)</f>
        <v>21</v>
      </c>
      <c r="V135" s="187">
        <f>IFERROR(__xludf.DUMMYFUNCTION("""COMPUTED_VALUE"""),21.0)</f>
        <v>21</v>
      </c>
      <c r="W135" s="187">
        <f>IFERROR(__xludf.DUMMYFUNCTION("""COMPUTED_VALUE"""),136.0)</f>
        <v>136</v>
      </c>
      <c r="X135" s="187">
        <f>IFERROR(__xludf.DUMMYFUNCTION("""COMPUTED_VALUE"""),15.0)</f>
        <v>15</v>
      </c>
      <c r="Y135" s="188">
        <f>IFERROR(__xludf.DUMMYFUNCTION("""COMPUTED_VALUE"""),1614848.28)</f>
        <v>1614848.28</v>
      </c>
      <c r="Z135" s="188">
        <f>IFERROR(__xludf.DUMMYFUNCTION("""COMPUTED_VALUE"""),529086.9)</f>
        <v>529086.9</v>
      </c>
      <c r="AA135" s="187">
        <f>IFERROR(__xludf.DUMMYFUNCTION("""COMPUTED_VALUE"""),55.0)</f>
        <v>55</v>
      </c>
      <c r="AB135" s="187">
        <f>IFERROR(__xludf.DUMMYFUNCTION("""COMPUTED_VALUE"""),21.0)</f>
        <v>21</v>
      </c>
      <c r="AC135" s="187">
        <f>IFERROR(__xludf.DUMMYFUNCTION("""COMPUTED_VALUE"""),76.0)</f>
        <v>76</v>
      </c>
      <c r="AD135" s="187">
        <f>IFERROR(__xludf.DUMMYFUNCTION("""COMPUTED_VALUE"""),0.0)</f>
        <v>0</v>
      </c>
      <c r="AE135" s="187">
        <f>IFERROR(__xludf.DUMMYFUNCTION("""COMPUTED_VALUE"""),44.0)</f>
        <v>44</v>
      </c>
      <c r="AF135" s="187">
        <f>IFERROR(__xludf.DUMMYFUNCTION("""COMPUTED_VALUE"""),55.0)</f>
        <v>55</v>
      </c>
      <c r="AG135" s="187">
        <f>IFERROR(__xludf.DUMMYFUNCTION("""COMPUTED_VALUE"""),94.0)</f>
        <v>94</v>
      </c>
      <c r="AH135" s="187">
        <f>IFERROR(__xludf.DUMMYFUNCTION("""COMPUTED_VALUE"""),4.0)</f>
        <v>4</v>
      </c>
      <c r="AI135" s="187">
        <f>IFERROR(__xludf.DUMMYFUNCTION("""COMPUTED_VALUE"""),39.0)</f>
        <v>39</v>
      </c>
      <c r="AJ135" s="187">
        <f>IFERROR(__xludf.DUMMYFUNCTION("""COMPUTED_VALUE"""),0.0)</f>
        <v>0</v>
      </c>
      <c r="AK135" s="187">
        <f>IFERROR(__xludf.DUMMYFUNCTION("""COMPUTED_VALUE"""),0.0)</f>
        <v>0</v>
      </c>
      <c r="AL135" s="187">
        <f>IFERROR(__xludf.DUMMYFUNCTION("""COMPUTED_VALUE"""),0.0)</f>
        <v>0</v>
      </c>
      <c r="AM135" s="187">
        <f>IFERROR(__xludf.DUMMYFUNCTION("""COMPUTED_VALUE"""),0.0)</f>
        <v>0</v>
      </c>
      <c r="AN135" s="187">
        <f>IFERROR(__xludf.DUMMYFUNCTION("""COMPUTED_VALUE"""),392.0)</f>
        <v>392</v>
      </c>
      <c r="AO135" s="187">
        <f>IFERROR(__xludf.DUMMYFUNCTION("""COMPUTED_VALUE"""),486.0)</f>
        <v>486</v>
      </c>
      <c r="AP135" s="187">
        <f>IFERROR(__xludf.DUMMYFUNCTION("""COMPUTED_VALUE"""),69.0)</f>
        <v>69</v>
      </c>
      <c r="AQ135" s="217">
        <f>IFERROR(__xludf.DUMMYFUNCTION("""COMPUTED_VALUE"""),31071.521739130436)</f>
        <v>31071.52174</v>
      </c>
      <c r="AR135" s="188">
        <f>IFERROR(__xludf.DUMMYFUNCTION("""COMPUTED_VALUE"""),7.043478260869565)</f>
        <v>7.043478261</v>
      </c>
      <c r="AS135" s="217">
        <f>IFERROR(__xludf.DUMMYFUNCTION("""COMPUTED_VALUE"""),86505.0)</f>
        <v>86505</v>
      </c>
      <c r="AT135" s="217"/>
      <c r="AU135" s="218">
        <f>IFERROR(__xludf.DUMMYFUNCTION("""COMPUTED_VALUE"""),0.040348704601585406)</f>
        <v>0.0403487046</v>
      </c>
      <c r="AV135" s="217">
        <f>IFERROR(__xludf.DUMMYFUNCTION("""COMPUTED_VALUE"""),28209.67105263158)</f>
        <v>28209.67105</v>
      </c>
      <c r="AW135" s="219">
        <f>IFERROR(__xludf.DUMMYFUNCTION("""COMPUTED_VALUE"""),118.0)</f>
        <v>118</v>
      </c>
      <c r="AX135" s="219">
        <f>IFERROR(__xludf.DUMMYFUNCTION("""COMPUTED_VALUE"""),673.0)</f>
        <v>673</v>
      </c>
      <c r="AY135" s="262">
        <f>IFERROR(__xludf.DUMMYFUNCTION("""COMPUTED_VALUE"""),6358.9)</f>
        <v>6358.9</v>
      </c>
      <c r="AZ135" s="263">
        <f>IFERROR(__xludf.DUMMYFUNCTION("""COMPUTED_VALUE"""),53.0)</f>
        <v>53</v>
      </c>
      <c r="BA135" s="263">
        <f>IFERROR(__xludf.DUMMYFUNCTION("""COMPUTED_VALUE"""),76.0)</f>
        <v>76</v>
      </c>
      <c r="BB135" s="263">
        <f>IFERROR(__xludf.DUMMYFUNCTION("""COMPUTED_VALUE"""),47.0)</f>
        <v>47</v>
      </c>
      <c r="BC135" s="263">
        <f>IFERROR(__xludf.DUMMYFUNCTION("""COMPUTED_VALUE"""),13.0)</f>
        <v>13</v>
      </c>
      <c r="BD135" s="258"/>
      <c r="BE135" s="258"/>
      <c r="BF135" s="255" t="e">
        <v>#REF!</v>
      </c>
      <c r="BG135" s="256">
        <f t="shared" si="4"/>
        <v>2143935</v>
      </c>
      <c r="BH135" s="257" t="str">
        <f t="shared" si="5"/>
        <v>#REF!</v>
      </c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</row>
    <row r="136">
      <c r="A136" s="6" t="str">
        <f>IFERROR(__xludf.DUMMYFUNCTION("""COMPUTED_VALUE"""),"Lalan Kumar")</f>
        <v>Lalan Kumar</v>
      </c>
      <c r="B136" s="98" t="str">
        <f>IFERROR(__xludf.DUMMYFUNCTION("""COMPUTED_VALUE"""),"Maharashtra")</f>
        <v>Maharashtra</v>
      </c>
      <c r="C136" s="212" t="str">
        <f>IFERROR(__xludf.DUMMYFUNCTION("""COMPUTED_VALUE"""),"Rahul Ramchandra Bhosale")</f>
        <v>Rahul Ramchandra Bhosale</v>
      </c>
      <c r="D136" s="98" t="str">
        <f>IFERROR(__xludf.DUMMYFUNCTION("""COMPUTED_VALUE"""),"Latur")</f>
        <v>Latur</v>
      </c>
      <c r="E136" s="213">
        <f>IFERROR(__xludf.DUMMYFUNCTION("""COMPUTED_VALUE"""),45887.0)</f>
        <v>45887</v>
      </c>
      <c r="F136" s="222" t="str">
        <f>IFERROR(__xludf.DUMMYFUNCTION("""COMPUTED_VALUE"""),"MAHARASHTRA")</f>
        <v>MAHARASHTRA</v>
      </c>
      <c r="G136" s="215">
        <f>IFERROR(__xludf.DUMMYFUNCTION("""COMPUTED_VALUE"""),3134786.2199999997)</f>
        <v>3134786.22</v>
      </c>
      <c r="H136" s="215">
        <f>IFERROR(__xludf.DUMMYFUNCTION("""COMPUTED_VALUE"""),4631985.0)</f>
        <v>4631985</v>
      </c>
      <c r="I136" s="216">
        <f>IFERROR(__xludf.DUMMYFUNCTION("""COMPUTED_VALUE"""),40885.0)</f>
        <v>40885</v>
      </c>
      <c r="J136" s="216">
        <f>IFERROR(__xludf.DUMMYFUNCTION("""COMPUTED_VALUE"""),1300000.0)</f>
        <v>1300000</v>
      </c>
      <c r="K136" s="217">
        <f>IFERROR(__xludf.DUMMYFUNCTION("""COMPUTED_VALUE"""),0.0)</f>
        <v>0</v>
      </c>
      <c r="L136" s="217">
        <f>IFERROR(__xludf.DUMMYFUNCTION("""COMPUTED_VALUE"""),3900000.0)</f>
        <v>3900000</v>
      </c>
      <c r="M136" s="217">
        <f>IFERROR(__xludf.DUMMYFUNCTION("""COMPUTED_VALUE"""),1384044.0)</f>
        <v>1384044</v>
      </c>
      <c r="N136" s="217">
        <f>IFERROR(__xludf.DUMMYFUNCTION("""COMPUTED_VALUE"""),0.0)</f>
        <v>0</v>
      </c>
      <c r="O136" s="217">
        <f>IFERROR(__xludf.DUMMYFUNCTION("""COMPUTED_VALUE"""),2289708.0)</f>
        <v>2289708</v>
      </c>
      <c r="P136" s="218">
        <f>IFERROR(__xludf.DUMMYFUNCTION("""COMPUTED_VALUE"""),0.3548830769230769)</f>
        <v>0.3548830769</v>
      </c>
      <c r="Q136" s="218">
        <f>IFERROR(__xludf.DUMMYFUNCTION("""COMPUTED_VALUE"""),0.0)</f>
        <v>0</v>
      </c>
      <c r="R136" s="218">
        <f>IFERROR(__xludf.DUMMYFUNCTION("""COMPUTED_VALUE"""),0.5871046153846153)</f>
        <v>0.5871046154</v>
      </c>
      <c r="S136" s="187">
        <f>IFERROR(__xludf.DUMMYFUNCTION("""COMPUTED_VALUE"""),47.0)</f>
        <v>47</v>
      </c>
      <c r="T136" s="187">
        <f>IFERROR(__xludf.DUMMYFUNCTION("""COMPUTED_VALUE"""),41.0)</f>
        <v>41</v>
      </c>
      <c r="U136" s="187">
        <f>IFERROR(__xludf.DUMMYFUNCTION("""COMPUTED_VALUE"""),1.0)</f>
        <v>1</v>
      </c>
      <c r="V136" s="187">
        <f>IFERROR(__xludf.DUMMYFUNCTION("""COMPUTED_VALUE"""),1.0)</f>
        <v>1</v>
      </c>
      <c r="W136" s="187">
        <f>IFERROR(__xludf.DUMMYFUNCTION("""COMPUTED_VALUE"""),48.0)</f>
        <v>48</v>
      </c>
      <c r="X136" s="187">
        <f>IFERROR(__xludf.DUMMYFUNCTION("""COMPUTED_VALUE"""),7.0)</f>
        <v>7</v>
      </c>
      <c r="Y136" s="188">
        <f>IFERROR(__xludf.DUMMYFUNCTION("""COMPUTED_VALUE"""),1380479.64)</f>
        <v>1380479.64</v>
      </c>
      <c r="Z136" s="188">
        <f>IFERROR(__xludf.DUMMYFUNCTION("""COMPUTED_VALUE"""),3564.0)</f>
        <v>3564</v>
      </c>
      <c r="AA136" s="187">
        <f>IFERROR(__xludf.DUMMYFUNCTION("""COMPUTED_VALUE"""),19.0)</f>
        <v>19</v>
      </c>
      <c r="AB136" s="187">
        <f>IFERROR(__xludf.DUMMYFUNCTION("""COMPUTED_VALUE"""),1.0)</f>
        <v>1</v>
      </c>
      <c r="AC136" s="187">
        <f>IFERROR(__xludf.DUMMYFUNCTION("""COMPUTED_VALUE"""),20.0)</f>
        <v>20</v>
      </c>
      <c r="AD136" s="187">
        <f>IFERROR(__xludf.DUMMYFUNCTION("""COMPUTED_VALUE"""),0.0)</f>
        <v>0</v>
      </c>
      <c r="AE136" s="187">
        <f>IFERROR(__xludf.DUMMYFUNCTION("""COMPUTED_VALUE"""),59.0)</f>
        <v>59</v>
      </c>
      <c r="AF136" s="187">
        <f>IFERROR(__xludf.DUMMYFUNCTION("""COMPUTED_VALUE"""),123.0)</f>
        <v>123</v>
      </c>
      <c r="AG136" s="187">
        <f>IFERROR(__xludf.DUMMYFUNCTION("""COMPUTED_VALUE"""),81.0)</f>
        <v>81</v>
      </c>
      <c r="AH136" s="187">
        <f>IFERROR(__xludf.DUMMYFUNCTION("""COMPUTED_VALUE"""),2.0)</f>
        <v>2</v>
      </c>
      <c r="AI136" s="187">
        <f>IFERROR(__xludf.DUMMYFUNCTION("""COMPUTED_VALUE"""),27.0)</f>
        <v>27</v>
      </c>
      <c r="AJ136" s="187">
        <f>IFERROR(__xludf.DUMMYFUNCTION("""COMPUTED_VALUE"""),0.0)</f>
        <v>0</v>
      </c>
      <c r="AK136" s="187">
        <f>IFERROR(__xludf.DUMMYFUNCTION("""COMPUTED_VALUE"""),0.0)</f>
        <v>0</v>
      </c>
      <c r="AL136" s="187">
        <f>IFERROR(__xludf.DUMMYFUNCTION("""COMPUTED_VALUE"""),4.0)</f>
        <v>4</v>
      </c>
      <c r="AM136" s="187">
        <f>IFERROR(__xludf.DUMMYFUNCTION("""COMPUTED_VALUE"""),7.0)</f>
        <v>7</v>
      </c>
      <c r="AN136" s="187">
        <f>IFERROR(__xludf.DUMMYFUNCTION("""COMPUTED_VALUE"""),174.0)</f>
        <v>174</v>
      </c>
      <c r="AO136" s="187">
        <f>IFERROR(__xludf.DUMMYFUNCTION("""COMPUTED_VALUE"""),331.0)</f>
        <v>331</v>
      </c>
      <c r="AP136" s="187">
        <f>IFERROR(__xludf.DUMMYFUNCTION("""COMPUTED_VALUE"""),70.0)</f>
        <v>70</v>
      </c>
      <c r="AQ136" s="217">
        <f>IFERROR(__xludf.DUMMYFUNCTION("""COMPUTED_VALUE"""),19772.057142857142)</f>
        <v>19772.05714</v>
      </c>
      <c r="AR136" s="188">
        <f>IFERROR(__xludf.DUMMYFUNCTION("""COMPUTED_VALUE"""),4.728571428571429)</f>
        <v>4.728571429</v>
      </c>
      <c r="AS136" s="217">
        <f>IFERROR(__xludf.DUMMYFUNCTION("""COMPUTED_VALUE"""),122655.0)</f>
        <v>122655</v>
      </c>
      <c r="AT136" s="217"/>
      <c r="AU136" s="218">
        <f>IFERROR(__xludf.DUMMYFUNCTION("""COMPUTED_VALUE"""),0.08862073749100462)</f>
        <v>0.08862073749</v>
      </c>
      <c r="AV136" s="217">
        <f>IFERROR(__xludf.DUMMYFUNCTION("""COMPUTED_VALUE"""),69202.2)</f>
        <v>69202.2</v>
      </c>
      <c r="AW136" s="219">
        <f>IFERROR(__xludf.DUMMYFUNCTION("""COMPUTED_VALUE"""),47.0)</f>
        <v>47</v>
      </c>
      <c r="AX136" s="219">
        <f>IFERROR(__xludf.DUMMYFUNCTION("""COMPUTED_VALUE"""),794.0)</f>
        <v>794</v>
      </c>
      <c r="AY136" s="262">
        <f>IFERROR(__xludf.DUMMYFUNCTION("""COMPUTED_VALUE"""),9750.7)</f>
        <v>9750.7</v>
      </c>
      <c r="AZ136" s="263">
        <f>IFERROR(__xludf.DUMMYFUNCTION("""COMPUTED_VALUE"""),238.0)</f>
        <v>238</v>
      </c>
      <c r="BA136" s="263">
        <f>IFERROR(__xludf.DUMMYFUNCTION("""COMPUTED_VALUE"""),20.0)</f>
        <v>20</v>
      </c>
      <c r="BB136" s="263">
        <f>IFERROR(__xludf.DUMMYFUNCTION("""COMPUTED_VALUE"""),21.0)</f>
        <v>21</v>
      </c>
      <c r="BC136" s="263">
        <f>IFERROR(__xludf.DUMMYFUNCTION("""COMPUTED_VALUE"""),7.0)</f>
        <v>7</v>
      </c>
      <c r="BD136" s="265"/>
      <c r="BE136" s="258"/>
      <c r="BF136" s="255" t="e">
        <v>#REF!</v>
      </c>
      <c r="BG136" s="256">
        <f t="shared" si="4"/>
        <v>1384044</v>
      </c>
      <c r="BH136" s="257" t="str">
        <f t="shared" si="5"/>
        <v>#REF!</v>
      </c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</row>
    <row r="137">
      <c r="A137" s="6" t="str">
        <f>IFERROR(__xludf.DUMMYFUNCTION("""COMPUTED_VALUE"""),"Sandeep Dadheech")</f>
        <v>Sandeep Dadheech</v>
      </c>
      <c r="B137" s="98" t="str">
        <f>IFERROR(__xludf.DUMMYFUNCTION("""COMPUTED_VALUE"""),"West Bengal")</f>
        <v>West Bengal</v>
      </c>
      <c r="C137" s="212" t="str">
        <f>IFERROR(__xludf.DUMMYFUNCTION("""COMPUTED_VALUE"""),"JAHIR ABBAS HALDER")</f>
        <v>JAHIR ABBAS HALDER</v>
      </c>
      <c r="D137" s="98" t="str">
        <f>IFERROR(__xludf.DUMMYFUNCTION("""COMPUTED_VALUE"""),"Hooghly")</f>
        <v>Hooghly</v>
      </c>
      <c r="E137" s="213">
        <f>IFERROR(__xludf.DUMMYFUNCTION("""COMPUTED_VALUE"""),45894.0)</f>
        <v>45894</v>
      </c>
      <c r="F137" s="222" t="str">
        <f>IFERROR(__xludf.DUMMYFUNCTION("""COMPUTED_VALUE"""),"WEST BENGAL")</f>
        <v>WEST BENGAL</v>
      </c>
      <c r="G137" s="215">
        <f>IFERROR(__xludf.DUMMYFUNCTION("""COMPUTED_VALUE"""),1885263.7699999998)</f>
        <v>1885263.77</v>
      </c>
      <c r="H137" s="215">
        <f>IFERROR(__xludf.DUMMYFUNCTION("""COMPUTED_VALUE"""),9923196.7)</f>
        <v>9923196.7</v>
      </c>
      <c r="I137" s="216">
        <f>IFERROR(__xludf.DUMMYFUNCTION("""COMPUTED_VALUE"""),27260.0)</f>
        <v>27260</v>
      </c>
      <c r="J137" s="216">
        <f>IFERROR(__xludf.DUMMYFUNCTION("""COMPUTED_VALUE"""),3000000.0)</f>
        <v>3000000</v>
      </c>
      <c r="K137" s="217">
        <f>IFERROR(__xludf.DUMMYFUNCTION("""COMPUTED_VALUE"""),0.0)</f>
        <v>0</v>
      </c>
      <c r="L137" s="217">
        <f>IFERROR(__xludf.DUMMYFUNCTION("""COMPUTED_VALUE"""),3000000.0)</f>
        <v>3000000</v>
      </c>
      <c r="M137" s="217">
        <f>IFERROR(__xludf.DUMMYFUNCTION("""COMPUTED_VALUE"""),1868050.0)</f>
        <v>1868050</v>
      </c>
      <c r="N137" s="217">
        <f>IFERROR(__xludf.DUMMYFUNCTION("""COMPUTED_VALUE"""),0.0)</f>
        <v>0</v>
      </c>
      <c r="O137" s="217">
        <f>IFERROR(__xludf.DUMMYFUNCTION("""COMPUTED_VALUE"""),2679440.0)</f>
        <v>2679440</v>
      </c>
      <c r="P137" s="218">
        <f>IFERROR(__xludf.DUMMYFUNCTION("""COMPUTED_VALUE"""),0.6226833333333334)</f>
        <v>0.6226833333</v>
      </c>
      <c r="Q137" s="218">
        <f>IFERROR(__xludf.DUMMYFUNCTION("""COMPUTED_VALUE"""),0.0)</f>
        <v>0</v>
      </c>
      <c r="R137" s="218">
        <f>IFERROR(__xludf.DUMMYFUNCTION("""COMPUTED_VALUE"""),0.8931466666666666)</f>
        <v>0.8931466667</v>
      </c>
      <c r="S137" s="187">
        <f>IFERROR(__xludf.DUMMYFUNCTION("""COMPUTED_VALUE"""),77.0)</f>
        <v>77</v>
      </c>
      <c r="T137" s="187">
        <f>IFERROR(__xludf.DUMMYFUNCTION("""COMPUTED_VALUE"""),71.0)</f>
        <v>71</v>
      </c>
      <c r="U137" s="187">
        <f>IFERROR(__xludf.DUMMYFUNCTION("""COMPUTED_VALUE"""),1.0)</f>
        <v>1</v>
      </c>
      <c r="V137" s="187">
        <f>IFERROR(__xludf.DUMMYFUNCTION("""COMPUTED_VALUE"""),0.0)</f>
        <v>0</v>
      </c>
      <c r="W137" s="187">
        <f>IFERROR(__xludf.DUMMYFUNCTION("""COMPUTED_VALUE"""),78.0)</f>
        <v>78</v>
      </c>
      <c r="X137" s="187">
        <f>IFERROR(__xludf.DUMMYFUNCTION("""COMPUTED_VALUE"""),7.0)</f>
        <v>7</v>
      </c>
      <c r="Y137" s="188">
        <f>IFERROR(__xludf.DUMMYFUNCTION("""COMPUTED_VALUE"""),1868049.7)</f>
        <v>1868049.7</v>
      </c>
      <c r="Z137" s="188">
        <f>IFERROR(__xludf.DUMMYFUNCTION("""COMPUTED_VALUE"""),0.0)</f>
        <v>0</v>
      </c>
      <c r="AA137" s="187">
        <f>IFERROR(__xludf.DUMMYFUNCTION("""COMPUTED_VALUE"""),14.0)</f>
        <v>14</v>
      </c>
      <c r="AB137" s="187">
        <f>IFERROR(__xludf.DUMMYFUNCTION("""COMPUTED_VALUE"""),0.0)</f>
        <v>0</v>
      </c>
      <c r="AC137" s="187">
        <f>IFERROR(__xludf.DUMMYFUNCTION("""COMPUTED_VALUE"""),14.0)</f>
        <v>14</v>
      </c>
      <c r="AD137" s="187">
        <f>IFERROR(__xludf.DUMMYFUNCTION("""COMPUTED_VALUE"""),0.0)</f>
        <v>0</v>
      </c>
      <c r="AE137" s="187">
        <f>IFERROR(__xludf.DUMMYFUNCTION("""COMPUTED_VALUE"""),3.0)</f>
        <v>3</v>
      </c>
      <c r="AF137" s="187">
        <f>IFERROR(__xludf.DUMMYFUNCTION("""COMPUTED_VALUE"""),5.0)</f>
        <v>5</v>
      </c>
      <c r="AG137" s="187">
        <f>IFERROR(__xludf.DUMMYFUNCTION("""COMPUTED_VALUE"""),6.0)</f>
        <v>6</v>
      </c>
      <c r="AH137" s="187">
        <f>IFERROR(__xludf.DUMMYFUNCTION("""COMPUTED_VALUE"""),1.0)</f>
        <v>1</v>
      </c>
      <c r="AI137" s="187">
        <f>IFERROR(__xludf.DUMMYFUNCTION("""COMPUTED_VALUE"""),11.0)</f>
        <v>11</v>
      </c>
      <c r="AJ137" s="187">
        <f>IFERROR(__xludf.DUMMYFUNCTION("""COMPUTED_VALUE"""),0.0)</f>
        <v>0</v>
      </c>
      <c r="AK137" s="187">
        <f>IFERROR(__xludf.DUMMYFUNCTION("""COMPUTED_VALUE"""),0.0)</f>
        <v>0</v>
      </c>
      <c r="AL137" s="187">
        <f>IFERROR(__xludf.DUMMYFUNCTION("""COMPUTED_VALUE"""),0.0)</f>
        <v>0</v>
      </c>
      <c r="AM137" s="187">
        <f>IFERROR(__xludf.DUMMYFUNCTION("""COMPUTED_VALUE"""),0.0)</f>
        <v>0</v>
      </c>
      <c r="AN137" s="187">
        <f>IFERROR(__xludf.DUMMYFUNCTION("""COMPUTED_VALUE"""),217.0)</f>
        <v>217</v>
      </c>
      <c r="AO137" s="187">
        <f>IFERROR(__xludf.DUMMYFUNCTION("""COMPUTED_VALUE"""),233.0)</f>
        <v>233</v>
      </c>
      <c r="AP137" s="187">
        <f>IFERROR(__xludf.DUMMYFUNCTION("""COMPUTED_VALUE"""),62.0)</f>
        <v>62</v>
      </c>
      <c r="AQ137" s="217">
        <f>IFERROR(__xludf.DUMMYFUNCTION("""COMPUTED_VALUE"""),30129.83870967742)</f>
        <v>30129.83871</v>
      </c>
      <c r="AR137" s="188">
        <f>IFERROR(__xludf.DUMMYFUNCTION("""COMPUTED_VALUE"""),3.7580645161290325)</f>
        <v>3.758064516</v>
      </c>
      <c r="AS137" s="217">
        <f>IFERROR(__xludf.DUMMYFUNCTION("""COMPUTED_VALUE"""),81780.0)</f>
        <v>81780</v>
      </c>
      <c r="AT137" s="217"/>
      <c r="AU137" s="218">
        <f>IFERROR(__xludf.DUMMYFUNCTION("""COMPUTED_VALUE"""),0.043778271459543376)</f>
        <v>0.04377827146</v>
      </c>
      <c r="AV137" s="217">
        <f>IFERROR(__xludf.DUMMYFUNCTION("""COMPUTED_VALUE"""),133432.14285714287)</f>
        <v>133432.1429</v>
      </c>
      <c r="AW137" s="219">
        <f>IFERROR(__xludf.DUMMYFUNCTION("""COMPUTED_VALUE"""),19.0)</f>
        <v>19</v>
      </c>
      <c r="AX137" s="219">
        <f>IFERROR(__xludf.DUMMYFUNCTION("""COMPUTED_VALUE"""),518.0)</f>
        <v>518</v>
      </c>
      <c r="AY137" s="262">
        <f>IFERROR(__xludf.DUMMYFUNCTION("""COMPUTED_VALUE"""),3610.29)</f>
        <v>3610.29</v>
      </c>
      <c r="AZ137" s="263">
        <f>IFERROR(__xludf.DUMMYFUNCTION("""COMPUTED_VALUE"""),51.0)</f>
        <v>51</v>
      </c>
      <c r="BA137" s="263">
        <f>IFERROR(__xludf.DUMMYFUNCTION("""COMPUTED_VALUE"""),14.0)</f>
        <v>14</v>
      </c>
      <c r="BB137" s="263">
        <f>IFERROR(__xludf.DUMMYFUNCTION("""COMPUTED_VALUE"""),57.0)</f>
        <v>57</v>
      </c>
      <c r="BC137" s="263">
        <f>IFERROR(__xludf.DUMMYFUNCTION("""COMPUTED_VALUE"""),7.0)</f>
        <v>7</v>
      </c>
      <c r="BD137" s="258"/>
      <c r="BE137" s="258"/>
      <c r="BF137" s="255" t="e">
        <v>#REF!</v>
      </c>
      <c r="BG137" s="256">
        <f t="shared" si="4"/>
        <v>1868050</v>
      </c>
      <c r="BH137" s="257" t="str">
        <f t="shared" si="5"/>
        <v>#REF!</v>
      </c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</row>
    <row r="138">
      <c r="A138" s="6" t="str">
        <f>IFERROR(__xludf.DUMMYFUNCTION("""COMPUTED_VALUE"""),"Biju C.O")</f>
        <v>Biju C.O</v>
      </c>
      <c r="B138" s="98" t="str">
        <f>IFERROR(__xludf.DUMMYFUNCTION("""COMPUTED_VALUE"""),"Kerala")</f>
        <v>Kerala</v>
      </c>
      <c r="C138" s="212" t="str">
        <f>IFERROR(__xludf.DUMMYFUNCTION("""COMPUTED_VALUE"""),"Jijo")</f>
        <v>Jijo</v>
      </c>
      <c r="D138" s="98" t="str">
        <f>IFERROR(__xludf.DUMMYFUNCTION("""COMPUTED_VALUE"""),"Manjeri")</f>
        <v>Manjeri</v>
      </c>
      <c r="E138" s="213">
        <f>IFERROR(__xludf.DUMMYFUNCTION("""COMPUTED_VALUE"""),45933.0)</f>
        <v>45933</v>
      </c>
      <c r="F138" s="222" t="str">
        <f>IFERROR(__xludf.DUMMYFUNCTION("""COMPUTED_VALUE"""),"KERALA")</f>
        <v>KERALA</v>
      </c>
      <c r="G138" s="215">
        <f>IFERROR(__xludf.DUMMYFUNCTION("""COMPUTED_VALUE"""),3681893.4000000004)</f>
        <v>3681893.4</v>
      </c>
      <c r="H138" s="215">
        <f>IFERROR(__xludf.DUMMYFUNCTION("""COMPUTED_VALUE"""),3415793.84)</f>
        <v>3415793.84</v>
      </c>
      <c r="I138" s="216">
        <f>IFERROR(__xludf.DUMMYFUNCTION("""COMPUTED_VALUE"""),27000.0)</f>
        <v>27000</v>
      </c>
      <c r="J138" s="216">
        <f>IFERROR(__xludf.DUMMYFUNCTION("""COMPUTED_VALUE"""),893750.0)</f>
        <v>893750</v>
      </c>
      <c r="K138" s="217">
        <f>IFERROR(__xludf.DUMMYFUNCTION("""COMPUTED_VALUE"""),0.0)</f>
        <v>0</v>
      </c>
      <c r="L138" s="217">
        <f>IFERROR(__xludf.DUMMYFUNCTION("""COMPUTED_VALUE"""),3900000.0)</f>
        <v>3900000</v>
      </c>
      <c r="M138" s="217">
        <f>IFERROR(__xludf.DUMMYFUNCTION("""COMPUTED_VALUE"""),2063123.0)</f>
        <v>2063123</v>
      </c>
      <c r="N138" s="217">
        <f>IFERROR(__xludf.DUMMYFUNCTION("""COMPUTED_VALUE"""),0.0)</f>
        <v>0</v>
      </c>
      <c r="O138" s="217">
        <f>IFERROR(__xludf.DUMMYFUNCTION("""COMPUTED_VALUE"""),647157.56)</f>
        <v>647157.56</v>
      </c>
      <c r="P138" s="218">
        <f>IFERROR(__xludf.DUMMYFUNCTION("""COMPUTED_VALUE"""),0.5290058974358974)</f>
        <v>0.5290058974</v>
      </c>
      <c r="Q138" s="218">
        <f>IFERROR(__xludf.DUMMYFUNCTION("""COMPUTED_VALUE"""),0.0)</f>
        <v>0</v>
      </c>
      <c r="R138" s="218">
        <f>IFERROR(__xludf.DUMMYFUNCTION("""COMPUTED_VALUE"""),0.1659378358974359)</f>
        <v>0.1659378359</v>
      </c>
      <c r="S138" s="187">
        <f>IFERROR(__xludf.DUMMYFUNCTION("""COMPUTED_VALUE"""),67.0)</f>
        <v>67</v>
      </c>
      <c r="T138" s="187">
        <f>IFERROR(__xludf.DUMMYFUNCTION("""COMPUTED_VALUE"""),64.0)</f>
        <v>64</v>
      </c>
      <c r="U138" s="187">
        <f>IFERROR(__xludf.DUMMYFUNCTION("""COMPUTED_VALUE"""),5.0)</f>
        <v>5</v>
      </c>
      <c r="V138" s="187">
        <f>IFERROR(__xludf.DUMMYFUNCTION("""COMPUTED_VALUE"""),5.0)</f>
        <v>5</v>
      </c>
      <c r="W138" s="187">
        <f>IFERROR(__xludf.DUMMYFUNCTION("""COMPUTED_VALUE"""),72.0)</f>
        <v>72</v>
      </c>
      <c r="X138" s="187">
        <f>IFERROR(__xludf.DUMMYFUNCTION("""COMPUTED_VALUE"""),8.0)</f>
        <v>8</v>
      </c>
      <c r="Y138" s="188">
        <f>IFERROR(__xludf.DUMMYFUNCTION("""COMPUTED_VALUE"""),1893251.04)</f>
        <v>1893251.04</v>
      </c>
      <c r="Z138" s="188">
        <f>IFERROR(__xludf.DUMMYFUNCTION("""COMPUTED_VALUE"""),169872.0)</f>
        <v>169872</v>
      </c>
      <c r="AA138" s="187">
        <f>IFERROR(__xludf.DUMMYFUNCTION("""COMPUTED_VALUE"""),40.0)</f>
        <v>40</v>
      </c>
      <c r="AB138" s="187">
        <f>IFERROR(__xludf.DUMMYFUNCTION("""COMPUTED_VALUE"""),5.0)</f>
        <v>5</v>
      </c>
      <c r="AC138" s="187">
        <f>IFERROR(__xludf.DUMMYFUNCTION("""COMPUTED_VALUE"""),45.0)</f>
        <v>45</v>
      </c>
      <c r="AD138" s="187">
        <f>IFERROR(__xludf.DUMMYFUNCTION("""COMPUTED_VALUE"""),0.0)</f>
        <v>0</v>
      </c>
      <c r="AE138" s="187">
        <f>IFERROR(__xludf.DUMMYFUNCTION("""COMPUTED_VALUE"""),2.0)</f>
        <v>2</v>
      </c>
      <c r="AF138" s="187">
        <f>IFERROR(__xludf.DUMMYFUNCTION("""COMPUTED_VALUE"""),11.0)</f>
        <v>11</v>
      </c>
      <c r="AG138" s="187">
        <f>IFERROR(__xludf.DUMMYFUNCTION("""COMPUTED_VALUE"""),10.0)</f>
        <v>10</v>
      </c>
      <c r="AH138" s="187">
        <f>IFERROR(__xludf.DUMMYFUNCTION("""COMPUTED_VALUE"""),1.0)</f>
        <v>1</v>
      </c>
      <c r="AI138" s="187">
        <f>IFERROR(__xludf.DUMMYFUNCTION("""COMPUTED_VALUE"""),6.0)</f>
        <v>6</v>
      </c>
      <c r="AJ138" s="187">
        <f>IFERROR(__xludf.DUMMYFUNCTION("""COMPUTED_VALUE"""),0.0)</f>
        <v>0</v>
      </c>
      <c r="AK138" s="187">
        <f>IFERROR(__xludf.DUMMYFUNCTION("""COMPUTED_VALUE"""),0.0)</f>
        <v>0</v>
      </c>
      <c r="AL138" s="187">
        <f>IFERROR(__xludf.DUMMYFUNCTION("""COMPUTED_VALUE"""),0.0)</f>
        <v>0</v>
      </c>
      <c r="AM138" s="187">
        <f>IFERROR(__xludf.DUMMYFUNCTION("""COMPUTED_VALUE"""),0.0)</f>
        <v>0</v>
      </c>
      <c r="AN138" s="187">
        <f>IFERROR(__xludf.DUMMYFUNCTION("""COMPUTED_VALUE"""),551.0)</f>
        <v>551</v>
      </c>
      <c r="AO138" s="187">
        <f>IFERROR(__xludf.DUMMYFUNCTION("""COMPUTED_VALUE"""),568.0)</f>
        <v>568</v>
      </c>
      <c r="AP138" s="187">
        <f>IFERROR(__xludf.DUMMYFUNCTION("""COMPUTED_VALUE"""),73.0)</f>
        <v>73</v>
      </c>
      <c r="AQ138" s="217">
        <f>IFERROR(__xludf.DUMMYFUNCTION("""COMPUTED_VALUE"""),28261.95890410959)</f>
        <v>28261.9589</v>
      </c>
      <c r="AR138" s="188">
        <f>IFERROR(__xludf.DUMMYFUNCTION("""COMPUTED_VALUE"""),7.780821917808219)</f>
        <v>7.780821918</v>
      </c>
      <c r="AS138" s="217">
        <f>IFERROR(__xludf.DUMMYFUNCTION("""COMPUTED_VALUE"""),81000.0)</f>
        <v>81000</v>
      </c>
      <c r="AT138" s="217"/>
      <c r="AU138" s="218">
        <f>IFERROR(__xludf.DUMMYFUNCTION("""COMPUTED_VALUE"""),0.039260868111111166)</f>
        <v>0.03926086811</v>
      </c>
      <c r="AV138" s="217">
        <f>IFERROR(__xludf.DUMMYFUNCTION("""COMPUTED_VALUE"""),45847.177777777775)</f>
        <v>45847.17778</v>
      </c>
      <c r="AW138" s="219">
        <f>IFERROR(__xludf.DUMMYFUNCTION("""COMPUTED_VALUE"""),76.0)</f>
        <v>76</v>
      </c>
      <c r="AX138" s="219">
        <f>IFERROR(__xludf.DUMMYFUNCTION("""COMPUTED_VALUE"""),704.0)</f>
        <v>704</v>
      </c>
      <c r="AY138" s="262">
        <f>IFERROR(__xludf.DUMMYFUNCTION("""COMPUTED_VALUE"""),5217.4)</f>
        <v>5217.4</v>
      </c>
      <c r="AZ138" s="263">
        <f>IFERROR(__xludf.DUMMYFUNCTION("""COMPUTED_VALUE"""),82.0)</f>
        <v>82</v>
      </c>
      <c r="BA138" s="263">
        <f>IFERROR(__xludf.DUMMYFUNCTION("""COMPUTED_VALUE"""),45.0)</f>
        <v>45</v>
      </c>
      <c r="BB138" s="263">
        <f>IFERROR(__xludf.DUMMYFUNCTION("""COMPUTED_VALUE"""),19.0)</f>
        <v>19</v>
      </c>
      <c r="BC138" s="263">
        <f>IFERROR(__xludf.DUMMYFUNCTION("""COMPUTED_VALUE"""),8.0)</f>
        <v>8</v>
      </c>
      <c r="BD138" s="265"/>
      <c r="BE138" s="258"/>
      <c r="BF138" s="255" t="e">
        <v>#REF!</v>
      </c>
      <c r="BG138" s="256">
        <f t="shared" si="4"/>
        <v>2063123</v>
      </c>
      <c r="BH138" s="257" t="str">
        <f t="shared" si="5"/>
        <v>#REF!</v>
      </c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</row>
    <row r="139">
      <c r="A139" s="6" t="str">
        <f>IFERROR(__xludf.DUMMYFUNCTION("""COMPUTED_VALUE"""),"Lalan Kumar")</f>
        <v>Lalan Kumar</v>
      </c>
      <c r="B139" s="98" t="str">
        <f>IFERROR(__xludf.DUMMYFUNCTION("""COMPUTED_VALUE"""),"Maharashtra")</f>
        <v>Maharashtra</v>
      </c>
      <c r="C139" s="212" t="str">
        <f>IFERROR(__xludf.DUMMYFUNCTION("""COMPUTED_VALUE"""),"Swapnil Rajput")</f>
        <v>Swapnil Rajput</v>
      </c>
      <c r="D139" s="98" t="str">
        <f>IFERROR(__xludf.DUMMYFUNCTION("""COMPUTED_VALUE"""),"Nashik")</f>
        <v>Nashik</v>
      </c>
      <c r="E139" s="213">
        <f>IFERROR(__xludf.DUMMYFUNCTION("""COMPUTED_VALUE"""),45936.0)</f>
        <v>45936</v>
      </c>
      <c r="F139" s="222" t="str">
        <f>IFERROR(__xludf.DUMMYFUNCTION("""COMPUTED_VALUE"""),"MAHARASHTRA")</f>
        <v>MAHARASHTRA</v>
      </c>
      <c r="G139" s="215">
        <f>IFERROR(__xludf.DUMMYFUNCTION("""COMPUTED_VALUE"""),431144.24)</f>
        <v>431144.24</v>
      </c>
      <c r="H139" s="215">
        <f>IFERROR(__xludf.DUMMYFUNCTION("""COMPUTED_VALUE"""),351396.0)</f>
        <v>351396</v>
      </c>
      <c r="I139" s="216">
        <f>IFERROR(__xludf.DUMMYFUNCTION("""COMPUTED_VALUE"""),34100.0)</f>
        <v>34100</v>
      </c>
      <c r="J139" s="216">
        <f>IFERROR(__xludf.DUMMYFUNCTION("""COMPUTED_VALUE"""),1000000.0)</f>
        <v>1000000</v>
      </c>
      <c r="K139" s="217">
        <f>IFERROR(__xludf.DUMMYFUNCTION("""COMPUTED_VALUE"""),0.0)</f>
        <v>0</v>
      </c>
      <c r="L139" s="217">
        <f>IFERROR(__xludf.DUMMYFUNCTION("""COMPUTED_VALUE"""),3000000.0)</f>
        <v>3000000</v>
      </c>
      <c r="M139" s="217">
        <f>IFERROR(__xludf.DUMMYFUNCTION("""COMPUTED_VALUE"""),977370.0)</f>
        <v>977370</v>
      </c>
      <c r="N139" s="217">
        <f>IFERROR(__xludf.DUMMYFUNCTION("""COMPUTED_VALUE"""),0.0)</f>
        <v>0</v>
      </c>
      <c r="O139" s="217">
        <f>IFERROR(__xludf.DUMMYFUNCTION("""COMPUTED_VALUE"""),864147.0)</f>
        <v>864147</v>
      </c>
      <c r="P139" s="218">
        <f>IFERROR(__xludf.DUMMYFUNCTION("""COMPUTED_VALUE"""),0.32579)</f>
        <v>0.32579</v>
      </c>
      <c r="Q139" s="218">
        <f>IFERROR(__xludf.DUMMYFUNCTION("""COMPUTED_VALUE"""),0.0)</f>
        <v>0</v>
      </c>
      <c r="R139" s="218">
        <f>IFERROR(__xludf.DUMMYFUNCTION("""COMPUTED_VALUE"""),0.288049)</f>
        <v>0.288049</v>
      </c>
      <c r="S139" s="187">
        <f>IFERROR(__xludf.DUMMYFUNCTION("""COMPUTED_VALUE"""),38.0)</f>
        <v>38</v>
      </c>
      <c r="T139" s="187">
        <f>IFERROR(__xludf.DUMMYFUNCTION("""COMPUTED_VALUE"""),46.0)</f>
        <v>46</v>
      </c>
      <c r="U139" s="187">
        <f>IFERROR(__xludf.DUMMYFUNCTION("""COMPUTED_VALUE"""),13.0)</f>
        <v>13</v>
      </c>
      <c r="V139" s="187">
        <f>IFERROR(__xludf.DUMMYFUNCTION("""COMPUTED_VALUE"""),13.0)</f>
        <v>13</v>
      </c>
      <c r="W139" s="187">
        <f>IFERROR(__xludf.DUMMYFUNCTION("""COMPUTED_VALUE"""),51.0)</f>
        <v>51</v>
      </c>
      <c r="X139" s="187">
        <f>IFERROR(__xludf.DUMMYFUNCTION("""COMPUTED_VALUE"""),5.0)</f>
        <v>5</v>
      </c>
      <c r="Y139" s="188">
        <f>IFERROR(__xludf.DUMMYFUNCTION("""COMPUTED_VALUE"""),612431.7)</f>
        <v>612431.7</v>
      </c>
      <c r="Z139" s="188">
        <f>IFERROR(__xludf.DUMMYFUNCTION("""COMPUTED_VALUE"""),364938.54)</f>
        <v>364938.54</v>
      </c>
      <c r="AA139" s="187">
        <f>IFERROR(__xludf.DUMMYFUNCTION("""COMPUTED_VALUE"""),23.0)</f>
        <v>23</v>
      </c>
      <c r="AB139" s="187">
        <f>IFERROR(__xludf.DUMMYFUNCTION("""COMPUTED_VALUE"""),13.0)</f>
        <v>13</v>
      </c>
      <c r="AC139" s="187">
        <f>IFERROR(__xludf.DUMMYFUNCTION("""COMPUTED_VALUE"""),36.0)</f>
        <v>36</v>
      </c>
      <c r="AD139" s="187">
        <f>IFERROR(__xludf.DUMMYFUNCTION("""COMPUTED_VALUE"""),0.0)</f>
        <v>0</v>
      </c>
      <c r="AE139" s="187">
        <f>IFERROR(__xludf.DUMMYFUNCTION("""COMPUTED_VALUE"""),85.0)</f>
        <v>85</v>
      </c>
      <c r="AF139" s="187">
        <f>IFERROR(__xludf.DUMMYFUNCTION("""COMPUTED_VALUE"""),189.0)</f>
        <v>189</v>
      </c>
      <c r="AG139" s="187">
        <f>IFERROR(__xludf.DUMMYFUNCTION("""COMPUTED_VALUE"""),46.0)</f>
        <v>46</v>
      </c>
      <c r="AH139" s="187">
        <f>IFERROR(__xludf.DUMMYFUNCTION("""COMPUTED_VALUE"""),1.0)</f>
        <v>1</v>
      </c>
      <c r="AI139" s="187">
        <f>IFERROR(__xludf.DUMMYFUNCTION("""COMPUTED_VALUE"""),12.0)</f>
        <v>12</v>
      </c>
      <c r="AJ139" s="187">
        <f>IFERROR(__xludf.DUMMYFUNCTION("""COMPUTED_VALUE"""),1.0)</f>
        <v>1</v>
      </c>
      <c r="AK139" s="187">
        <f>IFERROR(__xludf.DUMMYFUNCTION("""COMPUTED_VALUE"""),4.0)</f>
        <v>4</v>
      </c>
      <c r="AL139" s="187">
        <f>IFERROR(__xludf.DUMMYFUNCTION("""COMPUTED_VALUE"""),1.0)</f>
        <v>1</v>
      </c>
      <c r="AM139" s="187">
        <f>IFERROR(__xludf.DUMMYFUNCTION("""COMPUTED_VALUE"""),4.0)</f>
        <v>4</v>
      </c>
      <c r="AN139" s="187">
        <f>IFERROR(__xludf.DUMMYFUNCTION("""COMPUTED_VALUE"""),180.0)</f>
        <v>180</v>
      </c>
      <c r="AO139" s="187">
        <f>IFERROR(__xludf.DUMMYFUNCTION("""COMPUTED_VALUE"""),389.0)</f>
        <v>389</v>
      </c>
      <c r="AP139" s="187">
        <f>IFERROR(__xludf.DUMMYFUNCTION("""COMPUTED_VALUE"""),72.0)</f>
        <v>72</v>
      </c>
      <c r="AQ139" s="217">
        <f>IFERROR(__xludf.DUMMYFUNCTION("""COMPUTED_VALUE"""),13574.583333333334)</f>
        <v>13574.58333</v>
      </c>
      <c r="AR139" s="188">
        <f>IFERROR(__xludf.DUMMYFUNCTION("""COMPUTED_VALUE"""),5.402777777777778)</f>
        <v>5.402777778</v>
      </c>
      <c r="AS139" s="217">
        <f>IFERROR(__xludf.DUMMYFUNCTION("""COMPUTED_VALUE"""),102300.0)</f>
        <v>102300</v>
      </c>
      <c r="AT139" s="217"/>
      <c r="AU139" s="218">
        <f>IFERROR(__xludf.DUMMYFUNCTION("""COMPUTED_VALUE"""),0.10466865158537708)</f>
        <v>0.1046686516</v>
      </c>
      <c r="AV139" s="217">
        <f>IFERROR(__xludf.DUMMYFUNCTION("""COMPUTED_VALUE"""),27149.166666666668)</f>
        <v>27149.16667</v>
      </c>
      <c r="AW139" s="219">
        <f>IFERROR(__xludf.DUMMYFUNCTION("""COMPUTED_VALUE"""),54.0)</f>
        <v>54</v>
      </c>
      <c r="AX139" s="219">
        <f>IFERROR(__xludf.DUMMYFUNCTION("""COMPUTED_VALUE"""),721.0)</f>
        <v>721</v>
      </c>
      <c r="AY139" s="262">
        <f>IFERROR(__xludf.DUMMYFUNCTION("""COMPUTED_VALUE"""),4605.28)</f>
        <v>4605.28</v>
      </c>
      <c r="AZ139" s="263">
        <f>IFERROR(__xludf.DUMMYFUNCTION("""COMPUTED_VALUE"""),100.0)</f>
        <v>100</v>
      </c>
      <c r="BA139" s="263">
        <f>IFERROR(__xludf.DUMMYFUNCTION("""COMPUTED_VALUE"""),36.0)</f>
        <v>36</v>
      </c>
      <c r="BB139" s="263">
        <f>IFERROR(__xludf.DUMMYFUNCTION("""COMPUTED_VALUE"""),11.0)</f>
        <v>11</v>
      </c>
      <c r="BC139" s="263">
        <f>IFERROR(__xludf.DUMMYFUNCTION("""COMPUTED_VALUE"""),4.0)</f>
        <v>4</v>
      </c>
      <c r="BD139" s="265"/>
      <c r="BE139" s="258"/>
      <c r="BF139" s="255" t="e">
        <v>#REF!</v>
      </c>
      <c r="BG139" s="256">
        <f t="shared" si="4"/>
        <v>977370</v>
      </c>
      <c r="BH139" s="257" t="str">
        <f t="shared" si="5"/>
        <v>#REF!</v>
      </c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</row>
    <row r="140">
      <c r="A140" s="6" t="str">
        <f>IFERROR(__xludf.DUMMYFUNCTION("""COMPUTED_VALUE"""),"Syed Aqil Rizvi")</f>
        <v>Syed Aqil Rizvi</v>
      </c>
      <c r="B140" s="98" t="str">
        <f>IFERROR(__xludf.DUMMYFUNCTION("""COMPUTED_VALUE"""),"Madhya Pradesh")</f>
        <v>Madhya Pradesh</v>
      </c>
      <c r="C140" s="212" t="str">
        <f>IFERROR(__xludf.DUMMYFUNCTION("""COMPUTED_VALUE"""),"Pradeep Kumar Dwivedi")</f>
        <v>Pradeep Kumar Dwivedi</v>
      </c>
      <c r="D140" s="98" t="str">
        <f>IFERROR(__xludf.DUMMYFUNCTION("""COMPUTED_VALUE"""),"Rewa")</f>
        <v>Rewa</v>
      </c>
      <c r="E140" s="213">
        <f>IFERROR(__xludf.DUMMYFUNCTION("""COMPUTED_VALUE"""),45964.0)</f>
        <v>45964</v>
      </c>
      <c r="F140" s="222" t="str">
        <f>IFERROR(__xludf.DUMMYFUNCTION("""COMPUTED_VALUE"""),"MADHYA PRADESH")</f>
        <v>MADHYA PRADESH</v>
      </c>
      <c r="G140" s="215">
        <f>IFERROR(__xludf.DUMMYFUNCTION("""COMPUTED_VALUE"""),1828924.7000000002)</f>
        <v>1828924.7</v>
      </c>
      <c r="H140" s="215">
        <f>IFERROR(__xludf.DUMMYFUNCTION("""COMPUTED_VALUE"""),1336548.0)</f>
        <v>1336548</v>
      </c>
      <c r="I140" s="216">
        <f>IFERROR(__xludf.DUMMYFUNCTION("""COMPUTED_VALUE"""),36190.0)</f>
        <v>36190</v>
      </c>
      <c r="J140" s="216">
        <f>IFERROR(__xludf.DUMMYFUNCTION("""COMPUTED_VALUE"""),1550000.0)</f>
        <v>1550000</v>
      </c>
      <c r="K140" s="217">
        <f>IFERROR(__xludf.DUMMYFUNCTION("""COMPUTED_VALUE"""),0.0)</f>
        <v>0</v>
      </c>
      <c r="L140" s="217">
        <f>IFERROR(__xludf.DUMMYFUNCTION("""COMPUTED_VALUE"""),4650000.0)</f>
        <v>4650000</v>
      </c>
      <c r="M140" s="217">
        <f>IFERROR(__xludf.DUMMYFUNCTION("""COMPUTED_VALUE"""),1324396.0)</f>
        <v>1324396</v>
      </c>
      <c r="N140" s="217">
        <f>IFERROR(__xludf.DUMMYFUNCTION("""COMPUTED_VALUE"""),79373.59)</f>
        <v>79373.59</v>
      </c>
      <c r="O140" s="217">
        <f>IFERROR(__xludf.DUMMYFUNCTION("""COMPUTED_VALUE"""),785257.0)</f>
        <v>785257</v>
      </c>
      <c r="P140" s="218">
        <f>IFERROR(__xludf.DUMMYFUNCTION("""COMPUTED_VALUE"""),0.30188593333333336)</f>
        <v>0.3018859333</v>
      </c>
      <c r="Q140" s="218">
        <f>IFERROR(__xludf.DUMMYFUNCTION("""COMPUTED_VALUE"""),0.0)</f>
        <v>0</v>
      </c>
      <c r="R140" s="218">
        <f>IFERROR(__xludf.DUMMYFUNCTION("""COMPUTED_VALUE"""),0.16887247311827958)</f>
        <v>0.1688724731</v>
      </c>
      <c r="S140" s="187">
        <f>IFERROR(__xludf.DUMMYFUNCTION("""COMPUTED_VALUE"""),82.0)</f>
        <v>82</v>
      </c>
      <c r="T140" s="187">
        <f>IFERROR(__xludf.DUMMYFUNCTION("""COMPUTED_VALUE"""),82.0)</f>
        <v>82</v>
      </c>
      <c r="U140" s="187">
        <f>IFERROR(__xludf.DUMMYFUNCTION("""COMPUTED_VALUE"""),10.0)</f>
        <v>10</v>
      </c>
      <c r="V140" s="187">
        <f>IFERROR(__xludf.DUMMYFUNCTION("""COMPUTED_VALUE"""),10.0)</f>
        <v>10</v>
      </c>
      <c r="W140" s="187">
        <f>IFERROR(__xludf.DUMMYFUNCTION("""COMPUTED_VALUE"""),92.0)</f>
        <v>92</v>
      </c>
      <c r="X140" s="187">
        <f>IFERROR(__xludf.DUMMYFUNCTION("""COMPUTED_VALUE"""),10.0)</f>
        <v>10</v>
      </c>
      <c r="Y140" s="188">
        <f>IFERROR(__xludf.DUMMYFUNCTION("""COMPUTED_VALUE"""),978361.8)</f>
        <v>978361.8</v>
      </c>
      <c r="Z140" s="188">
        <f>IFERROR(__xludf.DUMMYFUNCTION("""COMPUTED_VALUE"""),346033.97)</f>
        <v>346033.97</v>
      </c>
      <c r="AA140" s="187">
        <f>IFERROR(__xludf.DUMMYFUNCTION("""COMPUTED_VALUE"""),37.0)</f>
        <v>37</v>
      </c>
      <c r="AB140" s="187">
        <f>IFERROR(__xludf.DUMMYFUNCTION("""COMPUTED_VALUE"""),10.0)</f>
        <v>10</v>
      </c>
      <c r="AC140" s="187">
        <f>IFERROR(__xludf.DUMMYFUNCTION("""COMPUTED_VALUE"""),47.0)</f>
        <v>47</v>
      </c>
      <c r="AD140" s="187">
        <f>IFERROR(__xludf.DUMMYFUNCTION("""COMPUTED_VALUE"""),1.0)</f>
        <v>1</v>
      </c>
      <c r="AE140" s="187">
        <f>IFERROR(__xludf.DUMMYFUNCTION("""COMPUTED_VALUE"""),160.0)</f>
        <v>160</v>
      </c>
      <c r="AF140" s="187">
        <f>IFERROR(__xludf.DUMMYFUNCTION("""COMPUTED_VALUE"""),175.0)</f>
        <v>175</v>
      </c>
      <c r="AG140" s="187">
        <f>IFERROR(__xludf.DUMMYFUNCTION("""COMPUTED_VALUE"""),196.0)</f>
        <v>196</v>
      </c>
      <c r="AH140" s="187">
        <f>IFERROR(__xludf.DUMMYFUNCTION("""COMPUTED_VALUE"""),2.0)</f>
        <v>2</v>
      </c>
      <c r="AI140" s="187">
        <f>IFERROR(__xludf.DUMMYFUNCTION("""COMPUTED_VALUE"""),36.0)</f>
        <v>36</v>
      </c>
      <c r="AJ140" s="187">
        <f>IFERROR(__xludf.DUMMYFUNCTION("""COMPUTED_VALUE"""),2.0)</f>
        <v>2</v>
      </c>
      <c r="AK140" s="187">
        <f>IFERROR(__xludf.DUMMYFUNCTION("""COMPUTED_VALUE"""),4.0)</f>
        <v>4</v>
      </c>
      <c r="AL140" s="187">
        <f>IFERROR(__xludf.DUMMYFUNCTION("""COMPUTED_VALUE"""),2.0)</f>
        <v>2</v>
      </c>
      <c r="AM140" s="187">
        <f>IFERROR(__xludf.DUMMYFUNCTION("""COMPUTED_VALUE"""),2.0)</f>
        <v>2</v>
      </c>
      <c r="AN140" s="187">
        <f>IFERROR(__xludf.DUMMYFUNCTION("""COMPUTED_VALUE"""),215.0)</f>
        <v>215</v>
      </c>
      <c r="AO140" s="187">
        <f>IFERROR(__xludf.DUMMYFUNCTION("""COMPUTED_VALUE"""),432.0)</f>
        <v>432</v>
      </c>
      <c r="AP140" s="187">
        <f>IFERROR(__xludf.DUMMYFUNCTION("""COMPUTED_VALUE"""),67.0)</f>
        <v>67</v>
      </c>
      <c r="AQ140" s="217">
        <f>IFERROR(__xludf.DUMMYFUNCTION("""COMPUTED_VALUE"""),20951.784925373137)</f>
        <v>20951.78493</v>
      </c>
      <c r="AR140" s="188">
        <f>IFERROR(__xludf.DUMMYFUNCTION("""COMPUTED_VALUE"""),6.447761194029851)</f>
        <v>6.447761194</v>
      </c>
      <c r="AS140" s="217">
        <f>IFERROR(__xludf.DUMMYFUNCTION("""COMPUTED_VALUE"""),108570.0)</f>
        <v>108570</v>
      </c>
      <c r="AT140" s="217"/>
      <c r="AU140" s="218">
        <f>IFERROR(__xludf.DUMMYFUNCTION("""COMPUTED_VALUE"""),0.07734175235980144)</f>
        <v>0.07734175236</v>
      </c>
      <c r="AV140" s="217">
        <f>IFERROR(__xludf.DUMMYFUNCTION("""COMPUTED_VALUE"""),28178.63829787234)</f>
        <v>28178.6383</v>
      </c>
      <c r="AW140" s="219">
        <f>IFERROR(__xludf.DUMMYFUNCTION("""COMPUTED_VALUE"""),83.0)</f>
        <v>83</v>
      </c>
      <c r="AX140" s="219">
        <f>IFERROR(__xludf.DUMMYFUNCTION("""COMPUTED_VALUE"""),699.0)</f>
        <v>699</v>
      </c>
      <c r="AY140" s="262">
        <f>IFERROR(__xludf.DUMMYFUNCTION("""COMPUTED_VALUE"""),5379.72)</f>
        <v>5379.72</v>
      </c>
      <c r="AZ140" s="263">
        <f>IFERROR(__xludf.DUMMYFUNCTION("""COMPUTED_VALUE"""),66.0)</f>
        <v>66</v>
      </c>
      <c r="BA140" s="263">
        <f>IFERROR(__xludf.DUMMYFUNCTION("""COMPUTED_VALUE"""),47.0)</f>
        <v>47</v>
      </c>
      <c r="BB140" s="263">
        <f>IFERROR(__xludf.DUMMYFUNCTION("""COMPUTED_VALUE"""),36.0)</f>
        <v>36</v>
      </c>
      <c r="BC140" s="263">
        <f>IFERROR(__xludf.DUMMYFUNCTION("""COMPUTED_VALUE"""),9.0)</f>
        <v>9</v>
      </c>
      <c r="BD140" s="265"/>
      <c r="BE140" s="258"/>
      <c r="BF140" s="255" t="e">
        <v>#REF!</v>
      </c>
      <c r="BG140" s="256">
        <f t="shared" si="4"/>
        <v>1403769.59</v>
      </c>
      <c r="BH140" s="257" t="str">
        <f t="shared" si="5"/>
        <v>#REF!</v>
      </c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</row>
    <row r="141">
      <c r="A141" s="6" t="str">
        <f>IFERROR(__xludf.DUMMYFUNCTION("""COMPUTED_VALUE"""),"Syed Aqil Rizvi")</f>
        <v>Syed Aqil Rizvi</v>
      </c>
      <c r="B141" s="98" t="str">
        <f>IFERROR(__xludf.DUMMYFUNCTION("""COMPUTED_VALUE"""),"East U.P")</f>
        <v>East U.P</v>
      </c>
      <c r="C141" s="212" t="str">
        <f>IFERROR(__xludf.DUMMYFUNCTION("""COMPUTED_VALUE"""),"Vikas Kumar (Bareilly)")</f>
        <v>Vikas Kumar (Bareilly)</v>
      </c>
      <c r="D141" s="98" t="str">
        <f>IFERROR(__xludf.DUMMYFUNCTION("""COMPUTED_VALUE"""),"Bareill")</f>
        <v>Bareill</v>
      </c>
      <c r="E141" s="213">
        <f>IFERROR(__xludf.DUMMYFUNCTION("""COMPUTED_VALUE"""),45964.0)</f>
        <v>45964</v>
      </c>
      <c r="F141" s="222" t="str">
        <f>IFERROR(__xludf.DUMMYFUNCTION("""COMPUTED_VALUE"""),"East U.P")</f>
        <v>East U.P</v>
      </c>
      <c r="G141" s="215">
        <f>IFERROR(__xludf.DUMMYFUNCTION("""COMPUTED_VALUE"""),1256855.88)</f>
        <v>1256855.88</v>
      </c>
      <c r="H141" s="215">
        <f>IFERROR(__xludf.DUMMYFUNCTION("""COMPUTED_VALUE"""),2027983.0)</f>
        <v>2027983</v>
      </c>
      <c r="I141" s="216">
        <f>IFERROR(__xludf.DUMMYFUNCTION("""COMPUTED_VALUE"""),65825.0)</f>
        <v>65825</v>
      </c>
      <c r="J141" s="216">
        <f>IFERROR(__xludf.DUMMYFUNCTION("""COMPUTED_VALUE"""),2333334.0)</f>
        <v>2333334</v>
      </c>
      <c r="K141" s="217">
        <f>IFERROR(__xludf.DUMMYFUNCTION("""COMPUTED_VALUE"""),500001.0)</f>
        <v>500001</v>
      </c>
      <c r="L141" s="217">
        <f>IFERROR(__xludf.DUMMYFUNCTION("""COMPUTED_VALUE"""),6500001.0)</f>
        <v>6500001</v>
      </c>
      <c r="M141" s="217">
        <f>IFERROR(__xludf.DUMMYFUNCTION("""COMPUTED_VALUE"""),1178826.0)</f>
        <v>1178826</v>
      </c>
      <c r="N141" s="217">
        <f>IFERROR(__xludf.DUMMYFUNCTION("""COMPUTED_VALUE"""),0.0)</f>
        <v>0</v>
      </c>
      <c r="O141" s="217">
        <f>IFERROR(__xludf.DUMMYFUNCTION("""COMPUTED_VALUE"""),873309.0)</f>
        <v>873309</v>
      </c>
      <c r="P141" s="218">
        <f>IFERROR(__xludf.DUMMYFUNCTION("""COMPUTED_VALUE"""),0.1684036661703811)</f>
        <v>0.1684036662</v>
      </c>
      <c r="Q141" s="218">
        <f>IFERROR(__xludf.DUMMYFUNCTION("""COMPUTED_VALUE"""),0.0)</f>
        <v>0</v>
      </c>
      <c r="R141" s="218">
        <f>IFERROR(__xludf.DUMMYFUNCTION("""COMPUTED_VALUE"""),0.12475839292617345)</f>
        <v>0.1247583929</v>
      </c>
      <c r="S141" s="187">
        <f>IFERROR(__xludf.DUMMYFUNCTION("""COMPUTED_VALUE"""),52.0)</f>
        <v>52</v>
      </c>
      <c r="T141" s="187">
        <f>IFERROR(__xludf.DUMMYFUNCTION("""COMPUTED_VALUE"""),64.0)</f>
        <v>64</v>
      </c>
      <c r="U141" s="187">
        <f>IFERROR(__xludf.DUMMYFUNCTION("""COMPUTED_VALUE"""),17.0)</f>
        <v>17</v>
      </c>
      <c r="V141" s="187">
        <f>IFERROR(__xludf.DUMMYFUNCTION("""COMPUTED_VALUE"""),17.0)</f>
        <v>17</v>
      </c>
      <c r="W141" s="187">
        <f>IFERROR(__xludf.DUMMYFUNCTION("""COMPUTED_VALUE"""),69.0)</f>
        <v>69</v>
      </c>
      <c r="X141" s="187">
        <f>IFERROR(__xludf.DUMMYFUNCTION("""COMPUTED_VALUE"""),5.0)</f>
        <v>5</v>
      </c>
      <c r="Y141" s="188">
        <f>IFERROR(__xludf.DUMMYFUNCTION("""COMPUTED_VALUE"""),955712.71)</f>
        <v>955712.71</v>
      </c>
      <c r="Z141" s="188">
        <f>IFERROR(__xludf.DUMMYFUNCTION("""COMPUTED_VALUE"""),223113.73)</f>
        <v>223113.73</v>
      </c>
      <c r="AA141" s="187">
        <f>IFERROR(__xludf.DUMMYFUNCTION("""COMPUTED_VALUE"""),31.0)</f>
        <v>31</v>
      </c>
      <c r="AB141" s="187">
        <f>IFERROR(__xludf.DUMMYFUNCTION("""COMPUTED_VALUE"""),17.0)</f>
        <v>17</v>
      </c>
      <c r="AC141" s="187">
        <f>IFERROR(__xludf.DUMMYFUNCTION("""COMPUTED_VALUE"""),48.0)</f>
        <v>48</v>
      </c>
      <c r="AD141" s="187">
        <f>IFERROR(__xludf.DUMMYFUNCTION("""COMPUTED_VALUE"""),0.0)</f>
        <v>0</v>
      </c>
      <c r="AE141" s="187">
        <f>IFERROR(__xludf.DUMMYFUNCTION("""COMPUTED_VALUE"""),47.0)</f>
        <v>47</v>
      </c>
      <c r="AF141" s="187">
        <f>IFERROR(__xludf.DUMMYFUNCTION("""COMPUTED_VALUE"""),77.0)</f>
        <v>77</v>
      </c>
      <c r="AG141" s="187">
        <f>IFERROR(__xludf.DUMMYFUNCTION("""COMPUTED_VALUE"""),38.0)</f>
        <v>38</v>
      </c>
      <c r="AH141" s="187">
        <f>IFERROR(__xludf.DUMMYFUNCTION("""COMPUTED_VALUE"""),7.0)</f>
        <v>7</v>
      </c>
      <c r="AI141" s="187">
        <f>IFERROR(__xludf.DUMMYFUNCTION("""COMPUTED_VALUE"""),50.0)</f>
        <v>50</v>
      </c>
      <c r="AJ141" s="187">
        <f>IFERROR(__xludf.DUMMYFUNCTION("""COMPUTED_VALUE"""),0.0)</f>
        <v>0</v>
      </c>
      <c r="AK141" s="187">
        <f>IFERROR(__xludf.DUMMYFUNCTION("""COMPUTED_VALUE"""),0.0)</f>
        <v>0</v>
      </c>
      <c r="AL141" s="187">
        <f>IFERROR(__xludf.DUMMYFUNCTION("""COMPUTED_VALUE"""),21.0)</f>
        <v>21</v>
      </c>
      <c r="AM141" s="187">
        <f>IFERROR(__xludf.DUMMYFUNCTION("""COMPUTED_VALUE"""),43.0)</f>
        <v>43</v>
      </c>
      <c r="AN141" s="187">
        <f>IFERROR(__xludf.DUMMYFUNCTION("""COMPUTED_VALUE"""),189.0)</f>
        <v>189</v>
      </c>
      <c r="AO141" s="187">
        <f>IFERROR(__xludf.DUMMYFUNCTION("""COMPUTED_VALUE"""),359.0)</f>
        <v>359</v>
      </c>
      <c r="AP141" s="187">
        <f>IFERROR(__xludf.DUMMYFUNCTION("""COMPUTED_VALUE"""),76.0)</f>
        <v>76</v>
      </c>
      <c r="AQ141" s="217">
        <f>IFERROR(__xludf.DUMMYFUNCTION("""COMPUTED_VALUE"""),15510.868421052632)</f>
        <v>15510.86842</v>
      </c>
      <c r="AR141" s="188">
        <f>IFERROR(__xludf.DUMMYFUNCTION("""COMPUTED_VALUE"""),4.723684210526316)</f>
        <v>4.723684211</v>
      </c>
      <c r="AS141" s="217">
        <f>IFERROR(__xludf.DUMMYFUNCTION("""COMPUTED_VALUE"""),197475.0)</f>
        <v>197475</v>
      </c>
      <c r="AT141" s="260"/>
      <c r="AU141" s="218">
        <f>IFERROR(__xludf.DUMMYFUNCTION("""COMPUTED_VALUE"""),0.16751836148846394)</f>
        <v>0.1675183615</v>
      </c>
      <c r="AV141" s="217">
        <f>IFERROR(__xludf.DUMMYFUNCTION("""COMPUTED_VALUE"""),24558.875)</f>
        <v>24558.875</v>
      </c>
      <c r="AW141" s="219">
        <f>IFERROR(__xludf.DUMMYFUNCTION("""COMPUTED_VALUE"""),71.0)</f>
        <v>71</v>
      </c>
      <c r="AX141" s="219">
        <f>IFERROR(__xludf.DUMMYFUNCTION("""COMPUTED_VALUE"""),756.0)</f>
        <v>756</v>
      </c>
      <c r="AY141" s="262">
        <f>IFERROR(__xludf.DUMMYFUNCTION("""COMPUTED_VALUE"""),5918.95)</f>
        <v>5918.95</v>
      </c>
      <c r="AZ141" s="263">
        <f>IFERROR(__xludf.DUMMYFUNCTION("""COMPUTED_VALUE"""),92.0)</f>
        <v>92</v>
      </c>
      <c r="BA141" s="263">
        <f>IFERROR(__xludf.DUMMYFUNCTION("""COMPUTED_VALUE"""),48.0)</f>
        <v>48</v>
      </c>
      <c r="BB141" s="263">
        <f>IFERROR(__xludf.DUMMYFUNCTION("""COMPUTED_VALUE"""),16.0)</f>
        <v>16</v>
      </c>
      <c r="BC141" s="263">
        <f>IFERROR(__xludf.DUMMYFUNCTION("""COMPUTED_VALUE"""),5.0)</f>
        <v>5</v>
      </c>
      <c r="BD141" s="265"/>
      <c r="BE141" s="258"/>
      <c r="BF141" s="255" t="e">
        <v>#REF!</v>
      </c>
      <c r="BG141" s="256">
        <f t="shared" si="4"/>
        <v>1178826</v>
      </c>
      <c r="BH141" s="257" t="str">
        <f t="shared" si="5"/>
        <v>#REF!</v>
      </c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</row>
    <row r="142">
      <c r="A142" s="6" t="str">
        <f>IFERROR(__xludf.DUMMYFUNCTION("""COMPUTED_VALUE"""),"Nasir Hussain Khan")</f>
        <v>Nasir Hussain Khan</v>
      </c>
      <c r="B142" s="98" t="str">
        <f>IFERROR(__xludf.DUMMYFUNCTION("""COMPUTED_VALUE"""),"JAMMU AND KASHMIR")</f>
        <v>JAMMU AND KASHMIR</v>
      </c>
      <c r="C142" s="212" t="str">
        <f>IFERROR(__xludf.DUMMYFUNCTION("""COMPUTED_VALUE"""),"Basit Ahmad Pala")</f>
        <v>Basit Ahmad Pala</v>
      </c>
      <c r="D142" s="98" t="str">
        <f>IFERROR(__xludf.DUMMYFUNCTION("""COMPUTED_VALUE"""),"Anantnag")</f>
        <v>Anantnag</v>
      </c>
      <c r="E142" s="213">
        <f>IFERROR(__xludf.DUMMYFUNCTION("""COMPUTED_VALUE"""),45964.0)</f>
        <v>45964</v>
      </c>
      <c r="F142" s="222" t="str">
        <f>IFERROR(__xludf.DUMMYFUNCTION("""COMPUTED_VALUE"""),"JAMMU AND KASHMIR")</f>
        <v>JAMMU AND KASHMIR</v>
      </c>
      <c r="G142" s="215">
        <f>IFERROR(__xludf.DUMMYFUNCTION("""COMPUTED_VALUE"""),1814688.6)</f>
        <v>1814688.6</v>
      </c>
      <c r="H142" s="215">
        <f>IFERROR(__xludf.DUMMYFUNCTION("""COMPUTED_VALUE"""),1917915.0)</f>
        <v>1917915</v>
      </c>
      <c r="I142" s="216">
        <f>IFERROR(__xludf.DUMMYFUNCTION("""COMPUTED_VALUE"""),27260.0)</f>
        <v>27260</v>
      </c>
      <c r="J142" s="216">
        <f>IFERROR(__xludf.DUMMYFUNCTION("""COMPUTED_VALUE"""),833333.0)</f>
        <v>833333</v>
      </c>
      <c r="K142" s="217">
        <f>IFERROR(__xludf.DUMMYFUNCTION("""COMPUTED_VALUE"""),1500000.0)</f>
        <v>1500000</v>
      </c>
      <c r="L142" s="217">
        <f>IFERROR(__xludf.DUMMYFUNCTION("""COMPUTED_VALUE"""),999999.0)</f>
        <v>999999</v>
      </c>
      <c r="M142" s="217">
        <f>IFERROR(__xludf.DUMMYFUNCTION("""COMPUTED_VALUE"""),275867.0)</f>
        <v>275867</v>
      </c>
      <c r="N142" s="217">
        <f>IFERROR(__xludf.DUMMYFUNCTION("""COMPUTED_VALUE"""),455838.35)</f>
        <v>455838.35</v>
      </c>
      <c r="O142" s="217">
        <f>IFERROR(__xludf.DUMMYFUNCTION("""COMPUTED_VALUE"""),787786.0)</f>
        <v>787786</v>
      </c>
      <c r="P142" s="218">
        <f>IFERROR(__xludf.DUMMYFUNCTION("""COMPUTED_VALUE"""),0.2926822570729028)</f>
        <v>0.2926822571</v>
      </c>
      <c r="Q142" s="218">
        <f>IFERROR(__xludf.DUMMYFUNCTION("""COMPUTED_VALUE"""),0.3)</f>
        <v>0.3</v>
      </c>
      <c r="R142" s="218">
        <f>IFERROR(__xludf.DUMMYFUNCTION("""COMPUTED_VALUE"""),0.3151145260458104)</f>
        <v>0.315114526</v>
      </c>
      <c r="S142" s="187">
        <f>IFERROR(__xludf.DUMMYFUNCTION("""COMPUTED_VALUE"""),23.0)</f>
        <v>23</v>
      </c>
      <c r="T142" s="187">
        <f>IFERROR(__xludf.DUMMYFUNCTION("""COMPUTED_VALUE"""),21.0)</f>
        <v>21</v>
      </c>
      <c r="U142" s="187">
        <f>IFERROR(__xludf.DUMMYFUNCTION("""COMPUTED_VALUE"""),0.0)</f>
        <v>0</v>
      </c>
      <c r="V142" s="187">
        <f>IFERROR(__xludf.DUMMYFUNCTION("""COMPUTED_VALUE"""),0.0)</f>
        <v>0</v>
      </c>
      <c r="W142" s="187">
        <f>IFERROR(__xludf.DUMMYFUNCTION("""COMPUTED_VALUE"""),23.0)</f>
        <v>23</v>
      </c>
      <c r="X142" s="187">
        <f>IFERROR(__xludf.DUMMYFUNCTION("""COMPUTED_VALUE"""),2.0)</f>
        <v>2</v>
      </c>
      <c r="Y142" s="188">
        <f>IFERROR(__xludf.DUMMYFUNCTION("""COMPUTED_VALUE"""),275866.8)</f>
        <v>275866.8</v>
      </c>
      <c r="Z142" s="188">
        <f>IFERROR(__xludf.DUMMYFUNCTION("""COMPUTED_VALUE"""),0.0)</f>
        <v>0</v>
      </c>
      <c r="AA142" s="187">
        <f>IFERROR(__xludf.DUMMYFUNCTION("""COMPUTED_VALUE"""),9.0)</f>
        <v>9</v>
      </c>
      <c r="AB142" s="187">
        <f>IFERROR(__xludf.DUMMYFUNCTION("""COMPUTED_VALUE"""),0.0)</f>
        <v>0</v>
      </c>
      <c r="AC142" s="187">
        <f>IFERROR(__xludf.DUMMYFUNCTION("""COMPUTED_VALUE"""),9.0)</f>
        <v>9</v>
      </c>
      <c r="AD142" s="187">
        <f>IFERROR(__xludf.DUMMYFUNCTION("""COMPUTED_VALUE"""),2.0)</f>
        <v>2</v>
      </c>
      <c r="AE142" s="187">
        <f>IFERROR(__xludf.DUMMYFUNCTION("""COMPUTED_VALUE"""),103.0)</f>
        <v>103</v>
      </c>
      <c r="AF142" s="187">
        <f>IFERROR(__xludf.DUMMYFUNCTION("""COMPUTED_VALUE"""),131.0)</f>
        <v>131</v>
      </c>
      <c r="AG142" s="187">
        <f>IFERROR(__xludf.DUMMYFUNCTION("""COMPUTED_VALUE"""),254.0)</f>
        <v>254</v>
      </c>
      <c r="AH142" s="187">
        <f>IFERROR(__xludf.DUMMYFUNCTION("""COMPUTED_VALUE"""),4.0)</f>
        <v>4</v>
      </c>
      <c r="AI142" s="187">
        <f>IFERROR(__xludf.DUMMYFUNCTION("""COMPUTED_VALUE"""),41.0)</f>
        <v>41</v>
      </c>
      <c r="AJ142" s="187">
        <f>IFERROR(__xludf.DUMMYFUNCTION("""COMPUTED_VALUE"""),5.0)</f>
        <v>5</v>
      </c>
      <c r="AK142" s="187">
        <f>IFERROR(__xludf.DUMMYFUNCTION("""COMPUTED_VALUE"""),29.0)</f>
        <v>29</v>
      </c>
      <c r="AL142" s="187">
        <f>IFERROR(__xludf.DUMMYFUNCTION("""COMPUTED_VALUE"""),7.0)</f>
        <v>7</v>
      </c>
      <c r="AM142" s="187">
        <f>IFERROR(__xludf.DUMMYFUNCTION("""COMPUTED_VALUE"""),9.0)</f>
        <v>9</v>
      </c>
      <c r="AN142" s="187">
        <f>IFERROR(__xludf.DUMMYFUNCTION("""COMPUTED_VALUE"""),46.0)</f>
        <v>46</v>
      </c>
      <c r="AO142" s="187">
        <f>IFERROR(__xludf.DUMMYFUNCTION("""COMPUTED_VALUE"""),256.0)</f>
        <v>256</v>
      </c>
      <c r="AP142" s="187">
        <f>IFERROR(__xludf.DUMMYFUNCTION("""COMPUTED_VALUE"""),67.0)</f>
        <v>67</v>
      </c>
      <c r="AQ142" s="217">
        <f>IFERROR(__xludf.DUMMYFUNCTION("""COMPUTED_VALUE"""),10920.975373134328)</f>
        <v>10920.97537</v>
      </c>
      <c r="AR142" s="188">
        <f>IFERROR(__xludf.DUMMYFUNCTION("""COMPUTED_VALUE"""),3.8208955223880596)</f>
        <v>3.820895522</v>
      </c>
      <c r="AS142" s="217">
        <f>IFERROR(__xludf.DUMMYFUNCTION("""COMPUTED_VALUE"""),81780.0)</f>
        <v>81780</v>
      </c>
      <c r="AT142" s="217"/>
      <c r="AU142" s="218">
        <f>IFERROR(__xludf.DUMMYFUNCTION("""COMPUTED_VALUE"""),0.11176630046507109)</f>
        <v>0.1117663005</v>
      </c>
      <c r="AV142" s="217">
        <f>IFERROR(__xludf.DUMMYFUNCTION("""COMPUTED_VALUE"""),30651.88888888889)</f>
        <v>30651.88889</v>
      </c>
      <c r="AW142" s="219">
        <f>IFERROR(__xludf.DUMMYFUNCTION("""COMPUTED_VALUE"""),12.0)</f>
        <v>12</v>
      </c>
      <c r="AX142" s="219">
        <f>IFERROR(__xludf.DUMMYFUNCTION("""COMPUTED_VALUE"""),587.0)</f>
        <v>587</v>
      </c>
      <c r="AY142" s="262">
        <f>IFERROR(__xludf.DUMMYFUNCTION("""COMPUTED_VALUE"""),3162.25)</f>
        <v>3162.25</v>
      </c>
      <c r="AZ142" s="263">
        <f>IFERROR(__xludf.DUMMYFUNCTION("""COMPUTED_VALUE"""),151.0)</f>
        <v>151</v>
      </c>
      <c r="BA142" s="263">
        <f>IFERROR(__xludf.DUMMYFUNCTION("""COMPUTED_VALUE"""),9.0)</f>
        <v>9</v>
      </c>
      <c r="BB142" s="263">
        <f>IFERROR(__xludf.DUMMYFUNCTION("""COMPUTED_VALUE"""),12.0)</f>
        <v>12</v>
      </c>
      <c r="BC142" s="263">
        <f>IFERROR(__xludf.DUMMYFUNCTION("""COMPUTED_VALUE"""),2.0)</f>
        <v>2</v>
      </c>
      <c r="BD142" s="258"/>
      <c r="BE142" s="258"/>
      <c r="BF142" s="255" t="e">
        <v>#REF!</v>
      </c>
      <c r="BG142" s="256">
        <f t="shared" si="4"/>
        <v>731705.35</v>
      </c>
      <c r="BH142" s="257" t="str">
        <f t="shared" si="5"/>
        <v>#REF!</v>
      </c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</row>
    <row r="143">
      <c r="A143" s="6" t="str">
        <f>IFERROR(__xludf.DUMMYFUNCTION("""COMPUTED_VALUE"""),"Syed Aqil Rizvi")</f>
        <v>Syed Aqil Rizvi</v>
      </c>
      <c r="B143" s="98" t="str">
        <f>IFERROR(__xludf.DUMMYFUNCTION("""COMPUTED_VALUE"""),"Madhya Pradesh")</f>
        <v>Madhya Pradesh</v>
      </c>
      <c r="C143" s="212" t="str">
        <f>IFERROR(__xludf.DUMMYFUNCTION("""COMPUTED_VALUE"""),"Rajesh Patel")</f>
        <v>Rajesh Patel</v>
      </c>
      <c r="D143" s="98" t="str">
        <f>IFERROR(__xludf.DUMMYFUNCTION("""COMPUTED_VALUE"""),"Indore")</f>
        <v>Indore</v>
      </c>
      <c r="E143" s="213">
        <f>IFERROR(__xludf.DUMMYFUNCTION("""COMPUTED_VALUE"""),45971.0)</f>
        <v>45971</v>
      </c>
      <c r="F143" s="222" t="str">
        <f>IFERROR(__xludf.DUMMYFUNCTION("""COMPUTED_VALUE"""),"MADHYA PRADESH")</f>
        <v>MADHYA PRADESH</v>
      </c>
      <c r="G143" s="215">
        <f>IFERROR(__xludf.DUMMYFUNCTION("""COMPUTED_VALUE"""),1311479.6600000001)</f>
        <v>1311479.66</v>
      </c>
      <c r="H143" s="215">
        <f>IFERROR(__xludf.DUMMYFUNCTION("""COMPUTED_VALUE"""),1729053.5499999998)</f>
        <v>1729053.55</v>
      </c>
      <c r="I143" s="216">
        <f>IFERROR(__xludf.DUMMYFUNCTION("""COMPUTED_VALUE"""),32500.0)</f>
        <v>32500</v>
      </c>
      <c r="J143" s="216">
        <f>IFERROR(__xludf.DUMMYFUNCTION("""COMPUTED_VALUE"""),1500000.0)</f>
        <v>1500000</v>
      </c>
      <c r="K143" s="217">
        <f>IFERROR(__xludf.DUMMYFUNCTION("""COMPUTED_VALUE"""),0.0)</f>
        <v>0</v>
      </c>
      <c r="L143" s="217">
        <f>IFERROR(__xludf.DUMMYFUNCTION("""COMPUTED_VALUE"""),4500000.0)</f>
        <v>4500000</v>
      </c>
      <c r="M143" s="217">
        <f>IFERROR(__xludf.DUMMYFUNCTION("""COMPUTED_VALUE"""),1122645.0)</f>
        <v>1122645</v>
      </c>
      <c r="N143" s="217">
        <f>IFERROR(__xludf.DUMMYFUNCTION("""COMPUTED_VALUE"""),0.0)</f>
        <v>0</v>
      </c>
      <c r="O143" s="217">
        <f>IFERROR(__xludf.DUMMYFUNCTION("""COMPUTED_VALUE"""),1023321.0)</f>
        <v>1023321</v>
      </c>
      <c r="P143" s="218">
        <f>IFERROR(__xludf.DUMMYFUNCTION("""COMPUTED_VALUE"""),0.24947666666666668)</f>
        <v>0.2494766667</v>
      </c>
      <c r="Q143" s="218">
        <f>IFERROR(__xludf.DUMMYFUNCTION("""COMPUTED_VALUE"""),0.0)</f>
        <v>0</v>
      </c>
      <c r="R143" s="218">
        <f>IFERROR(__xludf.DUMMYFUNCTION("""COMPUTED_VALUE"""),0.22740466666666667)</f>
        <v>0.2274046667</v>
      </c>
      <c r="S143" s="187">
        <f>IFERROR(__xludf.DUMMYFUNCTION("""COMPUTED_VALUE"""),27.0)</f>
        <v>27</v>
      </c>
      <c r="T143" s="187">
        <f>IFERROR(__xludf.DUMMYFUNCTION("""COMPUTED_VALUE"""),40.0)</f>
        <v>40</v>
      </c>
      <c r="U143" s="187">
        <f>IFERROR(__xludf.DUMMYFUNCTION("""COMPUTED_VALUE"""),16.0)</f>
        <v>16</v>
      </c>
      <c r="V143" s="187">
        <f>IFERROR(__xludf.DUMMYFUNCTION("""COMPUTED_VALUE"""),16.0)</f>
        <v>16</v>
      </c>
      <c r="W143" s="187">
        <f>IFERROR(__xludf.DUMMYFUNCTION("""COMPUTED_VALUE"""),43.0)</f>
        <v>43</v>
      </c>
      <c r="X143" s="187">
        <f>IFERROR(__xludf.DUMMYFUNCTION("""COMPUTED_VALUE"""),3.0)</f>
        <v>3</v>
      </c>
      <c r="Y143" s="188">
        <f>IFERROR(__xludf.DUMMYFUNCTION("""COMPUTED_VALUE"""),660925.67)</f>
        <v>660925.67</v>
      </c>
      <c r="Z143" s="188">
        <f>IFERROR(__xludf.DUMMYFUNCTION("""COMPUTED_VALUE"""),461719.35)</f>
        <v>461719.35</v>
      </c>
      <c r="AA143" s="187">
        <f>IFERROR(__xludf.DUMMYFUNCTION("""COMPUTED_VALUE"""),10.0)</f>
        <v>10</v>
      </c>
      <c r="AB143" s="187">
        <f>IFERROR(__xludf.DUMMYFUNCTION("""COMPUTED_VALUE"""),16.0)</f>
        <v>16</v>
      </c>
      <c r="AC143" s="187">
        <f>IFERROR(__xludf.DUMMYFUNCTION("""COMPUTED_VALUE"""),26.0)</f>
        <v>26</v>
      </c>
      <c r="AD143" s="187">
        <f>IFERROR(__xludf.DUMMYFUNCTION("""COMPUTED_VALUE"""),0.0)</f>
        <v>0</v>
      </c>
      <c r="AE143" s="187">
        <f>IFERROR(__xludf.DUMMYFUNCTION("""COMPUTED_VALUE"""),93.0)</f>
        <v>93</v>
      </c>
      <c r="AF143" s="187">
        <f>IFERROR(__xludf.DUMMYFUNCTION("""COMPUTED_VALUE"""),182.0)</f>
        <v>182</v>
      </c>
      <c r="AG143" s="187">
        <f>IFERROR(__xludf.DUMMYFUNCTION("""COMPUTED_VALUE"""),58.0)</f>
        <v>58</v>
      </c>
      <c r="AH143" s="187">
        <f>IFERROR(__xludf.DUMMYFUNCTION("""COMPUTED_VALUE"""),1.0)</f>
        <v>1</v>
      </c>
      <c r="AI143" s="187">
        <f>IFERROR(__xludf.DUMMYFUNCTION("""COMPUTED_VALUE"""),2.0)</f>
        <v>2</v>
      </c>
      <c r="AJ143" s="187">
        <f>IFERROR(__xludf.DUMMYFUNCTION("""COMPUTED_VALUE"""),0.0)</f>
        <v>0</v>
      </c>
      <c r="AK143" s="187">
        <f>IFERROR(__xludf.DUMMYFUNCTION("""COMPUTED_VALUE"""),0.0)</f>
        <v>0</v>
      </c>
      <c r="AL143" s="187">
        <f>IFERROR(__xludf.DUMMYFUNCTION("""COMPUTED_VALUE"""),0.0)</f>
        <v>0</v>
      </c>
      <c r="AM143" s="187">
        <f>IFERROR(__xludf.DUMMYFUNCTION("""COMPUTED_VALUE"""),0.0)</f>
        <v>0</v>
      </c>
      <c r="AN143" s="187">
        <f>IFERROR(__xludf.DUMMYFUNCTION("""COMPUTED_VALUE"""),145.0)</f>
        <v>145</v>
      </c>
      <c r="AO143" s="187">
        <f>IFERROR(__xludf.DUMMYFUNCTION("""COMPUTED_VALUE"""),329.0)</f>
        <v>329</v>
      </c>
      <c r="AP143" s="187">
        <f>IFERROR(__xludf.DUMMYFUNCTION("""COMPUTED_VALUE"""),71.0)</f>
        <v>71</v>
      </c>
      <c r="AQ143" s="217">
        <f>IFERROR(__xludf.DUMMYFUNCTION("""COMPUTED_VALUE"""),15811.901408450703)</f>
        <v>15811.90141</v>
      </c>
      <c r="AR143" s="188">
        <f>IFERROR(__xludf.DUMMYFUNCTION("""COMPUTED_VALUE"""),4.633802816901408)</f>
        <v>4.633802817</v>
      </c>
      <c r="AS143" s="217">
        <f>IFERROR(__xludf.DUMMYFUNCTION("""COMPUTED_VALUE"""),97500.0)</f>
        <v>97500</v>
      </c>
      <c r="AT143" s="217"/>
      <c r="AU143" s="218">
        <f>IFERROR(__xludf.DUMMYFUNCTION("""COMPUTED_VALUE"""),0.08684846946274201)</f>
        <v>0.08684846946</v>
      </c>
      <c r="AV143" s="217">
        <f>IFERROR(__xludf.DUMMYFUNCTION("""COMPUTED_VALUE"""),43178.653846153844)</f>
        <v>43178.65385</v>
      </c>
      <c r="AW143" s="219">
        <f>IFERROR(__xludf.DUMMYFUNCTION("""COMPUTED_VALUE"""),53.0)</f>
        <v>53</v>
      </c>
      <c r="AX143" s="219">
        <f>IFERROR(__xludf.DUMMYFUNCTION("""COMPUTED_VALUE"""),768.0)</f>
        <v>768</v>
      </c>
      <c r="AY143" s="262">
        <f>IFERROR(__xludf.DUMMYFUNCTION("""COMPUTED_VALUE"""),14659.07)</f>
        <v>14659.07</v>
      </c>
      <c r="AZ143" s="263">
        <f>IFERROR(__xludf.DUMMYFUNCTION("""COMPUTED_VALUE"""),366.0)</f>
        <v>366</v>
      </c>
      <c r="BA143" s="263">
        <f>IFERROR(__xludf.DUMMYFUNCTION("""COMPUTED_VALUE"""),26.0)</f>
        <v>26</v>
      </c>
      <c r="BB143" s="263">
        <f>IFERROR(__xludf.DUMMYFUNCTION("""COMPUTED_VALUE"""),14.0)</f>
        <v>14</v>
      </c>
      <c r="BC143" s="263">
        <f>IFERROR(__xludf.DUMMYFUNCTION("""COMPUTED_VALUE"""),3.0)</f>
        <v>3</v>
      </c>
      <c r="BD143" s="258"/>
      <c r="BE143" s="258"/>
      <c r="BF143" s="255" t="e">
        <v>#REF!</v>
      </c>
      <c r="BG143" s="256">
        <f t="shared" si="4"/>
        <v>1122645</v>
      </c>
      <c r="BH143" s="257" t="str">
        <f t="shared" si="5"/>
        <v>#REF!</v>
      </c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</row>
    <row r="144">
      <c r="A144" s="6" t="str">
        <f>IFERROR(__xludf.DUMMYFUNCTION("""COMPUTED_VALUE"""),"Pawan Sharma")</f>
        <v>Pawan Sharma</v>
      </c>
      <c r="B144" s="98" t="str">
        <f>IFERROR(__xludf.DUMMYFUNCTION("""COMPUTED_VALUE"""),"Haryana")</f>
        <v>Haryana</v>
      </c>
      <c r="C144" s="212" t="str">
        <f>IFERROR(__xludf.DUMMYFUNCTION("""COMPUTED_VALUE"""),"Ishant")</f>
        <v>Ishant</v>
      </c>
      <c r="D144" s="98" t="str">
        <f>IFERROR(__xludf.DUMMYFUNCTION("""COMPUTED_VALUE"""),"Sonipat")</f>
        <v>Sonipat</v>
      </c>
      <c r="E144" s="213">
        <f>IFERROR(__xludf.DUMMYFUNCTION("""COMPUTED_VALUE"""),45979.0)</f>
        <v>45979</v>
      </c>
      <c r="F144" s="222" t="str">
        <f>IFERROR(__xludf.DUMMYFUNCTION("""COMPUTED_VALUE"""),"HARYANA")</f>
        <v>HARYANA</v>
      </c>
      <c r="G144" s="259">
        <f>IFERROR(__xludf.DUMMYFUNCTION("""COMPUTED_VALUE"""),471673.52999999997)</f>
        <v>471673.53</v>
      </c>
      <c r="H144" s="259">
        <f>IFERROR(__xludf.DUMMYFUNCTION("""COMPUTED_VALUE"""),476505.0)</f>
        <v>476505</v>
      </c>
      <c r="I144" s="216">
        <f>IFERROR(__xludf.DUMMYFUNCTION("""COMPUTED_VALUE"""),37740.0)</f>
        <v>37740</v>
      </c>
      <c r="J144" s="56">
        <f>IFERROR(__xludf.DUMMYFUNCTION("""COMPUTED_VALUE"""),600000.0)</f>
        <v>600000</v>
      </c>
      <c r="K144" s="217">
        <f>IFERROR(__xludf.DUMMYFUNCTION("""COMPUTED_VALUE"""),0.0)</f>
        <v>0</v>
      </c>
      <c r="L144" s="217">
        <f>IFERROR(__xludf.DUMMYFUNCTION("""COMPUTED_VALUE"""),1800000.0)</f>
        <v>1800000</v>
      </c>
      <c r="M144" s="217">
        <f>IFERROR(__xludf.DUMMYFUNCTION("""COMPUTED_VALUE"""),1447955.0)</f>
        <v>1447955</v>
      </c>
      <c r="N144" s="217">
        <f>IFERROR(__xludf.DUMMYFUNCTION("""COMPUTED_VALUE"""),0.0)</f>
        <v>0</v>
      </c>
      <c r="O144" s="260">
        <f>IFERROR(__xludf.DUMMYFUNCTION("""COMPUTED_VALUE"""),685586.0)</f>
        <v>685586</v>
      </c>
      <c r="P144" s="218">
        <f>IFERROR(__xludf.DUMMYFUNCTION("""COMPUTED_VALUE"""),0.8044194444444445)</f>
        <v>0.8044194444</v>
      </c>
      <c r="Q144" s="218">
        <f>IFERROR(__xludf.DUMMYFUNCTION("""COMPUTED_VALUE"""),0.0)</f>
        <v>0</v>
      </c>
      <c r="R144" s="218">
        <f>IFERROR(__xludf.DUMMYFUNCTION("""COMPUTED_VALUE"""),0.3808811111111111)</f>
        <v>0.3808811111</v>
      </c>
      <c r="S144" s="187">
        <f>IFERROR(__xludf.DUMMYFUNCTION("""COMPUTED_VALUE"""),45.0)</f>
        <v>45</v>
      </c>
      <c r="T144" s="187">
        <f>IFERROR(__xludf.DUMMYFUNCTION("""COMPUTED_VALUE"""),41.0)</f>
        <v>41</v>
      </c>
      <c r="U144" s="187">
        <f>IFERROR(__xludf.DUMMYFUNCTION("""COMPUTED_VALUE"""),5.0)</f>
        <v>5</v>
      </c>
      <c r="V144" s="187">
        <f>IFERROR(__xludf.DUMMYFUNCTION("""COMPUTED_VALUE"""),5.0)</f>
        <v>5</v>
      </c>
      <c r="W144" s="187">
        <f>IFERROR(__xludf.DUMMYFUNCTION("""COMPUTED_VALUE"""),50.0)</f>
        <v>50</v>
      </c>
      <c r="X144" s="187">
        <f>IFERROR(__xludf.DUMMYFUNCTION("""COMPUTED_VALUE"""),9.0)</f>
        <v>9</v>
      </c>
      <c r="Y144" s="188">
        <f>IFERROR(__xludf.DUMMYFUNCTION("""COMPUTED_VALUE"""),1138635.9)</f>
        <v>1138635.9</v>
      </c>
      <c r="Z144" s="188">
        <f>IFERROR(__xludf.DUMMYFUNCTION("""COMPUTED_VALUE"""),309319.44)</f>
        <v>309319.44</v>
      </c>
      <c r="AA144" s="187">
        <f>IFERROR(__xludf.DUMMYFUNCTION("""COMPUTED_VALUE"""),13.0)</f>
        <v>13</v>
      </c>
      <c r="AB144" s="187">
        <f>IFERROR(__xludf.DUMMYFUNCTION("""COMPUTED_VALUE"""),5.0)</f>
        <v>5</v>
      </c>
      <c r="AC144" s="187">
        <f>IFERROR(__xludf.DUMMYFUNCTION("""COMPUTED_VALUE"""),18.0)</f>
        <v>18</v>
      </c>
      <c r="AD144" s="187">
        <f>IFERROR(__xludf.DUMMYFUNCTION("""COMPUTED_VALUE"""),0.0)</f>
        <v>0</v>
      </c>
      <c r="AE144" s="187">
        <f>IFERROR(__xludf.DUMMYFUNCTION("""COMPUTED_VALUE"""),90.0)</f>
        <v>90</v>
      </c>
      <c r="AF144" s="187">
        <f>IFERROR(__xludf.DUMMYFUNCTION("""COMPUTED_VALUE"""),183.0)</f>
        <v>183</v>
      </c>
      <c r="AG144" s="187">
        <f>IFERROR(__xludf.DUMMYFUNCTION("""COMPUTED_VALUE"""),81.0)</f>
        <v>81</v>
      </c>
      <c r="AH144" s="187">
        <f>IFERROR(__xludf.DUMMYFUNCTION("""COMPUTED_VALUE"""),3.0)</f>
        <v>3</v>
      </c>
      <c r="AI144" s="187">
        <f>IFERROR(__xludf.DUMMYFUNCTION("""COMPUTED_VALUE"""),45.0)</f>
        <v>45</v>
      </c>
      <c r="AJ144" s="187">
        <f>IFERROR(__xludf.DUMMYFUNCTION("""COMPUTED_VALUE"""),0.0)</f>
        <v>0</v>
      </c>
      <c r="AK144" s="187">
        <f>IFERROR(__xludf.DUMMYFUNCTION("""COMPUTED_VALUE"""),0.0)</f>
        <v>0</v>
      </c>
      <c r="AL144" s="187">
        <f>IFERROR(__xludf.DUMMYFUNCTION("""COMPUTED_VALUE"""),0.0)</f>
        <v>0</v>
      </c>
      <c r="AM144" s="187">
        <f>IFERROR(__xludf.DUMMYFUNCTION("""COMPUTED_VALUE"""),0.0)</f>
        <v>0</v>
      </c>
      <c r="AN144" s="187">
        <f>IFERROR(__xludf.DUMMYFUNCTION("""COMPUTED_VALUE"""),201.0)</f>
        <v>201</v>
      </c>
      <c r="AO144" s="187">
        <f>IFERROR(__xludf.DUMMYFUNCTION("""COMPUTED_VALUE"""),429.0)</f>
        <v>429</v>
      </c>
      <c r="AP144" s="187">
        <f>IFERROR(__xludf.DUMMYFUNCTION("""COMPUTED_VALUE"""),69.0)</f>
        <v>69</v>
      </c>
      <c r="AQ144" s="217">
        <f>IFERROR(__xludf.DUMMYFUNCTION("""COMPUTED_VALUE"""),20984.855072463768)</f>
        <v>20984.85507</v>
      </c>
      <c r="AR144" s="188">
        <f>IFERROR(__xludf.DUMMYFUNCTION("""COMPUTED_VALUE"""),6.217391304347826)</f>
        <v>6.217391304</v>
      </c>
      <c r="AS144" s="217">
        <f>IFERROR(__xludf.DUMMYFUNCTION("""COMPUTED_VALUE"""),113220.0)</f>
        <v>113220</v>
      </c>
      <c r="AT144" s="217"/>
      <c r="AU144" s="218">
        <f>IFERROR(__xludf.DUMMYFUNCTION("""COMPUTED_VALUE"""),0.07819303776705767)</f>
        <v>0.07819303777</v>
      </c>
      <c r="AV144" s="217">
        <f>IFERROR(__xludf.DUMMYFUNCTION("""COMPUTED_VALUE"""),80441.94444444444)</f>
        <v>80441.94444</v>
      </c>
      <c r="AW144" s="219">
        <f>IFERROR(__xludf.DUMMYFUNCTION("""COMPUTED_VALUE"""),28.0)</f>
        <v>28</v>
      </c>
      <c r="AX144" s="219">
        <f>IFERROR(__xludf.DUMMYFUNCTION("""COMPUTED_VALUE"""),686.0)</f>
        <v>686</v>
      </c>
      <c r="AY144" s="262">
        <f>IFERROR(__xludf.DUMMYFUNCTION("""COMPUTED_VALUE"""),4736.44)</f>
        <v>4736.44</v>
      </c>
      <c r="AZ144" s="263">
        <f>IFERROR(__xludf.DUMMYFUNCTION("""COMPUTED_VALUE"""),116.0)</f>
        <v>116</v>
      </c>
      <c r="BA144" s="263">
        <f>IFERROR(__xludf.DUMMYFUNCTION("""COMPUTED_VALUE"""),18.0)</f>
        <v>18</v>
      </c>
      <c r="BB144" s="263">
        <f>IFERROR(__xludf.DUMMYFUNCTION("""COMPUTED_VALUE"""),23.0)</f>
        <v>23</v>
      </c>
      <c r="BC144" s="263">
        <f>IFERROR(__xludf.DUMMYFUNCTION("""COMPUTED_VALUE"""),9.0)</f>
        <v>9</v>
      </c>
      <c r="BD144" s="265"/>
      <c r="BE144" s="258"/>
      <c r="BF144" s="241" t="e">
        <v>#REF!</v>
      </c>
      <c r="BG144" s="256">
        <f t="shared" si="4"/>
        <v>1447955</v>
      </c>
      <c r="BH144" s="257" t="str">
        <f t="shared" si="5"/>
        <v>#REF!</v>
      </c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</row>
    <row r="145">
      <c r="A145" s="6" t="str">
        <f>IFERROR(__xludf.DUMMYFUNCTION("""COMPUTED_VALUE"""),"Syed Aqil Rizvi")</f>
        <v>Syed Aqil Rizvi</v>
      </c>
      <c r="B145" s="98" t="str">
        <f>IFERROR(__xludf.DUMMYFUNCTION("""COMPUTED_VALUE"""),"Madhya Pradesh")</f>
        <v>Madhya Pradesh</v>
      </c>
      <c r="C145" s="212" t="str">
        <f>IFERROR(__xludf.DUMMYFUNCTION("""COMPUTED_VALUE"""),"Sunil Kumar")</f>
        <v>Sunil Kumar</v>
      </c>
      <c r="D145" s="98" t="str">
        <f>IFERROR(__xludf.DUMMYFUNCTION("""COMPUTED_VALUE"""),"Mandsaur")</f>
        <v>Mandsaur</v>
      </c>
      <c r="E145" s="213">
        <f>IFERROR(__xludf.DUMMYFUNCTION("""COMPUTED_VALUE"""),45999.0)</f>
        <v>45999</v>
      </c>
      <c r="F145" s="222" t="str">
        <f>IFERROR(__xludf.DUMMYFUNCTION("""COMPUTED_VALUE"""),"MADHYA PRADESH")</f>
        <v>MADHYA PRADESH</v>
      </c>
      <c r="G145" s="215">
        <f>IFERROR(__xludf.DUMMYFUNCTION("""COMPUTED_VALUE"""),1356219.94)</f>
        <v>1356219.94</v>
      </c>
      <c r="H145" s="215">
        <f>IFERROR(__xludf.DUMMYFUNCTION("""COMPUTED_VALUE"""),839600.0)</f>
        <v>839600</v>
      </c>
      <c r="I145" s="216">
        <f>IFERROR(__xludf.DUMMYFUNCTION("""COMPUTED_VALUE"""),32500.0)</f>
        <v>32500</v>
      </c>
      <c r="J145" s="216">
        <f>IFERROR(__xludf.DUMMYFUNCTION("""COMPUTED_VALUE"""),1500000.0)</f>
        <v>1500000</v>
      </c>
      <c r="K145" s="217">
        <f>IFERROR(__xludf.DUMMYFUNCTION("""COMPUTED_VALUE"""),0.0)</f>
        <v>0</v>
      </c>
      <c r="L145" s="217">
        <f>IFERROR(__xludf.DUMMYFUNCTION("""COMPUTED_VALUE"""),4500000.0)</f>
        <v>4500000</v>
      </c>
      <c r="M145" s="217">
        <f>IFERROR(__xludf.DUMMYFUNCTION("""COMPUTED_VALUE"""),2012030.0)</f>
        <v>2012030</v>
      </c>
      <c r="N145" s="217">
        <f>IFERROR(__xludf.DUMMYFUNCTION("""COMPUTED_VALUE"""),0.0)</f>
        <v>0</v>
      </c>
      <c r="O145" s="217">
        <f>IFERROR(__xludf.DUMMYFUNCTION("""COMPUTED_VALUE"""),1857417.0)</f>
        <v>1857417</v>
      </c>
      <c r="P145" s="218">
        <f>IFERROR(__xludf.DUMMYFUNCTION("""COMPUTED_VALUE"""),0.4471177777777778)</f>
        <v>0.4471177778</v>
      </c>
      <c r="Q145" s="218">
        <f>IFERROR(__xludf.DUMMYFUNCTION("""COMPUTED_VALUE"""),0.0)</f>
        <v>0</v>
      </c>
      <c r="R145" s="218">
        <f>IFERROR(__xludf.DUMMYFUNCTION("""COMPUTED_VALUE"""),0.4127593333333333)</f>
        <v>0.4127593333</v>
      </c>
      <c r="S145" s="187">
        <f>IFERROR(__xludf.DUMMYFUNCTION("""COMPUTED_VALUE"""),30.0)</f>
        <v>30</v>
      </c>
      <c r="T145" s="187">
        <f>IFERROR(__xludf.DUMMYFUNCTION("""COMPUTED_VALUE"""),32.0)</f>
        <v>32</v>
      </c>
      <c r="U145" s="187">
        <f>IFERROR(__xludf.DUMMYFUNCTION("""COMPUTED_VALUE"""),4.0)</f>
        <v>4</v>
      </c>
      <c r="V145" s="187">
        <f>IFERROR(__xludf.DUMMYFUNCTION("""COMPUTED_VALUE"""),4.0)</f>
        <v>4</v>
      </c>
      <c r="W145" s="187">
        <f>IFERROR(__xludf.DUMMYFUNCTION("""COMPUTED_VALUE"""),34.0)</f>
        <v>34</v>
      </c>
      <c r="X145" s="187">
        <f>IFERROR(__xludf.DUMMYFUNCTION("""COMPUTED_VALUE"""),2.0)</f>
        <v>2</v>
      </c>
      <c r="Y145" s="188">
        <f>IFERROR(__xludf.DUMMYFUNCTION("""COMPUTED_VALUE"""),1821059.8)</f>
        <v>1821059.8</v>
      </c>
      <c r="Z145" s="188">
        <f>IFERROR(__xludf.DUMMYFUNCTION("""COMPUTED_VALUE"""),190969.75)</f>
        <v>190969.75</v>
      </c>
      <c r="AA145" s="187">
        <f>IFERROR(__xludf.DUMMYFUNCTION("""COMPUTED_VALUE"""),21.0)</f>
        <v>21</v>
      </c>
      <c r="AB145" s="187">
        <f>IFERROR(__xludf.DUMMYFUNCTION("""COMPUTED_VALUE"""),4.0)</f>
        <v>4</v>
      </c>
      <c r="AC145" s="187">
        <f>IFERROR(__xludf.DUMMYFUNCTION("""COMPUTED_VALUE"""),25.0)</f>
        <v>25</v>
      </c>
      <c r="AD145" s="187">
        <f>IFERROR(__xludf.DUMMYFUNCTION("""COMPUTED_VALUE"""),0.0)</f>
        <v>0</v>
      </c>
      <c r="AE145" s="187">
        <f>IFERROR(__xludf.DUMMYFUNCTION("""COMPUTED_VALUE"""),77.0)</f>
        <v>77</v>
      </c>
      <c r="AF145" s="187">
        <f>IFERROR(__xludf.DUMMYFUNCTION("""COMPUTED_VALUE"""),132.0)</f>
        <v>132</v>
      </c>
      <c r="AG145" s="187">
        <f>IFERROR(__xludf.DUMMYFUNCTION("""COMPUTED_VALUE"""),42.0)</f>
        <v>42</v>
      </c>
      <c r="AH145" s="187">
        <f>IFERROR(__xludf.DUMMYFUNCTION("""COMPUTED_VALUE"""),1.0)</f>
        <v>1</v>
      </c>
      <c r="AI145" s="187">
        <f>IFERROR(__xludf.DUMMYFUNCTION("""COMPUTED_VALUE"""),5.0)</f>
        <v>5</v>
      </c>
      <c r="AJ145" s="187">
        <f>IFERROR(__xludf.DUMMYFUNCTION("""COMPUTED_VALUE"""),0.0)</f>
        <v>0</v>
      </c>
      <c r="AK145" s="187">
        <f>IFERROR(__xludf.DUMMYFUNCTION("""COMPUTED_VALUE"""),0.0)</f>
        <v>0</v>
      </c>
      <c r="AL145" s="187">
        <f>IFERROR(__xludf.DUMMYFUNCTION("""COMPUTED_VALUE"""),0.0)</f>
        <v>0</v>
      </c>
      <c r="AM145" s="187">
        <f>IFERROR(__xludf.DUMMYFUNCTION("""COMPUTED_VALUE"""),0.0)</f>
        <v>0</v>
      </c>
      <c r="AN145" s="187">
        <f>IFERROR(__xludf.DUMMYFUNCTION("""COMPUTED_VALUE"""),187.0)</f>
        <v>187</v>
      </c>
      <c r="AO145" s="187">
        <f>IFERROR(__xludf.DUMMYFUNCTION("""COMPUTED_VALUE"""),324.0)</f>
        <v>324</v>
      </c>
      <c r="AP145" s="187">
        <f>IFERROR(__xludf.DUMMYFUNCTION("""COMPUTED_VALUE"""),69.0)</f>
        <v>69</v>
      </c>
      <c r="AQ145" s="217">
        <f>IFERROR(__xludf.DUMMYFUNCTION("""COMPUTED_VALUE"""),29159.855072463768)</f>
        <v>29159.85507</v>
      </c>
      <c r="AR145" s="188">
        <f>IFERROR(__xludf.DUMMYFUNCTION("""COMPUTED_VALUE"""),4.695652173913044)</f>
        <v>4.695652174</v>
      </c>
      <c r="AS145" s="217">
        <f>IFERROR(__xludf.DUMMYFUNCTION("""COMPUTED_VALUE"""),97500.0)</f>
        <v>97500</v>
      </c>
      <c r="AT145" s="217"/>
      <c r="AU145" s="218">
        <f>IFERROR(__xludf.DUMMYFUNCTION("""COMPUTED_VALUE"""),0.04845852199022877)</f>
        <v>0.04845852199</v>
      </c>
      <c r="AV145" s="217">
        <f>IFERROR(__xludf.DUMMYFUNCTION("""COMPUTED_VALUE"""),80481.2)</f>
        <v>80481.2</v>
      </c>
      <c r="AW145" s="219">
        <f>IFERROR(__xludf.DUMMYFUNCTION("""COMPUTED_VALUE"""),55.0)</f>
        <v>55</v>
      </c>
      <c r="AX145" s="219">
        <f>IFERROR(__xludf.DUMMYFUNCTION("""COMPUTED_VALUE"""),666.0)</f>
        <v>666</v>
      </c>
      <c r="AY145" s="262">
        <f>IFERROR(__xludf.DUMMYFUNCTION("""COMPUTED_VALUE"""),7308.25)</f>
        <v>7308.25</v>
      </c>
      <c r="AZ145" s="263">
        <f>IFERROR(__xludf.DUMMYFUNCTION("""COMPUTED_VALUE"""),228.0)</f>
        <v>228</v>
      </c>
      <c r="BA145" s="263">
        <f>IFERROR(__xludf.DUMMYFUNCTION("""COMPUTED_VALUE"""),25.0)</f>
        <v>25</v>
      </c>
      <c r="BB145" s="263">
        <f>IFERROR(__xludf.DUMMYFUNCTION("""COMPUTED_VALUE"""),7.0)</f>
        <v>7</v>
      </c>
      <c r="BC145" s="263">
        <f>IFERROR(__xludf.DUMMYFUNCTION("""COMPUTED_VALUE"""),2.0)</f>
        <v>2</v>
      </c>
      <c r="BD145" s="258"/>
      <c r="BE145" s="258"/>
      <c r="BF145" s="255" t="e">
        <v>#REF!</v>
      </c>
      <c r="BG145" s="256">
        <f t="shared" si="4"/>
        <v>2012030</v>
      </c>
      <c r="BH145" s="257" t="str">
        <f t="shared" si="5"/>
        <v>#REF!</v>
      </c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</row>
    <row r="146">
      <c r="A146" s="6" t="str">
        <f>IFERROR(__xludf.DUMMYFUNCTION("""COMPUTED_VALUE"""),"Anant Singh")</f>
        <v>Anant Singh</v>
      </c>
      <c r="B146" s="98" t="str">
        <f>IFERROR(__xludf.DUMMYFUNCTION("""COMPUTED_VALUE"""),"West U.P")</f>
        <v>West U.P</v>
      </c>
      <c r="C146" s="212" t="str">
        <f>IFERROR(__xludf.DUMMYFUNCTION("""COMPUTED_VALUE"""),"Ankit Kumar")</f>
        <v>Ankit Kumar</v>
      </c>
      <c r="D146" s="98" t="str">
        <f>IFERROR(__xludf.DUMMYFUNCTION("""COMPUTED_VALUE"""),"Aligarh")</f>
        <v>Aligarh</v>
      </c>
      <c r="E146" s="213">
        <f>IFERROR(__xludf.DUMMYFUNCTION("""COMPUTED_VALUE"""),46002.0)</f>
        <v>46002</v>
      </c>
      <c r="F146" s="222" t="str">
        <f>IFERROR(__xludf.DUMMYFUNCTION("""COMPUTED_VALUE"""),"West U.P")</f>
        <v>West U.P</v>
      </c>
      <c r="G146" s="215">
        <f>IFERROR(__xludf.DUMMYFUNCTION("""COMPUTED_VALUE"""),2874423.2600000002)</f>
        <v>2874423.26</v>
      </c>
      <c r="H146" s="215">
        <f>IFERROR(__xludf.DUMMYFUNCTION("""COMPUTED_VALUE"""),2981160.0)</f>
        <v>2981160</v>
      </c>
      <c r="I146" s="216">
        <f>IFERROR(__xludf.DUMMYFUNCTION("""COMPUTED_VALUE"""),30405.0)</f>
        <v>30405</v>
      </c>
      <c r="J146" s="216">
        <f>IFERROR(__xludf.DUMMYFUNCTION("""COMPUTED_VALUE"""),1300000.0)</f>
        <v>1300000</v>
      </c>
      <c r="K146" s="217">
        <f>IFERROR(__xludf.DUMMYFUNCTION("""COMPUTED_VALUE"""),0.0)</f>
        <v>0</v>
      </c>
      <c r="L146" s="217">
        <f>IFERROR(__xludf.DUMMYFUNCTION("""COMPUTED_VALUE"""),3900000.0)</f>
        <v>3900000</v>
      </c>
      <c r="M146" s="217">
        <f>IFERROR(__xludf.DUMMYFUNCTION("""COMPUTED_VALUE"""),2430542.0)</f>
        <v>2430542</v>
      </c>
      <c r="N146" s="217">
        <f>IFERROR(__xludf.DUMMYFUNCTION("""COMPUTED_VALUE"""),0.0)</f>
        <v>0</v>
      </c>
      <c r="O146" s="217">
        <f>IFERROR(__xludf.DUMMYFUNCTION("""COMPUTED_VALUE"""),1692115.0)</f>
        <v>1692115</v>
      </c>
      <c r="P146" s="218">
        <f>IFERROR(__xludf.DUMMYFUNCTION("""COMPUTED_VALUE"""),0.6232158974358974)</f>
        <v>0.6232158974</v>
      </c>
      <c r="Q146" s="218">
        <f>IFERROR(__xludf.DUMMYFUNCTION("""COMPUTED_VALUE"""),0.0)</f>
        <v>0</v>
      </c>
      <c r="R146" s="218">
        <f>IFERROR(__xludf.DUMMYFUNCTION("""COMPUTED_VALUE"""),0.433875641025641)</f>
        <v>0.433875641</v>
      </c>
      <c r="S146" s="187">
        <f>IFERROR(__xludf.DUMMYFUNCTION("""COMPUTED_VALUE"""),75.0)</f>
        <v>75</v>
      </c>
      <c r="T146" s="187">
        <f>IFERROR(__xludf.DUMMYFUNCTION("""COMPUTED_VALUE"""),76.0)</f>
        <v>76</v>
      </c>
      <c r="U146" s="187">
        <f>IFERROR(__xludf.DUMMYFUNCTION("""COMPUTED_VALUE"""),3.0)</f>
        <v>3</v>
      </c>
      <c r="V146" s="187">
        <f>IFERROR(__xludf.DUMMYFUNCTION("""COMPUTED_VALUE"""),3.0)</f>
        <v>3</v>
      </c>
      <c r="W146" s="187">
        <f>IFERROR(__xludf.DUMMYFUNCTION("""COMPUTED_VALUE"""),78.0)</f>
        <v>78</v>
      </c>
      <c r="X146" s="187">
        <f>IFERROR(__xludf.DUMMYFUNCTION("""COMPUTED_VALUE"""),2.0)</f>
        <v>2</v>
      </c>
      <c r="Y146" s="188">
        <f>IFERROR(__xludf.DUMMYFUNCTION("""COMPUTED_VALUE"""),2164539.08)</f>
        <v>2164539.08</v>
      </c>
      <c r="Z146" s="188">
        <f>IFERROR(__xludf.DUMMYFUNCTION("""COMPUTED_VALUE"""),266003.19)</f>
        <v>266003.19</v>
      </c>
      <c r="AA146" s="187">
        <f>IFERROR(__xludf.DUMMYFUNCTION("""COMPUTED_VALUE"""),37.0)</f>
        <v>37</v>
      </c>
      <c r="AB146" s="187">
        <f>IFERROR(__xludf.DUMMYFUNCTION("""COMPUTED_VALUE"""),3.0)</f>
        <v>3</v>
      </c>
      <c r="AC146" s="187">
        <f>IFERROR(__xludf.DUMMYFUNCTION("""COMPUTED_VALUE"""),40.0)</f>
        <v>40</v>
      </c>
      <c r="AD146" s="187">
        <f>IFERROR(__xludf.DUMMYFUNCTION("""COMPUTED_VALUE"""),0.0)</f>
        <v>0</v>
      </c>
      <c r="AE146" s="187">
        <f>IFERROR(__xludf.DUMMYFUNCTION("""COMPUTED_VALUE"""),68.0)</f>
        <v>68</v>
      </c>
      <c r="AF146" s="187">
        <f>IFERROR(__xludf.DUMMYFUNCTION("""COMPUTED_VALUE"""),127.0)</f>
        <v>127</v>
      </c>
      <c r="AG146" s="187">
        <f>IFERROR(__xludf.DUMMYFUNCTION("""COMPUTED_VALUE"""),38.0)</f>
        <v>38</v>
      </c>
      <c r="AH146" s="187">
        <f>IFERROR(__xludf.DUMMYFUNCTION("""COMPUTED_VALUE"""),2.0)</f>
        <v>2</v>
      </c>
      <c r="AI146" s="187">
        <f>IFERROR(__xludf.DUMMYFUNCTION("""COMPUTED_VALUE"""),30.0)</f>
        <v>30</v>
      </c>
      <c r="AJ146" s="187">
        <f>IFERROR(__xludf.DUMMYFUNCTION("""COMPUTED_VALUE"""),0.0)</f>
        <v>0</v>
      </c>
      <c r="AK146" s="187">
        <f>IFERROR(__xludf.DUMMYFUNCTION("""COMPUTED_VALUE"""),0.0)</f>
        <v>0</v>
      </c>
      <c r="AL146" s="187">
        <f>IFERROR(__xludf.DUMMYFUNCTION("""COMPUTED_VALUE"""),1.0)</f>
        <v>1</v>
      </c>
      <c r="AM146" s="187">
        <f>IFERROR(__xludf.DUMMYFUNCTION("""COMPUTED_VALUE"""),1.0)</f>
        <v>1</v>
      </c>
      <c r="AN146" s="187">
        <f>IFERROR(__xludf.DUMMYFUNCTION("""COMPUTED_VALUE"""),395.0)</f>
        <v>395</v>
      </c>
      <c r="AO146" s="187">
        <f>IFERROR(__xludf.DUMMYFUNCTION("""COMPUTED_VALUE"""),553.0)</f>
        <v>553</v>
      </c>
      <c r="AP146" s="187">
        <f>IFERROR(__xludf.DUMMYFUNCTION("""COMPUTED_VALUE"""),75.0)</f>
        <v>75</v>
      </c>
      <c r="AQ146" s="217">
        <f>IFERROR(__xludf.DUMMYFUNCTION("""COMPUTED_VALUE"""),32407.226666666666)</f>
        <v>32407.22667</v>
      </c>
      <c r="AR146" s="188">
        <f>IFERROR(__xludf.DUMMYFUNCTION("""COMPUTED_VALUE"""),7.373333333333333)</f>
        <v>7.373333333</v>
      </c>
      <c r="AS146" s="217">
        <f>IFERROR(__xludf.DUMMYFUNCTION("""COMPUTED_VALUE"""),91215.0)</f>
        <v>91215</v>
      </c>
      <c r="AT146" s="217"/>
      <c r="AU146" s="218">
        <f>IFERROR(__xludf.DUMMYFUNCTION("""COMPUTED_VALUE"""),0.03752866644559115)</f>
        <v>0.03752866645</v>
      </c>
      <c r="AV146" s="217">
        <f>IFERROR(__xludf.DUMMYFUNCTION("""COMPUTED_VALUE"""),60763.55)</f>
        <v>60763.55</v>
      </c>
      <c r="AW146" s="219">
        <f>IFERROR(__xludf.DUMMYFUNCTION("""COMPUTED_VALUE"""),106.0)</f>
        <v>106</v>
      </c>
      <c r="AX146" s="219">
        <f>IFERROR(__xludf.DUMMYFUNCTION("""COMPUTED_VALUE"""),824.0)</f>
        <v>824</v>
      </c>
      <c r="AY146" s="262">
        <f>IFERROR(__xludf.DUMMYFUNCTION("""COMPUTED_VALUE"""),5980.1)</f>
        <v>5980.1</v>
      </c>
      <c r="AZ146" s="263">
        <f>IFERROR(__xludf.DUMMYFUNCTION("""COMPUTED_VALUE"""),79.0)</f>
        <v>79</v>
      </c>
      <c r="BA146" s="263">
        <f>IFERROR(__xludf.DUMMYFUNCTION("""COMPUTED_VALUE"""),40.0)</f>
        <v>40</v>
      </c>
      <c r="BB146" s="263">
        <f>IFERROR(__xludf.DUMMYFUNCTION("""COMPUTED_VALUE"""),36.0)</f>
        <v>36</v>
      </c>
      <c r="BC146" s="263">
        <f>IFERROR(__xludf.DUMMYFUNCTION("""COMPUTED_VALUE"""),2.0)</f>
        <v>2</v>
      </c>
      <c r="BD146" s="258"/>
      <c r="BE146" s="258"/>
      <c r="BF146" s="255" t="e">
        <v>#REF!</v>
      </c>
      <c r="BG146" s="256">
        <f t="shared" si="4"/>
        <v>2430542</v>
      </c>
      <c r="BH146" s="257" t="str">
        <f t="shared" si="5"/>
        <v>#REF!</v>
      </c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</row>
    <row r="147">
      <c r="A147" s="6" t="str">
        <f>IFERROR(__xludf.DUMMYFUNCTION("""COMPUTED_VALUE"""),"Syed Aqil Rizvi")</f>
        <v>Syed Aqil Rizvi</v>
      </c>
      <c r="B147" s="98" t="str">
        <f>IFERROR(__xludf.DUMMYFUNCTION("""COMPUTED_VALUE"""),"Madhya Pradesh")</f>
        <v>Madhya Pradesh</v>
      </c>
      <c r="C147" s="212" t="str">
        <f>IFERROR(__xludf.DUMMYFUNCTION("""COMPUTED_VALUE"""),"Shubham Shukla")</f>
        <v>Shubham Shukla</v>
      </c>
      <c r="D147" s="98" t="str">
        <f>IFERROR(__xludf.DUMMYFUNCTION("""COMPUTED_VALUE"""),"Gwalior")</f>
        <v>Gwalior</v>
      </c>
      <c r="E147" s="213">
        <f>IFERROR(__xludf.DUMMYFUNCTION("""COMPUTED_VALUE"""),46023.0)</f>
        <v>46023</v>
      </c>
      <c r="F147" s="222" t="str">
        <f>IFERROR(__xludf.DUMMYFUNCTION("""COMPUTED_VALUE"""),"MADHYA PRADESH")</f>
        <v>MADHYA PRADESH</v>
      </c>
      <c r="G147" s="259">
        <f>IFERROR(__xludf.DUMMYFUNCTION("""COMPUTED_VALUE"""),823085.16)</f>
        <v>823085.16</v>
      </c>
      <c r="H147" s="259">
        <f>IFERROR(__xludf.DUMMYFUNCTION("""COMPUTED_VALUE"""),822330.0)</f>
        <v>822330</v>
      </c>
      <c r="I147" s="216">
        <f>IFERROR(__xludf.DUMMYFUNCTION("""COMPUTED_VALUE"""),38285.0)</f>
        <v>38285</v>
      </c>
      <c r="J147" s="56">
        <f>IFERROR(__xludf.DUMMYFUNCTION("""COMPUTED_VALUE"""),1500000.0)</f>
        <v>1500000</v>
      </c>
      <c r="K147" s="217">
        <f>IFERROR(__xludf.DUMMYFUNCTION("""COMPUTED_VALUE"""),0.0)</f>
        <v>0</v>
      </c>
      <c r="L147" s="217">
        <f>IFERROR(__xludf.DUMMYFUNCTION("""COMPUTED_VALUE"""),4500000.0)</f>
        <v>4500000</v>
      </c>
      <c r="M147" s="217">
        <f>IFERROR(__xludf.DUMMYFUNCTION("""COMPUTED_VALUE"""),1223575.0)</f>
        <v>1223575</v>
      </c>
      <c r="N147" s="217">
        <f>IFERROR(__xludf.DUMMYFUNCTION("""COMPUTED_VALUE"""),0.0)</f>
        <v>0</v>
      </c>
      <c r="O147" s="260">
        <f>IFERROR(__xludf.DUMMYFUNCTION("""COMPUTED_VALUE"""),596797.0)</f>
        <v>596797</v>
      </c>
      <c r="P147" s="218">
        <f>IFERROR(__xludf.DUMMYFUNCTION("""COMPUTED_VALUE"""),0.27190555555555557)</f>
        <v>0.2719055556</v>
      </c>
      <c r="Q147" s="218">
        <f>IFERROR(__xludf.DUMMYFUNCTION("""COMPUTED_VALUE"""),0.0)</f>
        <v>0</v>
      </c>
      <c r="R147" s="218">
        <f>IFERROR(__xludf.DUMMYFUNCTION("""COMPUTED_VALUE"""),0.13262155555555555)</f>
        <v>0.1326215556</v>
      </c>
      <c r="S147" s="187">
        <f>IFERROR(__xludf.DUMMYFUNCTION("""COMPUTED_VALUE"""),39.0)</f>
        <v>39</v>
      </c>
      <c r="T147" s="187">
        <f>IFERROR(__xludf.DUMMYFUNCTION("""COMPUTED_VALUE"""),38.0)</f>
        <v>38</v>
      </c>
      <c r="U147" s="187">
        <f>IFERROR(__xludf.DUMMYFUNCTION("""COMPUTED_VALUE"""),10.0)</f>
        <v>10</v>
      </c>
      <c r="V147" s="187">
        <f>IFERROR(__xludf.DUMMYFUNCTION("""COMPUTED_VALUE"""),10.0)</f>
        <v>10</v>
      </c>
      <c r="W147" s="187">
        <f>IFERROR(__xludf.DUMMYFUNCTION("""COMPUTED_VALUE"""),49.0)</f>
        <v>49</v>
      </c>
      <c r="X147" s="187">
        <f>IFERROR(__xludf.DUMMYFUNCTION("""COMPUTED_VALUE"""),11.0)</f>
        <v>11</v>
      </c>
      <c r="Y147" s="188">
        <f>IFERROR(__xludf.DUMMYFUNCTION("""COMPUTED_VALUE"""),681936.29)</f>
        <v>681936.29</v>
      </c>
      <c r="Z147" s="188">
        <f>IFERROR(__xludf.DUMMYFUNCTION("""COMPUTED_VALUE"""),541638.27)</f>
        <v>541638.27</v>
      </c>
      <c r="AA147" s="187">
        <f>IFERROR(__xludf.DUMMYFUNCTION("""COMPUTED_VALUE"""),16.0)</f>
        <v>16</v>
      </c>
      <c r="AB147" s="187">
        <f>IFERROR(__xludf.DUMMYFUNCTION("""COMPUTED_VALUE"""),10.0)</f>
        <v>10</v>
      </c>
      <c r="AC147" s="187">
        <f>IFERROR(__xludf.DUMMYFUNCTION("""COMPUTED_VALUE"""),26.0)</f>
        <v>26</v>
      </c>
      <c r="AD147" s="187">
        <f>IFERROR(__xludf.DUMMYFUNCTION("""COMPUTED_VALUE"""),0.0)</f>
        <v>0</v>
      </c>
      <c r="AE147" s="187">
        <f>IFERROR(__xludf.DUMMYFUNCTION("""COMPUTED_VALUE"""),54.0)</f>
        <v>54</v>
      </c>
      <c r="AF147" s="187">
        <f>IFERROR(__xludf.DUMMYFUNCTION("""COMPUTED_VALUE"""),131.0)</f>
        <v>131</v>
      </c>
      <c r="AG147" s="187">
        <f>IFERROR(__xludf.DUMMYFUNCTION("""COMPUTED_VALUE"""),65.0)</f>
        <v>65</v>
      </c>
      <c r="AH147" s="187">
        <f>IFERROR(__xludf.DUMMYFUNCTION("""COMPUTED_VALUE"""),1.0)</f>
        <v>1</v>
      </c>
      <c r="AI147" s="187">
        <f>IFERROR(__xludf.DUMMYFUNCTION("""COMPUTED_VALUE"""),24.0)</f>
        <v>24</v>
      </c>
      <c r="AJ147" s="187">
        <f>IFERROR(__xludf.DUMMYFUNCTION("""COMPUTED_VALUE"""),0.0)</f>
        <v>0</v>
      </c>
      <c r="AK147" s="187">
        <f>IFERROR(__xludf.DUMMYFUNCTION("""COMPUTED_VALUE"""),0.0)</f>
        <v>0</v>
      </c>
      <c r="AL147" s="187">
        <f>IFERROR(__xludf.DUMMYFUNCTION("""COMPUTED_VALUE"""),0.0)</f>
        <v>0</v>
      </c>
      <c r="AM147" s="187">
        <f>IFERROR(__xludf.DUMMYFUNCTION("""COMPUTED_VALUE"""),0.0)</f>
        <v>0</v>
      </c>
      <c r="AN147" s="187">
        <f>IFERROR(__xludf.DUMMYFUNCTION("""COMPUTED_VALUE"""),189.0)</f>
        <v>189</v>
      </c>
      <c r="AO147" s="187">
        <f>IFERROR(__xludf.DUMMYFUNCTION("""COMPUTED_VALUE"""),344.0)</f>
        <v>344</v>
      </c>
      <c r="AP147" s="187">
        <f>IFERROR(__xludf.DUMMYFUNCTION("""COMPUTED_VALUE"""),73.0)</f>
        <v>73</v>
      </c>
      <c r="AQ147" s="217">
        <f>IFERROR(__xludf.DUMMYFUNCTION("""COMPUTED_VALUE"""),16761.301369863013)</f>
        <v>16761.30137</v>
      </c>
      <c r="AR147" s="188">
        <f>IFERROR(__xludf.DUMMYFUNCTION("""COMPUTED_VALUE"""),4.712328767123288)</f>
        <v>4.712328767</v>
      </c>
      <c r="AS147" s="217">
        <f>IFERROR(__xludf.DUMMYFUNCTION("""COMPUTED_VALUE"""),114855.0)</f>
        <v>114855</v>
      </c>
      <c r="AT147" s="217"/>
      <c r="AU147" s="218">
        <f>IFERROR(__xludf.DUMMYFUNCTION("""COMPUTED_VALUE"""),0.09386837750035756)</f>
        <v>0.0938683775</v>
      </c>
      <c r="AV147" s="217">
        <f>IFERROR(__xludf.DUMMYFUNCTION("""COMPUTED_VALUE"""),47060.57692307692)</f>
        <v>47060.57692</v>
      </c>
      <c r="AW147" s="219">
        <f>IFERROR(__xludf.DUMMYFUNCTION("""COMPUTED_VALUE"""),55.0)</f>
        <v>55</v>
      </c>
      <c r="AX147" s="219">
        <f>IFERROR(__xludf.DUMMYFUNCTION("""COMPUTED_VALUE"""),734.0)</f>
        <v>734</v>
      </c>
      <c r="AY147" s="262">
        <f>IFERROR(__xludf.DUMMYFUNCTION("""COMPUTED_VALUE"""),5734.64)</f>
        <v>5734.64</v>
      </c>
      <c r="AZ147" s="263">
        <f>IFERROR(__xludf.DUMMYFUNCTION("""COMPUTED_VALUE"""),151.0)</f>
        <v>151</v>
      </c>
      <c r="BA147" s="263">
        <f>IFERROR(__xludf.DUMMYFUNCTION("""COMPUTED_VALUE"""),26.0)</f>
        <v>26</v>
      </c>
      <c r="BB147" s="263">
        <f>IFERROR(__xludf.DUMMYFUNCTION("""COMPUTED_VALUE"""),14.0)</f>
        <v>14</v>
      </c>
      <c r="BC147" s="263">
        <f>IFERROR(__xludf.DUMMYFUNCTION("""COMPUTED_VALUE"""),9.0)</f>
        <v>9</v>
      </c>
      <c r="BD147" s="258"/>
      <c r="BE147" s="258"/>
      <c r="BF147" s="241" t="e">
        <v>#REF!</v>
      </c>
      <c r="BG147" s="256">
        <f t="shared" si="4"/>
        <v>1223575</v>
      </c>
      <c r="BH147" s="257" t="str">
        <f t="shared" si="5"/>
        <v>#REF!</v>
      </c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</row>
    <row r="148">
      <c r="A148" s="6" t="str">
        <f>IFERROR(__xludf.DUMMYFUNCTION("""COMPUTED_VALUE"""),"Sunil Patel")</f>
        <v>Sunil Patel</v>
      </c>
      <c r="B148" s="98" t="str">
        <f>IFERROR(__xludf.DUMMYFUNCTION("""COMPUTED_VALUE"""),"Gujarat")</f>
        <v>Gujarat</v>
      </c>
      <c r="C148" s="212" t="str">
        <f>IFERROR(__xludf.DUMMYFUNCTION("""COMPUTED_VALUE"""),"Dhaval Parmar")</f>
        <v>Dhaval Parmar</v>
      </c>
      <c r="D148" s="98" t="str">
        <f>IFERROR(__xludf.DUMMYFUNCTION("""COMPUTED_VALUE"""),"Mehsana")</f>
        <v>Mehsana</v>
      </c>
      <c r="E148" s="213">
        <f>IFERROR(__xludf.DUMMYFUNCTION("""COMPUTED_VALUE"""),46027.0)</f>
        <v>46027</v>
      </c>
      <c r="F148" s="222" t="str">
        <f>IFERROR(__xludf.DUMMYFUNCTION("""COMPUTED_VALUE"""),"GUJARAT")</f>
        <v>GUJARAT</v>
      </c>
      <c r="G148" s="259">
        <f>IFERROR(__xludf.DUMMYFUNCTION("""COMPUTED_VALUE"""),604841.29)</f>
        <v>604841.29</v>
      </c>
      <c r="H148" s="259">
        <f>IFERROR(__xludf.DUMMYFUNCTION("""COMPUTED_VALUE"""),314114.0)</f>
        <v>314114</v>
      </c>
      <c r="I148" s="216">
        <f>IFERROR(__xludf.DUMMYFUNCTION("""COMPUTED_VALUE"""),46670.0)</f>
        <v>46670</v>
      </c>
      <c r="J148" s="56">
        <f>IFERROR(__xludf.DUMMYFUNCTION("""COMPUTED_VALUE"""),1250000.0)</f>
        <v>1250000</v>
      </c>
      <c r="K148" s="217">
        <f>IFERROR(__xludf.DUMMYFUNCTION("""COMPUTED_VALUE"""),0.0)</f>
        <v>0</v>
      </c>
      <c r="L148" s="217">
        <f>IFERROR(__xludf.DUMMYFUNCTION("""COMPUTED_VALUE"""),1250000.0)</f>
        <v>1250000</v>
      </c>
      <c r="M148" s="217">
        <f>IFERROR(__xludf.DUMMYFUNCTION("""COMPUTED_VALUE"""),1060293.0)</f>
        <v>1060293</v>
      </c>
      <c r="N148" s="217">
        <f>IFERROR(__xludf.DUMMYFUNCTION("""COMPUTED_VALUE"""),0.0)</f>
        <v>0</v>
      </c>
      <c r="O148" s="260">
        <f>IFERROR(__xludf.DUMMYFUNCTION("""COMPUTED_VALUE"""),429182.0)</f>
        <v>429182</v>
      </c>
      <c r="P148" s="218">
        <f>IFERROR(__xludf.DUMMYFUNCTION("""COMPUTED_VALUE"""),0.8482344)</f>
        <v>0.8482344</v>
      </c>
      <c r="Q148" s="218">
        <f>IFERROR(__xludf.DUMMYFUNCTION("""COMPUTED_VALUE"""),0.0)</f>
        <v>0</v>
      </c>
      <c r="R148" s="218">
        <f>IFERROR(__xludf.DUMMYFUNCTION("""COMPUTED_VALUE"""),0.3433456)</f>
        <v>0.3433456</v>
      </c>
      <c r="S148" s="187">
        <f>IFERROR(__xludf.DUMMYFUNCTION("""COMPUTED_VALUE"""),56.0)</f>
        <v>56</v>
      </c>
      <c r="T148" s="187">
        <f>IFERROR(__xludf.DUMMYFUNCTION("""COMPUTED_VALUE"""),60.0)</f>
        <v>60</v>
      </c>
      <c r="U148" s="187">
        <f>IFERROR(__xludf.DUMMYFUNCTION("""COMPUTED_VALUE"""),7.0)</f>
        <v>7</v>
      </c>
      <c r="V148" s="187">
        <f>IFERROR(__xludf.DUMMYFUNCTION("""COMPUTED_VALUE"""),7.0)</f>
        <v>7</v>
      </c>
      <c r="W148" s="187">
        <f>IFERROR(__xludf.DUMMYFUNCTION("""COMPUTED_VALUE"""),63.0)</f>
        <v>63</v>
      </c>
      <c r="X148" s="187">
        <f>IFERROR(__xludf.DUMMYFUNCTION("""COMPUTED_VALUE"""),3.0)</f>
        <v>3</v>
      </c>
      <c r="Y148" s="188">
        <f>IFERROR(__xludf.DUMMYFUNCTION("""COMPUTED_VALUE"""),817137.13)</f>
        <v>817137.13</v>
      </c>
      <c r="Z148" s="188">
        <f>IFERROR(__xludf.DUMMYFUNCTION("""COMPUTED_VALUE"""),243155.77)</f>
        <v>243155.77</v>
      </c>
      <c r="AA148" s="187">
        <f>IFERROR(__xludf.DUMMYFUNCTION("""COMPUTED_VALUE"""),40.0)</f>
        <v>40</v>
      </c>
      <c r="AB148" s="187">
        <f>IFERROR(__xludf.DUMMYFUNCTION("""COMPUTED_VALUE"""),7.0)</f>
        <v>7</v>
      </c>
      <c r="AC148" s="187">
        <f>IFERROR(__xludf.DUMMYFUNCTION("""COMPUTED_VALUE"""),47.0)</f>
        <v>47</v>
      </c>
      <c r="AD148" s="187">
        <f>IFERROR(__xludf.DUMMYFUNCTION("""COMPUTED_VALUE"""),0.0)</f>
        <v>0</v>
      </c>
      <c r="AE148" s="187">
        <f>IFERROR(__xludf.DUMMYFUNCTION("""COMPUTED_VALUE"""),88.0)</f>
        <v>88</v>
      </c>
      <c r="AF148" s="187">
        <f>IFERROR(__xludf.DUMMYFUNCTION("""COMPUTED_VALUE"""),145.0)</f>
        <v>145</v>
      </c>
      <c r="AG148" s="187">
        <f>IFERROR(__xludf.DUMMYFUNCTION("""COMPUTED_VALUE"""),99.0)</f>
        <v>99</v>
      </c>
      <c r="AH148" s="187">
        <f>IFERROR(__xludf.DUMMYFUNCTION("""COMPUTED_VALUE"""),3.0)</f>
        <v>3</v>
      </c>
      <c r="AI148" s="187">
        <f>IFERROR(__xludf.DUMMYFUNCTION("""COMPUTED_VALUE"""),21.0)</f>
        <v>21</v>
      </c>
      <c r="AJ148" s="187">
        <f>IFERROR(__xludf.DUMMYFUNCTION("""COMPUTED_VALUE"""),0.0)</f>
        <v>0</v>
      </c>
      <c r="AK148" s="187">
        <f>IFERROR(__xludf.DUMMYFUNCTION("""COMPUTED_VALUE"""),0.0)</f>
        <v>0</v>
      </c>
      <c r="AL148" s="187">
        <f>IFERROR(__xludf.DUMMYFUNCTION("""COMPUTED_VALUE"""),1.0)</f>
        <v>1</v>
      </c>
      <c r="AM148" s="187">
        <f>IFERROR(__xludf.DUMMYFUNCTION("""COMPUTED_VALUE"""),1.0)</f>
        <v>1</v>
      </c>
      <c r="AN148" s="187">
        <f>IFERROR(__xludf.DUMMYFUNCTION("""COMPUTED_VALUE"""),160.0)</f>
        <v>160</v>
      </c>
      <c r="AO148" s="187">
        <f>IFERROR(__xludf.DUMMYFUNCTION("""COMPUTED_VALUE"""),327.0)</f>
        <v>327</v>
      </c>
      <c r="AP148" s="187">
        <f>IFERROR(__xludf.DUMMYFUNCTION("""COMPUTED_VALUE"""),70.0)</f>
        <v>70</v>
      </c>
      <c r="AQ148" s="217">
        <f>IFERROR(__xludf.DUMMYFUNCTION("""COMPUTED_VALUE"""),15147.042857142857)</f>
        <v>15147.04286</v>
      </c>
      <c r="AR148" s="188">
        <f>IFERROR(__xludf.DUMMYFUNCTION("""COMPUTED_VALUE"""),4.671428571428572)</f>
        <v>4.671428571</v>
      </c>
      <c r="AS148" s="217">
        <f>IFERROR(__xludf.DUMMYFUNCTION("""COMPUTED_VALUE"""),140010.0)</f>
        <v>140010</v>
      </c>
      <c r="AT148" s="217"/>
      <c r="AU148" s="218">
        <f>IFERROR(__xludf.DUMMYFUNCTION("""COMPUTED_VALUE"""),0.13204840548791702)</f>
        <v>0.1320484055</v>
      </c>
      <c r="AV148" s="217">
        <f>IFERROR(__xludf.DUMMYFUNCTION("""COMPUTED_VALUE"""),22559.425531914894)</f>
        <v>22559.42553</v>
      </c>
      <c r="AW148" s="219">
        <f>IFERROR(__xludf.DUMMYFUNCTION("""COMPUTED_VALUE"""),92.0)</f>
        <v>92</v>
      </c>
      <c r="AX148" s="219">
        <f>IFERROR(__xludf.DUMMYFUNCTION("""COMPUTED_VALUE"""),691.0)</f>
        <v>691</v>
      </c>
      <c r="AY148" s="262">
        <f>IFERROR(__xludf.DUMMYFUNCTION("""COMPUTED_VALUE"""),8613.57)</f>
        <v>8613.57</v>
      </c>
      <c r="AZ148" s="263">
        <f>IFERROR(__xludf.DUMMYFUNCTION("""COMPUTED_VALUE"""),144.0)</f>
        <v>144</v>
      </c>
      <c r="BA148" s="263">
        <f>IFERROR(__xludf.DUMMYFUNCTION("""COMPUTED_VALUE"""),47.0)</f>
        <v>47</v>
      </c>
      <c r="BB148" s="263">
        <f>IFERROR(__xludf.DUMMYFUNCTION("""COMPUTED_VALUE"""),13.0)</f>
        <v>13</v>
      </c>
      <c r="BC148" s="263">
        <f>IFERROR(__xludf.DUMMYFUNCTION("""COMPUTED_VALUE"""),3.0)</f>
        <v>3</v>
      </c>
      <c r="BD148" s="265"/>
      <c r="BE148" s="258"/>
      <c r="BF148" s="241" t="e">
        <v>#REF!</v>
      </c>
      <c r="BG148" s="256">
        <f t="shared" si="4"/>
        <v>1060293</v>
      </c>
      <c r="BH148" s="257" t="str">
        <f t="shared" si="5"/>
        <v>#REF!</v>
      </c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</row>
    <row r="149">
      <c r="A149" s="6" t="str">
        <f>IFERROR(__xludf.DUMMYFUNCTION("""COMPUTED_VALUE"""),"Sunil Patel")</f>
        <v>Sunil Patel</v>
      </c>
      <c r="B149" s="98" t="str">
        <f>IFERROR(__xludf.DUMMYFUNCTION("""COMPUTED_VALUE"""),"Gujarat")</f>
        <v>Gujarat</v>
      </c>
      <c r="C149" s="212" t="str">
        <f>IFERROR(__xludf.DUMMYFUNCTION("""COMPUTED_VALUE"""),"Aniket Maheshwari")</f>
        <v>Aniket Maheshwari</v>
      </c>
      <c r="D149" s="98" t="str">
        <f>IFERROR(__xludf.DUMMYFUNCTION("""COMPUTED_VALUE"""),"Mandvi")</f>
        <v>Mandvi</v>
      </c>
      <c r="E149" s="213">
        <f>IFERROR(__xludf.DUMMYFUNCTION("""COMPUTED_VALUE"""),46027.0)</f>
        <v>46027</v>
      </c>
      <c r="F149" s="222" t="str">
        <f>IFERROR(__xludf.DUMMYFUNCTION("""COMPUTED_VALUE"""),"GUJARAT")</f>
        <v>GUJARAT</v>
      </c>
      <c r="G149" s="215">
        <f>IFERROR(__xludf.DUMMYFUNCTION("""COMPUTED_VALUE"""),0.0)</f>
        <v>0</v>
      </c>
      <c r="H149" s="215">
        <f>IFERROR(__xludf.DUMMYFUNCTION("""COMPUTED_VALUE"""),0.0)</f>
        <v>0</v>
      </c>
      <c r="I149" s="216">
        <f>IFERROR(__xludf.DUMMYFUNCTION("""COMPUTED_VALUE"""),26215.0)</f>
        <v>26215</v>
      </c>
      <c r="J149" s="216">
        <f>IFERROR(__xludf.DUMMYFUNCTION("""COMPUTED_VALUE"""),800000.0)</f>
        <v>800000</v>
      </c>
      <c r="K149" s="217">
        <f>IFERROR(__xludf.DUMMYFUNCTION("""COMPUTED_VALUE"""),0.0)</f>
        <v>0</v>
      </c>
      <c r="L149" s="217">
        <f>IFERROR(__xludf.DUMMYFUNCTION("""COMPUTED_VALUE"""),800000.0)</f>
        <v>800000</v>
      </c>
      <c r="M149" s="217">
        <f>IFERROR(__xludf.DUMMYFUNCTION("""COMPUTED_VALUE"""),0.0)</f>
        <v>0</v>
      </c>
      <c r="N149" s="217">
        <f>IFERROR(__xludf.DUMMYFUNCTION("""COMPUTED_VALUE"""),0.0)</f>
        <v>0</v>
      </c>
      <c r="O149" s="217">
        <f>IFERROR(__xludf.DUMMYFUNCTION("""COMPUTED_VALUE"""),0.0)</f>
        <v>0</v>
      </c>
      <c r="P149" s="218">
        <f>IFERROR(__xludf.DUMMYFUNCTION("""COMPUTED_VALUE"""),0.0)</f>
        <v>0</v>
      </c>
      <c r="Q149" s="218">
        <f>IFERROR(__xludf.DUMMYFUNCTION("""COMPUTED_VALUE"""),0.0)</f>
        <v>0</v>
      </c>
      <c r="R149" s="218">
        <f>IFERROR(__xludf.DUMMYFUNCTION("""COMPUTED_VALUE"""),0.0)</f>
        <v>0</v>
      </c>
      <c r="S149" s="187">
        <f>IFERROR(__xludf.DUMMYFUNCTION("""COMPUTED_VALUE"""),3.0)</f>
        <v>3</v>
      </c>
      <c r="T149" s="187">
        <f>IFERROR(__xludf.DUMMYFUNCTION("""COMPUTED_VALUE"""),3.0)</f>
        <v>3</v>
      </c>
      <c r="U149" s="187">
        <f>IFERROR(__xludf.DUMMYFUNCTION("""COMPUTED_VALUE"""),0.0)</f>
        <v>0</v>
      </c>
      <c r="V149" s="187">
        <f>IFERROR(__xludf.DUMMYFUNCTION("""COMPUTED_VALUE"""),0.0)</f>
        <v>0</v>
      </c>
      <c r="W149" s="187">
        <f>IFERROR(__xludf.DUMMYFUNCTION("""COMPUTED_VALUE"""),3.0)</f>
        <v>3</v>
      </c>
      <c r="X149" s="187">
        <f>IFERROR(__xludf.DUMMYFUNCTION("""COMPUTED_VALUE"""),0.0)</f>
        <v>0</v>
      </c>
      <c r="Y149" s="188">
        <f>IFERROR(__xludf.DUMMYFUNCTION("""COMPUTED_VALUE"""),0.0)</f>
        <v>0</v>
      </c>
      <c r="Z149" s="188">
        <f>IFERROR(__xludf.DUMMYFUNCTION("""COMPUTED_VALUE"""),0.0)</f>
        <v>0</v>
      </c>
      <c r="AA149" s="187">
        <f>IFERROR(__xludf.DUMMYFUNCTION("""COMPUTED_VALUE"""),0.0)</f>
        <v>0</v>
      </c>
      <c r="AB149" s="187">
        <f>IFERROR(__xludf.DUMMYFUNCTION("""COMPUTED_VALUE"""),0.0)</f>
        <v>0</v>
      </c>
      <c r="AC149" s="187">
        <f>IFERROR(__xludf.DUMMYFUNCTION("""COMPUTED_VALUE"""),0.0)</f>
        <v>0</v>
      </c>
      <c r="AD149" s="187">
        <f>IFERROR(__xludf.DUMMYFUNCTION("""COMPUTED_VALUE"""),0.0)</f>
        <v>0</v>
      </c>
      <c r="AE149" s="187">
        <f>IFERROR(__xludf.DUMMYFUNCTION("""COMPUTED_VALUE"""),33.0)</f>
        <v>33</v>
      </c>
      <c r="AF149" s="187">
        <f>IFERROR(__xludf.DUMMYFUNCTION("""COMPUTED_VALUE"""),120.0)</f>
        <v>120</v>
      </c>
      <c r="AG149" s="187">
        <f>IFERROR(__xludf.DUMMYFUNCTION("""COMPUTED_VALUE"""),24.0)</f>
        <v>24</v>
      </c>
      <c r="AH149" s="187">
        <f>IFERROR(__xludf.DUMMYFUNCTION("""COMPUTED_VALUE"""),1.0)</f>
        <v>1</v>
      </c>
      <c r="AI149" s="187">
        <f>IFERROR(__xludf.DUMMYFUNCTION("""COMPUTED_VALUE"""),3.0)</f>
        <v>3</v>
      </c>
      <c r="AJ149" s="187">
        <f>IFERROR(__xludf.DUMMYFUNCTION("""COMPUTED_VALUE"""),0.0)</f>
        <v>0</v>
      </c>
      <c r="AK149" s="187">
        <f>IFERROR(__xludf.DUMMYFUNCTION("""COMPUTED_VALUE"""),0.0)</f>
        <v>0</v>
      </c>
      <c r="AL149" s="187">
        <f>IFERROR(__xludf.DUMMYFUNCTION("""COMPUTED_VALUE"""),0.0)</f>
        <v>0</v>
      </c>
      <c r="AM149" s="187">
        <f>IFERROR(__xludf.DUMMYFUNCTION("""COMPUTED_VALUE"""),0.0)</f>
        <v>0</v>
      </c>
      <c r="AN149" s="187">
        <f>IFERROR(__xludf.DUMMYFUNCTION("""COMPUTED_VALUE"""),8.0)</f>
        <v>8</v>
      </c>
      <c r="AO149" s="187">
        <f>IFERROR(__xludf.DUMMYFUNCTION("""COMPUTED_VALUE"""),131.0)</f>
        <v>131</v>
      </c>
      <c r="AP149" s="187">
        <f>IFERROR(__xludf.DUMMYFUNCTION("""COMPUTED_VALUE"""),50.0)</f>
        <v>50</v>
      </c>
      <c r="AQ149" s="217">
        <f>IFERROR(__xludf.DUMMYFUNCTION("""COMPUTED_VALUE"""),0.0)</f>
        <v>0</v>
      </c>
      <c r="AR149" s="188">
        <f>IFERROR(__xludf.DUMMYFUNCTION("""COMPUTED_VALUE"""),2.62)</f>
        <v>2.62</v>
      </c>
      <c r="AS149" s="217">
        <f>IFERROR(__xludf.DUMMYFUNCTION("""COMPUTED_VALUE"""),78645.0)</f>
        <v>78645</v>
      </c>
      <c r="AT149" s="217"/>
      <c r="AU149" s="218"/>
      <c r="AV149" s="217"/>
      <c r="AW149" s="219">
        <f>IFERROR(__xludf.DUMMYFUNCTION("""COMPUTED_VALUE"""),0.0)</f>
        <v>0</v>
      </c>
      <c r="AX149" s="219">
        <f>IFERROR(__xludf.DUMMYFUNCTION("""COMPUTED_VALUE"""),475.0)</f>
        <v>475</v>
      </c>
      <c r="AY149" s="262">
        <f>IFERROR(__xludf.DUMMYFUNCTION("""COMPUTED_VALUE"""),2548.1)</f>
        <v>2548.1</v>
      </c>
      <c r="AZ149" s="263">
        <f>IFERROR(__xludf.DUMMYFUNCTION("""COMPUTED_VALUE"""),849.0)</f>
        <v>849</v>
      </c>
      <c r="BA149" s="263">
        <f>IFERROR(__xludf.DUMMYFUNCTION("""COMPUTED_VALUE"""),0.0)</f>
        <v>0</v>
      </c>
      <c r="BB149" s="263">
        <f>IFERROR(__xludf.DUMMYFUNCTION("""COMPUTED_VALUE"""),3.0)</f>
        <v>3</v>
      </c>
      <c r="BC149" s="263">
        <f>IFERROR(__xludf.DUMMYFUNCTION("""COMPUTED_VALUE"""),0.0)</f>
        <v>0</v>
      </c>
      <c r="BD149" s="265"/>
      <c r="BE149" s="258"/>
      <c r="BF149" s="255" t="e">
        <v>#REF!</v>
      </c>
      <c r="BG149" s="256">
        <f t="shared" si="4"/>
        <v>0</v>
      </c>
      <c r="BH149" s="257" t="str">
        <f t="shared" si="5"/>
        <v>#REF!</v>
      </c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</row>
    <row r="150">
      <c r="A150" s="6"/>
      <c r="B150" s="98" t="str">
        <f>IFERROR(__xludf.DUMMYFUNCTION("""COMPUTED_VALUE"""),"Karnataka")</f>
        <v>Karnataka</v>
      </c>
      <c r="C150" s="212" t="str">
        <f>IFERROR(__xludf.DUMMYFUNCTION("""COMPUTED_VALUE"""),"Prashant Onam Naik")</f>
        <v>Prashant Onam Naik</v>
      </c>
      <c r="D150" s="98" t="str">
        <f>IFERROR(__xludf.DUMMYFUNCTION("""COMPUTED_VALUE"""),"Bengaluru")</f>
        <v>Bengaluru</v>
      </c>
      <c r="E150" s="213">
        <f>IFERROR(__xludf.DUMMYFUNCTION("""COMPUTED_VALUE"""),46041.0)</f>
        <v>46041</v>
      </c>
      <c r="F150" s="222" t="str">
        <f>IFERROR(__xludf.DUMMYFUNCTION("""COMPUTED_VALUE"""),"KARNATAKA")</f>
        <v>KARNATAKA</v>
      </c>
      <c r="G150" s="215"/>
      <c r="H150" s="215"/>
      <c r="I150" s="216">
        <f>IFERROR(__xludf.DUMMYFUNCTION("""COMPUTED_VALUE"""),195835.0)</f>
        <v>195835</v>
      </c>
      <c r="J150" s="216"/>
      <c r="K150" s="217">
        <f>IFERROR(__xludf.DUMMYFUNCTION("""COMPUTED_VALUE"""),0.0)</f>
        <v>0</v>
      </c>
      <c r="L150" s="217">
        <f>IFERROR(__xludf.DUMMYFUNCTION("""COMPUTED_VALUE"""),0.0)</f>
        <v>0</v>
      </c>
      <c r="M150" s="217">
        <f>IFERROR(__xludf.DUMMYFUNCTION("""COMPUTED_VALUE"""),0.0)</f>
        <v>0</v>
      </c>
      <c r="N150" s="217">
        <f>IFERROR(__xludf.DUMMYFUNCTION("""COMPUTED_VALUE"""),0.0)</f>
        <v>0</v>
      </c>
      <c r="O150" s="217"/>
      <c r="P150" s="218"/>
      <c r="Q150" s="218">
        <f>IFERROR(__xludf.DUMMYFUNCTION("""COMPUTED_VALUE"""),0.0)</f>
        <v>0</v>
      </c>
      <c r="R150" s="218"/>
      <c r="S150" s="187">
        <f>IFERROR(__xludf.DUMMYFUNCTION("""COMPUTED_VALUE"""),3.0)</f>
        <v>3</v>
      </c>
      <c r="T150" s="187">
        <f>IFERROR(__xludf.DUMMYFUNCTION("""COMPUTED_VALUE"""),4.0)</f>
        <v>4</v>
      </c>
      <c r="U150" s="187">
        <f>IFERROR(__xludf.DUMMYFUNCTION("""COMPUTED_VALUE"""),4.0)</f>
        <v>4</v>
      </c>
      <c r="V150" s="187">
        <f>IFERROR(__xludf.DUMMYFUNCTION("""COMPUTED_VALUE"""),0.0)</f>
        <v>0</v>
      </c>
      <c r="W150" s="187">
        <f>IFERROR(__xludf.DUMMYFUNCTION("""COMPUTED_VALUE"""),7.0)</f>
        <v>7</v>
      </c>
      <c r="X150" s="187">
        <f>IFERROR(__xludf.DUMMYFUNCTION("""COMPUTED_VALUE"""),3.0)</f>
        <v>3</v>
      </c>
      <c r="Y150" s="188">
        <f>IFERROR(__xludf.DUMMYFUNCTION("""COMPUTED_VALUE"""),0.0)</f>
        <v>0</v>
      </c>
      <c r="Z150" s="188">
        <f>IFERROR(__xludf.DUMMYFUNCTION("""COMPUTED_VALUE"""),0.0)</f>
        <v>0</v>
      </c>
      <c r="AA150" s="187">
        <f>IFERROR(__xludf.DUMMYFUNCTION("""COMPUTED_VALUE"""),0.0)</f>
        <v>0</v>
      </c>
      <c r="AB150" s="187">
        <f>IFERROR(__xludf.DUMMYFUNCTION("""COMPUTED_VALUE"""),0.0)</f>
        <v>0</v>
      </c>
      <c r="AC150" s="187">
        <f>IFERROR(__xludf.DUMMYFUNCTION("""COMPUTED_VALUE"""),0.0)</f>
        <v>0</v>
      </c>
      <c r="AD150" s="187">
        <f>IFERROR(__xludf.DUMMYFUNCTION("""COMPUTED_VALUE"""),0.0)</f>
        <v>0</v>
      </c>
      <c r="AE150" s="187">
        <f>IFERROR(__xludf.DUMMYFUNCTION("""COMPUTED_VALUE"""),22.0)</f>
        <v>22</v>
      </c>
      <c r="AF150" s="187">
        <f>IFERROR(__xludf.DUMMYFUNCTION("""COMPUTED_VALUE"""),27.0)</f>
        <v>27</v>
      </c>
      <c r="AG150" s="187">
        <f>IFERROR(__xludf.DUMMYFUNCTION("""COMPUTED_VALUE"""),5.0)</f>
        <v>5</v>
      </c>
      <c r="AH150" s="187">
        <f>IFERROR(__xludf.DUMMYFUNCTION("""COMPUTED_VALUE"""),9.0)</f>
        <v>9</v>
      </c>
      <c r="AI150" s="187">
        <f>IFERROR(__xludf.DUMMYFUNCTION("""COMPUTED_VALUE"""),15.0)</f>
        <v>15</v>
      </c>
      <c r="AJ150" s="187">
        <f>IFERROR(__xludf.DUMMYFUNCTION("""COMPUTED_VALUE"""),1.0)</f>
        <v>1</v>
      </c>
      <c r="AK150" s="187">
        <f>IFERROR(__xludf.DUMMYFUNCTION("""COMPUTED_VALUE"""),1.0)</f>
        <v>1</v>
      </c>
      <c r="AL150" s="187">
        <f>IFERROR(__xludf.DUMMYFUNCTION("""COMPUTED_VALUE"""),68.0)</f>
        <v>68</v>
      </c>
      <c r="AM150" s="187">
        <f>IFERROR(__xludf.DUMMYFUNCTION("""COMPUTED_VALUE"""),105.0)</f>
        <v>105</v>
      </c>
      <c r="AN150" s="187">
        <f>IFERROR(__xludf.DUMMYFUNCTION("""COMPUTED_VALUE"""),16.0)</f>
        <v>16</v>
      </c>
      <c r="AO150" s="187">
        <f>IFERROR(__xludf.DUMMYFUNCTION("""COMPUTED_VALUE"""),164.0)</f>
        <v>164</v>
      </c>
      <c r="AP150" s="187">
        <f>IFERROR(__xludf.DUMMYFUNCTION("""COMPUTED_VALUE"""),70.0)</f>
        <v>70</v>
      </c>
      <c r="AQ150" s="217">
        <f>IFERROR(__xludf.DUMMYFUNCTION("""COMPUTED_VALUE"""),0.0)</f>
        <v>0</v>
      </c>
      <c r="AR150" s="188">
        <f>IFERROR(__xludf.DUMMYFUNCTION("""COMPUTED_VALUE"""),2.342857142857143)</f>
        <v>2.342857143</v>
      </c>
      <c r="AS150" s="217">
        <f>IFERROR(__xludf.DUMMYFUNCTION("""COMPUTED_VALUE"""),587505.0)</f>
        <v>587505</v>
      </c>
      <c r="AT150" s="217"/>
      <c r="AU150" s="218"/>
      <c r="AV150" s="217"/>
      <c r="AW150" s="219">
        <f>IFERROR(__xludf.DUMMYFUNCTION("""COMPUTED_VALUE"""),0.0)</f>
        <v>0</v>
      </c>
      <c r="AX150" s="219">
        <f>IFERROR(__xludf.DUMMYFUNCTION("""COMPUTED_VALUE"""),816.0)</f>
        <v>816</v>
      </c>
      <c r="AY150" s="262">
        <f>IFERROR(__xludf.DUMMYFUNCTION("""COMPUTED_VALUE"""),8963.47)</f>
        <v>8963.47</v>
      </c>
      <c r="AZ150" s="263">
        <f>IFERROR(__xludf.DUMMYFUNCTION("""COMPUTED_VALUE"""),2241.0)</f>
        <v>2241</v>
      </c>
      <c r="BA150" s="263">
        <f>IFERROR(__xludf.DUMMYFUNCTION("""COMPUTED_VALUE"""),0.0)</f>
        <v>0</v>
      </c>
      <c r="BB150" s="263">
        <f>IFERROR(__xludf.DUMMYFUNCTION("""COMPUTED_VALUE"""),4.0)</f>
        <v>4</v>
      </c>
      <c r="BC150" s="263">
        <f>IFERROR(__xludf.DUMMYFUNCTION("""COMPUTED_VALUE"""),3.0)</f>
        <v>3</v>
      </c>
      <c r="BD150" s="258"/>
      <c r="BE150" s="258"/>
      <c r="BF150" s="255" t="e">
        <v>#REF!</v>
      </c>
      <c r="BG150" s="256">
        <f t="shared" si="4"/>
        <v>0</v>
      </c>
      <c r="BH150" s="257" t="str">
        <f t="shared" si="5"/>
        <v>#REF!</v>
      </c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</row>
    <row r="151">
      <c r="A151" s="6" t="str">
        <f>IFERROR(__xludf.DUMMYFUNCTION("""COMPUTED_VALUE"""),"Prashant Onam Naik")</f>
        <v>Prashant Onam Naik</v>
      </c>
      <c r="B151" s="98" t="str">
        <f>IFERROR(__xludf.DUMMYFUNCTION("""COMPUTED_VALUE"""),"Karnataka")</f>
        <v>Karnataka</v>
      </c>
      <c r="C151" s="212" t="str">
        <f>IFERROR(__xludf.DUMMYFUNCTION("""COMPUTED_VALUE"""),"Milind Ashok Sadanand")</f>
        <v>Milind Ashok Sadanand</v>
      </c>
      <c r="D151" s="98" t="str">
        <f>IFERROR(__xludf.DUMMYFUNCTION("""COMPUTED_VALUE"""),"Hubli")</f>
        <v>Hubli</v>
      </c>
      <c r="E151" s="213">
        <f>IFERROR(__xludf.DUMMYFUNCTION("""COMPUTED_VALUE"""),46041.0)</f>
        <v>46041</v>
      </c>
      <c r="F151" s="222" t="str">
        <f>IFERROR(__xludf.DUMMYFUNCTION("""COMPUTED_VALUE"""),"KARNATAKA")</f>
        <v>KARNATAKA</v>
      </c>
      <c r="G151" s="215">
        <f>IFERROR(__xludf.DUMMYFUNCTION("""COMPUTED_VALUE"""),0.0)</f>
        <v>0</v>
      </c>
      <c r="H151" s="215">
        <f>IFERROR(__xludf.DUMMYFUNCTION("""COMPUTED_VALUE"""),0.0)</f>
        <v>0</v>
      </c>
      <c r="I151" s="216">
        <f>IFERROR(__xludf.DUMMYFUNCTION("""COMPUTED_VALUE"""),68112.0)</f>
        <v>68112</v>
      </c>
      <c r="J151" s="216">
        <f>IFERROR(__xludf.DUMMYFUNCTION("""COMPUTED_VALUE"""),1200000.0)</f>
        <v>1200000</v>
      </c>
      <c r="K151" s="217">
        <f>IFERROR(__xludf.DUMMYFUNCTION("""COMPUTED_VALUE"""),0.0)</f>
        <v>0</v>
      </c>
      <c r="L151" s="217">
        <f>IFERROR(__xludf.DUMMYFUNCTION("""COMPUTED_VALUE"""),2500000.0)</f>
        <v>2500000</v>
      </c>
      <c r="M151" s="217">
        <f>IFERROR(__xludf.DUMMYFUNCTION("""COMPUTED_VALUE"""),538488.0)</f>
        <v>538488</v>
      </c>
      <c r="N151" s="217">
        <f>IFERROR(__xludf.DUMMYFUNCTION("""COMPUTED_VALUE"""),0.0)</f>
        <v>0</v>
      </c>
      <c r="O151" s="217">
        <f>IFERROR(__xludf.DUMMYFUNCTION("""COMPUTED_VALUE"""),325794.0)</f>
        <v>325794</v>
      </c>
      <c r="P151" s="218">
        <f>IFERROR(__xludf.DUMMYFUNCTION("""COMPUTED_VALUE"""),0.2153952)</f>
        <v>0.2153952</v>
      </c>
      <c r="Q151" s="218">
        <f>IFERROR(__xludf.DUMMYFUNCTION("""COMPUTED_VALUE"""),0.0)</f>
        <v>0</v>
      </c>
      <c r="R151" s="218">
        <f>IFERROR(__xludf.DUMMYFUNCTION("""COMPUTED_VALUE"""),0.1303176)</f>
        <v>0.1303176</v>
      </c>
      <c r="S151" s="187">
        <f>IFERROR(__xludf.DUMMYFUNCTION("""COMPUTED_VALUE"""),7.0)</f>
        <v>7</v>
      </c>
      <c r="T151" s="187">
        <f>IFERROR(__xludf.DUMMYFUNCTION("""COMPUTED_VALUE"""),62.0)</f>
        <v>62</v>
      </c>
      <c r="U151" s="187">
        <f>IFERROR(__xludf.DUMMYFUNCTION("""COMPUTED_VALUE"""),57.0)</f>
        <v>57</v>
      </c>
      <c r="V151" s="187">
        <f>IFERROR(__xludf.DUMMYFUNCTION("""COMPUTED_VALUE"""),56.0)</f>
        <v>56</v>
      </c>
      <c r="W151" s="187">
        <f>IFERROR(__xludf.DUMMYFUNCTION("""COMPUTED_VALUE"""),64.0)</f>
        <v>64</v>
      </c>
      <c r="X151" s="187">
        <f>IFERROR(__xludf.DUMMYFUNCTION("""COMPUTED_VALUE"""),2.0)</f>
        <v>2</v>
      </c>
      <c r="Y151" s="188">
        <f>IFERROR(__xludf.DUMMYFUNCTION("""COMPUTED_VALUE"""),3623.88)</f>
        <v>3623.88</v>
      </c>
      <c r="Z151" s="188">
        <f>IFERROR(__xludf.DUMMYFUNCTION("""COMPUTED_VALUE"""),534863.94)</f>
        <v>534863.94</v>
      </c>
      <c r="AA151" s="187">
        <f>IFERROR(__xludf.DUMMYFUNCTION("""COMPUTED_VALUE"""),1.0)</f>
        <v>1</v>
      </c>
      <c r="AB151" s="187">
        <f>IFERROR(__xludf.DUMMYFUNCTION("""COMPUTED_VALUE"""),56.0)</f>
        <v>56</v>
      </c>
      <c r="AC151" s="187">
        <f>IFERROR(__xludf.DUMMYFUNCTION("""COMPUTED_VALUE"""),57.0)</f>
        <v>57</v>
      </c>
      <c r="AD151" s="187">
        <f>IFERROR(__xludf.DUMMYFUNCTION("""COMPUTED_VALUE"""),0.0)</f>
        <v>0</v>
      </c>
      <c r="AE151" s="187">
        <f>IFERROR(__xludf.DUMMYFUNCTION("""COMPUTED_VALUE"""),94.0)</f>
        <v>94</v>
      </c>
      <c r="AF151" s="187">
        <f>IFERROR(__xludf.DUMMYFUNCTION("""COMPUTED_VALUE"""),132.0)</f>
        <v>132</v>
      </c>
      <c r="AG151" s="187">
        <f>IFERROR(__xludf.DUMMYFUNCTION("""COMPUTED_VALUE"""),30.0)</f>
        <v>30</v>
      </c>
      <c r="AH151" s="187">
        <f>IFERROR(__xludf.DUMMYFUNCTION("""COMPUTED_VALUE"""),5.0)</f>
        <v>5</v>
      </c>
      <c r="AI151" s="187">
        <f>IFERROR(__xludf.DUMMYFUNCTION("""COMPUTED_VALUE"""),34.0)</f>
        <v>34</v>
      </c>
      <c r="AJ151" s="187">
        <f>IFERROR(__xludf.DUMMYFUNCTION("""COMPUTED_VALUE"""),0.0)</f>
        <v>0</v>
      </c>
      <c r="AK151" s="187">
        <f>IFERROR(__xludf.DUMMYFUNCTION("""COMPUTED_VALUE"""),0.0)</f>
        <v>0</v>
      </c>
      <c r="AL151" s="187">
        <f>IFERROR(__xludf.DUMMYFUNCTION("""COMPUTED_VALUE"""),45.0)</f>
        <v>45</v>
      </c>
      <c r="AM151" s="187">
        <f>IFERROR(__xludf.DUMMYFUNCTION("""COMPUTED_VALUE"""),104.0)</f>
        <v>104</v>
      </c>
      <c r="AN151" s="187">
        <f>IFERROR(__xludf.DUMMYFUNCTION("""COMPUTED_VALUE"""),153.0)</f>
        <v>153</v>
      </c>
      <c r="AO151" s="187">
        <f>IFERROR(__xludf.DUMMYFUNCTION("""COMPUTED_VALUE"""),423.0)</f>
        <v>423</v>
      </c>
      <c r="AP151" s="187">
        <f>IFERROR(__xludf.DUMMYFUNCTION("""COMPUTED_VALUE"""),72.0)</f>
        <v>72</v>
      </c>
      <c r="AQ151" s="217">
        <f>IFERROR(__xludf.DUMMYFUNCTION("""COMPUTED_VALUE"""),7479.0)</f>
        <v>7479</v>
      </c>
      <c r="AR151" s="188">
        <f>IFERROR(__xludf.DUMMYFUNCTION("""COMPUTED_VALUE"""),5.875)</f>
        <v>5.875</v>
      </c>
      <c r="AS151" s="217">
        <f>IFERROR(__xludf.DUMMYFUNCTION("""COMPUTED_VALUE"""),204336.0)</f>
        <v>204336</v>
      </c>
      <c r="AT151" s="217"/>
      <c r="AU151" s="218">
        <f>IFERROR(__xludf.DUMMYFUNCTION("""COMPUTED_VALUE"""),0.3794624949859607)</f>
        <v>0.379462495</v>
      </c>
      <c r="AV151" s="217">
        <f>IFERROR(__xludf.DUMMYFUNCTION("""COMPUTED_VALUE"""),9447.157894736842)</f>
        <v>9447.157895</v>
      </c>
      <c r="AW151" s="219">
        <f>IFERROR(__xludf.DUMMYFUNCTION("""COMPUTED_VALUE"""),73.0)</f>
        <v>73</v>
      </c>
      <c r="AX151" s="219">
        <f>IFERROR(__xludf.DUMMYFUNCTION("""COMPUTED_VALUE"""),768.0)</f>
        <v>768</v>
      </c>
      <c r="AY151" s="262">
        <f>IFERROR(__xludf.DUMMYFUNCTION("""COMPUTED_VALUE"""),7805.78)</f>
        <v>7805.78</v>
      </c>
      <c r="AZ151" s="263">
        <f>IFERROR(__xludf.DUMMYFUNCTION("""COMPUTED_VALUE"""),126.0)</f>
        <v>126</v>
      </c>
      <c r="BA151" s="263">
        <f>IFERROR(__xludf.DUMMYFUNCTION("""COMPUTED_VALUE"""),57.0)</f>
        <v>57</v>
      </c>
      <c r="BB151" s="263">
        <f>IFERROR(__xludf.DUMMYFUNCTION("""COMPUTED_VALUE"""),6.0)</f>
        <v>6</v>
      </c>
      <c r="BC151" s="263">
        <f>IFERROR(__xludf.DUMMYFUNCTION("""COMPUTED_VALUE"""),1.0)</f>
        <v>1</v>
      </c>
      <c r="BD151" s="258"/>
      <c r="BE151" s="258"/>
      <c r="BF151" s="255" t="e">
        <v>#REF!</v>
      </c>
      <c r="BG151" s="256">
        <f t="shared" si="4"/>
        <v>538488</v>
      </c>
      <c r="BH151" s="257" t="str">
        <f t="shared" si="5"/>
        <v>#REF!</v>
      </c>
      <c r="BI151" s="98"/>
      <c r="BJ151" s="98"/>
      <c r="BK151" s="98"/>
      <c r="BL151" s="98"/>
      <c r="BM151" s="98"/>
      <c r="BN151" s="98"/>
      <c r="BO151" s="98"/>
      <c r="BP151" s="98"/>
      <c r="BQ151" s="98"/>
      <c r="BR151" s="98"/>
    </row>
    <row r="152">
      <c r="A152" s="6" t="str">
        <f>IFERROR(__xludf.DUMMYFUNCTION("""COMPUTED_VALUE"""),"Sandeep Dadheech")</f>
        <v>Sandeep Dadheech</v>
      </c>
      <c r="B152" s="98" t="str">
        <f>IFERROR(__xludf.DUMMYFUNCTION("""COMPUTED_VALUE"""),"West Bengal")</f>
        <v>West Bengal</v>
      </c>
      <c r="C152" s="212" t="str">
        <f>IFERROR(__xludf.DUMMYFUNCTION("""COMPUTED_VALUE"""),"Anirban Biswas")</f>
        <v>Anirban Biswas</v>
      </c>
      <c r="D152" s="98" t="str">
        <f>IFERROR(__xludf.DUMMYFUNCTION("""COMPUTED_VALUE"""),"Tribeni")</f>
        <v>Tribeni</v>
      </c>
      <c r="E152" s="213">
        <f>IFERROR(__xludf.DUMMYFUNCTION("""COMPUTED_VALUE"""),46041.0)</f>
        <v>46041</v>
      </c>
      <c r="F152" s="222" t="str">
        <f>IFERROR(__xludf.DUMMYFUNCTION("""COMPUTED_VALUE"""),"WEST BENGAL")</f>
        <v>WEST BENGAL</v>
      </c>
      <c r="G152" s="215">
        <f>IFERROR(__xludf.DUMMYFUNCTION("""COMPUTED_VALUE"""),3270193.24)</f>
        <v>3270193.24</v>
      </c>
      <c r="H152" s="215">
        <f>IFERROR(__xludf.DUMMYFUNCTION("""COMPUTED_VALUE"""),3174003.0)</f>
        <v>3174003</v>
      </c>
      <c r="I152" s="216">
        <f>IFERROR(__xludf.DUMMYFUNCTION("""COMPUTED_VALUE"""),35650.0)</f>
        <v>35650</v>
      </c>
      <c r="J152" s="56">
        <f>IFERROR(__xludf.DUMMYFUNCTION("""COMPUTED_VALUE"""),3708333.0)</f>
        <v>3708333</v>
      </c>
      <c r="K152" s="217">
        <f>IFERROR(__xludf.DUMMYFUNCTION("""COMPUTED_VALUE"""),0.0)</f>
        <v>0</v>
      </c>
      <c r="L152" s="217">
        <f>IFERROR(__xludf.DUMMYFUNCTION("""COMPUTED_VALUE"""),1.1124999E7)</f>
        <v>11124999</v>
      </c>
      <c r="M152" s="217">
        <f>IFERROR(__xludf.DUMMYFUNCTION("""COMPUTED_VALUE"""),4141909.0)</f>
        <v>4141909</v>
      </c>
      <c r="N152" s="217">
        <f>IFERROR(__xludf.DUMMYFUNCTION("""COMPUTED_VALUE"""),0.0)</f>
        <v>0</v>
      </c>
      <c r="O152" s="217">
        <f>IFERROR(__xludf.DUMMYFUNCTION("""COMPUTED_VALUE"""),2086881.0)</f>
        <v>2086881</v>
      </c>
      <c r="P152" s="218">
        <f>IFERROR(__xludf.DUMMYFUNCTION("""COMPUTED_VALUE"""),0.3723064604320414)</f>
        <v>0.3723064604</v>
      </c>
      <c r="Q152" s="218">
        <f>IFERROR(__xludf.DUMMYFUNCTION("""COMPUTED_VALUE"""),0.0)</f>
        <v>0</v>
      </c>
      <c r="R152" s="218">
        <f>IFERROR(__xludf.DUMMYFUNCTION("""COMPUTED_VALUE"""),0.18758482585032143)</f>
        <v>0.1875848259</v>
      </c>
      <c r="S152" s="187">
        <f>IFERROR(__xludf.DUMMYFUNCTION("""COMPUTED_VALUE"""),71.0)</f>
        <v>71</v>
      </c>
      <c r="T152" s="187">
        <f>IFERROR(__xludf.DUMMYFUNCTION("""COMPUTED_VALUE"""),65.0)</f>
        <v>65</v>
      </c>
      <c r="U152" s="187">
        <f>IFERROR(__xludf.DUMMYFUNCTION("""COMPUTED_VALUE"""),10.0)</f>
        <v>10</v>
      </c>
      <c r="V152" s="187">
        <f>IFERROR(__xludf.DUMMYFUNCTION("""COMPUTED_VALUE"""),10.0)</f>
        <v>10</v>
      </c>
      <c r="W152" s="187">
        <f>IFERROR(__xludf.DUMMYFUNCTION("""COMPUTED_VALUE"""),81.0)</f>
        <v>81</v>
      </c>
      <c r="X152" s="187">
        <f>IFERROR(__xludf.DUMMYFUNCTION("""COMPUTED_VALUE"""),16.0)</f>
        <v>16</v>
      </c>
      <c r="Y152" s="188">
        <f>IFERROR(__xludf.DUMMYFUNCTION("""COMPUTED_VALUE"""),2511426.9)</f>
        <v>2511426.9</v>
      </c>
      <c r="Z152" s="188">
        <f>IFERROR(__xludf.DUMMYFUNCTION("""COMPUTED_VALUE"""),1630482.58)</f>
        <v>1630482.58</v>
      </c>
      <c r="AA152" s="187">
        <f>IFERROR(__xludf.DUMMYFUNCTION("""COMPUTED_VALUE"""),25.0)</f>
        <v>25</v>
      </c>
      <c r="AB152" s="187">
        <f>IFERROR(__xludf.DUMMYFUNCTION("""COMPUTED_VALUE"""),10.0)</f>
        <v>10</v>
      </c>
      <c r="AC152" s="187">
        <f>IFERROR(__xludf.DUMMYFUNCTION("""COMPUTED_VALUE"""),35.0)</f>
        <v>35</v>
      </c>
      <c r="AD152" s="187">
        <f>IFERROR(__xludf.DUMMYFUNCTION("""COMPUTED_VALUE"""),0.0)</f>
        <v>0</v>
      </c>
      <c r="AE152" s="187">
        <f>IFERROR(__xludf.DUMMYFUNCTION("""COMPUTED_VALUE"""),2.0)</f>
        <v>2</v>
      </c>
      <c r="AF152" s="187">
        <f>IFERROR(__xludf.DUMMYFUNCTION("""COMPUTED_VALUE"""),5.0)</f>
        <v>5</v>
      </c>
      <c r="AG152" s="187">
        <f>IFERROR(__xludf.DUMMYFUNCTION("""COMPUTED_VALUE"""),4.0)</f>
        <v>4</v>
      </c>
      <c r="AH152" s="187">
        <f>IFERROR(__xludf.DUMMYFUNCTION("""COMPUTED_VALUE"""),1.0)</f>
        <v>1</v>
      </c>
      <c r="AI152" s="187">
        <f>IFERROR(__xludf.DUMMYFUNCTION("""COMPUTED_VALUE"""),1.0)</f>
        <v>1</v>
      </c>
      <c r="AJ152" s="187">
        <f>IFERROR(__xludf.DUMMYFUNCTION("""COMPUTED_VALUE"""),1.0)</f>
        <v>1</v>
      </c>
      <c r="AK152" s="187">
        <f>IFERROR(__xludf.DUMMYFUNCTION("""COMPUTED_VALUE"""),1.0)</f>
        <v>1</v>
      </c>
      <c r="AL152" s="187">
        <f>IFERROR(__xludf.DUMMYFUNCTION("""COMPUTED_VALUE"""),0.0)</f>
        <v>0</v>
      </c>
      <c r="AM152" s="187">
        <f>IFERROR(__xludf.DUMMYFUNCTION("""COMPUTED_VALUE"""),0.0)</f>
        <v>0</v>
      </c>
      <c r="AN152" s="187">
        <f>IFERROR(__xludf.DUMMYFUNCTION("""COMPUTED_VALUE"""),148.0)</f>
        <v>148</v>
      </c>
      <c r="AO152" s="187">
        <f>IFERROR(__xludf.DUMMYFUNCTION("""COMPUTED_VALUE"""),155.0)</f>
        <v>155</v>
      </c>
      <c r="AP152" s="187">
        <f>IFERROR(__xludf.DUMMYFUNCTION("""COMPUTED_VALUE"""),53.0)</f>
        <v>53</v>
      </c>
      <c r="AQ152" s="217">
        <f>IFERROR(__xludf.DUMMYFUNCTION("""COMPUTED_VALUE"""),78149.22641509434)</f>
        <v>78149.22642</v>
      </c>
      <c r="AR152" s="188">
        <f>IFERROR(__xludf.DUMMYFUNCTION("""COMPUTED_VALUE"""),2.9245283018867925)</f>
        <v>2.924528302</v>
      </c>
      <c r="AS152" s="217">
        <f>IFERROR(__xludf.DUMMYFUNCTION("""COMPUTED_VALUE"""),106950.0)</f>
        <v>106950</v>
      </c>
      <c r="AT152" s="217"/>
      <c r="AU152" s="218">
        <f>IFERROR(__xludf.DUMMYFUNCTION("""COMPUTED_VALUE"""),0.02582142678653732)</f>
        <v>0.02582142679</v>
      </c>
      <c r="AV152" s="217">
        <f>IFERROR(__xludf.DUMMYFUNCTION("""COMPUTED_VALUE"""),118340.25714285714)</f>
        <v>118340.2571</v>
      </c>
      <c r="AW152" s="219">
        <f>IFERROR(__xludf.DUMMYFUNCTION("""COMPUTED_VALUE"""),63.0)</f>
        <v>63</v>
      </c>
      <c r="AX152" s="219">
        <f>IFERROR(__xludf.DUMMYFUNCTION("""COMPUTED_VALUE"""),708.0)</f>
        <v>708</v>
      </c>
      <c r="AY152" s="262">
        <f>IFERROR(__xludf.DUMMYFUNCTION("""COMPUTED_VALUE"""),7282.82)</f>
        <v>7282.82</v>
      </c>
      <c r="AZ152" s="263">
        <f>IFERROR(__xludf.DUMMYFUNCTION("""COMPUTED_VALUE"""),112.0)</f>
        <v>112</v>
      </c>
      <c r="BA152" s="263">
        <f>IFERROR(__xludf.DUMMYFUNCTION("""COMPUTED_VALUE"""),35.0)</f>
        <v>35</v>
      </c>
      <c r="BB152" s="263">
        <f>IFERROR(__xludf.DUMMYFUNCTION("""COMPUTED_VALUE"""),33.0)</f>
        <v>33</v>
      </c>
      <c r="BC152" s="263">
        <f>IFERROR(__xludf.DUMMYFUNCTION("""COMPUTED_VALUE"""),13.0)</f>
        <v>13</v>
      </c>
      <c r="BD152" s="265"/>
      <c r="BE152" s="258"/>
      <c r="BF152" s="255" t="e">
        <v>#REF!</v>
      </c>
      <c r="BG152" s="256">
        <f t="shared" si="4"/>
        <v>4141909</v>
      </c>
      <c r="BH152" s="257" t="str">
        <f t="shared" si="5"/>
        <v>#REF!</v>
      </c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</row>
    <row r="153">
      <c r="A153" s="6"/>
      <c r="B153" s="98"/>
      <c r="C153" s="212" t="str">
        <f>IFERROR(__xludf.DUMMYFUNCTION("""COMPUTED_VALUE"""),"Tarun Giri")</f>
        <v>Tarun Giri</v>
      </c>
      <c r="D153" s="98" t="str">
        <f>IFERROR(__xludf.DUMMYFUNCTION("""COMPUTED_VALUE"""),"Meerut")</f>
        <v>Meerut</v>
      </c>
      <c r="E153" s="213">
        <f>IFERROR(__xludf.DUMMYFUNCTION("""COMPUTED_VALUE"""),46069.0)</f>
        <v>46069</v>
      </c>
      <c r="F153" s="222" t="str">
        <f>IFERROR(__xludf.DUMMYFUNCTION("""COMPUTED_VALUE"""),"West U.P")</f>
        <v>West U.P</v>
      </c>
      <c r="G153" s="215">
        <f>IFERROR(__xludf.DUMMYFUNCTION("""COMPUTED_VALUE"""),835665.6499999999)</f>
        <v>835665.65</v>
      </c>
      <c r="H153" s="215">
        <f>IFERROR(__xludf.DUMMYFUNCTION("""COMPUTED_VALUE"""),716782.0)</f>
        <v>716782</v>
      </c>
      <c r="I153" s="216">
        <f>IFERROR(__xludf.DUMMYFUNCTION("""COMPUTED_VALUE"""),31455.0)</f>
        <v>31455</v>
      </c>
      <c r="J153" s="216">
        <f>IFERROR(__xludf.DUMMYFUNCTION("""COMPUTED_VALUE"""),1300000.0)</f>
        <v>1300000</v>
      </c>
      <c r="K153" s="217">
        <f>IFERROR(__xludf.DUMMYFUNCTION("""COMPUTED_VALUE"""),0.0)</f>
        <v>0</v>
      </c>
      <c r="L153" s="217">
        <f>IFERROR(__xludf.DUMMYFUNCTION("""COMPUTED_VALUE"""),3900000.0)</f>
        <v>3900000</v>
      </c>
      <c r="M153" s="217">
        <f>IFERROR(__xludf.DUMMYFUNCTION("""COMPUTED_VALUE"""),2780778.0)</f>
        <v>2780778</v>
      </c>
      <c r="N153" s="217">
        <f>IFERROR(__xludf.DUMMYFUNCTION("""COMPUTED_VALUE"""),0.0)</f>
        <v>0</v>
      </c>
      <c r="O153" s="217">
        <f>IFERROR(__xludf.DUMMYFUNCTION("""COMPUTED_VALUE"""),3295178.0)</f>
        <v>3295178</v>
      </c>
      <c r="P153" s="218">
        <f>IFERROR(__xludf.DUMMYFUNCTION("""COMPUTED_VALUE"""),0.71302)</f>
        <v>0.71302</v>
      </c>
      <c r="Q153" s="218">
        <f>IFERROR(__xludf.DUMMYFUNCTION("""COMPUTED_VALUE"""),0.0)</f>
        <v>0</v>
      </c>
      <c r="R153" s="218">
        <f>IFERROR(__xludf.DUMMYFUNCTION("""COMPUTED_VALUE"""),0.8449174358974358)</f>
        <v>0.8449174359</v>
      </c>
      <c r="S153" s="187">
        <f>IFERROR(__xludf.DUMMYFUNCTION("""COMPUTED_VALUE"""),31.0)</f>
        <v>31</v>
      </c>
      <c r="T153" s="187">
        <f>IFERROR(__xludf.DUMMYFUNCTION("""COMPUTED_VALUE"""),52.0)</f>
        <v>52</v>
      </c>
      <c r="U153" s="187">
        <f>IFERROR(__xludf.DUMMYFUNCTION("""COMPUTED_VALUE"""),22.0)</f>
        <v>22</v>
      </c>
      <c r="V153" s="187">
        <f>IFERROR(__xludf.DUMMYFUNCTION("""COMPUTED_VALUE"""),22.0)</f>
        <v>22</v>
      </c>
      <c r="W153" s="187">
        <f>IFERROR(__xludf.DUMMYFUNCTION("""COMPUTED_VALUE"""),53.0)</f>
        <v>53</v>
      </c>
      <c r="X153" s="187">
        <f>IFERROR(__xludf.DUMMYFUNCTION("""COMPUTED_VALUE"""),1.0)</f>
        <v>1</v>
      </c>
      <c r="Y153" s="188">
        <f>IFERROR(__xludf.DUMMYFUNCTION("""COMPUTED_VALUE"""),2033280.12)</f>
        <v>2033280.12</v>
      </c>
      <c r="Z153" s="188">
        <f>IFERROR(__xludf.DUMMYFUNCTION("""COMPUTED_VALUE"""),747498.13)</f>
        <v>747498.13</v>
      </c>
      <c r="AA153" s="187">
        <f>IFERROR(__xludf.DUMMYFUNCTION("""COMPUTED_VALUE"""),21.0)</f>
        <v>21</v>
      </c>
      <c r="AB153" s="187">
        <f>IFERROR(__xludf.DUMMYFUNCTION("""COMPUTED_VALUE"""),22.0)</f>
        <v>22</v>
      </c>
      <c r="AC153" s="187">
        <f>IFERROR(__xludf.DUMMYFUNCTION("""COMPUTED_VALUE"""),43.0)</f>
        <v>43</v>
      </c>
      <c r="AD153" s="187">
        <f>IFERROR(__xludf.DUMMYFUNCTION("""COMPUTED_VALUE"""),0.0)</f>
        <v>0</v>
      </c>
      <c r="AE153" s="187">
        <f>IFERROR(__xludf.DUMMYFUNCTION("""COMPUTED_VALUE"""),137.0)</f>
        <v>137</v>
      </c>
      <c r="AF153" s="187">
        <f>IFERROR(__xludf.DUMMYFUNCTION("""COMPUTED_VALUE"""),451.0)</f>
        <v>451</v>
      </c>
      <c r="AG153" s="187">
        <f>IFERROR(__xludf.DUMMYFUNCTION("""COMPUTED_VALUE"""),23.0)</f>
        <v>23</v>
      </c>
      <c r="AH153" s="187">
        <f>IFERROR(__xludf.DUMMYFUNCTION("""COMPUTED_VALUE"""),5.0)</f>
        <v>5</v>
      </c>
      <c r="AI153" s="187">
        <f>IFERROR(__xludf.DUMMYFUNCTION("""COMPUTED_VALUE"""),40.0)</f>
        <v>40</v>
      </c>
      <c r="AJ153" s="187">
        <f>IFERROR(__xludf.DUMMYFUNCTION("""COMPUTED_VALUE"""),0.0)</f>
        <v>0</v>
      </c>
      <c r="AK153" s="187">
        <f>IFERROR(__xludf.DUMMYFUNCTION("""COMPUTED_VALUE"""),0.0)</f>
        <v>0</v>
      </c>
      <c r="AL153" s="187">
        <f>IFERROR(__xludf.DUMMYFUNCTION("""COMPUTED_VALUE"""),1.0)</f>
        <v>1</v>
      </c>
      <c r="AM153" s="187">
        <f>IFERROR(__xludf.DUMMYFUNCTION("""COMPUTED_VALUE"""),1.0)</f>
        <v>1</v>
      </c>
      <c r="AN153" s="187">
        <f>IFERROR(__xludf.DUMMYFUNCTION("""COMPUTED_VALUE"""),320.0)</f>
        <v>320</v>
      </c>
      <c r="AO153" s="187">
        <f>IFERROR(__xludf.DUMMYFUNCTION("""COMPUTED_VALUE"""),812.0)</f>
        <v>812</v>
      </c>
      <c r="AP153" s="187">
        <f>IFERROR(__xludf.DUMMYFUNCTION("""COMPUTED_VALUE"""),74.0)</f>
        <v>74</v>
      </c>
      <c r="AQ153" s="217">
        <f>IFERROR(__xludf.DUMMYFUNCTION("""COMPUTED_VALUE"""),37578.08108108108)</f>
        <v>37578.08108</v>
      </c>
      <c r="AR153" s="188">
        <f>IFERROR(__xludf.DUMMYFUNCTION("""COMPUTED_VALUE"""),10.972972972972974)</f>
        <v>10.97297297</v>
      </c>
      <c r="AS153" s="217">
        <f>IFERROR(__xludf.DUMMYFUNCTION("""COMPUTED_VALUE"""),94365.0)</f>
        <v>94365</v>
      </c>
      <c r="AT153" s="217"/>
      <c r="AU153" s="218">
        <f>IFERROR(__xludf.DUMMYFUNCTION("""COMPUTED_VALUE"""),0.03393474775764193)</f>
        <v>0.03393474776</v>
      </c>
      <c r="AV153" s="217">
        <f>IFERROR(__xludf.DUMMYFUNCTION("""COMPUTED_VALUE"""),64669.25581395349)</f>
        <v>64669.25581</v>
      </c>
      <c r="AW153" s="219">
        <f>IFERROR(__xludf.DUMMYFUNCTION("""COMPUTED_VALUE"""),163.0)</f>
        <v>163</v>
      </c>
      <c r="AX153" s="219">
        <f>IFERROR(__xludf.DUMMYFUNCTION("""COMPUTED_VALUE"""),744.0)</f>
        <v>744</v>
      </c>
      <c r="AY153" s="262">
        <f>IFERROR(__xludf.DUMMYFUNCTION("""COMPUTED_VALUE"""),9726.82)</f>
        <v>9726.82</v>
      </c>
      <c r="AZ153" s="263">
        <f>IFERROR(__xludf.DUMMYFUNCTION("""COMPUTED_VALUE"""),187.0)</f>
        <v>187</v>
      </c>
      <c r="BA153" s="263">
        <f>IFERROR(__xludf.DUMMYFUNCTION("""COMPUTED_VALUE"""),43.0)</f>
        <v>43</v>
      </c>
      <c r="BB153" s="263">
        <f>IFERROR(__xludf.DUMMYFUNCTION("""COMPUTED_VALUE"""),9.0)</f>
        <v>9</v>
      </c>
      <c r="BC153" s="263">
        <f>IFERROR(__xludf.DUMMYFUNCTION("""COMPUTED_VALUE"""),1.0)</f>
        <v>1</v>
      </c>
      <c r="BD153" s="258"/>
      <c r="BE153" s="258"/>
      <c r="BF153" s="255" t="e">
        <v>#REF!</v>
      </c>
      <c r="BG153" s="256">
        <f t="shared" si="4"/>
        <v>2780778</v>
      </c>
      <c r="BH153" s="257" t="str">
        <f t="shared" si="5"/>
        <v>#REF!</v>
      </c>
      <c r="BI153" s="98"/>
      <c r="BJ153" s="98"/>
      <c r="BK153" s="98"/>
      <c r="BL153" s="98"/>
      <c r="BM153" s="98"/>
      <c r="BN153" s="98"/>
      <c r="BO153" s="98"/>
      <c r="BP153" s="98"/>
      <c r="BQ153" s="98"/>
      <c r="BR153" s="98"/>
    </row>
    <row r="154">
      <c r="A154" s="6" t="str">
        <f>IFERROR(__xludf.DUMMYFUNCTION("""COMPUTED_VALUE"""),"Biju C.O")</f>
        <v>Biju C.O</v>
      </c>
      <c r="B154" s="98" t="str">
        <f>IFERROR(__xludf.DUMMYFUNCTION("""COMPUTED_VALUE"""),"Tamil Nadu")</f>
        <v>Tamil Nadu</v>
      </c>
      <c r="C154" s="212" t="str">
        <f>IFERROR(__xludf.DUMMYFUNCTION("""COMPUTED_VALUE"""),"K Suresh Kumar")</f>
        <v>K Suresh Kumar</v>
      </c>
      <c r="D154" s="98" t="str">
        <f>IFERROR(__xludf.DUMMYFUNCTION("""COMPUTED_VALUE"""),"Virudhunagar")</f>
        <v>Virudhunagar</v>
      </c>
      <c r="E154" s="213">
        <f>IFERROR(__xludf.DUMMYFUNCTION("""COMPUTED_VALUE"""),46084.0)</f>
        <v>46084</v>
      </c>
      <c r="F154" s="222" t="str">
        <f>IFERROR(__xludf.DUMMYFUNCTION("""COMPUTED_VALUE"""),"TAMIL NADU")</f>
        <v>TAMIL NADU</v>
      </c>
      <c r="G154" s="215">
        <f>IFERROR(__xludf.DUMMYFUNCTION("""COMPUTED_VALUE"""),96357.70000000001)</f>
        <v>96357.7</v>
      </c>
      <c r="H154" s="215">
        <f>IFERROR(__xludf.DUMMYFUNCTION("""COMPUTED_VALUE"""),96360.0)</f>
        <v>96360</v>
      </c>
      <c r="I154" s="216">
        <f>IFERROR(__xludf.DUMMYFUNCTION("""COMPUTED_VALUE"""),34620.0)</f>
        <v>34620</v>
      </c>
      <c r="J154" s="216">
        <f>IFERROR(__xludf.DUMMYFUNCTION("""COMPUTED_VALUE"""),1250000.0)</f>
        <v>1250000</v>
      </c>
      <c r="K154" s="217">
        <f>IFERROR(__xludf.DUMMYFUNCTION("""COMPUTED_VALUE"""),0.0)</f>
        <v>0</v>
      </c>
      <c r="L154" s="217">
        <f>IFERROR(__xludf.DUMMYFUNCTION("""COMPUTED_VALUE"""),3750000.0)</f>
        <v>3750000</v>
      </c>
      <c r="M154" s="217">
        <f>IFERROR(__xludf.DUMMYFUNCTION("""COMPUTED_VALUE"""),1327369.0)</f>
        <v>1327369</v>
      </c>
      <c r="N154" s="217">
        <f>IFERROR(__xludf.DUMMYFUNCTION("""COMPUTED_VALUE"""),0.0)</f>
        <v>0</v>
      </c>
      <c r="O154" s="217">
        <f>IFERROR(__xludf.DUMMYFUNCTION("""COMPUTED_VALUE"""),1347225.2000000002)</f>
        <v>1347225.2</v>
      </c>
      <c r="P154" s="218">
        <f>IFERROR(__xludf.DUMMYFUNCTION("""COMPUTED_VALUE"""),0.35396506666666666)</f>
        <v>0.3539650667</v>
      </c>
      <c r="Q154" s="218">
        <f>IFERROR(__xludf.DUMMYFUNCTION("""COMPUTED_VALUE"""),0.0)</f>
        <v>0</v>
      </c>
      <c r="R154" s="218">
        <f>IFERROR(__xludf.DUMMYFUNCTION("""COMPUTED_VALUE"""),0.3592600533333334)</f>
        <v>0.3592600533</v>
      </c>
      <c r="S154" s="187">
        <f>IFERROR(__xludf.DUMMYFUNCTION("""COMPUTED_VALUE"""),48.0)</f>
        <v>48</v>
      </c>
      <c r="T154" s="187">
        <f>IFERROR(__xludf.DUMMYFUNCTION("""COMPUTED_VALUE"""),70.0)</f>
        <v>70</v>
      </c>
      <c r="U154" s="187">
        <f>IFERROR(__xludf.DUMMYFUNCTION("""COMPUTED_VALUE"""),26.0)</f>
        <v>26</v>
      </c>
      <c r="V154" s="187">
        <f>IFERROR(__xludf.DUMMYFUNCTION("""COMPUTED_VALUE"""),26.0)</f>
        <v>26</v>
      </c>
      <c r="W154" s="187">
        <f>IFERROR(__xludf.DUMMYFUNCTION("""COMPUTED_VALUE"""),74.0)</f>
        <v>74</v>
      </c>
      <c r="X154" s="187">
        <f>IFERROR(__xludf.DUMMYFUNCTION("""COMPUTED_VALUE"""),4.0)</f>
        <v>4</v>
      </c>
      <c r="Y154" s="188">
        <f>IFERROR(__xludf.DUMMYFUNCTION("""COMPUTED_VALUE"""),664624.8)</f>
        <v>664624.8</v>
      </c>
      <c r="Z154" s="188">
        <f>IFERROR(__xludf.DUMMYFUNCTION("""COMPUTED_VALUE"""),662744.2)</f>
        <v>662744.2</v>
      </c>
      <c r="AA154" s="187">
        <f>IFERROR(__xludf.DUMMYFUNCTION("""COMPUTED_VALUE"""),20.0)</f>
        <v>20</v>
      </c>
      <c r="AB154" s="187">
        <f>IFERROR(__xludf.DUMMYFUNCTION("""COMPUTED_VALUE"""),26.0)</f>
        <v>26</v>
      </c>
      <c r="AC154" s="187">
        <f>IFERROR(__xludf.DUMMYFUNCTION("""COMPUTED_VALUE"""),46.0)</f>
        <v>46</v>
      </c>
      <c r="AD154" s="187">
        <f>IFERROR(__xludf.DUMMYFUNCTION("""COMPUTED_VALUE"""),0.0)</f>
        <v>0</v>
      </c>
      <c r="AE154" s="187">
        <f>IFERROR(__xludf.DUMMYFUNCTION("""COMPUTED_VALUE"""),152.0)</f>
        <v>152</v>
      </c>
      <c r="AF154" s="187">
        <f>IFERROR(__xludf.DUMMYFUNCTION("""COMPUTED_VALUE"""),322.0)</f>
        <v>322</v>
      </c>
      <c r="AG154" s="187">
        <f>IFERROR(__xludf.DUMMYFUNCTION("""COMPUTED_VALUE"""),17.0)</f>
        <v>17</v>
      </c>
      <c r="AH154" s="187">
        <f>IFERROR(__xludf.DUMMYFUNCTION("""COMPUTED_VALUE"""),0.0)</f>
        <v>0</v>
      </c>
      <c r="AI154" s="187">
        <f>IFERROR(__xludf.DUMMYFUNCTION("""COMPUTED_VALUE"""),0.0)</f>
        <v>0</v>
      </c>
      <c r="AJ154" s="187">
        <f>IFERROR(__xludf.DUMMYFUNCTION("""COMPUTED_VALUE"""),1.0)</f>
        <v>1</v>
      </c>
      <c r="AK154" s="187">
        <f>IFERROR(__xludf.DUMMYFUNCTION("""COMPUTED_VALUE"""),1.0)</f>
        <v>1</v>
      </c>
      <c r="AL154" s="187">
        <f>IFERROR(__xludf.DUMMYFUNCTION("""COMPUTED_VALUE"""),0.0)</f>
        <v>0</v>
      </c>
      <c r="AM154" s="187">
        <f>IFERROR(__xludf.DUMMYFUNCTION("""COMPUTED_VALUE"""),0.0)</f>
        <v>0</v>
      </c>
      <c r="AN154" s="187">
        <f>IFERROR(__xludf.DUMMYFUNCTION("""COMPUTED_VALUE"""),261.0)</f>
        <v>261</v>
      </c>
      <c r="AO154" s="187">
        <f>IFERROR(__xludf.DUMMYFUNCTION("""COMPUTED_VALUE"""),584.0)</f>
        <v>584</v>
      </c>
      <c r="AP154" s="187">
        <f>IFERROR(__xludf.DUMMYFUNCTION("""COMPUTED_VALUE"""),68.0)</f>
        <v>68</v>
      </c>
      <c r="AQ154" s="217">
        <f>IFERROR(__xludf.DUMMYFUNCTION("""COMPUTED_VALUE"""),19520.132352941175)</f>
        <v>19520.13235</v>
      </c>
      <c r="AR154" s="188">
        <f>IFERROR(__xludf.DUMMYFUNCTION("""COMPUTED_VALUE"""),8.588235294117647)</f>
        <v>8.588235294</v>
      </c>
      <c r="AS154" s="217">
        <f>IFERROR(__xludf.DUMMYFUNCTION("""COMPUTED_VALUE"""),103860.0)</f>
        <v>103860</v>
      </c>
      <c r="AT154" s="217"/>
      <c r="AU154" s="218">
        <f>IFERROR(__xludf.DUMMYFUNCTION("""COMPUTED_VALUE"""),0.07824500948869531)</f>
        <v>0.07824500949</v>
      </c>
      <c r="AV154" s="217">
        <f>IFERROR(__xludf.DUMMYFUNCTION("""COMPUTED_VALUE"""),28855.847826086956)</f>
        <v>28855.84783</v>
      </c>
      <c r="AW154" s="219">
        <f>IFERROR(__xludf.DUMMYFUNCTION("""COMPUTED_VALUE"""),100.0)</f>
        <v>100</v>
      </c>
      <c r="AX154" s="219">
        <f>IFERROR(__xludf.DUMMYFUNCTION("""COMPUTED_VALUE"""),671.0)</f>
        <v>671</v>
      </c>
      <c r="AY154" s="262">
        <f>IFERROR(__xludf.DUMMYFUNCTION("""COMPUTED_VALUE"""),8066.78)</f>
        <v>8066.78</v>
      </c>
      <c r="AZ154" s="263">
        <f>IFERROR(__xludf.DUMMYFUNCTION("""COMPUTED_VALUE"""),115.0)</f>
        <v>115</v>
      </c>
      <c r="BA154" s="263">
        <f>IFERROR(__xludf.DUMMYFUNCTION("""COMPUTED_VALUE"""),46.0)</f>
        <v>46</v>
      </c>
      <c r="BB154" s="263">
        <f>IFERROR(__xludf.DUMMYFUNCTION("""COMPUTED_VALUE"""),24.0)</f>
        <v>24</v>
      </c>
      <c r="BC154" s="263">
        <f>IFERROR(__xludf.DUMMYFUNCTION("""COMPUTED_VALUE"""),4.0)</f>
        <v>4</v>
      </c>
      <c r="BD154" s="258"/>
      <c r="BE154" s="258"/>
      <c r="BF154" s="255" t="e">
        <v>#REF!</v>
      </c>
      <c r="BG154" s="256">
        <f t="shared" si="4"/>
        <v>1327369</v>
      </c>
      <c r="BH154" s="257" t="str">
        <f t="shared" si="5"/>
        <v>#REF!</v>
      </c>
      <c r="BI154" s="98"/>
      <c r="BJ154" s="98"/>
      <c r="BK154" s="98"/>
      <c r="BL154" s="98"/>
      <c r="BM154" s="98"/>
      <c r="BN154" s="98"/>
      <c r="BO154" s="98"/>
      <c r="BP154" s="98"/>
      <c r="BQ154" s="98"/>
      <c r="BR154" s="98"/>
    </row>
    <row r="155">
      <c r="A155" s="6" t="str">
        <f>IFERROR(__xludf.DUMMYFUNCTION("""COMPUTED_VALUE"""),"Nasir Hussain Khan")</f>
        <v>Nasir Hussain Khan</v>
      </c>
      <c r="B155" s="98" t="str">
        <f>IFERROR(__xludf.DUMMYFUNCTION("""COMPUTED_VALUE"""),"JAMMU AND KASHMIR")</f>
        <v>JAMMU AND KASHMIR</v>
      </c>
      <c r="C155" s="212" t="str">
        <f>IFERROR(__xludf.DUMMYFUNCTION("""COMPUTED_VALUE"""),"Deep Kumar")</f>
        <v>Deep Kumar</v>
      </c>
      <c r="D155" s="98" t="str">
        <f>IFERROR(__xludf.DUMMYFUNCTION("""COMPUTED_VALUE"""),"Jammu")</f>
        <v>Jammu</v>
      </c>
      <c r="E155" s="213">
        <f>IFERROR(__xludf.DUMMYFUNCTION("""COMPUTED_VALUE"""),46086.0)</f>
        <v>46086</v>
      </c>
      <c r="F155" s="222" t="str">
        <f>IFERROR(__xludf.DUMMYFUNCTION("""COMPUTED_VALUE"""),"JAMMU AND KASHMIR")</f>
        <v>JAMMU AND KASHMIR</v>
      </c>
      <c r="G155" s="215">
        <f>IFERROR(__xludf.DUMMYFUNCTION("""COMPUTED_VALUE"""),50841.5)</f>
        <v>50841.5</v>
      </c>
      <c r="H155" s="215">
        <f>IFERROR(__xludf.DUMMYFUNCTION("""COMPUTED_VALUE"""),0.0)</f>
        <v>0</v>
      </c>
      <c r="I155" s="216">
        <f>IFERROR(__xludf.DUMMYFUNCTION("""COMPUTED_VALUE"""),27260.0)</f>
        <v>27260</v>
      </c>
      <c r="J155" s="216">
        <f>IFERROR(__xludf.DUMMYFUNCTION("""COMPUTED_VALUE"""),833333.0)</f>
        <v>833333</v>
      </c>
      <c r="K155" s="217">
        <f>IFERROR(__xludf.DUMMYFUNCTION("""COMPUTED_VALUE"""),0.0)</f>
        <v>0</v>
      </c>
      <c r="L155" s="217">
        <f>IFERROR(__xludf.DUMMYFUNCTION("""COMPUTED_VALUE"""),2499999.0)</f>
        <v>2499999</v>
      </c>
      <c r="M155" s="217">
        <f>IFERROR(__xludf.DUMMYFUNCTION("""COMPUTED_VALUE"""),401272.0)</f>
        <v>401272</v>
      </c>
      <c r="N155" s="217">
        <f>IFERROR(__xludf.DUMMYFUNCTION("""COMPUTED_VALUE"""),0.0)</f>
        <v>0</v>
      </c>
      <c r="O155" s="217">
        <f>IFERROR(__xludf.DUMMYFUNCTION("""COMPUTED_VALUE"""),421187.44)</f>
        <v>421187.44</v>
      </c>
      <c r="P155" s="218">
        <f>IFERROR(__xludf.DUMMYFUNCTION("""COMPUTED_VALUE"""),0.16050886420354568)</f>
        <v>0.1605088642</v>
      </c>
      <c r="Q155" s="218">
        <f>IFERROR(__xludf.DUMMYFUNCTION("""COMPUTED_VALUE"""),0.0)</f>
        <v>0</v>
      </c>
      <c r="R155" s="218">
        <f>IFERROR(__xludf.DUMMYFUNCTION("""COMPUTED_VALUE"""),0.16847504339001737)</f>
        <v>0.1684750434</v>
      </c>
      <c r="S155" s="187">
        <f>IFERROR(__xludf.DUMMYFUNCTION("""COMPUTED_VALUE"""),11.0)</f>
        <v>11</v>
      </c>
      <c r="T155" s="187">
        <f>IFERROR(__xludf.DUMMYFUNCTION("""COMPUTED_VALUE"""),12.0)</f>
        <v>12</v>
      </c>
      <c r="U155" s="187">
        <f>IFERROR(__xludf.DUMMYFUNCTION("""COMPUTED_VALUE"""),2.0)</f>
        <v>2</v>
      </c>
      <c r="V155" s="187">
        <f>IFERROR(__xludf.DUMMYFUNCTION("""COMPUTED_VALUE"""),2.0)</f>
        <v>2</v>
      </c>
      <c r="W155" s="187">
        <f>IFERROR(__xludf.DUMMYFUNCTION("""COMPUTED_VALUE"""),13.0)</f>
        <v>13</v>
      </c>
      <c r="X155" s="187">
        <f>IFERROR(__xludf.DUMMYFUNCTION("""COMPUTED_VALUE"""),1.0)</f>
        <v>1</v>
      </c>
      <c r="Y155" s="188">
        <f>IFERROR(__xludf.DUMMYFUNCTION("""COMPUTED_VALUE"""),39435.0)</f>
        <v>39435</v>
      </c>
      <c r="Z155" s="188">
        <f>IFERROR(__xludf.DUMMYFUNCTION("""COMPUTED_VALUE"""),361836.59)</f>
        <v>361836.59</v>
      </c>
      <c r="AA155" s="187">
        <f>IFERROR(__xludf.DUMMYFUNCTION("""COMPUTED_VALUE"""),1.0)</f>
        <v>1</v>
      </c>
      <c r="AB155" s="187">
        <f>IFERROR(__xludf.DUMMYFUNCTION("""COMPUTED_VALUE"""),2.0)</f>
        <v>2</v>
      </c>
      <c r="AC155" s="187">
        <f>IFERROR(__xludf.DUMMYFUNCTION("""COMPUTED_VALUE"""),3.0)</f>
        <v>3</v>
      </c>
      <c r="AD155" s="187">
        <f>IFERROR(__xludf.DUMMYFUNCTION("""COMPUTED_VALUE"""),0.0)</f>
        <v>0</v>
      </c>
      <c r="AE155" s="187">
        <f>IFERROR(__xludf.DUMMYFUNCTION("""COMPUTED_VALUE"""),87.0)</f>
        <v>87</v>
      </c>
      <c r="AF155" s="187">
        <f>IFERROR(__xludf.DUMMYFUNCTION("""COMPUTED_VALUE"""),237.0)</f>
        <v>237</v>
      </c>
      <c r="AG155" s="187">
        <f>IFERROR(__xludf.DUMMYFUNCTION("""COMPUTED_VALUE"""),14.0)</f>
        <v>14</v>
      </c>
      <c r="AH155" s="187">
        <f>IFERROR(__xludf.DUMMYFUNCTION("""COMPUTED_VALUE"""),2.0)</f>
        <v>2</v>
      </c>
      <c r="AI155" s="187">
        <f>IFERROR(__xludf.DUMMYFUNCTION("""COMPUTED_VALUE"""),10.0)</f>
        <v>10</v>
      </c>
      <c r="AJ155" s="187">
        <f>IFERROR(__xludf.DUMMYFUNCTION("""COMPUTED_VALUE"""),0.0)</f>
        <v>0</v>
      </c>
      <c r="AK155" s="187">
        <f>IFERROR(__xludf.DUMMYFUNCTION("""COMPUTED_VALUE"""),0.0)</f>
        <v>0</v>
      </c>
      <c r="AL155" s="187">
        <f>IFERROR(__xludf.DUMMYFUNCTION("""COMPUTED_VALUE"""),0.0)</f>
        <v>0</v>
      </c>
      <c r="AM155" s="187">
        <f>IFERROR(__xludf.DUMMYFUNCTION("""COMPUTED_VALUE"""),0.0)</f>
        <v>0</v>
      </c>
      <c r="AN155" s="187">
        <f>IFERROR(__xludf.DUMMYFUNCTION("""COMPUTED_VALUE"""),52.0)</f>
        <v>52</v>
      </c>
      <c r="AO155" s="187">
        <f>IFERROR(__xludf.DUMMYFUNCTION("""COMPUTED_VALUE"""),299.0)</f>
        <v>299</v>
      </c>
      <c r="AP155" s="187">
        <f>IFERROR(__xludf.DUMMYFUNCTION("""COMPUTED_VALUE"""),66.0)</f>
        <v>66</v>
      </c>
      <c r="AQ155" s="217">
        <f>IFERROR(__xludf.DUMMYFUNCTION("""COMPUTED_VALUE"""),6079.878787878788)</f>
        <v>6079.878788</v>
      </c>
      <c r="AR155" s="188">
        <f>IFERROR(__xludf.DUMMYFUNCTION("""COMPUTED_VALUE"""),4.53030303030303)</f>
        <v>4.53030303</v>
      </c>
      <c r="AS155" s="217">
        <f>IFERROR(__xludf.DUMMYFUNCTION("""COMPUTED_VALUE"""),81780.0)</f>
        <v>81780</v>
      </c>
      <c r="AT155" s="217"/>
      <c r="AU155" s="218">
        <f>IFERROR(__xludf.DUMMYFUNCTION("""COMPUTED_VALUE"""),0.20380190992643393)</f>
        <v>0.2038019099</v>
      </c>
      <c r="AV155" s="217">
        <f>IFERROR(__xludf.DUMMYFUNCTION("""COMPUTED_VALUE"""),133757.33333333334)</f>
        <v>133757.3333</v>
      </c>
      <c r="AW155" s="219">
        <f>IFERROR(__xludf.DUMMYFUNCTION("""COMPUTED_VALUE"""),3.0)</f>
        <v>3</v>
      </c>
      <c r="AX155" s="219">
        <f>IFERROR(__xludf.DUMMYFUNCTION("""COMPUTED_VALUE"""),628.0)</f>
        <v>628</v>
      </c>
      <c r="AY155" s="262">
        <f>IFERROR(__xludf.DUMMYFUNCTION("""COMPUTED_VALUE"""),4048.85)</f>
        <v>4048.85</v>
      </c>
      <c r="AZ155" s="263">
        <f>IFERROR(__xludf.DUMMYFUNCTION("""COMPUTED_VALUE"""),337.0)</f>
        <v>337</v>
      </c>
      <c r="BA155" s="263">
        <f>IFERROR(__xludf.DUMMYFUNCTION("""COMPUTED_VALUE"""),3.0)</f>
        <v>3</v>
      </c>
      <c r="BB155" s="263">
        <f>IFERROR(__xludf.DUMMYFUNCTION("""COMPUTED_VALUE"""),10.0)</f>
        <v>10</v>
      </c>
      <c r="BC155" s="263">
        <f>IFERROR(__xludf.DUMMYFUNCTION("""COMPUTED_VALUE"""),0.0)</f>
        <v>0</v>
      </c>
      <c r="BD155" s="258"/>
      <c r="BE155" s="265"/>
      <c r="BF155" s="255" t="e">
        <v>#REF!</v>
      </c>
      <c r="BG155" s="256">
        <f t="shared" si="4"/>
        <v>401272</v>
      </c>
      <c r="BH155" s="257" t="str">
        <f t="shared" si="5"/>
        <v>#REF!</v>
      </c>
      <c r="BI155" s="98"/>
      <c r="BJ155" s="98"/>
      <c r="BK155" s="98"/>
      <c r="BL155" s="98"/>
      <c r="BM155" s="98"/>
      <c r="BN155" s="98"/>
      <c r="BO155" s="98"/>
      <c r="BP155" s="98"/>
      <c r="BQ155" s="98"/>
      <c r="BR155" s="98"/>
    </row>
    <row r="156">
      <c r="A156" s="6" t="str">
        <f>IFERROR(__xludf.DUMMYFUNCTION("""COMPUTED_VALUE"""),"Sandeep Dadheech")</f>
        <v>Sandeep Dadheech</v>
      </c>
      <c r="B156" s="98" t="str">
        <f>IFERROR(__xludf.DUMMYFUNCTION("""COMPUTED_VALUE"""),"West Bengal")</f>
        <v>West Bengal</v>
      </c>
      <c r="C156" s="212" t="str">
        <f>IFERROR(__xludf.DUMMYFUNCTION("""COMPUTED_VALUE"""),"Aditya Dasgupta")</f>
        <v>Aditya Dasgupta</v>
      </c>
      <c r="D156" s="98" t="str">
        <f>IFERROR(__xludf.DUMMYFUNCTION("""COMPUTED_VALUE"""),"Siliguri")</f>
        <v>Siliguri</v>
      </c>
      <c r="E156" s="213">
        <f>IFERROR(__xludf.DUMMYFUNCTION("""COMPUTED_VALUE"""),46087.0)</f>
        <v>46087</v>
      </c>
      <c r="F156" s="222" t="str">
        <f>IFERROR(__xludf.DUMMYFUNCTION("""COMPUTED_VALUE"""),"WEST BENGAL")</f>
        <v>WEST BENGAL</v>
      </c>
      <c r="G156" s="215">
        <f>IFERROR(__xludf.DUMMYFUNCTION("""COMPUTED_VALUE"""),0.0)</f>
        <v>0</v>
      </c>
      <c r="H156" s="215">
        <f>IFERROR(__xludf.DUMMYFUNCTION("""COMPUTED_VALUE"""),0.0)</f>
        <v>0</v>
      </c>
      <c r="I156" s="216">
        <f>IFERROR(__xludf.DUMMYFUNCTION("""COMPUTED_VALUE"""),42480.0)</f>
        <v>42480</v>
      </c>
      <c r="J156" s="216">
        <f>IFERROR(__xludf.DUMMYFUNCTION("""COMPUTED_VALUE"""),2000000.0)</f>
        <v>2000000</v>
      </c>
      <c r="K156" s="217">
        <f>IFERROR(__xludf.DUMMYFUNCTION("""COMPUTED_VALUE"""),0.0)</f>
        <v>0</v>
      </c>
      <c r="L156" s="217">
        <f>IFERROR(__xludf.DUMMYFUNCTION("""COMPUTED_VALUE"""),6000000.0)</f>
        <v>6000000</v>
      </c>
      <c r="M156" s="217">
        <f>IFERROR(__xludf.DUMMYFUNCTION("""COMPUTED_VALUE"""),174750.0)</f>
        <v>174750</v>
      </c>
      <c r="N156" s="217">
        <f>IFERROR(__xludf.DUMMYFUNCTION("""COMPUTED_VALUE"""),0.0)</f>
        <v>0</v>
      </c>
      <c r="O156" s="217">
        <f>IFERROR(__xludf.DUMMYFUNCTION("""COMPUTED_VALUE"""),0.0)</f>
        <v>0</v>
      </c>
      <c r="P156" s="218">
        <f>IFERROR(__xludf.DUMMYFUNCTION("""COMPUTED_VALUE"""),0.029125)</f>
        <v>0.029125</v>
      </c>
      <c r="Q156" s="218">
        <f>IFERROR(__xludf.DUMMYFUNCTION("""COMPUTED_VALUE"""),0.0)</f>
        <v>0</v>
      </c>
      <c r="R156" s="218">
        <f>IFERROR(__xludf.DUMMYFUNCTION("""COMPUTED_VALUE"""),0.0)</f>
        <v>0</v>
      </c>
      <c r="S156" s="187">
        <f>IFERROR(__xludf.DUMMYFUNCTION("""COMPUTED_VALUE"""),35.0)</f>
        <v>35</v>
      </c>
      <c r="T156" s="187">
        <f>IFERROR(__xludf.DUMMYFUNCTION("""COMPUTED_VALUE"""),36.0)</f>
        <v>36</v>
      </c>
      <c r="U156" s="187">
        <f>IFERROR(__xludf.DUMMYFUNCTION("""COMPUTED_VALUE"""),3.0)</f>
        <v>3</v>
      </c>
      <c r="V156" s="187">
        <f>IFERROR(__xludf.DUMMYFUNCTION("""COMPUTED_VALUE"""),3.0)</f>
        <v>3</v>
      </c>
      <c r="W156" s="187">
        <f>IFERROR(__xludf.DUMMYFUNCTION("""COMPUTED_VALUE"""),38.0)</f>
        <v>38</v>
      </c>
      <c r="X156" s="187">
        <f>IFERROR(__xludf.DUMMYFUNCTION("""COMPUTED_VALUE"""),2.0)</f>
        <v>2</v>
      </c>
      <c r="Y156" s="188">
        <f>IFERROR(__xludf.DUMMYFUNCTION("""COMPUTED_VALUE"""),133014.67)</f>
        <v>133014.67</v>
      </c>
      <c r="Z156" s="188">
        <f>IFERROR(__xludf.DUMMYFUNCTION("""COMPUTED_VALUE"""),41735.14)</f>
        <v>41735.14</v>
      </c>
      <c r="AA156" s="187">
        <f>IFERROR(__xludf.DUMMYFUNCTION("""COMPUTED_VALUE"""),9.0)</f>
        <v>9</v>
      </c>
      <c r="AB156" s="187">
        <f>IFERROR(__xludf.DUMMYFUNCTION("""COMPUTED_VALUE"""),3.0)</f>
        <v>3</v>
      </c>
      <c r="AC156" s="187">
        <f>IFERROR(__xludf.DUMMYFUNCTION("""COMPUTED_VALUE"""),12.0)</f>
        <v>12</v>
      </c>
      <c r="AD156" s="187">
        <f>IFERROR(__xludf.DUMMYFUNCTION("""COMPUTED_VALUE"""),0.0)</f>
        <v>0</v>
      </c>
      <c r="AE156" s="187">
        <f>IFERROR(__xludf.DUMMYFUNCTION("""COMPUTED_VALUE"""),96.0)</f>
        <v>96</v>
      </c>
      <c r="AF156" s="187">
        <f>IFERROR(__xludf.DUMMYFUNCTION("""COMPUTED_VALUE"""),234.0)</f>
        <v>234</v>
      </c>
      <c r="AG156" s="187">
        <f>IFERROR(__xludf.DUMMYFUNCTION("""COMPUTED_VALUE"""),10.0)</f>
        <v>10</v>
      </c>
      <c r="AH156" s="187">
        <f>IFERROR(__xludf.DUMMYFUNCTION("""COMPUTED_VALUE"""),3.0)</f>
        <v>3</v>
      </c>
      <c r="AI156" s="187">
        <f>IFERROR(__xludf.DUMMYFUNCTION("""COMPUTED_VALUE"""),12.0)</f>
        <v>12</v>
      </c>
      <c r="AJ156" s="187">
        <f>IFERROR(__xludf.DUMMYFUNCTION("""COMPUTED_VALUE"""),0.0)</f>
        <v>0</v>
      </c>
      <c r="AK156" s="187">
        <f>IFERROR(__xludf.DUMMYFUNCTION("""COMPUTED_VALUE"""),0.0)</f>
        <v>0</v>
      </c>
      <c r="AL156" s="187">
        <f>IFERROR(__xludf.DUMMYFUNCTION("""COMPUTED_VALUE"""),2.0)</f>
        <v>2</v>
      </c>
      <c r="AM156" s="187">
        <f>IFERROR(__xludf.DUMMYFUNCTION("""COMPUTED_VALUE"""),3.0)</f>
        <v>3</v>
      </c>
      <c r="AN156" s="187">
        <f>IFERROR(__xludf.DUMMYFUNCTION("""COMPUTED_VALUE"""),110.0)</f>
        <v>110</v>
      </c>
      <c r="AO156" s="187">
        <f>IFERROR(__xludf.DUMMYFUNCTION("""COMPUTED_VALUE"""),359.0)</f>
        <v>359</v>
      </c>
      <c r="AP156" s="187">
        <f>IFERROR(__xludf.DUMMYFUNCTION("""COMPUTED_VALUE"""),72.0)</f>
        <v>72</v>
      </c>
      <c r="AQ156" s="217">
        <f>IFERROR(__xludf.DUMMYFUNCTION("""COMPUTED_VALUE"""),2427.0833333333335)</f>
        <v>2427.083333</v>
      </c>
      <c r="AR156" s="188">
        <f>IFERROR(__xludf.DUMMYFUNCTION("""COMPUTED_VALUE"""),4.986111111111111)</f>
        <v>4.986111111</v>
      </c>
      <c r="AS156" s="217">
        <f>IFERROR(__xludf.DUMMYFUNCTION("""COMPUTED_VALUE"""),127440.0)</f>
        <v>127440</v>
      </c>
      <c r="AT156" s="217"/>
      <c r="AU156" s="218">
        <f>IFERROR(__xludf.DUMMYFUNCTION("""COMPUTED_VALUE"""),0.7292703862660944)</f>
        <v>0.7292703863</v>
      </c>
      <c r="AV156" s="217">
        <f>IFERROR(__xludf.DUMMYFUNCTION("""COMPUTED_VALUE"""),14562.5)</f>
        <v>14562.5</v>
      </c>
      <c r="AW156" s="219">
        <f>IFERROR(__xludf.DUMMYFUNCTION("""COMPUTED_VALUE"""),21.0)</f>
        <v>21</v>
      </c>
      <c r="AX156" s="219">
        <f>IFERROR(__xludf.DUMMYFUNCTION("""COMPUTED_VALUE"""),580.0)</f>
        <v>580</v>
      </c>
      <c r="AY156" s="262">
        <f>IFERROR(__xludf.DUMMYFUNCTION("""COMPUTED_VALUE"""),3051.39)</f>
        <v>3051.39</v>
      </c>
      <c r="AZ156" s="263">
        <f>IFERROR(__xludf.DUMMYFUNCTION("""COMPUTED_VALUE"""),85.0)</f>
        <v>85</v>
      </c>
      <c r="BA156" s="263">
        <f>IFERROR(__xludf.DUMMYFUNCTION("""COMPUTED_VALUE"""),12.0)</f>
        <v>12</v>
      </c>
      <c r="BB156" s="263">
        <f>IFERROR(__xludf.DUMMYFUNCTION("""COMPUTED_VALUE"""),24.0)</f>
        <v>24</v>
      </c>
      <c r="BC156" s="263">
        <f>IFERROR(__xludf.DUMMYFUNCTION("""COMPUTED_VALUE"""),2.0)</f>
        <v>2</v>
      </c>
      <c r="BD156" s="258"/>
      <c r="BE156" s="258"/>
      <c r="BF156" s="255" t="e">
        <v>#REF!</v>
      </c>
      <c r="BG156" s="256">
        <f t="shared" si="4"/>
        <v>174750</v>
      </c>
      <c r="BH156" s="257" t="str">
        <f t="shared" si="5"/>
        <v>#REF!</v>
      </c>
      <c r="BI156" s="98"/>
      <c r="BJ156" s="98"/>
      <c r="BK156" s="98"/>
      <c r="BL156" s="98"/>
      <c r="BM156" s="98"/>
      <c r="BN156" s="98"/>
      <c r="BO156" s="98"/>
      <c r="BP156" s="98"/>
      <c r="BQ156" s="98"/>
      <c r="BR156" s="98"/>
    </row>
    <row r="157">
      <c r="A157" s="6" t="str">
        <f>IFERROR(__xludf.DUMMYFUNCTION("""COMPUTED_VALUE"""),"Sandeep Dadheech")</f>
        <v>Sandeep Dadheech</v>
      </c>
      <c r="B157" s="98" t="str">
        <f>IFERROR(__xludf.DUMMYFUNCTION("""COMPUTED_VALUE"""),"North East")</f>
        <v>North East</v>
      </c>
      <c r="C157" s="212" t="str">
        <f>IFERROR(__xludf.DUMMYFUNCTION("""COMPUTED_VALUE"""),"Pawan Kumar Pareek (Off-Roll)")</f>
        <v>Pawan Kumar Pareek (Off-Roll)</v>
      </c>
      <c r="D157" s="98" t="str">
        <f>IFERROR(__xludf.DUMMYFUNCTION("""COMPUTED_VALUE"""),"Balipara")</f>
        <v>Balipara</v>
      </c>
      <c r="E157" s="213">
        <f>IFERROR(__xludf.DUMMYFUNCTION("""COMPUTED_VALUE"""),46093.0)</f>
        <v>46093</v>
      </c>
      <c r="F157" s="222" t="str">
        <f>IFERROR(__xludf.DUMMYFUNCTION("""COMPUTED_VALUE"""),"ARUNACHAL PRADESH, ASSAM")</f>
        <v>ARUNACHAL PRADESH, ASSAM</v>
      </c>
      <c r="G157" s="215">
        <f>IFERROR(__xludf.DUMMYFUNCTION("""COMPUTED_VALUE"""),0.0)</f>
        <v>0</v>
      </c>
      <c r="H157" s="215">
        <f>IFERROR(__xludf.DUMMYFUNCTION("""COMPUTED_VALUE"""),0.0)</f>
        <v>0</v>
      </c>
      <c r="I157" s="216">
        <f>IFERROR(__xludf.DUMMYFUNCTION("""COMPUTED_VALUE"""),20000.0)</f>
        <v>20000</v>
      </c>
      <c r="J157" s="216"/>
      <c r="K157" s="217">
        <f>IFERROR(__xludf.DUMMYFUNCTION("""COMPUTED_VALUE"""),0.0)</f>
        <v>0</v>
      </c>
      <c r="L157" s="217">
        <f>IFERROR(__xludf.DUMMYFUNCTION("""COMPUTED_VALUE"""),0.0)</f>
        <v>0</v>
      </c>
      <c r="M157" s="217">
        <f>IFERROR(__xludf.DUMMYFUNCTION("""COMPUTED_VALUE"""),1958049.0)</f>
        <v>1958049</v>
      </c>
      <c r="N157" s="217">
        <f>IFERROR(__xludf.DUMMYFUNCTION("""COMPUTED_VALUE"""),0.0)</f>
        <v>0</v>
      </c>
      <c r="O157" s="217">
        <f>IFERROR(__xludf.DUMMYFUNCTION("""COMPUTED_VALUE"""),91928.0)</f>
        <v>91928</v>
      </c>
      <c r="P157" s="218"/>
      <c r="Q157" s="218">
        <f>IFERROR(__xludf.DUMMYFUNCTION("""COMPUTED_VALUE"""),0.0)</f>
        <v>0</v>
      </c>
      <c r="R157" s="218"/>
      <c r="S157" s="187">
        <f>IFERROR(__xludf.DUMMYFUNCTION("""COMPUTED_VALUE"""),21.0)</f>
        <v>21</v>
      </c>
      <c r="T157" s="187">
        <f>IFERROR(__xludf.DUMMYFUNCTION("""COMPUTED_VALUE"""),29.0)</f>
        <v>29</v>
      </c>
      <c r="U157" s="187">
        <f>IFERROR(__xludf.DUMMYFUNCTION("""COMPUTED_VALUE"""),10.0)</f>
        <v>10</v>
      </c>
      <c r="V157" s="187">
        <f>IFERROR(__xludf.DUMMYFUNCTION("""COMPUTED_VALUE"""),10.0)</f>
        <v>10</v>
      </c>
      <c r="W157" s="187">
        <f>IFERROR(__xludf.DUMMYFUNCTION("""COMPUTED_VALUE"""),31.0)</f>
        <v>31</v>
      </c>
      <c r="X157" s="187">
        <f>IFERROR(__xludf.DUMMYFUNCTION("""COMPUTED_VALUE"""),2.0)</f>
        <v>2</v>
      </c>
      <c r="Y157" s="188">
        <f>IFERROR(__xludf.DUMMYFUNCTION("""COMPUTED_VALUE"""),905979.7)</f>
        <v>905979.7</v>
      </c>
      <c r="Z157" s="188">
        <f>IFERROR(__xludf.DUMMYFUNCTION("""COMPUTED_VALUE"""),1052069.4)</f>
        <v>1052069.4</v>
      </c>
      <c r="AA157" s="187">
        <f>IFERROR(__xludf.DUMMYFUNCTION("""COMPUTED_VALUE"""),6.0)</f>
        <v>6</v>
      </c>
      <c r="AB157" s="187">
        <f>IFERROR(__xludf.DUMMYFUNCTION("""COMPUTED_VALUE"""),10.0)</f>
        <v>10</v>
      </c>
      <c r="AC157" s="187">
        <f>IFERROR(__xludf.DUMMYFUNCTION("""COMPUTED_VALUE"""),16.0)</f>
        <v>16</v>
      </c>
      <c r="AD157" s="187">
        <f>IFERROR(__xludf.DUMMYFUNCTION("""COMPUTED_VALUE"""),0.0)</f>
        <v>0</v>
      </c>
      <c r="AE157" s="187">
        <f>IFERROR(__xludf.DUMMYFUNCTION("""COMPUTED_VALUE"""),18.0)</f>
        <v>18</v>
      </c>
      <c r="AF157" s="187">
        <f>IFERROR(__xludf.DUMMYFUNCTION("""COMPUTED_VALUE"""),52.0)</f>
        <v>52</v>
      </c>
      <c r="AG157" s="187">
        <f>IFERROR(__xludf.DUMMYFUNCTION("""COMPUTED_VALUE"""),4.0)</f>
        <v>4</v>
      </c>
      <c r="AH157" s="187">
        <f>IFERROR(__xludf.DUMMYFUNCTION("""COMPUTED_VALUE"""),0.0)</f>
        <v>0</v>
      </c>
      <c r="AI157" s="187">
        <f>IFERROR(__xludf.DUMMYFUNCTION("""COMPUTED_VALUE"""),0.0)</f>
        <v>0</v>
      </c>
      <c r="AJ157" s="187">
        <f>IFERROR(__xludf.DUMMYFUNCTION("""COMPUTED_VALUE"""),0.0)</f>
        <v>0</v>
      </c>
      <c r="AK157" s="187">
        <f>IFERROR(__xludf.DUMMYFUNCTION("""COMPUTED_VALUE"""),0.0)</f>
        <v>0</v>
      </c>
      <c r="AL157" s="187">
        <f>IFERROR(__xludf.DUMMYFUNCTION("""COMPUTED_VALUE"""),0.0)</f>
        <v>0</v>
      </c>
      <c r="AM157" s="187">
        <f>IFERROR(__xludf.DUMMYFUNCTION("""COMPUTED_VALUE"""),0.0)</f>
        <v>0</v>
      </c>
      <c r="AN157" s="187">
        <f>IFERROR(__xludf.DUMMYFUNCTION("""COMPUTED_VALUE"""),117.0)</f>
        <v>117</v>
      </c>
      <c r="AO157" s="187">
        <f>IFERROR(__xludf.DUMMYFUNCTION("""COMPUTED_VALUE"""),169.0)</f>
        <v>169</v>
      </c>
      <c r="AP157" s="187">
        <f>IFERROR(__xludf.DUMMYFUNCTION("""COMPUTED_VALUE"""),58.0)</f>
        <v>58</v>
      </c>
      <c r="AQ157" s="217">
        <f>IFERROR(__xludf.DUMMYFUNCTION("""COMPUTED_VALUE"""),33759.46551724138)</f>
        <v>33759.46552</v>
      </c>
      <c r="AR157" s="188">
        <f>IFERROR(__xludf.DUMMYFUNCTION("""COMPUTED_VALUE"""),2.913793103448276)</f>
        <v>2.913793103</v>
      </c>
      <c r="AS157" s="217">
        <f>IFERROR(__xludf.DUMMYFUNCTION("""COMPUTED_VALUE"""),60000.0)</f>
        <v>60000</v>
      </c>
      <c r="AT157" s="217"/>
      <c r="AU157" s="218">
        <f>IFERROR(__xludf.DUMMYFUNCTION("""COMPUTED_VALUE"""),0.030642746938406545)</f>
        <v>0.03064274694</v>
      </c>
      <c r="AV157" s="217">
        <f>IFERROR(__xludf.DUMMYFUNCTION("""COMPUTED_VALUE"""),122378.0625)</f>
        <v>122378.0625</v>
      </c>
      <c r="AW157" s="219">
        <f>IFERROR(__xludf.DUMMYFUNCTION("""COMPUTED_VALUE"""),35.0)</f>
        <v>35</v>
      </c>
      <c r="AX157" s="219">
        <f>IFERROR(__xludf.DUMMYFUNCTION("""COMPUTED_VALUE"""),496.0)</f>
        <v>496</v>
      </c>
      <c r="AY157" s="262">
        <f>IFERROR(__xludf.DUMMYFUNCTION("""COMPUTED_VALUE"""),3448.45)</f>
        <v>3448.45</v>
      </c>
      <c r="AZ157" s="263">
        <f>IFERROR(__xludf.DUMMYFUNCTION("""COMPUTED_VALUE"""),119.0)</f>
        <v>119</v>
      </c>
      <c r="BA157" s="263">
        <f>IFERROR(__xludf.DUMMYFUNCTION("""COMPUTED_VALUE"""),16.0)</f>
        <v>16</v>
      </c>
      <c r="BB157" s="263">
        <f>IFERROR(__xludf.DUMMYFUNCTION("""COMPUTED_VALUE"""),13.0)</f>
        <v>13</v>
      </c>
      <c r="BC157" s="263">
        <f>IFERROR(__xludf.DUMMYFUNCTION("""COMPUTED_VALUE"""),2.0)</f>
        <v>2</v>
      </c>
      <c r="BD157" s="258"/>
      <c r="BE157" s="258"/>
      <c r="BF157" s="255" t="e">
        <v>#REF!</v>
      </c>
      <c r="BG157" s="256">
        <f t="shared" si="4"/>
        <v>1958049</v>
      </c>
      <c r="BH157" s="257" t="str">
        <f t="shared" si="5"/>
        <v>#REF!</v>
      </c>
      <c r="BI157" s="98"/>
      <c r="BJ157" s="98"/>
      <c r="BK157" s="98"/>
      <c r="BL157" s="98"/>
      <c r="BM157" s="98"/>
      <c r="BN157" s="98"/>
      <c r="BO157" s="98"/>
      <c r="BP157" s="98"/>
      <c r="BQ157" s="98"/>
      <c r="BR157" s="98"/>
    </row>
    <row r="158">
      <c r="A158" s="6" t="str">
        <f>IFERROR(__xludf.DUMMYFUNCTION("""COMPUTED_VALUE"""),"Prashant Onam Naik")</f>
        <v>Prashant Onam Naik</v>
      </c>
      <c r="B158" s="98" t="str">
        <f>IFERROR(__xludf.DUMMYFUNCTION("""COMPUTED_VALUE"""),"Karnataka")</f>
        <v>Karnataka</v>
      </c>
      <c r="C158" s="212" t="str">
        <f>IFERROR(__xludf.DUMMYFUNCTION("""COMPUTED_VALUE"""),"Harsha K Rao")</f>
        <v>Harsha K Rao</v>
      </c>
      <c r="D158" s="98" t="str">
        <f>IFERROR(__xludf.DUMMYFUNCTION("""COMPUTED_VALUE"""),"Mangalore")</f>
        <v>Mangalore</v>
      </c>
      <c r="E158" s="213">
        <f>IFERROR(__xludf.DUMMYFUNCTION("""COMPUTED_VALUE"""),46113.0)</f>
        <v>46113</v>
      </c>
      <c r="F158" s="222" t="str">
        <f>IFERROR(__xludf.DUMMYFUNCTION("""COMPUTED_VALUE"""),"KARNATAKA")</f>
        <v>KARNATAKA</v>
      </c>
      <c r="G158" s="215"/>
      <c r="H158" s="215"/>
      <c r="I158" s="216">
        <f>IFERROR(__xludf.DUMMYFUNCTION("""COMPUTED_VALUE"""),38810.0)</f>
        <v>38810</v>
      </c>
      <c r="J158" s="216">
        <f>IFERROR(__xludf.DUMMYFUNCTION("""COMPUTED_VALUE"""),900000.0)</f>
        <v>900000</v>
      </c>
      <c r="K158" s="217">
        <f>IFERROR(__xludf.DUMMYFUNCTION("""COMPUTED_VALUE"""),0.0)</f>
        <v>0</v>
      </c>
      <c r="L158" s="217">
        <f>IFERROR(__xludf.DUMMYFUNCTION("""COMPUTED_VALUE"""),1900000.0)</f>
        <v>1900000</v>
      </c>
      <c r="M158" s="217">
        <f>IFERROR(__xludf.DUMMYFUNCTION("""COMPUTED_VALUE"""),574990.0)</f>
        <v>574990</v>
      </c>
      <c r="N158" s="217">
        <f>IFERROR(__xludf.DUMMYFUNCTION("""COMPUTED_VALUE"""),0.0)</f>
        <v>0</v>
      </c>
      <c r="O158" s="217">
        <f>IFERROR(__xludf.DUMMYFUNCTION("""COMPUTED_VALUE"""),239466.0)</f>
        <v>239466</v>
      </c>
      <c r="P158" s="218">
        <f>IFERROR(__xludf.DUMMYFUNCTION("""COMPUTED_VALUE"""),0.3026263157894737)</f>
        <v>0.3026263158</v>
      </c>
      <c r="Q158" s="218">
        <f>IFERROR(__xludf.DUMMYFUNCTION("""COMPUTED_VALUE"""),0.0)</f>
        <v>0</v>
      </c>
      <c r="R158" s="218"/>
      <c r="S158" s="187">
        <f>IFERROR(__xludf.DUMMYFUNCTION("""COMPUTED_VALUE"""),9.0)</f>
        <v>9</v>
      </c>
      <c r="T158" s="187">
        <f>IFERROR(__xludf.DUMMYFUNCTION("""COMPUTED_VALUE"""),37.0)</f>
        <v>37</v>
      </c>
      <c r="U158" s="187">
        <f>IFERROR(__xludf.DUMMYFUNCTION("""COMPUTED_VALUE"""),28.0)</f>
        <v>28</v>
      </c>
      <c r="V158" s="187">
        <f>IFERROR(__xludf.DUMMYFUNCTION("""COMPUTED_VALUE"""),28.0)</f>
        <v>28</v>
      </c>
      <c r="W158" s="187">
        <f>IFERROR(__xludf.DUMMYFUNCTION("""COMPUTED_VALUE"""),37.0)</f>
        <v>37</v>
      </c>
      <c r="X158" s="187">
        <f>IFERROR(__xludf.DUMMYFUNCTION("""COMPUTED_VALUE"""),0.0)</f>
        <v>0</v>
      </c>
      <c r="Y158" s="188">
        <f>IFERROR(__xludf.DUMMYFUNCTION("""COMPUTED_VALUE"""),121666.49)</f>
        <v>121666.49</v>
      </c>
      <c r="Z158" s="188">
        <f>IFERROR(__xludf.DUMMYFUNCTION("""COMPUTED_VALUE"""),453323.84)</f>
        <v>453323.84</v>
      </c>
      <c r="AA158" s="187">
        <f>IFERROR(__xludf.DUMMYFUNCTION("""COMPUTED_VALUE"""),3.0)</f>
        <v>3</v>
      </c>
      <c r="AB158" s="187">
        <f>IFERROR(__xludf.DUMMYFUNCTION("""COMPUTED_VALUE"""),28.0)</f>
        <v>28</v>
      </c>
      <c r="AC158" s="187">
        <f>IFERROR(__xludf.DUMMYFUNCTION("""COMPUTED_VALUE"""),31.0)</f>
        <v>31</v>
      </c>
      <c r="AD158" s="187">
        <f>IFERROR(__xludf.DUMMYFUNCTION("""COMPUTED_VALUE"""),0.0)</f>
        <v>0</v>
      </c>
      <c r="AE158" s="187">
        <f>IFERROR(__xludf.DUMMYFUNCTION("""COMPUTED_VALUE"""),86.0)</f>
        <v>86</v>
      </c>
      <c r="AF158" s="187">
        <f>IFERROR(__xludf.DUMMYFUNCTION("""COMPUTED_VALUE"""),224.0)</f>
        <v>224</v>
      </c>
      <c r="AG158" s="187">
        <f>IFERROR(__xludf.DUMMYFUNCTION("""COMPUTED_VALUE"""),5.0)</f>
        <v>5</v>
      </c>
      <c r="AH158" s="187">
        <f>IFERROR(__xludf.DUMMYFUNCTION("""COMPUTED_VALUE"""),1.0)</f>
        <v>1</v>
      </c>
      <c r="AI158" s="187">
        <f>IFERROR(__xludf.DUMMYFUNCTION("""COMPUTED_VALUE"""),9.0)</f>
        <v>9</v>
      </c>
      <c r="AJ158" s="187">
        <f>IFERROR(__xludf.DUMMYFUNCTION("""COMPUTED_VALUE"""),0.0)</f>
        <v>0</v>
      </c>
      <c r="AK158" s="187">
        <f>IFERROR(__xludf.DUMMYFUNCTION("""COMPUTED_VALUE"""),0.0)</f>
        <v>0</v>
      </c>
      <c r="AL158" s="187">
        <f>IFERROR(__xludf.DUMMYFUNCTION("""COMPUTED_VALUE"""),6.0)</f>
        <v>6</v>
      </c>
      <c r="AM158" s="187">
        <f>IFERROR(__xludf.DUMMYFUNCTION("""COMPUTED_VALUE"""),10.0)</f>
        <v>10</v>
      </c>
      <c r="AN158" s="187">
        <f>IFERROR(__xludf.DUMMYFUNCTION("""COMPUTED_VALUE"""),142.0)</f>
        <v>142</v>
      </c>
      <c r="AO158" s="187">
        <f>IFERROR(__xludf.DUMMYFUNCTION("""COMPUTED_VALUE"""),385.0)</f>
        <v>385</v>
      </c>
      <c r="AP158" s="187">
        <f>IFERROR(__xludf.DUMMYFUNCTION("""COMPUTED_VALUE"""),67.0)</f>
        <v>67</v>
      </c>
      <c r="AQ158" s="217">
        <f>IFERROR(__xludf.DUMMYFUNCTION("""COMPUTED_VALUE"""),8581.940298507463)</f>
        <v>8581.940299</v>
      </c>
      <c r="AR158" s="188">
        <f>IFERROR(__xludf.DUMMYFUNCTION("""COMPUTED_VALUE"""),5.746268656716418)</f>
        <v>5.746268657</v>
      </c>
      <c r="AS158" s="217">
        <f>IFERROR(__xludf.DUMMYFUNCTION("""COMPUTED_VALUE"""),116430.0)</f>
        <v>116430</v>
      </c>
      <c r="AT158" s="217"/>
      <c r="AU158" s="218">
        <f>IFERROR(__xludf.DUMMYFUNCTION("""COMPUTED_VALUE"""),0.2024904780952712)</f>
        <v>0.2024904781</v>
      </c>
      <c r="AV158" s="217">
        <f>IFERROR(__xludf.DUMMYFUNCTION("""COMPUTED_VALUE"""),18548.064516129034)</f>
        <v>18548.06452</v>
      </c>
      <c r="AW158" s="219">
        <f>IFERROR(__xludf.DUMMYFUNCTION("""COMPUTED_VALUE"""),60.0)</f>
        <v>60</v>
      </c>
      <c r="AX158" s="219">
        <f>IFERROR(__xludf.DUMMYFUNCTION("""COMPUTED_VALUE"""),677.0)</f>
        <v>677</v>
      </c>
      <c r="AY158" s="262">
        <f>IFERROR(__xludf.DUMMYFUNCTION("""COMPUTED_VALUE"""),7562.94)</f>
        <v>7562.94</v>
      </c>
      <c r="AZ158" s="263">
        <f>IFERROR(__xludf.DUMMYFUNCTION("""COMPUTED_VALUE"""),204.0)</f>
        <v>204</v>
      </c>
      <c r="BA158" s="263">
        <f>IFERROR(__xludf.DUMMYFUNCTION("""COMPUTED_VALUE"""),31.0)</f>
        <v>31</v>
      </c>
      <c r="BB158" s="263">
        <f>IFERROR(__xludf.DUMMYFUNCTION("""COMPUTED_VALUE"""),6.0)</f>
        <v>6</v>
      </c>
      <c r="BC158" s="263">
        <f>IFERROR(__xludf.DUMMYFUNCTION("""COMPUTED_VALUE"""),0.0)</f>
        <v>0</v>
      </c>
      <c r="BD158" s="265"/>
      <c r="BE158" s="258"/>
      <c r="BF158" s="255" t="e">
        <v>#REF!</v>
      </c>
      <c r="BG158" s="256">
        <f t="shared" si="4"/>
        <v>574990</v>
      </c>
      <c r="BH158" s="257" t="str">
        <f t="shared" si="5"/>
        <v>#REF!</v>
      </c>
      <c r="BI158" s="98"/>
      <c r="BJ158" s="98"/>
      <c r="BK158" s="98"/>
      <c r="BL158" s="98"/>
      <c r="BM158" s="98"/>
      <c r="BN158" s="98"/>
      <c r="BO158" s="98"/>
      <c r="BP158" s="98"/>
      <c r="BQ158" s="98"/>
      <c r="BR158" s="98"/>
    </row>
    <row r="159">
      <c r="A159" s="6" t="str">
        <f>IFERROR(__xludf.DUMMYFUNCTION("""COMPUTED_VALUE"""),"Biju C.O")</f>
        <v>Biju C.O</v>
      </c>
      <c r="B159" s="98" t="str">
        <f>IFERROR(__xludf.DUMMYFUNCTION("""COMPUTED_VALUE"""),"Tamil Nadu")</f>
        <v>Tamil Nadu</v>
      </c>
      <c r="C159" s="212" t="str">
        <f>IFERROR(__xludf.DUMMYFUNCTION("""COMPUTED_VALUE"""),"J.SURESH KUMAR")</f>
        <v>J.SURESH KUMAR</v>
      </c>
      <c r="D159" s="98" t="str">
        <f>IFERROR(__xludf.DUMMYFUNCTION("""COMPUTED_VALUE"""),"Thanjavur")</f>
        <v>Thanjavur</v>
      </c>
      <c r="E159" s="213">
        <f>IFERROR(__xludf.DUMMYFUNCTION("""COMPUTED_VALUE"""),46132.0)</f>
        <v>46132</v>
      </c>
      <c r="F159" s="222" t="str">
        <f>IFERROR(__xludf.DUMMYFUNCTION("""COMPUTED_VALUE"""),"PONDICHERRY, TAMIL NADU")</f>
        <v>PONDICHERRY, TAMIL NADU</v>
      </c>
      <c r="G159" s="215"/>
      <c r="H159" s="215"/>
      <c r="I159" s="216">
        <f>IFERROR(__xludf.DUMMYFUNCTION("""COMPUTED_VALUE"""),43840.0)</f>
        <v>43840</v>
      </c>
      <c r="J159" s="216">
        <f>IFERROR(__xludf.DUMMYFUNCTION("""COMPUTED_VALUE"""),1041667.0)</f>
        <v>1041667</v>
      </c>
      <c r="K159" s="217">
        <f>IFERROR(__xludf.DUMMYFUNCTION("""COMPUTED_VALUE"""),0.0)</f>
        <v>0</v>
      </c>
      <c r="L159" s="217">
        <f>IFERROR(__xludf.DUMMYFUNCTION("""COMPUTED_VALUE"""),2465278.0)</f>
        <v>2465278</v>
      </c>
      <c r="M159" s="217">
        <f>IFERROR(__xludf.DUMMYFUNCTION("""COMPUTED_VALUE"""),1550236.0)</f>
        <v>1550236</v>
      </c>
      <c r="N159" s="217">
        <f>IFERROR(__xludf.DUMMYFUNCTION("""COMPUTED_VALUE"""),0.0)</f>
        <v>0</v>
      </c>
      <c r="O159" s="217">
        <f>IFERROR(__xludf.DUMMYFUNCTION("""COMPUTED_VALUE"""),1259672.0)</f>
        <v>1259672</v>
      </c>
      <c r="P159" s="218">
        <f>IFERROR(__xludf.DUMMYFUNCTION("""COMPUTED_VALUE"""),0.6288280672605686)</f>
        <v>0.6288280673</v>
      </c>
      <c r="Q159" s="218">
        <f>IFERROR(__xludf.DUMMYFUNCTION("""COMPUTED_VALUE"""),0.0)</f>
        <v>0</v>
      </c>
      <c r="R159" s="218"/>
      <c r="S159" s="187">
        <f>IFERROR(__xludf.DUMMYFUNCTION("""COMPUTED_VALUE"""),128.0)</f>
        <v>128</v>
      </c>
      <c r="T159" s="187">
        <f>IFERROR(__xludf.DUMMYFUNCTION("""COMPUTED_VALUE"""),112.0)</f>
        <v>112</v>
      </c>
      <c r="U159" s="187">
        <f>IFERROR(__xludf.DUMMYFUNCTION("""COMPUTED_VALUE"""),5.0)</f>
        <v>5</v>
      </c>
      <c r="V159" s="187">
        <f>IFERROR(__xludf.DUMMYFUNCTION("""COMPUTED_VALUE"""),5.0)</f>
        <v>5</v>
      </c>
      <c r="W159" s="187">
        <f>IFERROR(__xludf.DUMMYFUNCTION("""COMPUTED_VALUE"""),133.0)</f>
        <v>133</v>
      </c>
      <c r="X159" s="187">
        <f>IFERROR(__xludf.DUMMYFUNCTION("""COMPUTED_VALUE"""),21.0)</f>
        <v>21</v>
      </c>
      <c r="Y159" s="188">
        <f>IFERROR(__xludf.DUMMYFUNCTION("""COMPUTED_VALUE"""),1386949.2)</f>
        <v>1386949.2</v>
      </c>
      <c r="Z159" s="188">
        <f>IFERROR(__xludf.DUMMYFUNCTION("""COMPUTED_VALUE"""),163286.9)</f>
        <v>163286.9</v>
      </c>
      <c r="AA159" s="187">
        <f>IFERROR(__xludf.DUMMYFUNCTION("""COMPUTED_VALUE"""),42.0)</f>
        <v>42</v>
      </c>
      <c r="AB159" s="187">
        <f>IFERROR(__xludf.DUMMYFUNCTION("""COMPUTED_VALUE"""),5.0)</f>
        <v>5</v>
      </c>
      <c r="AC159" s="187">
        <f>IFERROR(__xludf.DUMMYFUNCTION("""COMPUTED_VALUE"""),47.0)</f>
        <v>47</v>
      </c>
      <c r="AD159" s="187">
        <f>IFERROR(__xludf.DUMMYFUNCTION("""COMPUTED_VALUE"""),0.0)</f>
        <v>0</v>
      </c>
      <c r="AE159" s="187">
        <f>IFERROR(__xludf.DUMMYFUNCTION("""COMPUTED_VALUE"""),30.0)</f>
        <v>30</v>
      </c>
      <c r="AF159" s="187">
        <f>IFERROR(__xludf.DUMMYFUNCTION("""COMPUTED_VALUE"""),65.0)</f>
        <v>65</v>
      </c>
      <c r="AG159" s="187">
        <f>IFERROR(__xludf.DUMMYFUNCTION("""COMPUTED_VALUE"""),21.0)</f>
        <v>21</v>
      </c>
      <c r="AH159" s="187">
        <f>IFERROR(__xludf.DUMMYFUNCTION("""COMPUTED_VALUE"""),3.0)</f>
        <v>3</v>
      </c>
      <c r="AI159" s="187">
        <f>IFERROR(__xludf.DUMMYFUNCTION("""COMPUTED_VALUE"""),6.0)</f>
        <v>6</v>
      </c>
      <c r="AJ159" s="187">
        <f>IFERROR(__xludf.DUMMYFUNCTION("""COMPUTED_VALUE"""),0.0)</f>
        <v>0</v>
      </c>
      <c r="AK159" s="187">
        <f>IFERROR(__xludf.DUMMYFUNCTION("""COMPUTED_VALUE"""),0.0)</f>
        <v>0</v>
      </c>
      <c r="AL159" s="187">
        <f>IFERROR(__xludf.DUMMYFUNCTION("""COMPUTED_VALUE"""),1.0)</f>
        <v>1</v>
      </c>
      <c r="AM159" s="187">
        <f>IFERROR(__xludf.DUMMYFUNCTION("""COMPUTED_VALUE"""),2.0)</f>
        <v>2</v>
      </c>
      <c r="AN159" s="187">
        <f>IFERROR(__xludf.DUMMYFUNCTION("""COMPUTED_VALUE"""),259.0)</f>
        <v>259</v>
      </c>
      <c r="AO159" s="187">
        <f>IFERROR(__xludf.DUMMYFUNCTION("""COMPUTED_VALUE"""),332.0)</f>
        <v>332</v>
      </c>
      <c r="AP159" s="187">
        <f>IFERROR(__xludf.DUMMYFUNCTION("""COMPUTED_VALUE"""),45.0)</f>
        <v>45</v>
      </c>
      <c r="AQ159" s="217">
        <f>IFERROR(__xludf.DUMMYFUNCTION("""COMPUTED_VALUE"""),34449.688888888886)</f>
        <v>34449.68889</v>
      </c>
      <c r="AR159" s="188">
        <f>IFERROR(__xludf.DUMMYFUNCTION("""COMPUTED_VALUE"""),7.377777777777778)</f>
        <v>7.377777778</v>
      </c>
      <c r="AS159" s="217">
        <f>IFERROR(__xludf.DUMMYFUNCTION("""COMPUTED_VALUE"""),103754.66666666667)</f>
        <v>103754.6667</v>
      </c>
      <c r="AT159" s="217"/>
      <c r="AU159" s="218">
        <f>IFERROR(__xludf.DUMMYFUNCTION("""COMPUTED_VALUE"""),0.06692830424958952)</f>
        <v>0.06692830425</v>
      </c>
      <c r="AV159" s="217">
        <f>IFERROR(__xludf.DUMMYFUNCTION("""COMPUTED_VALUE"""),32983.744680851065)</f>
        <v>32983.74468</v>
      </c>
      <c r="AW159" s="219">
        <f>IFERROR(__xludf.DUMMYFUNCTION("""COMPUTED_VALUE"""),81.0)</f>
        <v>81</v>
      </c>
      <c r="AX159" s="219">
        <f>IFERROR(__xludf.DUMMYFUNCTION("""COMPUTED_VALUE"""),563.0)</f>
        <v>563</v>
      </c>
      <c r="AY159" s="262">
        <f>IFERROR(__xludf.DUMMYFUNCTION("""COMPUTED_VALUE"""),5347.63)</f>
        <v>5347.63</v>
      </c>
      <c r="AZ159" s="263">
        <f>IFERROR(__xludf.DUMMYFUNCTION("""COMPUTED_VALUE"""),48.0)</f>
        <v>48</v>
      </c>
      <c r="BA159" s="263">
        <f>IFERROR(__xludf.DUMMYFUNCTION("""COMPUTED_VALUE"""),47.0)</f>
        <v>47</v>
      </c>
      <c r="BB159" s="263">
        <f>IFERROR(__xludf.DUMMYFUNCTION("""COMPUTED_VALUE"""),65.0)</f>
        <v>65</v>
      </c>
      <c r="BC159" s="263">
        <f>IFERROR(__xludf.DUMMYFUNCTION("""COMPUTED_VALUE"""),21.0)</f>
        <v>21</v>
      </c>
      <c r="BD159" s="258"/>
      <c r="BE159" s="258"/>
      <c r="BF159" s="255" t="e">
        <v>#REF!</v>
      </c>
      <c r="BG159" s="256">
        <f t="shared" si="4"/>
        <v>1550236</v>
      </c>
      <c r="BH159" s="257" t="str">
        <f t="shared" si="5"/>
        <v>#REF!</v>
      </c>
      <c r="BI159" s="98"/>
      <c r="BJ159" s="98"/>
      <c r="BK159" s="98"/>
      <c r="BL159" s="98"/>
      <c r="BM159" s="98"/>
      <c r="BN159" s="98"/>
      <c r="BO159" s="98"/>
      <c r="BP159" s="98"/>
      <c r="BQ159" s="98"/>
      <c r="BR159" s="98"/>
    </row>
    <row r="160">
      <c r="A160" s="6" t="str">
        <f>IFERROR(__xludf.DUMMYFUNCTION("""COMPUTED_VALUE"""),"Sunil Mohanty")</f>
        <v>Sunil Mohanty</v>
      </c>
      <c r="B160" s="98" t="str">
        <f>IFERROR(__xludf.DUMMYFUNCTION("""COMPUTED_VALUE"""),"Rajasthan")</f>
        <v>Rajasthan</v>
      </c>
      <c r="C160" s="212" t="str">
        <f>IFERROR(__xludf.DUMMYFUNCTION("""COMPUTED_VALUE"""),"Narendra Kumar Sharma")</f>
        <v>Narendra Kumar Sharma</v>
      </c>
      <c r="D160" s="98" t="str">
        <f>IFERROR(__xludf.DUMMYFUNCTION("""COMPUTED_VALUE"""),"Jaipur")</f>
        <v>Jaipur</v>
      </c>
      <c r="E160" s="213">
        <f>IFERROR(__xludf.DUMMYFUNCTION("""COMPUTED_VALUE"""),46132.0)</f>
        <v>46132</v>
      </c>
      <c r="F160" s="222" t="str">
        <f>IFERROR(__xludf.DUMMYFUNCTION("""COMPUTED_VALUE"""),"RAJASTHAN")</f>
        <v>RAJASTHAN</v>
      </c>
      <c r="G160" s="215"/>
      <c r="H160" s="215"/>
      <c r="I160" s="216">
        <f>IFERROR(__xludf.DUMMYFUNCTION("""COMPUTED_VALUE"""),113800.0)</f>
        <v>113800</v>
      </c>
      <c r="J160" s="216"/>
      <c r="K160" s="217">
        <f>IFERROR(__xludf.DUMMYFUNCTION("""COMPUTED_VALUE"""),0.0)</f>
        <v>0</v>
      </c>
      <c r="L160" s="217"/>
      <c r="M160" s="217">
        <f>IFERROR(__xludf.DUMMYFUNCTION("""COMPUTED_VALUE"""),0.0)</f>
        <v>0</v>
      </c>
      <c r="N160" s="217">
        <f>IFERROR(__xludf.DUMMYFUNCTION("""COMPUTED_VALUE"""),0.0)</f>
        <v>0</v>
      </c>
      <c r="O160" s="217"/>
      <c r="P160" s="218"/>
      <c r="Q160" s="218">
        <f>IFERROR(__xludf.DUMMYFUNCTION("""COMPUTED_VALUE"""),0.0)</f>
        <v>0</v>
      </c>
      <c r="R160" s="218"/>
      <c r="S160" s="187">
        <f>IFERROR(__xludf.DUMMYFUNCTION("""COMPUTED_VALUE"""),1.0)</f>
        <v>1</v>
      </c>
      <c r="T160" s="187">
        <f>IFERROR(__xludf.DUMMYFUNCTION("""COMPUTED_VALUE"""),1.0)</f>
        <v>1</v>
      </c>
      <c r="U160" s="187">
        <f>IFERROR(__xludf.DUMMYFUNCTION("""COMPUTED_VALUE"""),0.0)</f>
        <v>0</v>
      </c>
      <c r="V160" s="187">
        <f>IFERROR(__xludf.DUMMYFUNCTION("""COMPUTED_VALUE"""),0.0)</f>
        <v>0</v>
      </c>
      <c r="W160" s="187">
        <f>IFERROR(__xludf.DUMMYFUNCTION("""COMPUTED_VALUE"""),1.0)</f>
        <v>1</v>
      </c>
      <c r="X160" s="187">
        <f>IFERROR(__xludf.DUMMYFUNCTION("""COMPUTED_VALUE"""),0.0)</f>
        <v>0</v>
      </c>
      <c r="Y160" s="188">
        <f>IFERROR(__xludf.DUMMYFUNCTION("""COMPUTED_VALUE"""),0.0)</f>
        <v>0</v>
      </c>
      <c r="Z160" s="188">
        <f>IFERROR(__xludf.DUMMYFUNCTION("""COMPUTED_VALUE"""),0.0)</f>
        <v>0</v>
      </c>
      <c r="AA160" s="187">
        <f>IFERROR(__xludf.DUMMYFUNCTION("""COMPUTED_VALUE"""),0.0)</f>
        <v>0</v>
      </c>
      <c r="AB160" s="187">
        <f>IFERROR(__xludf.DUMMYFUNCTION("""COMPUTED_VALUE"""),0.0)</f>
        <v>0</v>
      </c>
      <c r="AC160" s="187">
        <f>IFERROR(__xludf.DUMMYFUNCTION("""COMPUTED_VALUE"""),0.0)</f>
        <v>0</v>
      </c>
      <c r="AD160" s="187">
        <f>IFERROR(__xludf.DUMMYFUNCTION("""COMPUTED_VALUE"""),0.0)</f>
        <v>0</v>
      </c>
      <c r="AE160" s="187">
        <f>IFERROR(__xludf.DUMMYFUNCTION("""COMPUTED_VALUE"""),24.0)</f>
        <v>24</v>
      </c>
      <c r="AF160" s="187">
        <f>IFERROR(__xludf.DUMMYFUNCTION("""COMPUTED_VALUE"""),44.0)</f>
        <v>44</v>
      </c>
      <c r="AG160" s="187">
        <f>IFERROR(__xludf.DUMMYFUNCTION("""COMPUTED_VALUE"""),2.0)</f>
        <v>2</v>
      </c>
      <c r="AH160" s="187">
        <f>IFERROR(__xludf.DUMMYFUNCTION("""COMPUTED_VALUE"""),7.0)</f>
        <v>7</v>
      </c>
      <c r="AI160" s="187">
        <f>IFERROR(__xludf.DUMMYFUNCTION("""COMPUTED_VALUE"""),11.0)</f>
        <v>11</v>
      </c>
      <c r="AJ160" s="187">
        <f>IFERROR(__xludf.DUMMYFUNCTION("""COMPUTED_VALUE"""),1.0)</f>
        <v>1</v>
      </c>
      <c r="AK160" s="187">
        <f>IFERROR(__xludf.DUMMYFUNCTION("""COMPUTED_VALUE"""),2.0)</f>
        <v>2</v>
      </c>
      <c r="AL160" s="187">
        <f>IFERROR(__xludf.DUMMYFUNCTION("""COMPUTED_VALUE"""),26.0)</f>
        <v>26</v>
      </c>
      <c r="AM160" s="187">
        <f>IFERROR(__xludf.DUMMYFUNCTION("""COMPUTED_VALUE"""),61.0)</f>
        <v>61</v>
      </c>
      <c r="AN160" s="187">
        <f>IFERROR(__xludf.DUMMYFUNCTION("""COMPUTED_VALUE"""),2.0)</f>
        <v>2</v>
      </c>
      <c r="AO160" s="187">
        <f>IFERROR(__xludf.DUMMYFUNCTION("""COMPUTED_VALUE"""),120.0)</f>
        <v>120</v>
      </c>
      <c r="AP160" s="187">
        <f>IFERROR(__xludf.DUMMYFUNCTION("""COMPUTED_VALUE"""),45.0)</f>
        <v>45</v>
      </c>
      <c r="AQ160" s="217">
        <f>IFERROR(__xludf.DUMMYFUNCTION("""COMPUTED_VALUE"""),0.0)</f>
        <v>0</v>
      </c>
      <c r="AR160" s="188">
        <f>IFERROR(__xludf.DUMMYFUNCTION("""COMPUTED_VALUE"""),2.6666666666666665)</f>
        <v>2.666666667</v>
      </c>
      <c r="AS160" s="217">
        <f>IFERROR(__xludf.DUMMYFUNCTION("""COMPUTED_VALUE"""),269326.6666666667)</f>
        <v>269326.6667</v>
      </c>
      <c r="AT160" s="217"/>
      <c r="AU160" s="218"/>
      <c r="AV160" s="217"/>
      <c r="AW160" s="219">
        <f>IFERROR(__xludf.DUMMYFUNCTION("""COMPUTED_VALUE"""),0.0)</f>
        <v>0</v>
      </c>
      <c r="AX160" s="219">
        <f>IFERROR(__xludf.DUMMYFUNCTION("""COMPUTED_VALUE"""),570.0)</f>
        <v>570</v>
      </c>
      <c r="AY160" s="262">
        <f>IFERROR(__xludf.DUMMYFUNCTION("""COMPUTED_VALUE"""),5964.72)</f>
        <v>5964.72</v>
      </c>
      <c r="AZ160" s="263">
        <f>IFERROR(__xludf.DUMMYFUNCTION("""COMPUTED_VALUE"""),5965.0)</f>
        <v>5965</v>
      </c>
      <c r="BA160" s="263">
        <f>IFERROR(__xludf.DUMMYFUNCTION("""COMPUTED_VALUE"""),0.0)</f>
        <v>0</v>
      </c>
      <c r="BB160" s="263">
        <f>IFERROR(__xludf.DUMMYFUNCTION("""COMPUTED_VALUE"""),1.0)</f>
        <v>1</v>
      </c>
      <c r="BC160" s="263">
        <f>IFERROR(__xludf.DUMMYFUNCTION("""COMPUTED_VALUE"""),0.0)</f>
        <v>0</v>
      </c>
      <c r="BD160" s="258"/>
      <c r="BE160" s="258"/>
      <c r="BF160" s="255" t="e">
        <v>#REF!</v>
      </c>
      <c r="BG160" s="256">
        <f t="shared" si="4"/>
        <v>0</v>
      </c>
      <c r="BH160" s="257" t="str">
        <f t="shared" si="5"/>
        <v>#REF!</v>
      </c>
      <c r="BI160" s="98"/>
      <c r="BJ160" s="98"/>
      <c r="BK160" s="98"/>
      <c r="BL160" s="98"/>
      <c r="BM160" s="98"/>
      <c r="BN160" s="98"/>
      <c r="BO160" s="98"/>
      <c r="BP160" s="98"/>
      <c r="BQ160" s="98"/>
      <c r="BR160" s="98"/>
    </row>
    <row r="161">
      <c r="A161" s="6" t="str">
        <f>IFERROR(__xludf.DUMMYFUNCTION("""COMPUTED_VALUE"""),"Pawan Sharma")</f>
        <v>Pawan Sharma</v>
      </c>
      <c r="B161" s="98" t="str">
        <f>IFERROR(__xludf.DUMMYFUNCTION("""COMPUTED_VALUE"""),"Haryana")</f>
        <v>Haryana</v>
      </c>
      <c r="C161" s="212" t="str">
        <f>IFERROR(__xludf.DUMMYFUNCTION("""COMPUTED_VALUE"""),"Mohit (Charkhi Dadri)")</f>
        <v>Mohit (Charkhi Dadri)</v>
      </c>
      <c r="D161" s="98" t="str">
        <f>IFERROR(__xludf.DUMMYFUNCTION("""COMPUTED_VALUE"""),"Charkhi Dadri")</f>
        <v>Charkhi Dadri</v>
      </c>
      <c r="E161" s="213">
        <f>IFERROR(__xludf.DUMMYFUNCTION("""COMPUTED_VALUE"""),46144.0)</f>
        <v>46144</v>
      </c>
      <c r="F161" s="222" t="str">
        <f>IFERROR(__xludf.DUMMYFUNCTION("""COMPUTED_VALUE"""),"HARYANA")</f>
        <v>HARYANA</v>
      </c>
      <c r="G161" s="215"/>
      <c r="H161" s="215"/>
      <c r="I161" s="216">
        <f>IFERROR(__xludf.DUMMYFUNCTION("""COMPUTED_VALUE"""),39840.0)</f>
        <v>39840</v>
      </c>
      <c r="J161" s="56">
        <f>IFERROR(__xludf.DUMMYFUNCTION("""COMPUTED_VALUE"""),1000000.0)</f>
        <v>1000000</v>
      </c>
      <c r="K161" s="217">
        <f>IFERROR(__xludf.DUMMYFUNCTION("""COMPUTED_VALUE"""),0.0)</f>
        <v>0</v>
      </c>
      <c r="L161" s="217">
        <f>IFERROR(__xludf.DUMMYFUNCTION("""COMPUTED_VALUE"""),3000000.0)</f>
        <v>3000000</v>
      </c>
      <c r="M161" s="217">
        <f>IFERROR(__xludf.DUMMYFUNCTION("""COMPUTED_VALUE"""),95119.0)</f>
        <v>95119</v>
      </c>
      <c r="N161" s="217">
        <f>IFERROR(__xludf.DUMMYFUNCTION("""COMPUTED_VALUE"""),0.0)</f>
        <v>0</v>
      </c>
      <c r="O161" s="217"/>
      <c r="P161" s="218">
        <f>IFERROR(__xludf.DUMMYFUNCTION("""COMPUTED_VALUE"""),0.031706333333333336)</f>
        <v>0.03170633333</v>
      </c>
      <c r="Q161" s="218">
        <f>IFERROR(__xludf.DUMMYFUNCTION("""COMPUTED_VALUE"""),0.0)</f>
        <v>0</v>
      </c>
      <c r="R161" s="218"/>
      <c r="S161" s="187">
        <f>IFERROR(__xludf.DUMMYFUNCTION("""COMPUTED_VALUE"""),17.0)</f>
        <v>17</v>
      </c>
      <c r="T161" s="187">
        <f>IFERROR(__xludf.DUMMYFUNCTION("""COMPUTED_VALUE"""),18.0)</f>
        <v>18</v>
      </c>
      <c r="U161" s="187">
        <f>IFERROR(__xludf.DUMMYFUNCTION("""COMPUTED_VALUE"""),2.0)</f>
        <v>2</v>
      </c>
      <c r="V161" s="187">
        <f>IFERROR(__xludf.DUMMYFUNCTION("""COMPUTED_VALUE"""),2.0)</f>
        <v>2</v>
      </c>
      <c r="W161" s="187">
        <f>IFERROR(__xludf.DUMMYFUNCTION("""COMPUTED_VALUE"""),19.0)</f>
        <v>19</v>
      </c>
      <c r="X161" s="187">
        <f>IFERROR(__xludf.DUMMYFUNCTION("""COMPUTED_VALUE"""),1.0)</f>
        <v>1</v>
      </c>
      <c r="Y161" s="188">
        <f>IFERROR(__xludf.DUMMYFUNCTION("""COMPUTED_VALUE"""),49585.68)</f>
        <v>49585.68</v>
      </c>
      <c r="Z161" s="188">
        <f>IFERROR(__xludf.DUMMYFUNCTION("""COMPUTED_VALUE"""),45533.64)</f>
        <v>45533.64</v>
      </c>
      <c r="AA161" s="187">
        <f>IFERROR(__xludf.DUMMYFUNCTION("""COMPUTED_VALUE"""),1.0)</f>
        <v>1</v>
      </c>
      <c r="AB161" s="187">
        <f>IFERROR(__xludf.DUMMYFUNCTION("""COMPUTED_VALUE"""),2.0)</f>
        <v>2</v>
      </c>
      <c r="AC161" s="187">
        <f>IFERROR(__xludf.DUMMYFUNCTION("""COMPUTED_VALUE"""),3.0)</f>
        <v>3</v>
      </c>
      <c r="AD161" s="187">
        <f>IFERROR(__xludf.DUMMYFUNCTION("""COMPUTED_VALUE"""),0.0)</f>
        <v>0</v>
      </c>
      <c r="AE161" s="187">
        <f>IFERROR(__xludf.DUMMYFUNCTION("""COMPUTED_VALUE"""),70.0)</f>
        <v>70</v>
      </c>
      <c r="AF161" s="187">
        <f>IFERROR(__xludf.DUMMYFUNCTION("""COMPUTED_VALUE"""),215.0)</f>
        <v>215</v>
      </c>
      <c r="AG161" s="187">
        <f>IFERROR(__xludf.DUMMYFUNCTION("""COMPUTED_VALUE"""),3.0)</f>
        <v>3</v>
      </c>
      <c r="AH161" s="187">
        <f>IFERROR(__xludf.DUMMYFUNCTION("""COMPUTED_VALUE"""),2.0)</f>
        <v>2</v>
      </c>
      <c r="AI161" s="187">
        <f>IFERROR(__xludf.DUMMYFUNCTION("""COMPUTED_VALUE"""),23.0)</f>
        <v>23</v>
      </c>
      <c r="AJ161" s="187">
        <f>IFERROR(__xludf.DUMMYFUNCTION("""COMPUTED_VALUE"""),0.0)</f>
        <v>0</v>
      </c>
      <c r="AK161" s="187">
        <f>IFERROR(__xludf.DUMMYFUNCTION("""COMPUTED_VALUE"""),0.0)</f>
        <v>0</v>
      </c>
      <c r="AL161" s="187">
        <f>IFERROR(__xludf.DUMMYFUNCTION("""COMPUTED_VALUE"""),3.0)</f>
        <v>3</v>
      </c>
      <c r="AM161" s="187">
        <f>IFERROR(__xludf.DUMMYFUNCTION("""COMPUTED_VALUE"""),3.0)</f>
        <v>3</v>
      </c>
      <c r="AN161" s="187">
        <f>IFERROR(__xludf.DUMMYFUNCTION("""COMPUTED_VALUE"""),51.0)</f>
        <v>51</v>
      </c>
      <c r="AO161" s="187">
        <f>IFERROR(__xludf.DUMMYFUNCTION("""COMPUTED_VALUE"""),292.0)</f>
        <v>292</v>
      </c>
      <c r="AP161" s="187">
        <f>IFERROR(__xludf.DUMMYFUNCTION("""COMPUTED_VALUE"""),49.0)</f>
        <v>49</v>
      </c>
      <c r="AQ161" s="217">
        <f>IFERROR(__xludf.DUMMYFUNCTION("""COMPUTED_VALUE"""),1941.204081632653)</f>
        <v>1941.204082</v>
      </c>
      <c r="AR161" s="188">
        <f>IFERROR(__xludf.DUMMYFUNCTION("""COMPUTED_VALUE"""),5.959183673469388)</f>
        <v>5.959183673</v>
      </c>
      <c r="AS161" s="217">
        <f>IFERROR(__xludf.DUMMYFUNCTION("""COMPUTED_VALUE"""),79680.0)</f>
        <v>79680</v>
      </c>
      <c r="AT161" s="217"/>
      <c r="AU161" s="218">
        <f>IFERROR(__xludf.DUMMYFUNCTION("""COMPUTED_VALUE"""),0.8376875282540818)</f>
        <v>0.8376875283</v>
      </c>
      <c r="AV161" s="217">
        <f>IFERROR(__xludf.DUMMYFUNCTION("""COMPUTED_VALUE"""),31706.333333333332)</f>
        <v>31706.33333</v>
      </c>
      <c r="AW161" s="219">
        <f>IFERROR(__xludf.DUMMYFUNCTION("""COMPUTED_VALUE"""),3.0)</f>
        <v>3</v>
      </c>
      <c r="AX161" s="219">
        <f>IFERROR(__xludf.DUMMYFUNCTION("""COMPUTED_VALUE"""),555.0)</f>
        <v>555</v>
      </c>
      <c r="AY161" s="262">
        <f>IFERROR(__xludf.DUMMYFUNCTION("""COMPUTED_VALUE"""),6134.59)</f>
        <v>6134.59</v>
      </c>
      <c r="AZ161" s="263">
        <f>IFERROR(__xludf.DUMMYFUNCTION("""COMPUTED_VALUE"""),341.0)</f>
        <v>341</v>
      </c>
      <c r="BA161" s="263">
        <f>IFERROR(__xludf.DUMMYFUNCTION("""COMPUTED_VALUE"""),3.0)</f>
        <v>3</v>
      </c>
      <c r="BB161" s="263">
        <f>IFERROR(__xludf.DUMMYFUNCTION("""COMPUTED_VALUE"""),15.0)</f>
        <v>15</v>
      </c>
      <c r="BC161" s="263">
        <f>IFERROR(__xludf.DUMMYFUNCTION("""COMPUTED_VALUE"""),1.0)</f>
        <v>1</v>
      </c>
      <c r="BD161" s="265"/>
      <c r="BE161" s="258"/>
      <c r="BF161" s="255" t="e">
        <v>#REF!</v>
      </c>
      <c r="BG161" s="256">
        <f t="shared" si="4"/>
        <v>95119</v>
      </c>
      <c r="BH161" s="257" t="str">
        <f t="shared" si="5"/>
        <v>#REF!</v>
      </c>
      <c r="BI161" s="98"/>
      <c r="BJ161" s="98"/>
      <c r="BK161" s="98"/>
      <c r="BL161" s="98"/>
      <c r="BM161" s="98"/>
      <c r="BN161" s="98"/>
      <c r="BO161" s="98"/>
      <c r="BP161" s="98"/>
      <c r="BQ161" s="98"/>
      <c r="BR161" s="98"/>
    </row>
    <row r="162">
      <c r="A162" s="6" t="str">
        <f>IFERROR(__xludf.DUMMYFUNCTION("""COMPUTED_VALUE"""),"Lalan Kumar")</f>
        <v>Lalan Kumar</v>
      </c>
      <c r="B162" s="98" t="str">
        <f>IFERROR(__xludf.DUMMYFUNCTION("""COMPUTED_VALUE"""),"Maharashtra")</f>
        <v>Maharashtra</v>
      </c>
      <c r="C162" s="212" t="str">
        <f>IFERROR(__xludf.DUMMYFUNCTION("""COMPUTED_VALUE"""),"Prasad Pundalik Yedge")</f>
        <v>Prasad Pundalik Yedge</v>
      </c>
      <c r="D162" s="98" t="str">
        <f>IFERROR(__xludf.DUMMYFUNCTION("""COMPUTED_VALUE"""),"Mumbai")</f>
        <v>Mumbai</v>
      </c>
      <c r="E162" s="213">
        <f>IFERROR(__xludf.DUMMYFUNCTION("""COMPUTED_VALUE"""),46146.0)</f>
        <v>46146</v>
      </c>
      <c r="F162" s="222" t="str">
        <f>IFERROR(__xludf.DUMMYFUNCTION("""COMPUTED_VALUE"""),"MAHARASHTRA")</f>
        <v>MAHARASHTRA</v>
      </c>
      <c r="G162" s="215"/>
      <c r="H162" s="215"/>
      <c r="I162" s="216">
        <f>IFERROR(__xludf.DUMMYFUNCTION("""COMPUTED_VALUE"""),31980.0)</f>
        <v>31980</v>
      </c>
      <c r="J162" s="216"/>
      <c r="K162" s="217">
        <f>IFERROR(__xludf.DUMMYFUNCTION("""COMPUTED_VALUE"""),0.0)</f>
        <v>0</v>
      </c>
      <c r="L162" s="217">
        <f>IFERROR(__xludf.DUMMYFUNCTION("""COMPUTED_VALUE"""),1000000.0)</f>
        <v>1000000</v>
      </c>
      <c r="M162" s="217">
        <f>IFERROR(__xludf.DUMMYFUNCTION("""COMPUTED_VALUE"""),696574.0)</f>
        <v>696574</v>
      </c>
      <c r="N162" s="217">
        <f>IFERROR(__xludf.DUMMYFUNCTION("""COMPUTED_VALUE"""),0.0)</f>
        <v>0</v>
      </c>
      <c r="O162" s="217">
        <f>IFERROR(__xludf.DUMMYFUNCTION("""COMPUTED_VALUE"""),620974.0)</f>
        <v>620974</v>
      </c>
      <c r="P162" s="218">
        <f>IFERROR(__xludf.DUMMYFUNCTION("""COMPUTED_VALUE"""),0.696574)</f>
        <v>0.696574</v>
      </c>
      <c r="Q162" s="218">
        <f>IFERROR(__xludf.DUMMYFUNCTION("""COMPUTED_VALUE"""),0.0)</f>
        <v>0</v>
      </c>
      <c r="R162" s="218"/>
      <c r="S162" s="187">
        <f>IFERROR(__xludf.DUMMYFUNCTION("""COMPUTED_VALUE"""),54.0)</f>
        <v>54</v>
      </c>
      <c r="T162" s="187">
        <f>IFERROR(__xludf.DUMMYFUNCTION("""COMPUTED_VALUE"""),65.0)</f>
        <v>65</v>
      </c>
      <c r="U162" s="187">
        <f>IFERROR(__xludf.DUMMYFUNCTION("""COMPUTED_VALUE"""),12.0)</f>
        <v>12</v>
      </c>
      <c r="V162" s="187">
        <f>IFERROR(__xludf.DUMMYFUNCTION("""COMPUTED_VALUE"""),12.0)</f>
        <v>12</v>
      </c>
      <c r="W162" s="187">
        <f>IFERROR(__xludf.DUMMYFUNCTION("""COMPUTED_VALUE"""),66.0)</f>
        <v>66</v>
      </c>
      <c r="X162" s="187">
        <f>IFERROR(__xludf.DUMMYFUNCTION("""COMPUTED_VALUE"""),1.0)</f>
        <v>1</v>
      </c>
      <c r="Y162" s="188">
        <f>IFERROR(__xludf.DUMMYFUNCTION("""COMPUTED_VALUE"""),280518.06)</f>
        <v>280518.06</v>
      </c>
      <c r="Z162" s="188">
        <f>IFERROR(__xludf.DUMMYFUNCTION("""COMPUTED_VALUE"""),416055.54)</f>
        <v>416055.54</v>
      </c>
      <c r="AA162" s="187">
        <f>IFERROR(__xludf.DUMMYFUNCTION("""COMPUTED_VALUE"""),12.0)</f>
        <v>12</v>
      </c>
      <c r="AB162" s="187">
        <f>IFERROR(__xludf.DUMMYFUNCTION("""COMPUTED_VALUE"""),12.0)</f>
        <v>12</v>
      </c>
      <c r="AC162" s="187">
        <f>IFERROR(__xludf.DUMMYFUNCTION("""COMPUTED_VALUE"""),24.0)</f>
        <v>24</v>
      </c>
      <c r="AD162" s="187">
        <f>IFERROR(__xludf.DUMMYFUNCTION("""COMPUTED_VALUE"""),0.0)</f>
        <v>0</v>
      </c>
      <c r="AE162" s="187">
        <f>IFERROR(__xludf.DUMMYFUNCTION("""COMPUTED_VALUE"""),60.0)</f>
        <v>60</v>
      </c>
      <c r="AF162" s="187">
        <f>IFERROR(__xludf.DUMMYFUNCTION("""COMPUTED_VALUE"""),77.0)</f>
        <v>77</v>
      </c>
      <c r="AG162" s="187">
        <f>IFERROR(__xludf.DUMMYFUNCTION("""COMPUTED_VALUE"""),7.0)</f>
        <v>7</v>
      </c>
      <c r="AH162" s="187">
        <f>IFERROR(__xludf.DUMMYFUNCTION("""COMPUTED_VALUE"""),4.0)</f>
        <v>4</v>
      </c>
      <c r="AI162" s="187">
        <f>IFERROR(__xludf.DUMMYFUNCTION("""COMPUTED_VALUE"""),18.0)</f>
        <v>18</v>
      </c>
      <c r="AJ162" s="187">
        <f>IFERROR(__xludf.DUMMYFUNCTION("""COMPUTED_VALUE"""),2.0)</f>
        <v>2</v>
      </c>
      <c r="AK162" s="187">
        <f>IFERROR(__xludf.DUMMYFUNCTION("""COMPUTED_VALUE"""),2.0)</f>
        <v>2</v>
      </c>
      <c r="AL162" s="187">
        <f>IFERROR(__xludf.DUMMYFUNCTION("""COMPUTED_VALUE"""),1.0)</f>
        <v>1</v>
      </c>
      <c r="AM162" s="187">
        <f>IFERROR(__xludf.DUMMYFUNCTION("""COMPUTED_VALUE"""),1.0)</f>
        <v>1</v>
      </c>
      <c r="AN162" s="187">
        <f>IFERROR(__xludf.DUMMYFUNCTION("""COMPUTED_VALUE"""),102.0)</f>
        <v>102</v>
      </c>
      <c r="AO162" s="187">
        <f>IFERROR(__xludf.DUMMYFUNCTION("""COMPUTED_VALUE"""),200.0)</f>
        <v>200</v>
      </c>
      <c r="AP162" s="187">
        <f>IFERROR(__xludf.DUMMYFUNCTION("""COMPUTED_VALUE"""),38.0)</f>
        <v>38</v>
      </c>
      <c r="AQ162" s="217">
        <f>IFERROR(__xludf.DUMMYFUNCTION("""COMPUTED_VALUE"""),18330.894736842107)</f>
        <v>18330.89474</v>
      </c>
      <c r="AR162" s="188">
        <f>IFERROR(__xludf.DUMMYFUNCTION("""COMPUTED_VALUE"""),5.2631578947368425)</f>
        <v>5.263157895</v>
      </c>
      <c r="AS162" s="217">
        <f>IFERROR(__xludf.DUMMYFUNCTION("""COMPUTED_VALUE"""),60865.16129032258)</f>
        <v>60865.16129</v>
      </c>
      <c r="AT162" s="217"/>
      <c r="AU162" s="218">
        <f>IFERROR(__xludf.DUMMYFUNCTION("""COMPUTED_VALUE"""),0.08737788273797556)</f>
        <v>0.08737788274</v>
      </c>
      <c r="AV162" s="217">
        <f>IFERROR(__xludf.DUMMYFUNCTION("""COMPUTED_VALUE"""),29023.916666666668)</f>
        <v>29023.91667</v>
      </c>
      <c r="AW162" s="219">
        <f>IFERROR(__xludf.DUMMYFUNCTION("""COMPUTED_VALUE"""),37.0)</f>
        <v>37</v>
      </c>
      <c r="AX162" s="219">
        <f>IFERROR(__xludf.DUMMYFUNCTION("""COMPUTED_VALUE"""),366.0)</f>
        <v>366</v>
      </c>
      <c r="AY162" s="262">
        <f>IFERROR(__xludf.DUMMYFUNCTION("""COMPUTED_VALUE"""),3149.12)</f>
        <v>3149.12</v>
      </c>
      <c r="AZ162" s="263">
        <f>IFERROR(__xludf.DUMMYFUNCTION("""COMPUTED_VALUE"""),48.0)</f>
        <v>48</v>
      </c>
      <c r="BA162" s="263">
        <f>IFERROR(__xludf.DUMMYFUNCTION("""COMPUTED_VALUE"""),24.0)</f>
        <v>24</v>
      </c>
      <c r="BB162" s="263">
        <f>IFERROR(__xludf.DUMMYFUNCTION("""COMPUTED_VALUE"""),41.0)</f>
        <v>41</v>
      </c>
      <c r="BC162" s="263">
        <f>IFERROR(__xludf.DUMMYFUNCTION("""COMPUTED_VALUE"""),1.0)</f>
        <v>1</v>
      </c>
      <c r="BD162" s="265"/>
      <c r="BE162" s="258"/>
      <c r="BF162" s="255" t="e">
        <v>#REF!</v>
      </c>
      <c r="BG162" s="256">
        <f t="shared" si="4"/>
        <v>696574</v>
      </c>
      <c r="BH162" s="257" t="str">
        <f t="shared" si="5"/>
        <v>#REF!</v>
      </c>
      <c r="BI162" s="98"/>
      <c r="BJ162" s="98"/>
      <c r="BK162" s="98"/>
      <c r="BL162" s="98"/>
      <c r="BM162" s="98"/>
      <c r="BN162" s="98"/>
      <c r="BO162" s="98"/>
      <c r="BP162" s="98"/>
      <c r="BQ162" s="98"/>
      <c r="BR162" s="98"/>
    </row>
    <row r="163">
      <c r="A163" s="6" t="str">
        <f>IFERROR(__xludf.DUMMYFUNCTION("""COMPUTED_VALUE"""),"Prashant Onam Naik")</f>
        <v>Prashant Onam Naik</v>
      </c>
      <c r="B163" s="98" t="str">
        <f>IFERROR(__xludf.DUMMYFUNCTION("""COMPUTED_VALUE"""),"Karnataka")</f>
        <v>Karnataka</v>
      </c>
      <c r="C163" s="212" t="str">
        <f>IFERROR(__xludf.DUMMYFUNCTION("""COMPUTED_VALUE"""),"Pratham Kyasti")</f>
        <v>Pratham Kyasti</v>
      </c>
      <c r="D163" s="98" t="str">
        <f>IFERROR(__xludf.DUMMYFUNCTION("""COMPUTED_VALUE"""),"Belgaum")</f>
        <v>Belgaum</v>
      </c>
      <c r="E163" s="213">
        <f>IFERROR(__xludf.DUMMYFUNCTION("""COMPUTED_VALUE"""),46147.0)</f>
        <v>46147</v>
      </c>
      <c r="F163" s="222" t="str">
        <f>IFERROR(__xludf.DUMMYFUNCTION("""COMPUTED_VALUE"""),"KARNATAKA")</f>
        <v>KARNATAKA</v>
      </c>
      <c r="G163" s="215"/>
      <c r="H163" s="215"/>
      <c r="I163" s="216">
        <f>IFERROR(__xludf.DUMMYFUNCTION("""COMPUTED_VALUE"""),38810.0)</f>
        <v>38810</v>
      </c>
      <c r="J163" s="216">
        <f>IFERROR(__xludf.DUMMYFUNCTION("""COMPUTED_VALUE"""),900000.0)</f>
        <v>900000</v>
      </c>
      <c r="K163" s="217">
        <f>IFERROR(__xludf.DUMMYFUNCTION("""COMPUTED_VALUE"""),0.0)</f>
        <v>0</v>
      </c>
      <c r="L163" s="217">
        <f>IFERROR(__xludf.DUMMYFUNCTION("""COMPUTED_VALUE"""),1700000.0)</f>
        <v>1700000</v>
      </c>
      <c r="M163" s="217">
        <f>IFERROR(__xludf.DUMMYFUNCTION("""COMPUTED_VALUE"""),476508.0)</f>
        <v>476508</v>
      </c>
      <c r="N163" s="217">
        <f>IFERROR(__xludf.DUMMYFUNCTION("""COMPUTED_VALUE"""),0.0)</f>
        <v>0</v>
      </c>
      <c r="O163" s="217"/>
      <c r="P163" s="218">
        <f>IFERROR(__xludf.DUMMYFUNCTION("""COMPUTED_VALUE"""),0.28029882352941177)</f>
        <v>0.2802988235</v>
      </c>
      <c r="Q163" s="218">
        <f>IFERROR(__xludf.DUMMYFUNCTION("""COMPUTED_VALUE"""),0.0)</f>
        <v>0</v>
      </c>
      <c r="R163" s="218"/>
      <c r="S163" s="187">
        <f>IFERROR(__xludf.DUMMYFUNCTION("""COMPUTED_VALUE"""),3.0)</f>
        <v>3</v>
      </c>
      <c r="T163" s="187">
        <f>IFERROR(__xludf.DUMMYFUNCTION("""COMPUTED_VALUE"""),38.0)</f>
        <v>38</v>
      </c>
      <c r="U163" s="187">
        <f>IFERROR(__xludf.DUMMYFUNCTION("""COMPUTED_VALUE"""),37.0)</f>
        <v>37</v>
      </c>
      <c r="V163" s="187">
        <f>IFERROR(__xludf.DUMMYFUNCTION("""COMPUTED_VALUE"""),37.0)</f>
        <v>37</v>
      </c>
      <c r="W163" s="187">
        <f>IFERROR(__xludf.DUMMYFUNCTION("""COMPUTED_VALUE"""),40.0)</f>
        <v>40</v>
      </c>
      <c r="X163" s="187">
        <f>IFERROR(__xludf.DUMMYFUNCTION("""COMPUTED_VALUE"""),2.0)</f>
        <v>2</v>
      </c>
      <c r="Y163" s="188">
        <f>IFERROR(__xludf.DUMMYFUNCTION("""COMPUTED_VALUE"""),0.01)</f>
        <v>0.01</v>
      </c>
      <c r="Z163" s="188">
        <f>IFERROR(__xludf.DUMMYFUNCTION("""COMPUTED_VALUE"""),476508.14)</f>
        <v>476508.14</v>
      </c>
      <c r="AA163" s="187">
        <f>IFERROR(__xludf.DUMMYFUNCTION("""COMPUTED_VALUE"""),0.0)</f>
        <v>0</v>
      </c>
      <c r="AB163" s="187">
        <f>IFERROR(__xludf.DUMMYFUNCTION("""COMPUTED_VALUE"""),37.0)</f>
        <v>37</v>
      </c>
      <c r="AC163" s="187">
        <f>IFERROR(__xludf.DUMMYFUNCTION("""COMPUTED_VALUE"""),37.0)</f>
        <v>37</v>
      </c>
      <c r="AD163" s="187">
        <f>IFERROR(__xludf.DUMMYFUNCTION("""COMPUTED_VALUE"""),0.0)</f>
        <v>0</v>
      </c>
      <c r="AE163" s="187">
        <f>IFERROR(__xludf.DUMMYFUNCTION("""COMPUTED_VALUE"""),145.0)</f>
        <v>145</v>
      </c>
      <c r="AF163" s="187">
        <f>IFERROR(__xludf.DUMMYFUNCTION("""COMPUTED_VALUE"""),235.0)</f>
        <v>235</v>
      </c>
      <c r="AG163" s="187">
        <f>IFERROR(__xludf.DUMMYFUNCTION("""COMPUTED_VALUE"""),12.0)</f>
        <v>12</v>
      </c>
      <c r="AH163" s="187">
        <f>IFERROR(__xludf.DUMMYFUNCTION("""COMPUTED_VALUE"""),1.0)</f>
        <v>1</v>
      </c>
      <c r="AI163" s="187">
        <f>IFERROR(__xludf.DUMMYFUNCTION("""COMPUTED_VALUE"""),12.0)</f>
        <v>12</v>
      </c>
      <c r="AJ163" s="187">
        <f>IFERROR(__xludf.DUMMYFUNCTION("""COMPUTED_VALUE"""),0.0)</f>
        <v>0</v>
      </c>
      <c r="AK163" s="187">
        <f>IFERROR(__xludf.DUMMYFUNCTION("""COMPUTED_VALUE"""),0.0)</f>
        <v>0</v>
      </c>
      <c r="AL163" s="187">
        <f>IFERROR(__xludf.DUMMYFUNCTION("""COMPUTED_VALUE"""),2.0)</f>
        <v>2</v>
      </c>
      <c r="AM163" s="187">
        <f>IFERROR(__xludf.DUMMYFUNCTION("""COMPUTED_VALUE"""),2.0)</f>
        <v>2</v>
      </c>
      <c r="AN163" s="187">
        <f>IFERROR(__xludf.DUMMYFUNCTION("""COMPUTED_VALUE"""),77.0)</f>
        <v>77</v>
      </c>
      <c r="AO163" s="187">
        <f>IFERROR(__xludf.DUMMYFUNCTION("""COMPUTED_VALUE"""),326.0)</f>
        <v>326</v>
      </c>
      <c r="AP163" s="187">
        <f>IFERROR(__xludf.DUMMYFUNCTION("""COMPUTED_VALUE"""),40.0)</f>
        <v>40</v>
      </c>
      <c r="AQ163" s="217">
        <f>IFERROR(__xludf.DUMMYFUNCTION("""COMPUTED_VALUE"""),11912.7)</f>
        <v>11912.7</v>
      </c>
      <c r="AR163" s="188">
        <f>IFERROR(__xludf.DUMMYFUNCTION("""COMPUTED_VALUE"""),8.15)</f>
        <v>8.15</v>
      </c>
      <c r="AS163" s="217">
        <f>IFERROR(__xludf.DUMMYFUNCTION("""COMPUTED_VALUE"""),72612.25806451614)</f>
        <v>72612.25806</v>
      </c>
      <c r="AT163" s="217"/>
      <c r="AU163" s="218">
        <f>IFERROR(__xludf.DUMMYFUNCTION("""COMPUTED_VALUE"""),0.1523841321961355)</f>
        <v>0.1523841322</v>
      </c>
      <c r="AV163" s="217">
        <f>IFERROR(__xludf.DUMMYFUNCTION("""COMPUTED_VALUE"""),12878.594594594595)</f>
        <v>12878.59459</v>
      </c>
      <c r="AW163" s="219">
        <f>IFERROR(__xludf.DUMMYFUNCTION("""COMPUTED_VALUE"""),46.0)</f>
        <v>46</v>
      </c>
      <c r="AX163" s="219">
        <f>IFERROR(__xludf.DUMMYFUNCTION("""COMPUTED_VALUE"""),372.0)</f>
        <v>372</v>
      </c>
      <c r="AY163" s="262">
        <f>IFERROR(__xludf.DUMMYFUNCTION("""COMPUTED_VALUE"""),3207.34)</f>
        <v>3207.34</v>
      </c>
      <c r="AZ163" s="263">
        <f>IFERROR(__xludf.DUMMYFUNCTION("""COMPUTED_VALUE"""),84.0)</f>
        <v>84</v>
      </c>
      <c r="BA163" s="263">
        <f>IFERROR(__xludf.DUMMYFUNCTION("""COMPUTED_VALUE"""),37.0)</f>
        <v>37</v>
      </c>
      <c r="BB163" s="263">
        <f>IFERROR(__xludf.DUMMYFUNCTION("""COMPUTED_VALUE"""),2.0)</f>
        <v>2</v>
      </c>
      <c r="BC163" s="263">
        <f>IFERROR(__xludf.DUMMYFUNCTION("""COMPUTED_VALUE"""),1.0)</f>
        <v>1</v>
      </c>
      <c r="BD163" s="258"/>
      <c r="BE163" s="258"/>
      <c r="BF163" s="255" t="e">
        <v>#REF!</v>
      </c>
      <c r="BG163" s="256">
        <f t="shared" si="4"/>
        <v>476508</v>
      </c>
      <c r="BH163" s="257" t="str">
        <f t="shared" si="5"/>
        <v>#REF!</v>
      </c>
      <c r="BI163" s="98"/>
      <c r="BJ163" s="98"/>
      <c r="BK163" s="98"/>
      <c r="BL163" s="98"/>
      <c r="BM163" s="98"/>
      <c r="BN163" s="98"/>
      <c r="BO163" s="98"/>
      <c r="BP163" s="98"/>
      <c r="BQ163" s="98"/>
      <c r="BR163" s="98"/>
    </row>
    <row r="164">
      <c r="A164" s="6" t="str">
        <f>IFERROR(__xludf.DUMMYFUNCTION("""COMPUTED_VALUE"""),"Lalan Kumar")</f>
        <v>Lalan Kumar</v>
      </c>
      <c r="B164" s="98" t="str">
        <f>IFERROR(__xludf.DUMMYFUNCTION("""COMPUTED_VALUE"""),"Maharashtra")</f>
        <v>Maharashtra</v>
      </c>
      <c r="C164" s="212" t="str">
        <f>IFERROR(__xludf.DUMMYFUNCTION("""COMPUTED_VALUE"""),"Unmesh Dilip Thakar")</f>
        <v>Unmesh Dilip Thakar</v>
      </c>
      <c r="D164" s="98" t="str">
        <f>IFERROR(__xludf.DUMMYFUNCTION("""COMPUTED_VALUE"""),"Sangli")</f>
        <v>Sangli</v>
      </c>
      <c r="E164" s="213">
        <f>IFERROR(__xludf.DUMMYFUNCTION("""COMPUTED_VALUE"""),46147.0)</f>
        <v>46147</v>
      </c>
      <c r="F164" s="222" t="str">
        <f>IFERROR(__xludf.DUMMYFUNCTION("""COMPUTED_VALUE"""),"MAHARASHTRA")</f>
        <v>MAHARASHTRA</v>
      </c>
      <c r="G164" s="215"/>
      <c r="H164" s="215"/>
      <c r="I164" s="216">
        <f>IFERROR(__xludf.DUMMYFUNCTION("""COMPUTED_VALUE"""),29360.0)</f>
        <v>29360</v>
      </c>
      <c r="J164" s="216"/>
      <c r="K164" s="217">
        <f>IFERROR(__xludf.DUMMYFUNCTION("""COMPUTED_VALUE"""),0.0)</f>
        <v>0</v>
      </c>
      <c r="L164" s="217">
        <f>IFERROR(__xludf.DUMMYFUNCTION("""COMPUTED_VALUE"""),1200000.0)</f>
        <v>1200000</v>
      </c>
      <c r="M164" s="217">
        <f>IFERROR(__xludf.DUMMYFUNCTION("""COMPUTED_VALUE"""),924877.0)</f>
        <v>924877</v>
      </c>
      <c r="N164" s="217">
        <f>IFERROR(__xludf.DUMMYFUNCTION("""COMPUTED_VALUE"""),0.0)</f>
        <v>0</v>
      </c>
      <c r="O164" s="217">
        <f>IFERROR(__xludf.DUMMYFUNCTION("""COMPUTED_VALUE"""),725237.0)</f>
        <v>725237</v>
      </c>
      <c r="P164" s="218">
        <f>IFERROR(__xludf.DUMMYFUNCTION("""COMPUTED_VALUE"""),0.7707308333333334)</f>
        <v>0.7707308333</v>
      </c>
      <c r="Q164" s="218">
        <f>IFERROR(__xludf.DUMMYFUNCTION("""COMPUTED_VALUE"""),0.0)</f>
        <v>0</v>
      </c>
      <c r="R164" s="218"/>
      <c r="S164" s="187">
        <f>IFERROR(__xludf.DUMMYFUNCTION("""COMPUTED_VALUE"""),24.0)</f>
        <v>24</v>
      </c>
      <c r="T164" s="187">
        <f>IFERROR(__xludf.DUMMYFUNCTION("""COMPUTED_VALUE"""),54.0)</f>
        <v>54</v>
      </c>
      <c r="U164" s="187">
        <f>IFERROR(__xludf.DUMMYFUNCTION("""COMPUTED_VALUE"""),30.0)</f>
        <v>30</v>
      </c>
      <c r="V164" s="187">
        <f>IFERROR(__xludf.DUMMYFUNCTION("""COMPUTED_VALUE"""),29.0)</f>
        <v>29</v>
      </c>
      <c r="W164" s="187">
        <f>IFERROR(__xludf.DUMMYFUNCTION("""COMPUTED_VALUE"""),54.0)</f>
        <v>54</v>
      </c>
      <c r="X164" s="187">
        <f>IFERROR(__xludf.DUMMYFUNCTION("""COMPUTED_VALUE"""),0.0)</f>
        <v>0</v>
      </c>
      <c r="Y164" s="188">
        <f>IFERROR(__xludf.DUMMYFUNCTION("""COMPUTED_VALUE"""),210097.5)</f>
        <v>210097.5</v>
      </c>
      <c r="Z164" s="188">
        <f>IFERROR(__xludf.DUMMYFUNCTION("""COMPUTED_VALUE"""),714779.69)</f>
        <v>714779.69</v>
      </c>
      <c r="AA164" s="187">
        <f>IFERROR(__xludf.DUMMYFUNCTION("""COMPUTED_VALUE"""),11.0)</f>
        <v>11</v>
      </c>
      <c r="AB164" s="187">
        <f>IFERROR(__xludf.DUMMYFUNCTION("""COMPUTED_VALUE"""),29.0)</f>
        <v>29</v>
      </c>
      <c r="AC164" s="187">
        <f>IFERROR(__xludf.DUMMYFUNCTION("""COMPUTED_VALUE"""),40.0)</f>
        <v>40</v>
      </c>
      <c r="AD164" s="187">
        <f>IFERROR(__xludf.DUMMYFUNCTION("""COMPUTED_VALUE"""),0.0)</f>
        <v>0</v>
      </c>
      <c r="AE164" s="187">
        <f>IFERROR(__xludf.DUMMYFUNCTION("""COMPUTED_VALUE"""),38.0)</f>
        <v>38</v>
      </c>
      <c r="AF164" s="187">
        <f>IFERROR(__xludf.DUMMYFUNCTION("""COMPUTED_VALUE"""),62.0)</f>
        <v>62</v>
      </c>
      <c r="AG164" s="187">
        <f>IFERROR(__xludf.DUMMYFUNCTION("""COMPUTED_VALUE"""),4.0)</f>
        <v>4</v>
      </c>
      <c r="AH164" s="187">
        <f>IFERROR(__xludf.DUMMYFUNCTION("""COMPUTED_VALUE"""),1.0)</f>
        <v>1</v>
      </c>
      <c r="AI164" s="187">
        <f>IFERROR(__xludf.DUMMYFUNCTION("""COMPUTED_VALUE"""),9.0)</f>
        <v>9</v>
      </c>
      <c r="AJ164" s="187">
        <f>IFERROR(__xludf.DUMMYFUNCTION("""COMPUTED_VALUE"""),0.0)</f>
        <v>0</v>
      </c>
      <c r="AK164" s="187">
        <f>IFERROR(__xludf.DUMMYFUNCTION("""COMPUTED_VALUE"""),0.0)</f>
        <v>0</v>
      </c>
      <c r="AL164" s="187">
        <f>IFERROR(__xludf.DUMMYFUNCTION("""COMPUTED_VALUE"""),0.0)</f>
        <v>0</v>
      </c>
      <c r="AM164" s="187">
        <f>IFERROR(__xludf.DUMMYFUNCTION("""COMPUTED_VALUE"""),0.0)</f>
        <v>0</v>
      </c>
      <c r="AN164" s="187">
        <f>IFERROR(__xludf.DUMMYFUNCTION("""COMPUTED_VALUE"""),107.0)</f>
        <v>107</v>
      </c>
      <c r="AO164" s="187">
        <f>IFERROR(__xludf.DUMMYFUNCTION("""COMPUTED_VALUE"""),178.0)</f>
        <v>178</v>
      </c>
      <c r="AP164" s="187">
        <f>IFERROR(__xludf.DUMMYFUNCTION("""COMPUTED_VALUE"""),41.0)</f>
        <v>41</v>
      </c>
      <c r="AQ164" s="217">
        <f>IFERROR(__xludf.DUMMYFUNCTION("""COMPUTED_VALUE"""),22557.975609756097)</f>
        <v>22557.97561</v>
      </c>
      <c r="AR164" s="188">
        <f>IFERROR(__xludf.DUMMYFUNCTION("""COMPUTED_VALUE"""),4.341463414634147)</f>
        <v>4.341463415</v>
      </c>
      <c r="AS164" s="217">
        <f>IFERROR(__xludf.DUMMYFUNCTION("""COMPUTED_VALUE"""),54931.61290322581)</f>
        <v>54931.6129</v>
      </c>
      <c r="AT164" s="217"/>
      <c r="AU164" s="218">
        <f>IFERROR(__xludf.DUMMYFUNCTION("""COMPUTED_VALUE"""),0.05939342518326849)</f>
        <v>0.05939342518</v>
      </c>
      <c r="AV164" s="217">
        <f>IFERROR(__xludf.DUMMYFUNCTION("""COMPUTED_VALUE"""),23121.925)</f>
        <v>23121.925</v>
      </c>
      <c r="AW164" s="219">
        <f>IFERROR(__xludf.DUMMYFUNCTION("""COMPUTED_VALUE"""),57.0)</f>
        <v>57</v>
      </c>
      <c r="AX164" s="219">
        <f>IFERROR(__xludf.DUMMYFUNCTION("""COMPUTED_VALUE"""),403.0)</f>
        <v>403</v>
      </c>
      <c r="AY164" s="262">
        <f>IFERROR(__xludf.DUMMYFUNCTION("""COMPUTED_VALUE"""),3572.47)</f>
        <v>3572.47</v>
      </c>
      <c r="AZ164" s="263">
        <f>IFERROR(__xludf.DUMMYFUNCTION("""COMPUTED_VALUE"""),66.0)</f>
        <v>66</v>
      </c>
      <c r="BA164" s="263">
        <f>IFERROR(__xludf.DUMMYFUNCTION("""COMPUTED_VALUE"""),40.0)</f>
        <v>40</v>
      </c>
      <c r="BB164" s="263">
        <f>IFERROR(__xludf.DUMMYFUNCTION("""COMPUTED_VALUE"""),14.0)</f>
        <v>14</v>
      </c>
      <c r="BC164" s="263">
        <f>IFERROR(__xludf.DUMMYFUNCTION("""COMPUTED_VALUE"""),0.0)</f>
        <v>0</v>
      </c>
      <c r="BD164" s="258"/>
      <c r="BE164" s="258"/>
      <c r="BF164" s="255" t="e">
        <v>#REF!</v>
      </c>
      <c r="BG164" s="256">
        <f t="shared" si="4"/>
        <v>924877</v>
      </c>
      <c r="BH164" s="257" t="str">
        <f t="shared" si="5"/>
        <v>#REF!</v>
      </c>
      <c r="BI164" s="98"/>
      <c r="BJ164" s="98"/>
      <c r="BK164" s="98"/>
      <c r="BL164" s="98"/>
      <c r="BM164" s="98"/>
      <c r="BN164" s="98"/>
      <c r="BO164" s="98"/>
      <c r="BP164" s="98"/>
      <c r="BQ164" s="98"/>
      <c r="BR164" s="98"/>
    </row>
    <row r="165">
      <c r="A165" s="6" t="str">
        <f>IFERROR(__xludf.DUMMYFUNCTION("""COMPUTED_VALUE"""),"Sandeep Dadheech")</f>
        <v>Sandeep Dadheech</v>
      </c>
      <c r="B165" s="98" t="str">
        <f>IFERROR(__xludf.DUMMYFUNCTION("""COMPUTED_VALUE"""),"Odisha")</f>
        <v>Odisha</v>
      </c>
      <c r="C165" s="212" t="str">
        <f>IFERROR(__xludf.DUMMYFUNCTION("""COMPUTED_VALUE"""),"Susanta Behera")</f>
        <v>Susanta Behera</v>
      </c>
      <c r="D165" s="98" t="str">
        <f>IFERROR(__xludf.DUMMYFUNCTION("""COMPUTED_VALUE"""),"Bhubaneswar")</f>
        <v>Bhubaneswar</v>
      </c>
      <c r="E165" s="213">
        <f>IFERROR(__xludf.DUMMYFUNCTION("""COMPUTED_VALUE"""),46148.0)</f>
        <v>46148</v>
      </c>
      <c r="F165" s="222" t="str">
        <f>IFERROR(__xludf.DUMMYFUNCTION("""COMPUTED_VALUE"""),"ODISHA")</f>
        <v>ODISHA</v>
      </c>
      <c r="G165" s="215"/>
      <c r="H165" s="215"/>
      <c r="I165" s="216">
        <f>IFERROR(__xludf.DUMMYFUNCTION("""COMPUTED_VALUE"""),34100.0)</f>
        <v>34100</v>
      </c>
      <c r="J165" s="56"/>
      <c r="K165" s="217">
        <f>IFERROR(__xludf.DUMMYFUNCTION("""COMPUTED_VALUE"""),0.0)</f>
        <v>0</v>
      </c>
      <c r="L165" s="217">
        <f>IFERROR(__xludf.DUMMYFUNCTION("""COMPUTED_VALUE"""),2000000.0)</f>
        <v>2000000</v>
      </c>
      <c r="M165" s="217">
        <f>IFERROR(__xludf.DUMMYFUNCTION("""COMPUTED_VALUE"""),516578.0)</f>
        <v>516578</v>
      </c>
      <c r="N165" s="217">
        <f>IFERROR(__xludf.DUMMYFUNCTION("""COMPUTED_VALUE"""),0.0)</f>
        <v>0</v>
      </c>
      <c r="O165" s="217">
        <f>IFERROR(__xludf.DUMMYFUNCTION("""COMPUTED_VALUE"""),1040756.0)</f>
        <v>1040756</v>
      </c>
      <c r="P165" s="218">
        <f>IFERROR(__xludf.DUMMYFUNCTION("""COMPUTED_VALUE"""),0.258289)</f>
        <v>0.258289</v>
      </c>
      <c r="Q165" s="218">
        <f>IFERROR(__xludf.DUMMYFUNCTION("""COMPUTED_VALUE"""),0.0)</f>
        <v>0</v>
      </c>
      <c r="R165" s="218"/>
      <c r="S165" s="187">
        <f>IFERROR(__xludf.DUMMYFUNCTION("""COMPUTED_VALUE"""),54.0)</f>
        <v>54</v>
      </c>
      <c r="T165" s="187">
        <f>IFERROR(__xludf.DUMMYFUNCTION("""COMPUTED_VALUE"""),61.0)</f>
        <v>61</v>
      </c>
      <c r="U165" s="187">
        <f>IFERROR(__xludf.DUMMYFUNCTION("""COMPUTED_VALUE"""),9.0)</f>
        <v>9</v>
      </c>
      <c r="V165" s="187">
        <f>IFERROR(__xludf.DUMMYFUNCTION("""COMPUTED_VALUE"""),9.0)</f>
        <v>9</v>
      </c>
      <c r="W165" s="187">
        <f>IFERROR(__xludf.DUMMYFUNCTION("""COMPUTED_VALUE"""),63.0)</f>
        <v>63</v>
      </c>
      <c r="X165" s="187">
        <f>IFERROR(__xludf.DUMMYFUNCTION("""COMPUTED_VALUE"""),2.0)</f>
        <v>2</v>
      </c>
      <c r="Y165" s="188">
        <f>IFERROR(__xludf.DUMMYFUNCTION("""COMPUTED_VALUE"""),326117.14)</f>
        <v>326117.14</v>
      </c>
      <c r="Z165" s="188">
        <f>IFERROR(__xludf.DUMMYFUNCTION("""COMPUTED_VALUE"""),190460.48)</f>
        <v>190460.48</v>
      </c>
      <c r="AA165" s="187">
        <f>IFERROR(__xludf.DUMMYFUNCTION("""COMPUTED_VALUE"""),17.0)</f>
        <v>17</v>
      </c>
      <c r="AB165" s="187">
        <f>IFERROR(__xludf.DUMMYFUNCTION("""COMPUTED_VALUE"""),9.0)</f>
        <v>9</v>
      </c>
      <c r="AC165" s="187">
        <f>IFERROR(__xludf.DUMMYFUNCTION("""COMPUTED_VALUE"""),26.0)</f>
        <v>26</v>
      </c>
      <c r="AD165" s="187">
        <f>IFERROR(__xludf.DUMMYFUNCTION("""COMPUTED_VALUE"""),0.0)</f>
        <v>0</v>
      </c>
      <c r="AE165" s="187">
        <f>IFERROR(__xludf.DUMMYFUNCTION("""COMPUTED_VALUE"""),59.0)</f>
        <v>59</v>
      </c>
      <c r="AF165" s="187">
        <f>IFERROR(__xludf.DUMMYFUNCTION("""COMPUTED_VALUE"""),119.0)</f>
        <v>119</v>
      </c>
      <c r="AG165" s="187">
        <f>IFERROR(__xludf.DUMMYFUNCTION("""COMPUTED_VALUE"""),3.0)</f>
        <v>3</v>
      </c>
      <c r="AH165" s="187">
        <f>IFERROR(__xludf.DUMMYFUNCTION("""COMPUTED_VALUE"""),1.0)</f>
        <v>1</v>
      </c>
      <c r="AI165" s="187">
        <f>IFERROR(__xludf.DUMMYFUNCTION("""COMPUTED_VALUE"""),7.0)</f>
        <v>7</v>
      </c>
      <c r="AJ165" s="187">
        <f>IFERROR(__xludf.DUMMYFUNCTION("""COMPUTED_VALUE"""),0.0)</f>
        <v>0</v>
      </c>
      <c r="AK165" s="187">
        <f>IFERROR(__xludf.DUMMYFUNCTION("""COMPUTED_VALUE"""),0.0)</f>
        <v>0</v>
      </c>
      <c r="AL165" s="187">
        <f>IFERROR(__xludf.DUMMYFUNCTION("""COMPUTED_VALUE"""),0.0)</f>
        <v>0</v>
      </c>
      <c r="AM165" s="187">
        <f>IFERROR(__xludf.DUMMYFUNCTION("""COMPUTED_VALUE"""),0.0)</f>
        <v>0</v>
      </c>
      <c r="AN165" s="187">
        <f>IFERROR(__xludf.DUMMYFUNCTION("""COMPUTED_VALUE"""),139.0)</f>
        <v>139</v>
      </c>
      <c r="AO165" s="187">
        <f>IFERROR(__xludf.DUMMYFUNCTION("""COMPUTED_VALUE"""),265.0)</f>
        <v>265</v>
      </c>
      <c r="AP165" s="187">
        <f>IFERROR(__xludf.DUMMYFUNCTION("""COMPUTED_VALUE"""),35.0)</f>
        <v>35</v>
      </c>
      <c r="AQ165" s="217">
        <f>IFERROR(__xludf.DUMMYFUNCTION("""COMPUTED_VALUE"""),14759.371428571429)</f>
        <v>14759.37143</v>
      </c>
      <c r="AR165" s="188">
        <f>IFERROR(__xludf.DUMMYFUNCTION("""COMPUTED_VALUE"""),7.571428571428571)</f>
        <v>7.571428571</v>
      </c>
      <c r="AS165" s="217">
        <f>IFERROR(__xludf.DUMMYFUNCTION("""COMPUTED_VALUE"""),62700.00000000001)</f>
        <v>62700</v>
      </c>
      <c r="AT165" s="217"/>
      <c r="AU165" s="218">
        <f>IFERROR(__xludf.DUMMYFUNCTION("""COMPUTED_VALUE"""),0.12137566834050231)</f>
        <v>0.1213756683</v>
      </c>
      <c r="AV165" s="217">
        <f>IFERROR(__xludf.DUMMYFUNCTION("""COMPUTED_VALUE"""),19868.384615384617)</f>
        <v>19868.38462</v>
      </c>
      <c r="AW165" s="219">
        <f>IFERROR(__xludf.DUMMYFUNCTION("""COMPUTED_VALUE"""),31.0)</f>
        <v>31</v>
      </c>
      <c r="AX165" s="219">
        <f>IFERROR(__xludf.DUMMYFUNCTION("""COMPUTED_VALUE"""),292.0)</f>
        <v>292</v>
      </c>
      <c r="AY165" s="262">
        <f>IFERROR(__xludf.DUMMYFUNCTION("""COMPUTED_VALUE"""),1421.49)</f>
        <v>1421.49</v>
      </c>
      <c r="AZ165" s="263">
        <f>IFERROR(__xludf.DUMMYFUNCTION("""COMPUTED_VALUE"""),23.0)</f>
        <v>23</v>
      </c>
      <c r="BA165" s="263">
        <f>IFERROR(__xludf.DUMMYFUNCTION("""COMPUTED_VALUE"""),26.0)</f>
        <v>26</v>
      </c>
      <c r="BB165" s="263">
        <f>IFERROR(__xludf.DUMMYFUNCTION("""COMPUTED_VALUE"""),35.0)</f>
        <v>35</v>
      </c>
      <c r="BC165" s="263">
        <f>IFERROR(__xludf.DUMMYFUNCTION("""COMPUTED_VALUE"""),2.0)</f>
        <v>2</v>
      </c>
      <c r="BD165" s="265"/>
      <c r="BE165" s="258"/>
      <c r="BF165" s="255" t="e">
        <v>#REF!</v>
      </c>
      <c r="BG165" s="256">
        <f t="shared" si="4"/>
        <v>516578</v>
      </c>
      <c r="BH165" s="257" t="str">
        <f t="shared" si="5"/>
        <v>#REF!</v>
      </c>
      <c r="BI165" s="98"/>
      <c r="BJ165" s="98"/>
      <c r="BK165" s="98"/>
      <c r="BL165" s="98"/>
      <c r="BM165" s="98"/>
      <c r="BN165" s="98"/>
      <c r="BO165" s="98"/>
      <c r="BP165" s="98"/>
      <c r="BQ165" s="98"/>
      <c r="BR165" s="98"/>
    </row>
    <row r="166">
      <c r="A166" s="6" t="str">
        <f>IFERROR(__xludf.DUMMYFUNCTION("""COMPUTED_VALUE"""),"Syed Aqil Rizvi")</f>
        <v>Syed Aqil Rizvi</v>
      </c>
      <c r="B166" s="98" t="str">
        <f>IFERROR(__xludf.DUMMYFUNCTION("""COMPUTED_VALUE"""),"East U.P")</f>
        <v>East U.P</v>
      </c>
      <c r="C166" s="212" t="str">
        <f>IFERROR(__xludf.DUMMYFUNCTION("""COMPUTED_VALUE"""),"Abhishek Kumar Gupta")</f>
        <v>Abhishek Kumar Gupta</v>
      </c>
      <c r="D166" s="98" t="str">
        <f>IFERROR(__xludf.DUMMYFUNCTION("""COMPUTED_VALUE"""),"Varanasi")</f>
        <v>Varanasi</v>
      </c>
      <c r="E166" s="213">
        <f>IFERROR(__xludf.DUMMYFUNCTION("""COMPUTED_VALUE"""),46153.0)</f>
        <v>46153</v>
      </c>
      <c r="F166" s="222" t="str">
        <f>IFERROR(__xludf.DUMMYFUNCTION("""COMPUTED_VALUE"""),"East U.P")</f>
        <v>East U.P</v>
      </c>
      <c r="G166" s="259"/>
      <c r="H166" s="259"/>
      <c r="I166" s="216">
        <f>IFERROR(__xludf.DUMMYFUNCTION("""COMPUTED_VALUE"""),36190.0)</f>
        <v>36190</v>
      </c>
      <c r="J166" s="56">
        <f>IFERROR(__xludf.DUMMYFUNCTION("""COMPUTED_VALUE"""),1500000.0)</f>
        <v>1500000</v>
      </c>
      <c r="K166" s="217">
        <f>IFERROR(__xludf.DUMMYFUNCTION("""COMPUTED_VALUE"""),0.0)</f>
        <v>0</v>
      </c>
      <c r="L166" s="217">
        <f>IFERROR(__xludf.DUMMYFUNCTION("""COMPUTED_VALUE"""),2516129.0)</f>
        <v>2516129</v>
      </c>
      <c r="M166" s="217">
        <f>IFERROR(__xludf.DUMMYFUNCTION("""COMPUTED_VALUE"""),1181402.0)</f>
        <v>1181402</v>
      </c>
      <c r="N166" s="217">
        <f>IFERROR(__xludf.DUMMYFUNCTION("""COMPUTED_VALUE"""),0.0)</f>
        <v>0</v>
      </c>
      <c r="O166" s="260"/>
      <c r="P166" s="218">
        <f>IFERROR(__xludf.DUMMYFUNCTION("""COMPUTED_VALUE"""),0.4695315701221996)</f>
        <v>0.4695315701</v>
      </c>
      <c r="Q166" s="218">
        <f>IFERROR(__xludf.DUMMYFUNCTION("""COMPUTED_VALUE"""),0.0)</f>
        <v>0</v>
      </c>
      <c r="R166" s="218"/>
      <c r="S166" s="187">
        <f>IFERROR(__xludf.DUMMYFUNCTION("""COMPUTED_VALUE"""),53.0)</f>
        <v>53</v>
      </c>
      <c r="T166" s="187">
        <f>IFERROR(__xludf.DUMMYFUNCTION("""COMPUTED_VALUE"""),70.0)</f>
        <v>70</v>
      </c>
      <c r="U166" s="187">
        <f>IFERROR(__xludf.DUMMYFUNCTION("""COMPUTED_VALUE"""),22.0)</f>
        <v>22</v>
      </c>
      <c r="V166" s="187">
        <f>IFERROR(__xludf.DUMMYFUNCTION("""COMPUTED_VALUE"""),22.0)</f>
        <v>22</v>
      </c>
      <c r="W166" s="187">
        <f>IFERROR(__xludf.DUMMYFUNCTION("""COMPUTED_VALUE"""),75.0)</f>
        <v>75</v>
      </c>
      <c r="X166" s="187">
        <f>IFERROR(__xludf.DUMMYFUNCTION("""COMPUTED_VALUE"""),5.0)</f>
        <v>5</v>
      </c>
      <c r="Y166" s="188">
        <f>IFERROR(__xludf.DUMMYFUNCTION("""COMPUTED_VALUE"""),516749.21)</f>
        <v>516749.21</v>
      </c>
      <c r="Z166" s="188">
        <f>IFERROR(__xludf.DUMMYFUNCTION("""COMPUTED_VALUE"""),664653.03)</f>
        <v>664653.03</v>
      </c>
      <c r="AA166" s="187">
        <f>IFERROR(__xludf.DUMMYFUNCTION("""COMPUTED_VALUE"""),13.0)</f>
        <v>13</v>
      </c>
      <c r="AB166" s="187">
        <f>IFERROR(__xludf.DUMMYFUNCTION("""COMPUTED_VALUE"""),22.0)</f>
        <v>22</v>
      </c>
      <c r="AC166" s="187">
        <f>IFERROR(__xludf.DUMMYFUNCTION("""COMPUTED_VALUE"""),35.0)</f>
        <v>35</v>
      </c>
      <c r="AD166" s="187">
        <f>IFERROR(__xludf.DUMMYFUNCTION("""COMPUTED_VALUE"""),0.0)</f>
        <v>0</v>
      </c>
      <c r="AE166" s="187">
        <f>IFERROR(__xludf.DUMMYFUNCTION("""COMPUTED_VALUE"""),64.0)</f>
        <v>64</v>
      </c>
      <c r="AF166" s="187">
        <f>IFERROR(__xludf.DUMMYFUNCTION("""COMPUTED_VALUE"""),87.0)</f>
        <v>87</v>
      </c>
      <c r="AG166" s="187">
        <f>IFERROR(__xludf.DUMMYFUNCTION("""COMPUTED_VALUE"""),3.0)</f>
        <v>3</v>
      </c>
      <c r="AH166" s="187">
        <f>IFERROR(__xludf.DUMMYFUNCTION("""COMPUTED_VALUE"""),3.0)</f>
        <v>3</v>
      </c>
      <c r="AI166" s="187">
        <f>IFERROR(__xludf.DUMMYFUNCTION("""COMPUTED_VALUE"""),22.0)</f>
        <v>22</v>
      </c>
      <c r="AJ166" s="187">
        <f>IFERROR(__xludf.DUMMYFUNCTION("""COMPUTED_VALUE"""),1.0)</f>
        <v>1</v>
      </c>
      <c r="AK166" s="187">
        <f>IFERROR(__xludf.DUMMYFUNCTION("""COMPUTED_VALUE"""),1.0)</f>
        <v>1</v>
      </c>
      <c r="AL166" s="187">
        <f>IFERROR(__xludf.DUMMYFUNCTION("""COMPUTED_VALUE"""),1.0)</f>
        <v>1</v>
      </c>
      <c r="AM166" s="187">
        <f>IFERROR(__xludf.DUMMYFUNCTION("""COMPUTED_VALUE"""),1.0)</f>
        <v>1</v>
      </c>
      <c r="AN166" s="187">
        <f>IFERROR(__xludf.DUMMYFUNCTION("""COMPUTED_VALUE"""),147.0)</f>
        <v>147</v>
      </c>
      <c r="AO166" s="187">
        <f>IFERROR(__xludf.DUMMYFUNCTION("""COMPUTED_VALUE"""),258.0)</f>
        <v>258</v>
      </c>
      <c r="AP166" s="187">
        <f>IFERROR(__xludf.DUMMYFUNCTION("""COMPUTED_VALUE"""),43.0)</f>
        <v>43</v>
      </c>
      <c r="AQ166" s="217">
        <f>IFERROR(__xludf.DUMMYFUNCTION("""COMPUTED_VALUE"""),27474.46511627907)</f>
        <v>27474.46512</v>
      </c>
      <c r="AR166" s="188">
        <f>IFERROR(__xludf.DUMMYFUNCTION("""COMPUTED_VALUE"""),6.0)</f>
        <v>6</v>
      </c>
      <c r="AS166" s="217">
        <f>IFERROR(__xludf.DUMMYFUNCTION("""COMPUTED_VALUE"""),60705.806451612894)</f>
        <v>60705.80645</v>
      </c>
      <c r="AT166" s="217"/>
      <c r="AU166" s="218">
        <f>IFERROR(__xludf.DUMMYFUNCTION("""COMPUTED_VALUE"""),0.051384546878719434)</f>
        <v>0.05138454688</v>
      </c>
      <c r="AV166" s="217">
        <f>IFERROR(__xludf.DUMMYFUNCTION("""COMPUTED_VALUE"""),33754.34285714286)</f>
        <v>33754.34286</v>
      </c>
      <c r="AW166" s="219">
        <f>IFERROR(__xludf.DUMMYFUNCTION("""COMPUTED_VALUE"""),62.0)</f>
        <v>62</v>
      </c>
      <c r="AX166" s="219">
        <f>IFERROR(__xludf.DUMMYFUNCTION("""COMPUTED_VALUE"""),361.0)</f>
        <v>361</v>
      </c>
      <c r="AY166" s="262">
        <f>IFERROR(__xludf.DUMMYFUNCTION("""COMPUTED_VALUE"""),2841.7)</f>
        <v>2841.7</v>
      </c>
      <c r="AZ166" s="263">
        <f>IFERROR(__xludf.DUMMYFUNCTION("""COMPUTED_VALUE"""),41.0)</f>
        <v>41</v>
      </c>
      <c r="BA166" s="263">
        <f>IFERROR(__xludf.DUMMYFUNCTION("""COMPUTED_VALUE"""),35.0)</f>
        <v>35</v>
      </c>
      <c r="BB166" s="263">
        <f>IFERROR(__xludf.DUMMYFUNCTION("""COMPUTED_VALUE"""),35.0)</f>
        <v>35</v>
      </c>
      <c r="BC166" s="263">
        <f>IFERROR(__xludf.DUMMYFUNCTION("""COMPUTED_VALUE"""),5.0)</f>
        <v>5</v>
      </c>
      <c r="BD166" s="258"/>
      <c r="BE166" s="258"/>
      <c r="BF166" s="241" t="e">
        <v>#REF!</v>
      </c>
      <c r="BG166" s="256">
        <f t="shared" si="4"/>
        <v>1181402</v>
      </c>
      <c r="BH166" s="257" t="str">
        <f t="shared" si="5"/>
        <v>#REF!</v>
      </c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</row>
    <row r="167">
      <c r="A167" s="6" t="str">
        <f>IFERROR(__xludf.DUMMYFUNCTION("""COMPUTED_VALUE"""),"Syed Aqil Rizvi")</f>
        <v>Syed Aqil Rizvi</v>
      </c>
      <c r="B167" s="98" t="str">
        <f>IFERROR(__xludf.DUMMYFUNCTION("""COMPUTED_VALUE"""),"Madhya Pradesh")</f>
        <v>Madhya Pradesh</v>
      </c>
      <c r="C167" s="212" t="str">
        <f>IFERROR(__xludf.DUMMYFUNCTION("""COMPUTED_VALUE"""),"Manish Kumar Kartikey")</f>
        <v>Manish Kumar Kartikey</v>
      </c>
      <c r="D167" s="98" t="str">
        <f>IFERROR(__xludf.DUMMYFUNCTION("""COMPUTED_VALUE"""),"Jabalpur")</f>
        <v>Jabalpur</v>
      </c>
      <c r="E167" s="213">
        <f>IFERROR(__xludf.DUMMYFUNCTION("""COMPUTED_VALUE"""),46153.0)</f>
        <v>46153</v>
      </c>
      <c r="F167" s="222" t="str">
        <f>IFERROR(__xludf.DUMMYFUNCTION("""COMPUTED_VALUE"""),"MADHYA PRADESH")</f>
        <v>MADHYA PRADESH</v>
      </c>
      <c r="G167" s="259"/>
      <c r="H167" s="259"/>
      <c r="I167" s="216">
        <f>IFERROR(__xludf.DUMMYFUNCTION("""COMPUTED_VALUE"""),29900.0)</f>
        <v>29900</v>
      </c>
      <c r="J167" s="56">
        <f>IFERROR(__xludf.DUMMYFUNCTION("""COMPUTED_VALUE"""),1200000.0)</f>
        <v>1200000</v>
      </c>
      <c r="K167" s="217">
        <f>IFERROR(__xludf.DUMMYFUNCTION("""COMPUTED_VALUE"""),0.0)</f>
        <v>0</v>
      </c>
      <c r="L167" s="217">
        <f>IFERROR(__xludf.DUMMYFUNCTION("""COMPUTED_VALUE"""),2012903.0)</f>
        <v>2012903</v>
      </c>
      <c r="M167" s="217">
        <f>IFERROR(__xludf.DUMMYFUNCTION("""COMPUTED_VALUE"""),63279.0)</f>
        <v>63279</v>
      </c>
      <c r="N167" s="217">
        <f>IFERROR(__xludf.DUMMYFUNCTION("""COMPUTED_VALUE"""),0.0)</f>
        <v>0</v>
      </c>
      <c r="O167" s="260"/>
      <c r="P167" s="218">
        <f>IFERROR(__xludf.DUMMYFUNCTION("""COMPUTED_VALUE"""),0.031436686218859033)</f>
        <v>0.03143668622</v>
      </c>
      <c r="Q167" s="218">
        <f>IFERROR(__xludf.DUMMYFUNCTION("""COMPUTED_VALUE"""),0.0)</f>
        <v>0</v>
      </c>
      <c r="R167" s="218"/>
      <c r="S167" s="187">
        <f>IFERROR(__xludf.DUMMYFUNCTION("""COMPUTED_VALUE"""),18.0)</f>
        <v>18</v>
      </c>
      <c r="T167" s="187">
        <f>IFERROR(__xludf.DUMMYFUNCTION("""COMPUTED_VALUE"""),19.0)</f>
        <v>19</v>
      </c>
      <c r="U167" s="187">
        <f>IFERROR(__xludf.DUMMYFUNCTION("""COMPUTED_VALUE"""),9.0)</f>
        <v>9</v>
      </c>
      <c r="V167" s="187">
        <f>IFERROR(__xludf.DUMMYFUNCTION("""COMPUTED_VALUE"""),9.0)</f>
        <v>9</v>
      </c>
      <c r="W167" s="187">
        <f>IFERROR(__xludf.DUMMYFUNCTION("""COMPUTED_VALUE"""),27.0)</f>
        <v>27</v>
      </c>
      <c r="X167" s="187">
        <f>IFERROR(__xludf.DUMMYFUNCTION("""COMPUTED_VALUE"""),8.0)</f>
        <v>8</v>
      </c>
      <c r="Y167" s="188">
        <f>IFERROR(__xludf.DUMMYFUNCTION("""COMPUTED_VALUE"""),8307.0)</f>
        <v>8307</v>
      </c>
      <c r="Z167" s="188">
        <f>IFERROR(__xludf.DUMMYFUNCTION("""COMPUTED_VALUE"""),54971.74)</f>
        <v>54971.74</v>
      </c>
      <c r="AA167" s="187">
        <f>IFERROR(__xludf.DUMMYFUNCTION("""COMPUTED_VALUE"""),1.0)</f>
        <v>1</v>
      </c>
      <c r="AB167" s="187">
        <f>IFERROR(__xludf.DUMMYFUNCTION("""COMPUTED_VALUE"""),9.0)</f>
        <v>9</v>
      </c>
      <c r="AC167" s="187">
        <f>IFERROR(__xludf.DUMMYFUNCTION("""COMPUTED_VALUE"""),10.0)</f>
        <v>10</v>
      </c>
      <c r="AD167" s="187">
        <f>IFERROR(__xludf.DUMMYFUNCTION("""COMPUTED_VALUE"""),0.0)</f>
        <v>0</v>
      </c>
      <c r="AE167" s="187">
        <f>IFERROR(__xludf.DUMMYFUNCTION("""COMPUTED_VALUE"""),105.0)</f>
        <v>105</v>
      </c>
      <c r="AF167" s="187">
        <f>IFERROR(__xludf.DUMMYFUNCTION("""COMPUTED_VALUE"""),173.0)</f>
        <v>173</v>
      </c>
      <c r="AG167" s="187">
        <f>IFERROR(__xludf.DUMMYFUNCTION("""COMPUTED_VALUE"""),5.0)</f>
        <v>5</v>
      </c>
      <c r="AH167" s="187">
        <f>IFERROR(__xludf.DUMMYFUNCTION("""COMPUTED_VALUE"""),1.0)</f>
        <v>1</v>
      </c>
      <c r="AI167" s="187">
        <f>IFERROR(__xludf.DUMMYFUNCTION("""COMPUTED_VALUE"""),15.0)</f>
        <v>15</v>
      </c>
      <c r="AJ167" s="187">
        <f>IFERROR(__xludf.DUMMYFUNCTION("""COMPUTED_VALUE"""),0.0)</f>
        <v>0</v>
      </c>
      <c r="AK167" s="187">
        <f>IFERROR(__xludf.DUMMYFUNCTION("""COMPUTED_VALUE"""),0.0)</f>
        <v>0</v>
      </c>
      <c r="AL167" s="187">
        <f>IFERROR(__xludf.DUMMYFUNCTION("""COMPUTED_VALUE"""),0.0)</f>
        <v>0</v>
      </c>
      <c r="AM167" s="187">
        <f>IFERROR(__xludf.DUMMYFUNCTION("""COMPUTED_VALUE"""),0.0)</f>
        <v>0</v>
      </c>
      <c r="AN167" s="187">
        <f>IFERROR(__xludf.DUMMYFUNCTION("""COMPUTED_VALUE"""),35.0)</f>
        <v>35</v>
      </c>
      <c r="AO167" s="187">
        <f>IFERROR(__xludf.DUMMYFUNCTION("""COMPUTED_VALUE"""),223.0)</f>
        <v>223</v>
      </c>
      <c r="AP167" s="187">
        <f>IFERROR(__xludf.DUMMYFUNCTION("""COMPUTED_VALUE"""),33.0)</f>
        <v>33</v>
      </c>
      <c r="AQ167" s="217">
        <f>IFERROR(__xludf.DUMMYFUNCTION("""COMPUTED_VALUE"""),1917.5454545454545)</f>
        <v>1917.545455</v>
      </c>
      <c r="AR167" s="188">
        <f>IFERROR(__xludf.DUMMYFUNCTION("""COMPUTED_VALUE"""),6.757575757575758)</f>
        <v>6.757575758</v>
      </c>
      <c r="AS167" s="217">
        <f>IFERROR(__xludf.DUMMYFUNCTION("""COMPUTED_VALUE"""),50154.83870967742)</f>
        <v>50154.83871</v>
      </c>
      <c r="AT167" s="217"/>
      <c r="AU167" s="218">
        <f>IFERROR(__xludf.DUMMYFUNCTION("""COMPUTED_VALUE"""),0.7925984719998328)</f>
        <v>0.792598472</v>
      </c>
      <c r="AV167" s="217">
        <f>IFERROR(__xludf.DUMMYFUNCTION("""COMPUTED_VALUE"""),6327.9)</f>
        <v>6327.9</v>
      </c>
      <c r="AW167" s="219">
        <f>IFERROR(__xludf.DUMMYFUNCTION("""COMPUTED_VALUE"""),12.0)</f>
        <v>12</v>
      </c>
      <c r="AX167" s="219">
        <f>IFERROR(__xludf.DUMMYFUNCTION("""COMPUTED_VALUE"""),326.0)</f>
        <v>326</v>
      </c>
      <c r="AY167" s="262">
        <f>IFERROR(__xludf.DUMMYFUNCTION("""COMPUTED_VALUE"""),2840.11)</f>
        <v>2840.11</v>
      </c>
      <c r="AZ167" s="263">
        <f>IFERROR(__xludf.DUMMYFUNCTION("""COMPUTED_VALUE"""),149.0)</f>
        <v>149</v>
      </c>
      <c r="BA167" s="263">
        <f>IFERROR(__xludf.DUMMYFUNCTION("""COMPUTED_VALUE"""),10.0)</f>
        <v>10</v>
      </c>
      <c r="BB167" s="263">
        <f>IFERROR(__xludf.DUMMYFUNCTION("""COMPUTED_VALUE"""),10.0)</f>
        <v>10</v>
      </c>
      <c r="BC167" s="263">
        <f>IFERROR(__xludf.DUMMYFUNCTION("""COMPUTED_VALUE"""),7.0)</f>
        <v>7</v>
      </c>
      <c r="BD167" s="258"/>
      <c r="BE167" s="258"/>
      <c r="BF167" s="241" t="e">
        <v>#REF!</v>
      </c>
      <c r="BG167" s="256">
        <f t="shared" si="4"/>
        <v>63279</v>
      </c>
      <c r="BH167" s="257" t="str">
        <f t="shared" si="5"/>
        <v>#REF!</v>
      </c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</row>
    <row r="168">
      <c r="A168" s="6" t="str">
        <f>IFERROR(__xludf.DUMMYFUNCTION("""COMPUTED_VALUE"""),"Sandeep Dadheech")</f>
        <v>Sandeep Dadheech</v>
      </c>
      <c r="B168" s="98" t="str">
        <f>IFERROR(__xludf.DUMMYFUNCTION("""COMPUTED_VALUE"""),"Odisha")</f>
        <v>Odisha</v>
      </c>
      <c r="C168" s="212" t="str">
        <f>IFERROR(__xludf.DUMMYFUNCTION("""COMPUTED_VALUE"""),"Lingaraj Moharana")</f>
        <v>Lingaraj Moharana</v>
      </c>
      <c r="D168" s="98" t="str">
        <f>IFERROR(__xludf.DUMMYFUNCTION("""COMPUTED_VALUE"""),"Bhubaneswar")</f>
        <v>Bhubaneswar</v>
      </c>
      <c r="E168" s="213">
        <f>IFERROR(__xludf.DUMMYFUNCTION("""COMPUTED_VALUE"""),46153.0)</f>
        <v>46153</v>
      </c>
      <c r="F168" s="222" t="str">
        <f>IFERROR(__xludf.DUMMYFUNCTION("""COMPUTED_VALUE"""),"ODISHA")</f>
        <v>ODISHA</v>
      </c>
      <c r="G168" s="215"/>
      <c r="H168" s="215"/>
      <c r="I168" s="216">
        <f>IFERROR(__xludf.DUMMYFUNCTION("""COMPUTED_VALUE"""),29360.0)</f>
        <v>29360</v>
      </c>
      <c r="J168" s="216"/>
      <c r="K168" s="217">
        <f>IFERROR(__xludf.DUMMYFUNCTION("""COMPUTED_VALUE"""),0.0)</f>
        <v>0</v>
      </c>
      <c r="L168" s="217">
        <f>IFERROR(__xludf.DUMMYFUNCTION("""COMPUTED_VALUE"""),2000000.0)</f>
        <v>2000000</v>
      </c>
      <c r="M168" s="217">
        <f>IFERROR(__xludf.DUMMYFUNCTION("""COMPUTED_VALUE"""),3003306.0)</f>
        <v>3003306</v>
      </c>
      <c r="N168" s="217">
        <f>IFERROR(__xludf.DUMMYFUNCTION("""COMPUTED_VALUE"""),0.0)</f>
        <v>0</v>
      </c>
      <c r="O168" s="217">
        <f>IFERROR(__xludf.DUMMYFUNCTION("""COMPUTED_VALUE"""),1098859.23)</f>
        <v>1098859.23</v>
      </c>
      <c r="P168" s="218">
        <f>IFERROR(__xludf.DUMMYFUNCTION("""COMPUTED_VALUE"""),1.501653)</f>
        <v>1.501653</v>
      </c>
      <c r="Q168" s="218">
        <f>IFERROR(__xludf.DUMMYFUNCTION("""COMPUTED_VALUE"""),0.0)</f>
        <v>0</v>
      </c>
      <c r="R168" s="218"/>
      <c r="S168" s="187">
        <f>IFERROR(__xludf.DUMMYFUNCTION("""COMPUTED_VALUE"""),63.0)</f>
        <v>63</v>
      </c>
      <c r="T168" s="187">
        <f>IFERROR(__xludf.DUMMYFUNCTION("""COMPUTED_VALUE"""),64.0)</f>
        <v>64</v>
      </c>
      <c r="U168" s="187">
        <f>IFERROR(__xludf.DUMMYFUNCTION("""COMPUTED_VALUE"""),3.0)</f>
        <v>3</v>
      </c>
      <c r="V168" s="187">
        <f>IFERROR(__xludf.DUMMYFUNCTION("""COMPUTED_VALUE"""),3.0)</f>
        <v>3</v>
      </c>
      <c r="W168" s="187">
        <f>IFERROR(__xludf.DUMMYFUNCTION("""COMPUTED_VALUE"""),66.0)</f>
        <v>66</v>
      </c>
      <c r="X168" s="187">
        <f>IFERROR(__xludf.DUMMYFUNCTION("""COMPUTED_VALUE"""),2.0)</f>
        <v>2</v>
      </c>
      <c r="Y168" s="188">
        <f>IFERROR(__xludf.DUMMYFUNCTION("""COMPUTED_VALUE"""),2862120.15)</f>
        <v>2862120.15</v>
      </c>
      <c r="Z168" s="188">
        <f>IFERROR(__xludf.DUMMYFUNCTION("""COMPUTED_VALUE"""),141185.6)</f>
        <v>141185.6</v>
      </c>
      <c r="AA168" s="187">
        <f>IFERROR(__xludf.DUMMYFUNCTION("""COMPUTED_VALUE"""),29.0)</f>
        <v>29</v>
      </c>
      <c r="AB168" s="187">
        <f>IFERROR(__xludf.DUMMYFUNCTION("""COMPUTED_VALUE"""),3.0)</f>
        <v>3</v>
      </c>
      <c r="AC168" s="187">
        <f>IFERROR(__xludf.DUMMYFUNCTION("""COMPUTED_VALUE"""),32.0)</f>
        <v>32</v>
      </c>
      <c r="AD168" s="187">
        <f>IFERROR(__xludf.DUMMYFUNCTION("""COMPUTED_VALUE"""),0.0)</f>
        <v>0</v>
      </c>
      <c r="AE168" s="187">
        <f>IFERROR(__xludf.DUMMYFUNCTION("""COMPUTED_VALUE"""),3.0)</f>
        <v>3</v>
      </c>
      <c r="AF168" s="187">
        <f>IFERROR(__xludf.DUMMYFUNCTION("""COMPUTED_VALUE"""),7.0)</f>
        <v>7</v>
      </c>
      <c r="AG168" s="187">
        <f>IFERROR(__xludf.DUMMYFUNCTION("""COMPUTED_VALUE"""),0.0)</f>
        <v>0</v>
      </c>
      <c r="AH168" s="187">
        <f>IFERROR(__xludf.DUMMYFUNCTION("""COMPUTED_VALUE"""),1.0)</f>
        <v>1</v>
      </c>
      <c r="AI168" s="187">
        <f>IFERROR(__xludf.DUMMYFUNCTION("""COMPUTED_VALUE"""),9.0)</f>
        <v>9</v>
      </c>
      <c r="AJ168" s="187">
        <f>IFERROR(__xludf.DUMMYFUNCTION("""COMPUTED_VALUE"""),0.0)</f>
        <v>0</v>
      </c>
      <c r="AK168" s="187">
        <f>IFERROR(__xludf.DUMMYFUNCTION("""COMPUTED_VALUE"""),0.0)</f>
        <v>0</v>
      </c>
      <c r="AL168" s="187">
        <f>IFERROR(__xludf.DUMMYFUNCTION("""COMPUTED_VALUE"""),0.0)</f>
        <v>0</v>
      </c>
      <c r="AM168" s="187">
        <f>IFERROR(__xludf.DUMMYFUNCTION("""COMPUTED_VALUE"""),0.0)</f>
        <v>0</v>
      </c>
      <c r="AN168" s="187">
        <f>IFERROR(__xludf.DUMMYFUNCTION("""COMPUTED_VALUE"""),138.0)</f>
        <v>138</v>
      </c>
      <c r="AO168" s="187">
        <f>IFERROR(__xludf.DUMMYFUNCTION("""COMPUTED_VALUE"""),154.0)</f>
        <v>154</v>
      </c>
      <c r="AP168" s="187">
        <f>IFERROR(__xludf.DUMMYFUNCTION("""COMPUTED_VALUE"""),29.0)</f>
        <v>29</v>
      </c>
      <c r="AQ168" s="217">
        <f>IFERROR(__xludf.DUMMYFUNCTION("""COMPUTED_VALUE"""),103562.27586206897)</f>
        <v>103562.2759</v>
      </c>
      <c r="AR168" s="188">
        <f>IFERROR(__xludf.DUMMYFUNCTION("""COMPUTED_VALUE"""),5.310344827586207)</f>
        <v>5.310344828</v>
      </c>
      <c r="AS168" s="217">
        <f>IFERROR(__xludf.DUMMYFUNCTION("""COMPUTED_VALUE"""),49249.03225806451)</f>
        <v>49249.03226</v>
      </c>
      <c r="AT168" s="217"/>
      <c r="AU168" s="218">
        <f>IFERROR(__xludf.DUMMYFUNCTION("""COMPUTED_VALUE"""),0.01639827318896726)</f>
        <v>0.01639827319</v>
      </c>
      <c r="AV168" s="217">
        <f>IFERROR(__xludf.DUMMYFUNCTION("""COMPUTED_VALUE"""),93853.3125)</f>
        <v>93853.3125</v>
      </c>
      <c r="AW168" s="219">
        <f>IFERROR(__xludf.DUMMYFUNCTION("""COMPUTED_VALUE"""),100.0)</f>
        <v>100</v>
      </c>
      <c r="AX168" s="219">
        <f>IFERROR(__xludf.DUMMYFUNCTION("""COMPUTED_VALUE"""),414.0)</f>
        <v>414</v>
      </c>
      <c r="AY168" s="262">
        <f>IFERROR(__xludf.DUMMYFUNCTION("""COMPUTED_VALUE"""),2081.0)</f>
        <v>2081</v>
      </c>
      <c r="AZ168" s="263">
        <f>IFERROR(__xludf.DUMMYFUNCTION("""COMPUTED_VALUE"""),33.0)</f>
        <v>33</v>
      </c>
      <c r="BA168" s="263">
        <f>IFERROR(__xludf.DUMMYFUNCTION("""COMPUTED_VALUE"""),32.0)</f>
        <v>32</v>
      </c>
      <c r="BB168" s="263">
        <f>IFERROR(__xludf.DUMMYFUNCTION("""COMPUTED_VALUE"""),33.0)</f>
        <v>33</v>
      </c>
      <c r="BC168" s="263">
        <f>IFERROR(__xludf.DUMMYFUNCTION("""COMPUTED_VALUE"""),1.0)</f>
        <v>1</v>
      </c>
      <c r="BD168" s="258"/>
      <c r="BE168" s="258"/>
      <c r="BF168" s="255" t="e">
        <v>#REF!</v>
      </c>
      <c r="BG168" s="256">
        <f t="shared" si="4"/>
        <v>3003306</v>
      </c>
      <c r="BH168" s="257" t="str">
        <f t="shared" si="5"/>
        <v>#REF!</v>
      </c>
      <c r="BI168" s="98"/>
      <c r="BJ168" s="98"/>
      <c r="BK168" s="98"/>
      <c r="BL168" s="98"/>
      <c r="BM168" s="98"/>
      <c r="BN168" s="98"/>
      <c r="BO168" s="98"/>
      <c r="BP168" s="98"/>
      <c r="BQ168" s="98"/>
      <c r="BR168" s="98"/>
    </row>
    <row r="169">
      <c r="A169" s="6" t="str">
        <f>IFERROR(__xludf.DUMMYFUNCTION("""COMPUTED_VALUE"""),"Sunil Mohanty")</f>
        <v>Sunil Mohanty</v>
      </c>
      <c r="B169" s="98" t="str">
        <f>IFERROR(__xludf.DUMMYFUNCTION("""COMPUTED_VALUE"""),"West U.P")</f>
        <v>West U.P</v>
      </c>
      <c r="C169" s="212" t="str">
        <f>IFERROR(__xludf.DUMMYFUNCTION("""COMPUTED_VALUE"""),"Anuj Sharma")</f>
        <v>Anuj Sharma</v>
      </c>
      <c r="D169" s="98" t="str">
        <f>IFERROR(__xludf.DUMMYFUNCTION("""COMPUTED_VALUE"""),"Dibai")</f>
        <v>Dibai</v>
      </c>
      <c r="E169" s="213">
        <f>IFERROR(__xludf.DUMMYFUNCTION("""COMPUTED_VALUE"""),46162.0)</f>
        <v>46162</v>
      </c>
      <c r="F169" s="222" t="str">
        <f>IFERROR(__xludf.DUMMYFUNCTION("""COMPUTED_VALUE"""),"West U.P")</f>
        <v>West U.P</v>
      </c>
      <c r="G169" s="215"/>
      <c r="H169" s="215"/>
      <c r="I169" s="216">
        <f>IFERROR(__xludf.DUMMYFUNCTION("""COMPUTED_VALUE"""),150000.0)</f>
        <v>150000</v>
      </c>
      <c r="J169" s="216"/>
      <c r="K169" s="217">
        <f>IFERROR(__xludf.DUMMYFUNCTION("""COMPUTED_VALUE"""),0.0)</f>
        <v>0</v>
      </c>
      <c r="L169" s="217"/>
      <c r="M169" s="217">
        <f>IFERROR(__xludf.DUMMYFUNCTION("""COMPUTED_VALUE"""),0.0)</f>
        <v>0</v>
      </c>
      <c r="N169" s="217">
        <f>IFERROR(__xludf.DUMMYFUNCTION("""COMPUTED_VALUE"""),0.0)</f>
        <v>0</v>
      </c>
      <c r="O169" s="217"/>
      <c r="P169" s="218"/>
      <c r="Q169" s="218">
        <f>IFERROR(__xludf.DUMMYFUNCTION("""COMPUTED_VALUE"""),0.0)</f>
        <v>0</v>
      </c>
      <c r="R169" s="218"/>
      <c r="S169" s="187">
        <f>IFERROR(__xludf.DUMMYFUNCTION("""COMPUTED_VALUE"""),0.0)</f>
        <v>0</v>
      </c>
      <c r="T169" s="187">
        <f>IFERROR(__xludf.DUMMYFUNCTION("""COMPUTED_VALUE"""),0.0)</f>
        <v>0</v>
      </c>
      <c r="U169" s="187">
        <f>IFERROR(__xludf.DUMMYFUNCTION("""COMPUTED_VALUE"""),0.0)</f>
        <v>0</v>
      </c>
      <c r="V169" s="187">
        <f>IFERROR(__xludf.DUMMYFUNCTION("""COMPUTED_VALUE"""),0.0)</f>
        <v>0</v>
      </c>
      <c r="W169" s="187">
        <f>IFERROR(__xludf.DUMMYFUNCTION("""COMPUTED_VALUE"""),0.0)</f>
        <v>0</v>
      </c>
      <c r="X169" s="187">
        <f>IFERROR(__xludf.DUMMYFUNCTION("""COMPUTED_VALUE"""),0.0)</f>
        <v>0</v>
      </c>
      <c r="Y169" s="188">
        <f>IFERROR(__xludf.DUMMYFUNCTION("""COMPUTED_VALUE"""),0.0)</f>
        <v>0</v>
      </c>
      <c r="Z169" s="188">
        <f>IFERROR(__xludf.DUMMYFUNCTION("""COMPUTED_VALUE"""),0.0)</f>
        <v>0</v>
      </c>
      <c r="AA169" s="187">
        <f>IFERROR(__xludf.DUMMYFUNCTION("""COMPUTED_VALUE"""),0.0)</f>
        <v>0</v>
      </c>
      <c r="AB169" s="187">
        <f>IFERROR(__xludf.DUMMYFUNCTION("""COMPUTED_VALUE"""),0.0)</f>
        <v>0</v>
      </c>
      <c r="AC169" s="187">
        <f>IFERROR(__xludf.DUMMYFUNCTION("""COMPUTED_VALUE"""),0.0)</f>
        <v>0</v>
      </c>
      <c r="AD169" s="187">
        <f>IFERROR(__xludf.DUMMYFUNCTION("""COMPUTED_VALUE"""),0.0)</f>
        <v>0</v>
      </c>
      <c r="AE169" s="187">
        <f>IFERROR(__xludf.DUMMYFUNCTION("""COMPUTED_VALUE"""),6.0)</f>
        <v>6</v>
      </c>
      <c r="AF169" s="187">
        <f>IFERROR(__xludf.DUMMYFUNCTION("""COMPUTED_VALUE"""),9.0)</f>
        <v>9</v>
      </c>
      <c r="AG169" s="187">
        <f>IFERROR(__xludf.DUMMYFUNCTION("""COMPUTED_VALUE"""),1.0)</f>
        <v>1</v>
      </c>
      <c r="AH169" s="187">
        <f>IFERROR(__xludf.DUMMYFUNCTION("""COMPUTED_VALUE"""),0.0)</f>
        <v>0</v>
      </c>
      <c r="AI169" s="187">
        <f>IFERROR(__xludf.DUMMYFUNCTION("""COMPUTED_VALUE"""),0.0)</f>
        <v>0</v>
      </c>
      <c r="AJ169" s="187">
        <f>IFERROR(__xludf.DUMMYFUNCTION("""COMPUTED_VALUE"""),0.0)</f>
        <v>0</v>
      </c>
      <c r="AK169" s="187">
        <f>IFERROR(__xludf.DUMMYFUNCTION("""COMPUTED_VALUE"""),0.0)</f>
        <v>0</v>
      </c>
      <c r="AL169" s="187">
        <f>IFERROR(__xludf.DUMMYFUNCTION("""COMPUTED_VALUE"""),4.0)</f>
        <v>4</v>
      </c>
      <c r="AM169" s="187">
        <f>IFERROR(__xludf.DUMMYFUNCTION("""COMPUTED_VALUE"""),7.0)</f>
        <v>7</v>
      </c>
      <c r="AN169" s="187">
        <f>IFERROR(__xludf.DUMMYFUNCTION("""COMPUTED_VALUE"""),0.0)</f>
        <v>0</v>
      </c>
      <c r="AO169" s="187">
        <f>IFERROR(__xludf.DUMMYFUNCTION("""COMPUTED_VALUE"""),16.0)</f>
        <v>16</v>
      </c>
      <c r="AP169" s="187">
        <f>IFERROR(__xludf.DUMMYFUNCTION("""COMPUTED_VALUE"""),14.0)</f>
        <v>14</v>
      </c>
      <c r="AQ169" s="217">
        <f>IFERROR(__xludf.DUMMYFUNCTION("""COMPUTED_VALUE"""),0.0)</f>
        <v>0</v>
      </c>
      <c r="AR169" s="188">
        <f>IFERROR(__xludf.DUMMYFUNCTION("""COMPUTED_VALUE"""),1.1428571428571428)</f>
        <v>1.142857143</v>
      </c>
      <c r="AS169" s="217">
        <f>IFERROR(__xludf.DUMMYFUNCTION("""COMPUTED_VALUE"""),208064.51612903227)</f>
        <v>208064.5161</v>
      </c>
      <c r="AT169" s="217"/>
      <c r="AU169" s="218"/>
      <c r="AV169" s="217"/>
      <c r="AW169" s="219">
        <f>IFERROR(__xludf.DUMMYFUNCTION("""COMPUTED_VALUE"""),0.0)</f>
        <v>0</v>
      </c>
      <c r="AX169" s="219">
        <f>IFERROR(__xludf.DUMMYFUNCTION("""COMPUTED_VALUE"""),210.0)</f>
        <v>210</v>
      </c>
      <c r="AY169" s="262">
        <f>IFERROR(__xludf.DUMMYFUNCTION("""COMPUTED_VALUE"""),2285.98)</f>
        <v>2285.98</v>
      </c>
      <c r="AZ169" s="263">
        <f>IFERROR(__xludf.DUMMYFUNCTION("""COMPUTED_VALUE"""),0.0)</f>
        <v>0</v>
      </c>
      <c r="BA169" s="263">
        <f>IFERROR(__xludf.DUMMYFUNCTION("""COMPUTED_VALUE"""),0.0)</f>
        <v>0</v>
      </c>
      <c r="BB169" s="263">
        <f>IFERROR(__xludf.DUMMYFUNCTION("""COMPUTED_VALUE"""),0.0)</f>
        <v>0</v>
      </c>
      <c r="BC169" s="263">
        <f>IFERROR(__xludf.DUMMYFUNCTION("""COMPUTED_VALUE"""),0.0)</f>
        <v>0</v>
      </c>
      <c r="BD169" s="265"/>
      <c r="BE169" s="258"/>
      <c r="BF169" s="255" t="e">
        <v>#REF!</v>
      </c>
      <c r="BG169" s="256">
        <f t="shared" si="4"/>
        <v>0</v>
      </c>
      <c r="BH169" s="257" t="str">
        <f t="shared" si="5"/>
        <v>#REF!</v>
      </c>
      <c r="BI169" s="98"/>
      <c r="BJ169" s="98"/>
      <c r="BK169" s="98"/>
      <c r="BL169" s="98"/>
      <c r="BM169" s="98"/>
      <c r="BN169" s="98"/>
      <c r="BO169" s="98"/>
      <c r="BP169" s="98"/>
      <c r="BQ169" s="98"/>
      <c r="BR169" s="98"/>
    </row>
    <row r="170">
      <c r="A170" s="6" t="str">
        <f>IFERROR(__xludf.DUMMYFUNCTION("""COMPUTED_VALUE"""),"Prashant Onam Naik")</f>
        <v>Prashant Onam Naik</v>
      </c>
      <c r="B170" s="98" t="str">
        <f>IFERROR(__xludf.DUMMYFUNCTION("""COMPUTED_VALUE"""),"Karnataka")</f>
        <v>Karnataka</v>
      </c>
      <c r="C170" s="212" t="str">
        <f>IFERROR(__xludf.DUMMYFUNCTION("""COMPUTED_VALUE"""),"Abhishek Ravindra Padadar")</f>
        <v>Abhishek Ravindra Padadar</v>
      </c>
      <c r="D170" s="98" t="str">
        <f>IFERROR(__xludf.DUMMYFUNCTION("""COMPUTED_VALUE"""),"Ankola")</f>
        <v>Ankola</v>
      </c>
      <c r="E170" s="213">
        <f>IFERROR(__xludf.DUMMYFUNCTION("""COMPUTED_VALUE"""),46163.0)</f>
        <v>46163</v>
      </c>
      <c r="F170" s="222" t="str">
        <f>IFERROR(__xludf.DUMMYFUNCTION("""COMPUTED_VALUE"""),"KARNATAKA")</f>
        <v>KARNATAKA</v>
      </c>
      <c r="G170" s="215"/>
      <c r="H170" s="215"/>
      <c r="I170" s="216">
        <f>IFERROR(__xludf.DUMMYFUNCTION("""COMPUTED_VALUE"""),20000.0)</f>
        <v>20000</v>
      </c>
      <c r="J170" s="216">
        <f>IFERROR(__xludf.DUMMYFUNCTION("""COMPUTED_VALUE"""),700000.0)</f>
        <v>700000</v>
      </c>
      <c r="K170" s="217">
        <f>IFERROR(__xludf.DUMMYFUNCTION("""COMPUTED_VALUE"""),0.0)</f>
        <v>0</v>
      </c>
      <c r="L170" s="217">
        <f>IFERROR(__xludf.DUMMYFUNCTION("""COMPUTED_VALUE"""),800000.0)</f>
        <v>800000</v>
      </c>
      <c r="M170" s="217">
        <f>IFERROR(__xludf.DUMMYFUNCTION("""COMPUTED_VALUE"""),309338.0)</f>
        <v>309338</v>
      </c>
      <c r="N170" s="217">
        <f>IFERROR(__xludf.DUMMYFUNCTION("""COMPUTED_VALUE"""),0.0)</f>
        <v>0</v>
      </c>
      <c r="O170" s="217"/>
      <c r="P170" s="218">
        <f>IFERROR(__xludf.DUMMYFUNCTION("""COMPUTED_VALUE"""),0.3866725)</f>
        <v>0.3866725</v>
      </c>
      <c r="Q170" s="218">
        <f>IFERROR(__xludf.DUMMYFUNCTION("""COMPUTED_VALUE"""),0.0)</f>
        <v>0</v>
      </c>
      <c r="R170" s="218"/>
      <c r="S170" s="187">
        <f>IFERROR(__xludf.DUMMYFUNCTION("""COMPUTED_VALUE"""),4.0)</f>
        <v>4</v>
      </c>
      <c r="T170" s="187">
        <f>IFERROR(__xludf.DUMMYFUNCTION("""COMPUTED_VALUE"""),31.0)</f>
        <v>31</v>
      </c>
      <c r="U170" s="187">
        <f>IFERROR(__xludf.DUMMYFUNCTION("""COMPUTED_VALUE"""),27.0)</f>
        <v>27</v>
      </c>
      <c r="V170" s="187">
        <f>IFERROR(__xludf.DUMMYFUNCTION("""COMPUTED_VALUE"""),23.0)</f>
        <v>23</v>
      </c>
      <c r="W170" s="187">
        <f>IFERROR(__xludf.DUMMYFUNCTION("""COMPUTED_VALUE"""),31.0)</f>
        <v>31</v>
      </c>
      <c r="X170" s="187">
        <f>IFERROR(__xludf.DUMMYFUNCTION("""COMPUTED_VALUE"""),0.0)</f>
        <v>0</v>
      </c>
      <c r="Y170" s="188">
        <f>IFERROR(__xludf.DUMMYFUNCTION("""COMPUTED_VALUE"""),-0.01)</f>
        <v>-0.01</v>
      </c>
      <c r="Z170" s="188">
        <f>IFERROR(__xludf.DUMMYFUNCTION("""COMPUTED_VALUE"""),309338.19)</f>
        <v>309338.19</v>
      </c>
      <c r="AA170" s="187">
        <f>IFERROR(__xludf.DUMMYFUNCTION("""COMPUTED_VALUE"""),0.0)</f>
        <v>0</v>
      </c>
      <c r="AB170" s="187">
        <f>IFERROR(__xludf.DUMMYFUNCTION("""COMPUTED_VALUE"""),23.0)</f>
        <v>23</v>
      </c>
      <c r="AC170" s="187">
        <f>IFERROR(__xludf.DUMMYFUNCTION("""COMPUTED_VALUE"""),23.0)</f>
        <v>23</v>
      </c>
      <c r="AD170" s="187">
        <f>IFERROR(__xludf.DUMMYFUNCTION("""COMPUTED_VALUE"""),0.0)</f>
        <v>0</v>
      </c>
      <c r="AE170" s="187">
        <f>IFERROR(__xludf.DUMMYFUNCTION("""COMPUTED_VALUE"""),112.0)</f>
        <v>112</v>
      </c>
      <c r="AF170" s="187">
        <f>IFERROR(__xludf.DUMMYFUNCTION("""COMPUTED_VALUE"""),185.0)</f>
        <v>185</v>
      </c>
      <c r="AG170" s="187">
        <f>IFERROR(__xludf.DUMMYFUNCTION("""COMPUTED_VALUE"""),9.0)</f>
        <v>9</v>
      </c>
      <c r="AH170" s="187">
        <f>IFERROR(__xludf.DUMMYFUNCTION("""COMPUTED_VALUE"""),1.0)</f>
        <v>1</v>
      </c>
      <c r="AI170" s="187">
        <f>IFERROR(__xludf.DUMMYFUNCTION("""COMPUTED_VALUE"""),3.0)</f>
        <v>3</v>
      </c>
      <c r="AJ170" s="187">
        <f>IFERROR(__xludf.DUMMYFUNCTION("""COMPUTED_VALUE"""),0.0)</f>
        <v>0</v>
      </c>
      <c r="AK170" s="187">
        <f>IFERROR(__xludf.DUMMYFUNCTION("""COMPUTED_VALUE"""),0.0)</f>
        <v>0</v>
      </c>
      <c r="AL170" s="187">
        <f>IFERROR(__xludf.DUMMYFUNCTION("""COMPUTED_VALUE"""),4.0)</f>
        <v>4</v>
      </c>
      <c r="AM170" s="187">
        <f>IFERROR(__xludf.DUMMYFUNCTION("""COMPUTED_VALUE"""),9.0)</f>
        <v>9</v>
      </c>
      <c r="AN170" s="187">
        <f>IFERROR(__xludf.DUMMYFUNCTION("""COMPUTED_VALUE"""),72.0)</f>
        <v>72</v>
      </c>
      <c r="AO170" s="187">
        <f>IFERROR(__xludf.DUMMYFUNCTION("""COMPUTED_VALUE"""),269.0)</f>
        <v>269</v>
      </c>
      <c r="AP170" s="187">
        <f>IFERROR(__xludf.DUMMYFUNCTION("""COMPUTED_VALUE"""),30.0)</f>
        <v>30</v>
      </c>
      <c r="AQ170" s="217">
        <f>IFERROR(__xludf.DUMMYFUNCTION("""COMPUTED_VALUE"""),10311.266666666666)</f>
        <v>10311.26667</v>
      </c>
      <c r="AR170" s="188">
        <f>IFERROR(__xludf.DUMMYFUNCTION("""COMPUTED_VALUE"""),8.966666666666667)</f>
        <v>8.966666667</v>
      </c>
      <c r="AS170" s="217">
        <f>IFERROR(__xludf.DUMMYFUNCTION("""COMPUTED_VALUE"""),27096.77419354839)</f>
        <v>27096.77419</v>
      </c>
      <c r="AT170" s="217"/>
      <c r="AU170" s="218">
        <f>IFERROR(__xludf.DUMMYFUNCTION("""COMPUTED_VALUE"""),0.08759600887556133)</f>
        <v>0.08759600888</v>
      </c>
      <c r="AV170" s="217">
        <f>IFERROR(__xludf.DUMMYFUNCTION("""COMPUTED_VALUE"""),13449.478260869566)</f>
        <v>13449.47826</v>
      </c>
      <c r="AW170" s="219">
        <f>IFERROR(__xludf.DUMMYFUNCTION("""COMPUTED_VALUE"""),28.0)</f>
        <v>28</v>
      </c>
      <c r="AX170" s="219">
        <f>IFERROR(__xludf.DUMMYFUNCTION("""COMPUTED_VALUE"""),352.0)</f>
        <v>352</v>
      </c>
      <c r="AY170" s="262">
        <f>IFERROR(__xludf.DUMMYFUNCTION("""COMPUTED_VALUE"""),4787.21)</f>
        <v>4787.21</v>
      </c>
      <c r="AZ170" s="263">
        <f>IFERROR(__xludf.DUMMYFUNCTION("""COMPUTED_VALUE"""),154.0)</f>
        <v>154</v>
      </c>
      <c r="BA170" s="263">
        <f>IFERROR(__xludf.DUMMYFUNCTION("""COMPUTED_VALUE"""),23.0)</f>
        <v>23</v>
      </c>
      <c r="BB170" s="263">
        <f>IFERROR(__xludf.DUMMYFUNCTION("""COMPUTED_VALUE"""),8.0)</f>
        <v>8</v>
      </c>
      <c r="BC170" s="263">
        <f>IFERROR(__xludf.DUMMYFUNCTION("""COMPUTED_VALUE"""),0.0)</f>
        <v>0</v>
      </c>
      <c r="BD170" s="258"/>
      <c r="BE170" s="258"/>
      <c r="BF170" s="255" t="e">
        <v>#REF!</v>
      </c>
      <c r="BG170" s="256">
        <f t="shared" si="4"/>
        <v>309338</v>
      </c>
      <c r="BH170" s="257" t="str">
        <f t="shared" si="5"/>
        <v>#REF!</v>
      </c>
      <c r="BI170" s="98"/>
      <c r="BJ170" s="98"/>
      <c r="BK170" s="98"/>
      <c r="BL170" s="98"/>
      <c r="BM170" s="98"/>
      <c r="BN170" s="98"/>
      <c r="BO170" s="98"/>
      <c r="BP170" s="98"/>
      <c r="BQ170" s="98"/>
      <c r="BR170" s="98"/>
    </row>
    <row r="171">
      <c r="A171" s="6" t="str">
        <f>IFERROR(__xludf.DUMMYFUNCTION("""COMPUTED_VALUE"""),"Lalan Kumar")</f>
        <v>Lalan Kumar</v>
      </c>
      <c r="B171" s="98" t="str">
        <f>IFERROR(__xludf.DUMMYFUNCTION("""COMPUTED_VALUE"""),"Maharashtra")</f>
        <v>Maharashtra</v>
      </c>
      <c r="C171" s="212" t="str">
        <f>IFERROR(__xludf.DUMMYFUNCTION("""COMPUTED_VALUE"""),"Vaibhav Bapurao Waghe")</f>
        <v>Vaibhav Bapurao Waghe</v>
      </c>
      <c r="D171" s="98" t="str">
        <f>IFERROR(__xludf.DUMMYFUNCTION("""COMPUTED_VALUE"""),"Parbhani")</f>
        <v>Parbhani</v>
      </c>
      <c r="E171" s="213">
        <f>IFERROR(__xludf.DUMMYFUNCTION("""COMPUTED_VALUE"""),46167.0)</f>
        <v>46167</v>
      </c>
      <c r="F171" s="222" t="str">
        <f>IFERROR(__xludf.DUMMYFUNCTION("""COMPUTED_VALUE"""),"MAHARASHTRA")</f>
        <v>MAHARASHTRA</v>
      </c>
      <c r="G171" s="215"/>
      <c r="H171" s="215"/>
      <c r="I171" s="216">
        <f>IFERROR(__xludf.DUMMYFUNCTION("""COMPUTED_VALUE"""),25760.0)</f>
        <v>25760</v>
      </c>
      <c r="J171" s="216"/>
      <c r="K171" s="217">
        <f>IFERROR(__xludf.DUMMYFUNCTION("""COMPUTED_VALUE"""),0.0)</f>
        <v>0</v>
      </c>
      <c r="L171" s="217">
        <f>IFERROR(__xludf.DUMMYFUNCTION("""COMPUTED_VALUE"""),0.0)</f>
        <v>0</v>
      </c>
      <c r="M171" s="217">
        <f>IFERROR(__xludf.DUMMYFUNCTION("""COMPUTED_VALUE"""),696801.0)</f>
        <v>696801</v>
      </c>
      <c r="N171" s="217">
        <f>IFERROR(__xludf.DUMMYFUNCTION("""COMPUTED_VALUE"""),0.0)</f>
        <v>0</v>
      </c>
      <c r="O171" s="217">
        <f>IFERROR(__xludf.DUMMYFUNCTION("""COMPUTED_VALUE"""),150280.0)</f>
        <v>150280</v>
      </c>
      <c r="P171" s="218"/>
      <c r="Q171" s="218">
        <f>IFERROR(__xludf.DUMMYFUNCTION("""COMPUTED_VALUE"""),0.0)</f>
        <v>0</v>
      </c>
      <c r="R171" s="218"/>
      <c r="S171" s="187">
        <f>IFERROR(__xludf.DUMMYFUNCTION("""COMPUTED_VALUE"""),28.0)</f>
        <v>28</v>
      </c>
      <c r="T171" s="187">
        <f>IFERROR(__xludf.DUMMYFUNCTION("""COMPUTED_VALUE"""),45.0)</f>
        <v>45</v>
      </c>
      <c r="U171" s="187">
        <f>IFERROR(__xludf.DUMMYFUNCTION("""COMPUTED_VALUE"""),19.0)</f>
        <v>19</v>
      </c>
      <c r="V171" s="187">
        <f>IFERROR(__xludf.DUMMYFUNCTION("""COMPUTED_VALUE"""),17.0)</f>
        <v>17</v>
      </c>
      <c r="W171" s="187">
        <f>IFERROR(__xludf.DUMMYFUNCTION("""COMPUTED_VALUE"""),47.0)</f>
        <v>47</v>
      </c>
      <c r="X171" s="187">
        <f>IFERROR(__xludf.DUMMYFUNCTION("""COMPUTED_VALUE"""),2.0)</f>
        <v>2</v>
      </c>
      <c r="Y171" s="188">
        <f>IFERROR(__xludf.DUMMYFUNCTION("""COMPUTED_VALUE"""),391909.6)</f>
        <v>391909.6</v>
      </c>
      <c r="Z171" s="188">
        <f>IFERROR(__xludf.DUMMYFUNCTION("""COMPUTED_VALUE"""),304891.0)</f>
        <v>304891</v>
      </c>
      <c r="AA171" s="187">
        <f>IFERROR(__xludf.DUMMYFUNCTION("""COMPUTED_VALUE"""),9.0)</f>
        <v>9</v>
      </c>
      <c r="AB171" s="187">
        <f>IFERROR(__xludf.DUMMYFUNCTION("""COMPUTED_VALUE"""),17.0)</f>
        <v>17</v>
      </c>
      <c r="AC171" s="187">
        <f>IFERROR(__xludf.DUMMYFUNCTION("""COMPUTED_VALUE"""),26.0)</f>
        <v>26</v>
      </c>
      <c r="AD171" s="187">
        <f>IFERROR(__xludf.DUMMYFUNCTION("""COMPUTED_VALUE"""),0.0)</f>
        <v>0</v>
      </c>
      <c r="AE171" s="187">
        <f>IFERROR(__xludf.DUMMYFUNCTION("""COMPUTED_VALUE"""),72.0)</f>
        <v>72</v>
      </c>
      <c r="AF171" s="187">
        <f>IFERROR(__xludf.DUMMYFUNCTION("""COMPUTED_VALUE"""),94.0)</f>
        <v>94</v>
      </c>
      <c r="AG171" s="187">
        <f>IFERROR(__xludf.DUMMYFUNCTION("""COMPUTED_VALUE"""),8.0)</f>
        <v>8</v>
      </c>
      <c r="AH171" s="187">
        <f>IFERROR(__xludf.DUMMYFUNCTION("""COMPUTED_VALUE"""),1.0)</f>
        <v>1</v>
      </c>
      <c r="AI171" s="187">
        <f>IFERROR(__xludf.DUMMYFUNCTION("""COMPUTED_VALUE"""),5.0)</f>
        <v>5</v>
      </c>
      <c r="AJ171" s="187">
        <f>IFERROR(__xludf.DUMMYFUNCTION("""COMPUTED_VALUE"""),0.0)</f>
        <v>0</v>
      </c>
      <c r="AK171" s="187">
        <f>IFERROR(__xludf.DUMMYFUNCTION("""COMPUTED_VALUE"""),0.0)</f>
        <v>0</v>
      </c>
      <c r="AL171" s="187">
        <f>IFERROR(__xludf.DUMMYFUNCTION("""COMPUTED_VALUE"""),0.0)</f>
        <v>0</v>
      </c>
      <c r="AM171" s="187">
        <f>IFERROR(__xludf.DUMMYFUNCTION("""COMPUTED_VALUE"""),0.0)</f>
        <v>0</v>
      </c>
      <c r="AN171" s="187">
        <f>IFERROR(__xludf.DUMMYFUNCTION("""COMPUTED_VALUE"""),81.0)</f>
        <v>81</v>
      </c>
      <c r="AO171" s="187">
        <f>IFERROR(__xludf.DUMMYFUNCTION("""COMPUTED_VALUE"""),180.0)</f>
        <v>180</v>
      </c>
      <c r="AP171" s="187">
        <f>IFERROR(__xludf.DUMMYFUNCTION("""COMPUTED_VALUE"""),29.0)</f>
        <v>29</v>
      </c>
      <c r="AQ171" s="217">
        <f>IFERROR(__xludf.DUMMYFUNCTION("""COMPUTED_VALUE"""),24027.620689655174)</f>
        <v>24027.62069</v>
      </c>
      <c r="AR171" s="188">
        <f>IFERROR(__xludf.DUMMYFUNCTION("""COMPUTED_VALUE"""),6.206896551724138)</f>
        <v>6.206896552</v>
      </c>
      <c r="AS171" s="217">
        <f>IFERROR(__xludf.DUMMYFUNCTION("""COMPUTED_VALUE"""),31576.774193548386)</f>
        <v>31576.77419</v>
      </c>
      <c r="AT171" s="217"/>
      <c r="AU171" s="218">
        <f>IFERROR(__xludf.DUMMYFUNCTION("""COMPUTED_VALUE"""),0.04531677508147719)</f>
        <v>0.04531677508</v>
      </c>
      <c r="AV171" s="217">
        <f>IFERROR(__xludf.DUMMYFUNCTION("""COMPUTED_VALUE"""),26800.03846153846)</f>
        <v>26800.03846</v>
      </c>
      <c r="AW171" s="219">
        <f>IFERROR(__xludf.DUMMYFUNCTION("""COMPUTED_VALUE"""),33.0)</f>
        <v>33</v>
      </c>
      <c r="AX171" s="219">
        <f>IFERROR(__xludf.DUMMYFUNCTION("""COMPUTED_VALUE"""),279.0)</f>
        <v>279</v>
      </c>
      <c r="AY171" s="262">
        <f>IFERROR(__xludf.DUMMYFUNCTION("""COMPUTED_VALUE"""),3691.08)</f>
        <v>3691.08</v>
      </c>
      <c r="AZ171" s="263">
        <f>IFERROR(__xludf.DUMMYFUNCTION("""COMPUTED_VALUE"""),82.0)</f>
        <v>82</v>
      </c>
      <c r="BA171" s="263">
        <f>IFERROR(__xludf.DUMMYFUNCTION("""COMPUTED_VALUE"""),26.0)</f>
        <v>26</v>
      </c>
      <c r="BB171" s="263">
        <f>IFERROR(__xludf.DUMMYFUNCTION("""COMPUTED_VALUE"""),19.0)</f>
        <v>19</v>
      </c>
      <c r="BC171" s="263">
        <f>IFERROR(__xludf.DUMMYFUNCTION("""COMPUTED_VALUE"""),2.0)</f>
        <v>2</v>
      </c>
      <c r="BD171" s="265"/>
      <c r="BE171" s="258"/>
      <c r="BF171" s="255" t="e">
        <v>#REF!</v>
      </c>
      <c r="BG171" s="256">
        <f t="shared" si="4"/>
        <v>696801</v>
      </c>
      <c r="BH171" s="257" t="str">
        <f t="shared" si="5"/>
        <v>#REF!</v>
      </c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</row>
    <row r="172">
      <c r="A172" s="6" t="str">
        <f>IFERROR(__xludf.DUMMYFUNCTION("""COMPUTED_VALUE"""),"Anuj Sharma")</f>
        <v>Anuj Sharma</v>
      </c>
      <c r="B172" s="98" t="str">
        <f>IFERROR(__xludf.DUMMYFUNCTION("""COMPUTED_VALUE"""),"West U.P")</f>
        <v>West U.P</v>
      </c>
      <c r="C172" s="212" t="str">
        <f>IFERROR(__xludf.DUMMYFUNCTION("""COMPUTED_VALUE"""),"Ram Kumar Vashishtha")</f>
        <v>Ram Kumar Vashishtha</v>
      </c>
      <c r="D172" s="98" t="str">
        <f>IFERROR(__xludf.DUMMYFUNCTION("""COMPUTED_VALUE"""),"Kasganj")</f>
        <v>Kasganj</v>
      </c>
      <c r="E172" s="213">
        <f>IFERROR(__xludf.DUMMYFUNCTION("""COMPUTED_VALUE"""),46167.0)</f>
        <v>46167</v>
      </c>
      <c r="F172" s="222" t="str">
        <f>IFERROR(__xludf.DUMMYFUNCTION("""COMPUTED_VALUE"""),"West U.P")</f>
        <v>West U.P</v>
      </c>
      <c r="G172" s="259"/>
      <c r="H172" s="259"/>
      <c r="I172" s="216">
        <f>IFERROR(__xludf.DUMMYFUNCTION("""COMPUTED_VALUE"""),52100.0)</f>
        <v>52100</v>
      </c>
      <c r="J172" s="216"/>
      <c r="K172" s="217">
        <f>IFERROR(__xludf.DUMMYFUNCTION("""COMPUTED_VALUE"""),0.0)</f>
        <v>0</v>
      </c>
      <c r="L172" s="217"/>
      <c r="M172" s="217">
        <f>IFERROR(__xludf.DUMMYFUNCTION("""COMPUTED_VALUE"""),0.0)</f>
        <v>0</v>
      </c>
      <c r="N172" s="217">
        <f>IFERROR(__xludf.DUMMYFUNCTION("""COMPUTED_VALUE"""),0.0)</f>
        <v>0</v>
      </c>
      <c r="O172" s="217"/>
      <c r="P172" s="218"/>
      <c r="Q172" s="218">
        <f>IFERROR(__xludf.DUMMYFUNCTION("""COMPUTED_VALUE"""),0.0)</f>
        <v>0</v>
      </c>
      <c r="R172" s="218"/>
      <c r="S172" s="187">
        <f>IFERROR(__xludf.DUMMYFUNCTION("""COMPUTED_VALUE"""),5.0)</f>
        <v>5</v>
      </c>
      <c r="T172" s="187">
        <f>IFERROR(__xludf.DUMMYFUNCTION("""COMPUTED_VALUE"""),5.0)</f>
        <v>5</v>
      </c>
      <c r="U172" s="187">
        <f>IFERROR(__xludf.DUMMYFUNCTION("""COMPUTED_VALUE"""),0.0)</f>
        <v>0</v>
      </c>
      <c r="V172" s="187">
        <f>IFERROR(__xludf.DUMMYFUNCTION("""COMPUTED_VALUE"""),0.0)</f>
        <v>0</v>
      </c>
      <c r="W172" s="187">
        <f>IFERROR(__xludf.DUMMYFUNCTION("""COMPUTED_VALUE"""),5.0)</f>
        <v>5</v>
      </c>
      <c r="X172" s="187">
        <f>IFERROR(__xludf.DUMMYFUNCTION("""COMPUTED_VALUE"""),0.0)</f>
        <v>0</v>
      </c>
      <c r="Y172" s="188">
        <f>IFERROR(__xludf.DUMMYFUNCTION("""COMPUTED_VALUE"""),0.0)</f>
        <v>0</v>
      </c>
      <c r="Z172" s="188">
        <f>IFERROR(__xludf.DUMMYFUNCTION("""COMPUTED_VALUE"""),0.0)</f>
        <v>0</v>
      </c>
      <c r="AA172" s="187">
        <f>IFERROR(__xludf.DUMMYFUNCTION("""COMPUTED_VALUE"""),0.0)</f>
        <v>0</v>
      </c>
      <c r="AB172" s="187">
        <f>IFERROR(__xludf.DUMMYFUNCTION("""COMPUTED_VALUE"""),0.0)</f>
        <v>0</v>
      </c>
      <c r="AC172" s="187">
        <f>IFERROR(__xludf.DUMMYFUNCTION("""COMPUTED_VALUE"""),0.0)</f>
        <v>0</v>
      </c>
      <c r="AD172" s="187">
        <f>IFERROR(__xludf.DUMMYFUNCTION("""COMPUTED_VALUE"""),0.0)</f>
        <v>0</v>
      </c>
      <c r="AE172" s="187">
        <f>IFERROR(__xludf.DUMMYFUNCTION("""COMPUTED_VALUE"""),43.0)</f>
        <v>43</v>
      </c>
      <c r="AF172" s="187">
        <f>IFERROR(__xludf.DUMMYFUNCTION("""COMPUTED_VALUE"""),72.0)</f>
        <v>72</v>
      </c>
      <c r="AG172" s="187">
        <f>IFERROR(__xludf.DUMMYFUNCTION("""COMPUTED_VALUE"""),1.0)</f>
        <v>1</v>
      </c>
      <c r="AH172" s="187">
        <f>IFERROR(__xludf.DUMMYFUNCTION("""COMPUTED_VALUE"""),0.0)</f>
        <v>0</v>
      </c>
      <c r="AI172" s="187">
        <f>IFERROR(__xludf.DUMMYFUNCTION("""COMPUTED_VALUE"""),0.0)</f>
        <v>0</v>
      </c>
      <c r="AJ172" s="187">
        <f>IFERROR(__xludf.DUMMYFUNCTION("""COMPUTED_VALUE"""),0.0)</f>
        <v>0</v>
      </c>
      <c r="AK172" s="187">
        <f>IFERROR(__xludf.DUMMYFUNCTION("""COMPUTED_VALUE"""),0.0)</f>
        <v>0</v>
      </c>
      <c r="AL172" s="187">
        <f>IFERROR(__xludf.DUMMYFUNCTION("""COMPUTED_VALUE"""),2.0)</f>
        <v>2</v>
      </c>
      <c r="AM172" s="187">
        <f>IFERROR(__xludf.DUMMYFUNCTION("""COMPUTED_VALUE"""),12.0)</f>
        <v>12</v>
      </c>
      <c r="AN172" s="187">
        <f>IFERROR(__xludf.DUMMYFUNCTION("""COMPUTED_VALUE"""),8.0)</f>
        <v>8</v>
      </c>
      <c r="AO172" s="187">
        <f>IFERROR(__xludf.DUMMYFUNCTION("""COMPUTED_VALUE"""),92.0)</f>
        <v>92</v>
      </c>
      <c r="AP172" s="187">
        <f>IFERROR(__xludf.DUMMYFUNCTION("""COMPUTED_VALUE"""),27.0)</f>
        <v>27</v>
      </c>
      <c r="AQ172" s="217">
        <f>IFERROR(__xludf.DUMMYFUNCTION("""COMPUTED_VALUE"""),0.0)</f>
        <v>0</v>
      </c>
      <c r="AR172" s="188">
        <f>IFERROR(__xludf.DUMMYFUNCTION("""COMPUTED_VALUE"""),3.4074074074074074)</f>
        <v>3.407407407</v>
      </c>
      <c r="AS172" s="217">
        <f>IFERROR(__xludf.DUMMYFUNCTION("""COMPUTED_VALUE"""),63864.51612903226)</f>
        <v>63864.51613</v>
      </c>
      <c r="AT172" s="217"/>
      <c r="AU172" s="218"/>
      <c r="AV172" s="217"/>
      <c r="AW172" s="219">
        <f>IFERROR(__xludf.DUMMYFUNCTION("""COMPUTED_VALUE"""),0.0)</f>
        <v>0</v>
      </c>
      <c r="AX172" s="219">
        <f>IFERROR(__xludf.DUMMYFUNCTION("""COMPUTED_VALUE"""),290.0)</f>
        <v>290</v>
      </c>
      <c r="AY172" s="262">
        <f>IFERROR(__xludf.DUMMYFUNCTION("""COMPUTED_VALUE"""),2530.96)</f>
        <v>2530.96</v>
      </c>
      <c r="AZ172" s="263">
        <f>IFERROR(__xludf.DUMMYFUNCTION("""COMPUTED_VALUE"""),506.0)</f>
        <v>506</v>
      </c>
      <c r="BA172" s="263">
        <f>IFERROR(__xludf.DUMMYFUNCTION("""COMPUTED_VALUE"""),0.0)</f>
        <v>0</v>
      </c>
      <c r="BB172" s="263">
        <f>IFERROR(__xludf.DUMMYFUNCTION("""COMPUTED_VALUE"""),5.0)</f>
        <v>5</v>
      </c>
      <c r="BC172" s="263">
        <f>IFERROR(__xludf.DUMMYFUNCTION("""COMPUTED_VALUE"""),0.0)</f>
        <v>0</v>
      </c>
      <c r="BD172" s="258"/>
      <c r="BE172" s="258"/>
      <c r="BF172" s="255" t="e">
        <v>#REF!</v>
      </c>
      <c r="BG172" s="256">
        <f t="shared" si="4"/>
        <v>0</v>
      </c>
      <c r="BH172" s="257" t="str">
        <f t="shared" si="5"/>
        <v>#REF!</v>
      </c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</row>
    <row r="173">
      <c r="A173" s="6" t="str">
        <f>IFERROR(__xludf.DUMMYFUNCTION("""COMPUTED_VALUE"""),"Anuj Sharma")</f>
        <v>Anuj Sharma</v>
      </c>
      <c r="B173" s="98" t="str">
        <f>IFERROR(__xludf.DUMMYFUNCTION("""COMPUTED_VALUE"""),"West U.P")</f>
        <v>West U.P</v>
      </c>
      <c r="C173" s="212" t="str">
        <f>IFERROR(__xludf.DUMMYFUNCTION("""COMPUTED_VALUE"""),"Himanshu Sharma")</f>
        <v>Himanshu Sharma</v>
      </c>
      <c r="D173" s="98" t="str">
        <f>IFERROR(__xludf.DUMMYFUNCTION("""COMPUTED_VALUE"""),"Bulandshahr")</f>
        <v>Bulandshahr</v>
      </c>
      <c r="E173" s="213">
        <f>IFERROR(__xludf.DUMMYFUNCTION("""COMPUTED_VALUE"""),46167.0)</f>
        <v>46167</v>
      </c>
      <c r="F173" s="222" t="str">
        <f>IFERROR(__xludf.DUMMYFUNCTION("""COMPUTED_VALUE"""),"West U.P")</f>
        <v>West U.P</v>
      </c>
      <c r="G173" s="259">
        <f>IFERROR(__xludf.DUMMYFUNCTION("""COMPUTED_VALUE"""),383734.0)</f>
        <v>383734</v>
      </c>
      <c r="H173" s="259">
        <f>IFERROR(__xludf.DUMMYFUNCTION("""COMPUTED_VALUE"""),383564.0)</f>
        <v>383564</v>
      </c>
      <c r="I173" s="216">
        <f>IFERROR(__xludf.DUMMYFUNCTION("""COMPUTED_VALUE"""),40000.0)</f>
        <v>40000</v>
      </c>
      <c r="J173" s="216"/>
      <c r="K173" s="217">
        <f>IFERROR(__xludf.DUMMYFUNCTION("""COMPUTED_VALUE"""),0.0)</f>
        <v>0</v>
      </c>
      <c r="L173" s="217">
        <f>IFERROR(__xludf.DUMMYFUNCTION("""COMPUTED_VALUE"""),0.0)</f>
        <v>0</v>
      </c>
      <c r="M173" s="217">
        <f>IFERROR(__xludf.DUMMYFUNCTION("""COMPUTED_VALUE"""),0.0)</f>
        <v>0</v>
      </c>
      <c r="N173" s="217">
        <f>IFERROR(__xludf.DUMMYFUNCTION("""COMPUTED_VALUE"""),0.0)</f>
        <v>0</v>
      </c>
      <c r="O173" s="217"/>
      <c r="P173" s="218"/>
      <c r="Q173" s="218">
        <f>IFERROR(__xludf.DUMMYFUNCTION("""COMPUTED_VALUE"""),0.0)</f>
        <v>0</v>
      </c>
      <c r="R173" s="218"/>
      <c r="S173" s="187">
        <f>IFERROR(__xludf.DUMMYFUNCTION("""COMPUTED_VALUE"""),0.0)</f>
        <v>0</v>
      </c>
      <c r="T173" s="187">
        <f>IFERROR(__xludf.DUMMYFUNCTION("""COMPUTED_VALUE"""),0.0)</f>
        <v>0</v>
      </c>
      <c r="U173" s="187">
        <f>IFERROR(__xludf.DUMMYFUNCTION("""COMPUTED_VALUE"""),0.0)</f>
        <v>0</v>
      </c>
      <c r="V173" s="187">
        <f>IFERROR(__xludf.DUMMYFUNCTION("""COMPUTED_VALUE"""),0.0)</f>
        <v>0</v>
      </c>
      <c r="W173" s="187">
        <f>IFERROR(__xludf.DUMMYFUNCTION("""COMPUTED_VALUE"""),0.0)</f>
        <v>0</v>
      </c>
      <c r="X173" s="187">
        <f>IFERROR(__xludf.DUMMYFUNCTION("""COMPUTED_VALUE"""),0.0)</f>
        <v>0</v>
      </c>
      <c r="Y173" s="188">
        <f>IFERROR(__xludf.DUMMYFUNCTION("""COMPUTED_VALUE"""),0.0)</f>
        <v>0</v>
      </c>
      <c r="Z173" s="188">
        <f>IFERROR(__xludf.DUMMYFUNCTION("""COMPUTED_VALUE"""),0.0)</f>
        <v>0</v>
      </c>
      <c r="AA173" s="187">
        <f>IFERROR(__xludf.DUMMYFUNCTION("""COMPUTED_VALUE"""),0.0)</f>
        <v>0</v>
      </c>
      <c r="AB173" s="187">
        <f>IFERROR(__xludf.DUMMYFUNCTION("""COMPUTED_VALUE"""),0.0)</f>
        <v>0</v>
      </c>
      <c r="AC173" s="187">
        <f>IFERROR(__xludf.DUMMYFUNCTION("""COMPUTED_VALUE"""),0.0)</f>
        <v>0</v>
      </c>
      <c r="AD173" s="187">
        <f>IFERROR(__xludf.DUMMYFUNCTION("""COMPUTED_VALUE"""),0.0)</f>
        <v>0</v>
      </c>
      <c r="AE173" s="187">
        <f>IFERROR(__xludf.DUMMYFUNCTION("""COMPUTED_VALUE"""),10.0)</f>
        <v>10</v>
      </c>
      <c r="AF173" s="187">
        <f>IFERROR(__xludf.DUMMYFUNCTION("""COMPUTED_VALUE"""),10.0)</f>
        <v>10</v>
      </c>
      <c r="AG173" s="187">
        <f>IFERROR(__xludf.DUMMYFUNCTION("""COMPUTED_VALUE"""),7.0)</f>
        <v>7</v>
      </c>
      <c r="AH173" s="187">
        <f>IFERROR(__xludf.DUMMYFUNCTION("""COMPUTED_VALUE"""),0.0)</f>
        <v>0</v>
      </c>
      <c r="AI173" s="187">
        <f>IFERROR(__xludf.DUMMYFUNCTION("""COMPUTED_VALUE"""),0.0)</f>
        <v>0</v>
      </c>
      <c r="AJ173" s="187">
        <f>IFERROR(__xludf.DUMMYFUNCTION("""COMPUTED_VALUE"""),0.0)</f>
        <v>0</v>
      </c>
      <c r="AK173" s="187">
        <f>IFERROR(__xludf.DUMMYFUNCTION("""COMPUTED_VALUE"""),0.0)</f>
        <v>0</v>
      </c>
      <c r="AL173" s="187">
        <f>IFERROR(__xludf.DUMMYFUNCTION("""COMPUTED_VALUE"""),2.0)</f>
        <v>2</v>
      </c>
      <c r="AM173" s="187">
        <f>IFERROR(__xludf.DUMMYFUNCTION("""COMPUTED_VALUE"""),6.0)</f>
        <v>6</v>
      </c>
      <c r="AN173" s="187">
        <f>IFERROR(__xludf.DUMMYFUNCTION("""COMPUTED_VALUE"""),0.0)</f>
        <v>0</v>
      </c>
      <c r="AO173" s="187">
        <f>IFERROR(__xludf.DUMMYFUNCTION("""COMPUTED_VALUE"""),16.0)</f>
        <v>16</v>
      </c>
      <c r="AP173" s="187">
        <f>IFERROR(__xludf.DUMMYFUNCTION("""COMPUTED_VALUE"""),8.0)</f>
        <v>8</v>
      </c>
      <c r="AQ173" s="217">
        <f>IFERROR(__xludf.DUMMYFUNCTION("""COMPUTED_VALUE"""),0.0)</f>
        <v>0</v>
      </c>
      <c r="AR173" s="188">
        <f>IFERROR(__xludf.DUMMYFUNCTION("""COMPUTED_VALUE"""),2.0)</f>
        <v>2</v>
      </c>
      <c r="AS173" s="217">
        <f>IFERROR(__xludf.DUMMYFUNCTION("""COMPUTED_VALUE"""),49032.25806451613)</f>
        <v>49032.25806</v>
      </c>
      <c r="AT173" s="217"/>
      <c r="AU173" s="218"/>
      <c r="AV173" s="217"/>
      <c r="AW173" s="219">
        <f>IFERROR(__xludf.DUMMYFUNCTION("""COMPUTED_VALUE"""),0.0)</f>
        <v>0</v>
      </c>
      <c r="AX173" s="219">
        <f>IFERROR(__xludf.DUMMYFUNCTION("""COMPUTED_VALUE"""),84.0)</f>
        <v>84</v>
      </c>
      <c r="AY173" s="262">
        <f>IFERROR(__xludf.DUMMYFUNCTION("""COMPUTED_VALUE"""),618.95)</f>
        <v>618.95</v>
      </c>
      <c r="AZ173" s="263">
        <f>IFERROR(__xludf.DUMMYFUNCTION("""COMPUTED_VALUE"""),0.0)</f>
        <v>0</v>
      </c>
      <c r="BA173" s="263">
        <f>IFERROR(__xludf.DUMMYFUNCTION("""COMPUTED_VALUE"""),0.0)</f>
        <v>0</v>
      </c>
      <c r="BB173" s="263">
        <f>IFERROR(__xludf.DUMMYFUNCTION("""COMPUTED_VALUE"""),0.0)</f>
        <v>0</v>
      </c>
      <c r="BC173" s="263">
        <f>IFERROR(__xludf.DUMMYFUNCTION("""COMPUTED_VALUE"""),0.0)</f>
        <v>0</v>
      </c>
      <c r="BD173" s="265"/>
      <c r="BE173" s="258"/>
      <c r="BF173" s="255" t="e">
        <v>#REF!</v>
      </c>
      <c r="BG173" s="256">
        <f t="shared" si="4"/>
        <v>0</v>
      </c>
      <c r="BH173" s="257" t="str">
        <f t="shared" si="5"/>
        <v>#REF!</v>
      </c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</row>
    <row r="174">
      <c r="A174" s="6" t="str">
        <f>IFERROR(__xludf.DUMMYFUNCTION("""COMPUTED_VALUE"""),"Sandeep Dadheech")</f>
        <v>Sandeep Dadheech</v>
      </c>
      <c r="B174" s="98" t="str">
        <f>IFERROR(__xludf.DUMMYFUNCTION("""COMPUTED_VALUE"""),"Andhra Pradesh")</f>
        <v>Andhra Pradesh</v>
      </c>
      <c r="C174" s="212" t="str">
        <f>IFERROR(__xludf.DUMMYFUNCTION("""COMPUTED_VALUE"""),"S.Tirumala Rao")</f>
        <v>S.Tirumala Rao</v>
      </c>
      <c r="D174" s="98" t="str">
        <f>IFERROR(__xludf.DUMMYFUNCTION("""COMPUTED_VALUE"""),"Vizianagaram")</f>
        <v>Vizianagaram</v>
      </c>
      <c r="E174" s="213">
        <f>IFERROR(__xludf.DUMMYFUNCTION("""COMPUTED_VALUE"""),46175.0)</f>
        <v>46175</v>
      </c>
      <c r="F174" s="222" t="str">
        <f>IFERROR(__xludf.DUMMYFUNCTION("""COMPUTED_VALUE"""),"ANDHRA PRADESH")</f>
        <v>ANDHRA PRADESH</v>
      </c>
      <c r="G174" s="259">
        <f>IFERROR(__xludf.DUMMYFUNCTION("""COMPUTED_VALUE"""),3645541.34)</f>
        <v>3645541.34</v>
      </c>
      <c r="H174" s="259">
        <f>IFERROR(__xludf.DUMMYFUNCTION("""COMPUTED_VALUE"""),3645229.0)</f>
        <v>3645229</v>
      </c>
      <c r="I174" s="216">
        <f>IFERROR(__xludf.DUMMYFUNCTION("""COMPUTED_VALUE"""),37355.0)</f>
        <v>37355</v>
      </c>
      <c r="J174" s="216">
        <f>IFERROR(__xludf.DUMMYFUNCTION("""COMPUTED_VALUE"""),1500000.0)</f>
        <v>1500000</v>
      </c>
      <c r="K174" s="217">
        <f>IFERROR(__xludf.DUMMYFUNCTION("""COMPUTED_VALUE"""),0.0)</f>
        <v>0</v>
      </c>
      <c r="L174" s="217">
        <f>IFERROR(__xludf.DUMMYFUNCTION("""COMPUTED_VALUE"""),1500000.0)</f>
        <v>1500000</v>
      </c>
      <c r="M174" s="217">
        <f>IFERROR(__xludf.DUMMYFUNCTION("""COMPUTED_VALUE"""),677838.0)</f>
        <v>677838</v>
      </c>
      <c r="N174" s="217">
        <f>IFERROR(__xludf.DUMMYFUNCTION("""COMPUTED_VALUE"""),0.0)</f>
        <v>0</v>
      </c>
      <c r="O174" s="217"/>
      <c r="P174" s="218">
        <f>IFERROR(__xludf.DUMMYFUNCTION("""COMPUTED_VALUE"""),0.451892)</f>
        <v>0.451892</v>
      </c>
      <c r="Q174" s="218">
        <f>IFERROR(__xludf.DUMMYFUNCTION("""COMPUTED_VALUE"""),0.0)</f>
        <v>0</v>
      </c>
      <c r="R174" s="218">
        <f>IFERROR(__xludf.DUMMYFUNCTION("""COMPUTED_VALUE"""),0.0)</f>
        <v>0</v>
      </c>
      <c r="S174" s="187">
        <f>IFERROR(__xludf.DUMMYFUNCTION("""COMPUTED_VALUE"""),73.0)</f>
        <v>73</v>
      </c>
      <c r="T174" s="187">
        <f>IFERROR(__xludf.DUMMYFUNCTION("""COMPUTED_VALUE"""),51.0)</f>
        <v>51</v>
      </c>
      <c r="U174" s="187">
        <f>IFERROR(__xludf.DUMMYFUNCTION("""COMPUTED_VALUE"""),0.0)</f>
        <v>0</v>
      </c>
      <c r="V174" s="187">
        <f>IFERROR(__xludf.DUMMYFUNCTION("""COMPUTED_VALUE"""),0.0)</f>
        <v>0</v>
      </c>
      <c r="W174" s="187">
        <f>IFERROR(__xludf.DUMMYFUNCTION("""COMPUTED_VALUE"""),73.0)</f>
        <v>73</v>
      </c>
      <c r="X174" s="187">
        <f>IFERROR(__xludf.DUMMYFUNCTION("""COMPUTED_VALUE"""),22.0)</f>
        <v>22</v>
      </c>
      <c r="Y174" s="188">
        <f>IFERROR(__xludf.DUMMYFUNCTION("""COMPUTED_VALUE"""),677837.7)</f>
        <v>677837.7</v>
      </c>
      <c r="Z174" s="188">
        <f>IFERROR(__xludf.DUMMYFUNCTION("""COMPUTED_VALUE"""),0.0)</f>
        <v>0</v>
      </c>
      <c r="AA174" s="187">
        <f>IFERROR(__xludf.DUMMYFUNCTION("""COMPUTED_VALUE"""),19.0)</f>
        <v>19</v>
      </c>
      <c r="AB174" s="187">
        <f>IFERROR(__xludf.DUMMYFUNCTION("""COMPUTED_VALUE"""),0.0)</f>
        <v>0</v>
      </c>
      <c r="AC174" s="187">
        <f>IFERROR(__xludf.DUMMYFUNCTION("""COMPUTED_VALUE"""),19.0)</f>
        <v>19</v>
      </c>
      <c r="AD174" s="187">
        <f>IFERROR(__xludf.DUMMYFUNCTION("""COMPUTED_VALUE"""),0.0)</f>
        <v>0</v>
      </c>
      <c r="AE174" s="187">
        <f>IFERROR(__xludf.DUMMYFUNCTION("""COMPUTED_VALUE"""),39.0)</f>
        <v>39</v>
      </c>
      <c r="AF174" s="187">
        <f>IFERROR(__xludf.DUMMYFUNCTION("""COMPUTED_VALUE"""),47.0)</f>
        <v>47</v>
      </c>
      <c r="AG174" s="187">
        <f>IFERROR(__xludf.DUMMYFUNCTION("""COMPUTED_VALUE"""),51.0)</f>
        <v>51</v>
      </c>
      <c r="AH174" s="187">
        <f>IFERROR(__xludf.DUMMYFUNCTION("""COMPUTED_VALUE"""),1.0)</f>
        <v>1</v>
      </c>
      <c r="AI174" s="187">
        <f>IFERROR(__xludf.DUMMYFUNCTION("""COMPUTED_VALUE"""),2.0)</f>
        <v>2</v>
      </c>
      <c r="AJ174" s="187">
        <f>IFERROR(__xludf.DUMMYFUNCTION("""COMPUTED_VALUE"""),0.0)</f>
        <v>0</v>
      </c>
      <c r="AK174" s="187">
        <f>IFERROR(__xludf.DUMMYFUNCTION("""COMPUTED_VALUE"""),0.0)</f>
        <v>0</v>
      </c>
      <c r="AL174" s="187">
        <f>IFERROR(__xludf.DUMMYFUNCTION("""COMPUTED_VALUE"""),1.0)</f>
        <v>1</v>
      </c>
      <c r="AM174" s="187">
        <f>IFERROR(__xludf.DUMMYFUNCTION("""COMPUTED_VALUE"""),1.0)</f>
        <v>1</v>
      </c>
      <c r="AN174" s="187">
        <f>IFERROR(__xludf.DUMMYFUNCTION("""COMPUTED_VALUE"""),67.0)</f>
        <v>67</v>
      </c>
      <c r="AO174" s="187">
        <f>IFERROR(__xludf.DUMMYFUNCTION("""COMPUTED_VALUE"""),117.0)</f>
        <v>117</v>
      </c>
      <c r="AP174" s="187">
        <f>IFERROR(__xludf.DUMMYFUNCTION("""COMPUTED_VALUE"""),24.0)</f>
        <v>24</v>
      </c>
      <c r="AQ174" s="217">
        <f>IFERROR(__xludf.DUMMYFUNCTION("""COMPUTED_VALUE"""),28243.25)</f>
        <v>28243.25</v>
      </c>
      <c r="AR174" s="188">
        <f>IFERROR(__xludf.DUMMYFUNCTION("""COMPUTED_VALUE"""),4.875)</f>
        <v>4.875</v>
      </c>
      <c r="AS174" s="217">
        <f>IFERROR(__xludf.DUMMYFUNCTION("""COMPUTED_VALUE"""),112065.0)</f>
        <v>112065</v>
      </c>
      <c r="AT174" s="217"/>
      <c r="AU174" s="218">
        <f>IFERROR(__xludf.DUMMYFUNCTION("""COMPUTED_VALUE"""),0.1653271135581068)</f>
        <v>0.1653271136</v>
      </c>
      <c r="AV174" s="217">
        <f>IFERROR(__xludf.DUMMYFUNCTION("""COMPUTED_VALUE"""),35675.68421052631)</f>
        <v>35675.68421</v>
      </c>
      <c r="AW174" s="219">
        <f>IFERROR(__xludf.DUMMYFUNCTION("""COMPUTED_VALUE"""),23.0)</f>
        <v>23</v>
      </c>
      <c r="AX174" s="219">
        <f>IFERROR(__xludf.DUMMYFUNCTION("""COMPUTED_VALUE"""),248.0)</f>
        <v>248</v>
      </c>
      <c r="AY174" s="262">
        <f>IFERROR(__xludf.DUMMYFUNCTION("""COMPUTED_VALUE"""),2760.12)</f>
        <v>2760.12</v>
      </c>
      <c r="AZ174" s="263">
        <f>IFERROR(__xludf.DUMMYFUNCTION("""COMPUTED_VALUE"""),54.0)</f>
        <v>54</v>
      </c>
      <c r="BA174" s="263">
        <f>IFERROR(__xludf.DUMMYFUNCTION("""COMPUTED_VALUE"""),19.0)</f>
        <v>19</v>
      </c>
      <c r="BB174" s="263">
        <f>IFERROR(__xludf.DUMMYFUNCTION("""COMPUTED_VALUE"""),34.0)</f>
        <v>34</v>
      </c>
      <c r="BC174" s="263">
        <f>IFERROR(__xludf.DUMMYFUNCTION("""COMPUTED_VALUE"""),20.0)</f>
        <v>20</v>
      </c>
      <c r="BD174" s="265"/>
      <c r="BE174" s="258"/>
      <c r="BF174" s="255" t="e">
        <v>#REF!</v>
      </c>
      <c r="BG174" s="256">
        <f t="shared" si="4"/>
        <v>677838</v>
      </c>
      <c r="BH174" s="257" t="str">
        <f t="shared" si="5"/>
        <v>#REF!</v>
      </c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</row>
    <row r="175">
      <c r="A175" s="6" t="str">
        <f>IFERROR(__xludf.DUMMYFUNCTION("""COMPUTED_VALUE"""),"Sandeep Dadheech")</f>
        <v>Sandeep Dadheech</v>
      </c>
      <c r="B175" s="98" t="str">
        <f>IFERROR(__xludf.DUMMYFUNCTION("""COMPUTED_VALUE"""),"North East")</f>
        <v>North East</v>
      </c>
      <c r="C175" s="212" t="str">
        <f>IFERROR(__xludf.DUMMYFUNCTION("""COMPUTED_VALUE"""),"Rupak Kumar")</f>
        <v>Rupak Kumar</v>
      </c>
      <c r="D175" s="98" t="str">
        <f>IFERROR(__xludf.DUMMYFUNCTION("""COMPUTED_VALUE"""),"Guwahati")</f>
        <v>Guwahati</v>
      </c>
      <c r="E175" s="213">
        <f>IFERROR(__xludf.DUMMYFUNCTION("""COMPUTED_VALUE"""),46178.0)</f>
        <v>46178</v>
      </c>
      <c r="F175" s="222" t="str">
        <f>IFERROR(__xludf.DUMMYFUNCTION("""COMPUTED_VALUE"""),"ARUNACHAL PRADESH, ASSAM, MANIPUR, MEGHALAYA, MIZORAM, NAGALAND, SIKKIM, TRIPURA, WEST BENGAL")</f>
        <v>ARUNACHAL PRADESH, ASSAM, MANIPUR, MEGHALAYA, MIZORAM, NAGALAND, SIKKIM, TRIPURA, WEST BENGAL</v>
      </c>
      <c r="G175" s="215"/>
      <c r="H175" s="215"/>
      <c r="I175" s="216">
        <f>IFERROR(__xludf.DUMMYFUNCTION("""COMPUTED_VALUE"""),94500.0)</f>
        <v>94500</v>
      </c>
      <c r="J175" s="216"/>
      <c r="K175" s="217">
        <f>IFERROR(__xludf.DUMMYFUNCTION("""COMPUTED_VALUE"""),0.0)</f>
        <v>0</v>
      </c>
      <c r="L175" s="217"/>
      <c r="M175" s="217">
        <f>IFERROR(__xludf.DUMMYFUNCTION("""COMPUTED_VALUE"""),0.0)</f>
        <v>0</v>
      </c>
      <c r="N175" s="217">
        <f>IFERROR(__xludf.DUMMYFUNCTION("""COMPUTED_VALUE"""),0.0)</f>
        <v>0</v>
      </c>
      <c r="O175" s="217"/>
      <c r="P175" s="218"/>
      <c r="Q175" s="218">
        <f>IFERROR(__xludf.DUMMYFUNCTION("""COMPUTED_VALUE"""),0.0)</f>
        <v>0</v>
      </c>
      <c r="R175" s="218"/>
      <c r="S175" s="187">
        <f>IFERROR(__xludf.DUMMYFUNCTION("""COMPUTED_VALUE"""),15.0)</f>
        <v>15</v>
      </c>
      <c r="T175" s="187">
        <f>IFERROR(__xludf.DUMMYFUNCTION("""COMPUTED_VALUE"""),15.0)</f>
        <v>15</v>
      </c>
      <c r="U175" s="187">
        <f>IFERROR(__xludf.DUMMYFUNCTION("""COMPUTED_VALUE"""),0.0)</f>
        <v>0</v>
      </c>
      <c r="V175" s="187">
        <f>IFERROR(__xludf.DUMMYFUNCTION("""COMPUTED_VALUE"""),0.0)</f>
        <v>0</v>
      </c>
      <c r="W175" s="187">
        <f>IFERROR(__xludf.DUMMYFUNCTION("""COMPUTED_VALUE"""),15.0)</f>
        <v>15</v>
      </c>
      <c r="X175" s="187">
        <f>IFERROR(__xludf.DUMMYFUNCTION("""COMPUTED_VALUE"""),0.0)</f>
        <v>0</v>
      </c>
      <c r="Y175" s="188">
        <f>IFERROR(__xludf.DUMMYFUNCTION("""COMPUTED_VALUE"""),0.0)</f>
        <v>0</v>
      </c>
      <c r="Z175" s="188">
        <f>IFERROR(__xludf.DUMMYFUNCTION("""COMPUTED_VALUE"""),0.0)</f>
        <v>0</v>
      </c>
      <c r="AA175" s="187">
        <f>IFERROR(__xludf.DUMMYFUNCTION("""COMPUTED_VALUE"""),0.0)</f>
        <v>0</v>
      </c>
      <c r="AB175" s="187">
        <f>IFERROR(__xludf.DUMMYFUNCTION("""COMPUTED_VALUE"""),0.0)</f>
        <v>0</v>
      </c>
      <c r="AC175" s="187">
        <f>IFERROR(__xludf.DUMMYFUNCTION("""COMPUTED_VALUE"""),0.0)</f>
        <v>0</v>
      </c>
      <c r="AD175" s="187">
        <f>IFERROR(__xludf.DUMMYFUNCTION("""COMPUTED_VALUE"""),0.0)</f>
        <v>0</v>
      </c>
      <c r="AE175" s="187">
        <f>IFERROR(__xludf.DUMMYFUNCTION("""COMPUTED_VALUE"""),8.0)</f>
        <v>8</v>
      </c>
      <c r="AF175" s="187">
        <f>IFERROR(__xludf.DUMMYFUNCTION("""COMPUTED_VALUE"""),9.0)</f>
        <v>9</v>
      </c>
      <c r="AG175" s="187">
        <f>IFERROR(__xludf.DUMMYFUNCTION("""COMPUTED_VALUE"""),3.0)</f>
        <v>3</v>
      </c>
      <c r="AH175" s="187">
        <f>IFERROR(__xludf.DUMMYFUNCTION("""COMPUTED_VALUE"""),3.0)</f>
        <v>3</v>
      </c>
      <c r="AI175" s="187">
        <f>IFERROR(__xludf.DUMMYFUNCTION("""COMPUTED_VALUE"""),7.0)</f>
        <v>7</v>
      </c>
      <c r="AJ175" s="187">
        <f>IFERROR(__xludf.DUMMYFUNCTION("""COMPUTED_VALUE"""),0.0)</f>
        <v>0</v>
      </c>
      <c r="AK175" s="187">
        <f>IFERROR(__xludf.DUMMYFUNCTION("""COMPUTED_VALUE"""),0.0)</f>
        <v>0</v>
      </c>
      <c r="AL175" s="187">
        <f>IFERROR(__xludf.DUMMYFUNCTION("""COMPUTED_VALUE"""),7.0)</f>
        <v>7</v>
      </c>
      <c r="AM175" s="187">
        <f>IFERROR(__xludf.DUMMYFUNCTION("""COMPUTED_VALUE"""),13.0)</f>
        <v>13</v>
      </c>
      <c r="AN175" s="187">
        <f>IFERROR(__xludf.DUMMYFUNCTION("""COMPUTED_VALUE"""),16.0)</f>
        <v>16</v>
      </c>
      <c r="AO175" s="187">
        <f>IFERROR(__xludf.DUMMYFUNCTION("""COMPUTED_VALUE"""),45.0)</f>
        <v>45</v>
      </c>
      <c r="AP175" s="187">
        <f>IFERROR(__xludf.DUMMYFUNCTION("""COMPUTED_VALUE"""),13.0)</f>
        <v>13</v>
      </c>
      <c r="AQ175" s="217">
        <f>IFERROR(__xludf.DUMMYFUNCTION("""COMPUTED_VALUE"""),0.0)</f>
        <v>0</v>
      </c>
      <c r="AR175" s="188">
        <f>IFERROR(__xludf.DUMMYFUNCTION("""COMPUTED_VALUE"""),3.4615384615384617)</f>
        <v>3.461538462</v>
      </c>
      <c r="AS175" s="217">
        <f>IFERROR(__xludf.DUMMYFUNCTION("""COMPUTED_VALUE"""),81900.0)</f>
        <v>81900</v>
      </c>
      <c r="AT175" s="217"/>
      <c r="AU175" s="218"/>
      <c r="AV175" s="217"/>
      <c r="AW175" s="219">
        <f>IFERROR(__xludf.DUMMYFUNCTION("""COMPUTED_VALUE"""),0.0)</f>
        <v>0</v>
      </c>
      <c r="AX175" s="219">
        <f>IFERROR(__xludf.DUMMYFUNCTION("""COMPUTED_VALUE"""),133.0)</f>
        <v>133</v>
      </c>
      <c r="AY175" s="262">
        <f>IFERROR(__xludf.DUMMYFUNCTION("""COMPUTED_VALUE"""),1501.82)</f>
        <v>1501.82</v>
      </c>
      <c r="AZ175" s="263">
        <f>IFERROR(__xludf.DUMMYFUNCTION("""COMPUTED_VALUE"""),100.0)</f>
        <v>100</v>
      </c>
      <c r="BA175" s="263">
        <f>IFERROR(__xludf.DUMMYFUNCTION("""COMPUTED_VALUE"""),0.0)</f>
        <v>0</v>
      </c>
      <c r="BB175" s="263">
        <f>IFERROR(__xludf.DUMMYFUNCTION("""COMPUTED_VALUE"""),15.0)</f>
        <v>15</v>
      </c>
      <c r="BC175" s="263">
        <f>IFERROR(__xludf.DUMMYFUNCTION("""COMPUTED_VALUE"""),0.0)</f>
        <v>0</v>
      </c>
      <c r="BD175" s="258"/>
      <c r="BE175" s="258"/>
      <c r="BF175" s="255" t="e">
        <v>#REF!</v>
      </c>
      <c r="BG175" s="256">
        <f t="shared" si="4"/>
        <v>0</v>
      </c>
      <c r="BH175" s="257" t="str">
        <f t="shared" si="5"/>
        <v>#REF!</v>
      </c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</row>
    <row r="176">
      <c r="A176" s="6" t="str">
        <f>IFERROR(__xludf.DUMMYFUNCTION("""COMPUTED_VALUE"""),"Sandeep Dadheech")</f>
        <v>Sandeep Dadheech</v>
      </c>
      <c r="B176" s="98" t="str">
        <f>IFERROR(__xludf.DUMMYFUNCTION("""COMPUTED_VALUE"""),"Andhra Pradesh")</f>
        <v>Andhra Pradesh</v>
      </c>
      <c r="C176" s="212" t="str">
        <f>IFERROR(__xludf.DUMMYFUNCTION("""COMPUTED_VALUE"""),"Paripally Sridhar")</f>
        <v>Paripally Sridhar</v>
      </c>
      <c r="D176" s="98" t="str">
        <f>IFERROR(__xludf.DUMMYFUNCTION("""COMPUTED_VALUE"""),"Hyderabad")</f>
        <v>Hyderabad</v>
      </c>
      <c r="E176" s="213">
        <f>IFERROR(__xludf.DUMMYFUNCTION("""COMPUTED_VALUE"""),46181.0)</f>
        <v>46181</v>
      </c>
      <c r="F176" s="222" t="str">
        <f>IFERROR(__xludf.DUMMYFUNCTION("""COMPUTED_VALUE"""),"TELANGANA")</f>
        <v>TELANGANA</v>
      </c>
      <c r="G176" s="259"/>
      <c r="H176" s="259"/>
      <c r="I176" s="216">
        <f>IFERROR(__xludf.DUMMYFUNCTION("""COMPUTED_VALUE"""),51000.0)</f>
        <v>51000</v>
      </c>
      <c r="J176" s="56">
        <f>IFERROR(__xludf.DUMMYFUNCTION("""COMPUTED_VALUE"""),1500000.0)</f>
        <v>1500000</v>
      </c>
      <c r="K176" s="217">
        <f>IFERROR(__xludf.DUMMYFUNCTION("""COMPUTED_VALUE"""),0.0)</f>
        <v>0</v>
      </c>
      <c r="L176" s="217">
        <f>IFERROR(__xludf.DUMMYFUNCTION("""COMPUTED_VALUE"""),1500000.0)</f>
        <v>1500000</v>
      </c>
      <c r="M176" s="217">
        <f>IFERROR(__xludf.DUMMYFUNCTION("""COMPUTED_VALUE"""),653967.0)</f>
        <v>653967</v>
      </c>
      <c r="N176" s="217">
        <f>IFERROR(__xludf.DUMMYFUNCTION("""COMPUTED_VALUE"""),0.0)</f>
        <v>0</v>
      </c>
      <c r="O176" s="260"/>
      <c r="P176" s="218">
        <f>IFERROR(__xludf.DUMMYFUNCTION("""COMPUTED_VALUE"""),0.435978)</f>
        <v>0.435978</v>
      </c>
      <c r="Q176" s="218">
        <f>IFERROR(__xludf.DUMMYFUNCTION("""COMPUTED_VALUE"""),0.0)</f>
        <v>0</v>
      </c>
      <c r="R176" s="218"/>
      <c r="S176" s="187">
        <f>IFERROR(__xludf.DUMMYFUNCTION("""COMPUTED_VALUE"""),15.0)</f>
        <v>15</v>
      </c>
      <c r="T176" s="187">
        <f>IFERROR(__xludf.DUMMYFUNCTION("""COMPUTED_VALUE"""),23.0)</f>
        <v>23</v>
      </c>
      <c r="U176" s="187">
        <f>IFERROR(__xludf.DUMMYFUNCTION("""COMPUTED_VALUE"""),12.0)</f>
        <v>12</v>
      </c>
      <c r="V176" s="187">
        <f>IFERROR(__xludf.DUMMYFUNCTION("""COMPUTED_VALUE"""),12.0)</f>
        <v>12</v>
      </c>
      <c r="W176" s="187">
        <f>IFERROR(__xludf.DUMMYFUNCTION("""COMPUTED_VALUE"""),27.0)</f>
        <v>27</v>
      </c>
      <c r="X176" s="187">
        <f>IFERROR(__xludf.DUMMYFUNCTION("""COMPUTED_VALUE"""),4.0)</f>
        <v>4</v>
      </c>
      <c r="Y176" s="188">
        <f>IFERROR(__xludf.DUMMYFUNCTION("""COMPUTED_VALUE"""),46860.0)</f>
        <v>46860</v>
      </c>
      <c r="Z176" s="188">
        <f>IFERROR(__xludf.DUMMYFUNCTION("""COMPUTED_VALUE"""),607107.05)</f>
        <v>607107.05</v>
      </c>
      <c r="AA176" s="187">
        <f>IFERROR(__xludf.DUMMYFUNCTION("""COMPUTED_VALUE"""),1.0)</f>
        <v>1</v>
      </c>
      <c r="AB176" s="187">
        <f>IFERROR(__xludf.DUMMYFUNCTION("""COMPUTED_VALUE"""),12.0)</f>
        <v>12</v>
      </c>
      <c r="AC176" s="187">
        <f>IFERROR(__xludf.DUMMYFUNCTION("""COMPUTED_VALUE"""),13.0)</f>
        <v>13</v>
      </c>
      <c r="AD176" s="187">
        <f>IFERROR(__xludf.DUMMYFUNCTION("""COMPUTED_VALUE"""),0.0)</f>
        <v>0</v>
      </c>
      <c r="AE176" s="187">
        <f>IFERROR(__xludf.DUMMYFUNCTION("""COMPUTED_VALUE"""),49.0)</f>
        <v>49</v>
      </c>
      <c r="AF176" s="187">
        <f>IFERROR(__xludf.DUMMYFUNCTION("""COMPUTED_VALUE"""),58.0)</f>
        <v>58</v>
      </c>
      <c r="AG176" s="187">
        <f>IFERROR(__xludf.DUMMYFUNCTION("""COMPUTED_VALUE"""),13.0)</f>
        <v>13</v>
      </c>
      <c r="AH176" s="187">
        <f>IFERROR(__xludf.DUMMYFUNCTION("""COMPUTED_VALUE"""),2.0)</f>
        <v>2</v>
      </c>
      <c r="AI176" s="187">
        <f>IFERROR(__xludf.DUMMYFUNCTION("""COMPUTED_VALUE"""),3.0)</f>
        <v>3</v>
      </c>
      <c r="AJ176" s="187">
        <f>IFERROR(__xludf.DUMMYFUNCTION("""COMPUTED_VALUE"""),0.0)</f>
        <v>0</v>
      </c>
      <c r="AK176" s="187">
        <f>IFERROR(__xludf.DUMMYFUNCTION("""COMPUTED_VALUE"""),0.0)</f>
        <v>0</v>
      </c>
      <c r="AL176" s="187">
        <f>IFERROR(__xludf.DUMMYFUNCTION("""COMPUTED_VALUE"""),0.0)</f>
        <v>0</v>
      </c>
      <c r="AM176" s="187">
        <f>IFERROR(__xludf.DUMMYFUNCTION("""COMPUTED_VALUE"""),0.0)</f>
        <v>0</v>
      </c>
      <c r="AN176" s="187">
        <f>IFERROR(__xludf.DUMMYFUNCTION("""COMPUTED_VALUE"""),36.0)</f>
        <v>36</v>
      </c>
      <c r="AO176" s="187">
        <f>IFERROR(__xludf.DUMMYFUNCTION("""COMPUTED_VALUE"""),97.0)</f>
        <v>97</v>
      </c>
      <c r="AP176" s="187">
        <f>IFERROR(__xludf.DUMMYFUNCTION("""COMPUTED_VALUE"""),17.0)</f>
        <v>17</v>
      </c>
      <c r="AQ176" s="217">
        <f>IFERROR(__xludf.DUMMYFUNCTION("""COMPUTED_VALUE"""),38468.64705882353)</f>
        <v>38468.64706</v>
      </c>
      <c r="AR176" s="188">
        <f>IFERROR(__xludf.DUMMYFUNCTION("""COMPUTED_VALUE"""),5.705882352941177)</f>
        <v>5.705882353</v>
      </c>
      <c r="AS176" s="217">
        <f>IFERROR(__xludf.DUMMYFUNCTION("""COMPUTED_VALUE"""),39100.0)</f>
        <v>39100</v>
      </c>
      <c r="AT176" s="217"/>
      <c r="AU176" s="218">
        <f>IFERROR(__xludf.DUMMYFUNCTION("""COMPUTED_VALUE"""),0.05978894959531597)</f>
        <v>0.0597889496</v>
      </c>
      <c r="AV176" s="217">
        <f>IFERROR(__xludf.DUMMYFUNCTION("""COMPUTED_VALUE"""),50305.153846153844)</f>
        <v>50305.15385</v>
      </c>
      <c r="AW176" s="219">
        <f>IFERROR(__xludf.DUMMYFUNCTION("""COMPUTED_VALUE"""),15.0)</f>
        <v>15</v>
      </c>
      <c r="AX176" s="219">
        <f>IFERROR(__xludf.DUMMYFUNCTION("""COMPUTED_VALUE"""),164.0)</f>
        <v>164</v>
      </c>
      <c r="AY176" s="262">
        <f>IFERROR(__xludf.DUMMYFUNCTION("""COMPUTED_VALUE"""),1286.02)</f>
        <v>1286.02</v>
      </c>
      <c r="AZ176" s="263">
        <f>IFERROR(__xludf.DUMMYFUNCTION("""COMPUTED_VALUE"""),56.0)</f>
        <v>56</v>
      </c>
      <c r="BA176" s="263">
        <f>IFERROR(__xludf.DUMMYFUNCTION("""COMPUTED_VALUE"""),13.0)</f>
        <v>13</v>
      </c>
      <c r="BB176" s="263">
        <f>IFERROR(__xludf.DUMMYFUNCTION("""COMPUTED_VALUE"""),11.0)</f>
        <v>11</v>
      </c>
      <c r="BC176" s="263">
        <f>IFERROR(__xludf.DUMMYFUNCTION("""COMPUTED_VALUE"""),3.0)</f>
        <v>3</v>
      </c>
      <c r="BD176" s="265"/>
      <c r="BE176" s="258"/>
      <c r="BF176" s="241" t="e">
        <v>#REF!</v>
      </c>
      <c r="BG176" s="256">
        <f t="shared" si="4"/>
        <v>653967</v>
      </c>
      <c r="BH176" s="257" t="str">
        <f t="shared" si="5"/>
        <v>#REF!</v>
      </c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</row>
    <row r="177">
      <c r="A177" s="6" t="str">
        <f>IFERROR(__xludf.DUMMYFUNCTION("""COMPUTED_VALUE"""),"Anant Singh")</f>
        <v>Anant Singh</v>
      </c>
      <c r="B177" s="98" t="str">
        <f>IFERROR(__xludf.DUMMYFUNCTION("""COMPUTED_VALUE"""),"West U.P")</f>
        <v>West U.P</v>
      </c>
      <c r="C177" s="212" t="str">
        <f>IFERROR(__xludf.DUMMYFUNCTION("""COMPUTED_VALUE"""),"Rahul Singh")</f>
        <v>Rahul Singh</v>
      </c>
      <c r="D177" s="98" t="str">
        <f>IFERROR(__xludf.DUMMYFUNCTION("""COMPUTED_VALUE"""),"Mathura")</f>
        <v>Mathura</v>
      </c>
      <c r="E177" s="213">
        <f>IFERROR(__xludf.DUMMYFUNCTION("""COMPUTED_VALUE"""),46190.0)</f>
        <v>46190</v>
      </c>
      <c r="F177" s="222" t="str">
        <f>IFERROR(__xludf.DUMMYFUNCTION("""COMPUTED_VALUE"""),"West U.P")</f>
        <v>West U.P</v>
      </c>
      <c r="G177" s="259"/>
      <c r="H177" s="259"/>
      <c r="I177" s="216">
        <f>IFERROR(__xludf.DUMMYFUNCTION("""COMPUTED_VALUE"""),25212.0)</f>
        <v>25212</v>
      </c>
      <c r="J177" s="216">
        <f>IFERROR(__xludf.DUMMYFUNCTION("""COMPUTED_VALUE"""),1300000.0)</f>
        <v>1300000</v>
      </c>
      <c r="K177" s="217">
        <f>IFERROR(__xludf.DUMMYFUNCTION("""COMPUTED_VALUE"""),0.0)</f>
        <v>0</v>
      </c>
      <c r="L177" s="217">
        <f>IFERROR(__xludf.DUMMYFUNCTION("""COMPUTED_VALUE"""),606667.0)</f>
        <v>606667</v>
      </c>
      <c r="M177" s="217">
        <f>IFERROR(__xludf.DUMMYFUNCTION("""COMPUTED_VALUE"""),321482.0)</f>
        <v>321482</v>
      </c>
      <c r="N177" s="217">
        <f>IFERROR(__xludf.DUMMYFUNCTION("""COMPUTED_VALUE"""),0.0)</f>
        <v>0</v>
      </c>
      <c r="O177" s="217"/>
      <c r="P177" s="218">
        <f>IFERROR(__xludf.DUMMYFUNCTION("""COMPUTED_VALUE"""),0.5299150934532454)</f>
        <v>0.5299150935</v>
      </c>
      <c r="Q177" s="218">
        <f>IFERROR(__xludf.DUMMYFUNCTION("""COMPUTED_VALUE"""),0.0)</f>
        <v>0</v>
      </c>
      <c r="R177" s="218"/>
      <c r="S177" s="187">
        <f>IFERROR(__xludf.DUMMYFUNCTION("""COMPUTED_VALUE"""),65.0)</f>
        <v>65</v>
      </c>
      <c r="T177" s="187">
        <f>IFERROR(__xludf.DUMMYFUNCTION("""COMPUTED_VALUE"""),60.0)</f>
        <v>60</v>
      </c>
      <c r="U177" s="187">
        <f>IFERROR(__xludf.DUMMYFUNCTION("""COMPUTED_VALUE"""),2.0)</f>
        <v>2</v>
      </c>
      <c r="V177" s="187">
        <f>IFERROR(__xludf.DUMMYFUNCTION("""COMPUTED_VALUE"""),0.0)</f>
        <v>0</v>
      </c>
      <c r="W177" s="187">
        <f>IFERROR(__xludf.DUMMYFUNCTION("""COMPUTED_VALUE"""),67.0)</f>
        <v>67</v>
      </c>
      <c r="X177" s="187">
        <f>IFERROR(__xludf.DUMMYFUNCTION("""COMPUTED_VALUE"""),7.0)</f>
        <v>7</v>
      </c>
      <c r="Y177" s="188">
        <f>IFERROR(__xludf.DUMMYFUNCTION("""COMPUTED_VALUE"""),321481.5)</f>
        <v>321481.5</v>
      </c>
      <c r="Z177" s="188">
        <f>IFERROR(__xludf.DUMMYFUNCTION("""COMPUTED_VALUE"""),0.0)</f>
        <v>0</v>
      </c>
      <c r="AA177" s="187">
        <f>IFERROR(__xludf.DUMMYFUNCTION("""COMPUTED_VALUE"""),5.0)</f>
        <v>5</v>
      </c>
      <c r="AB177" s="187">
        <f>IFERROR(__xludf.DUMMYFUNCTION("""COMPUTED_VALUE"""),0.0)</f>
        <v>0</v>
      </c>
      <c r="AC177" s="187">
        <f>IFERROR(__xludf.DUMMYFUNCTION("""COMPUTED_VALUE"""),5.0)</f>
        <v>5</v>
      </c>
      <c r="AD177" s="187">
        <f>IFERROR(__xludf.DUMMYFUNCTION("""COMPUTED_VALUE"""),0.0)</f>
        <v>0</v>
      </c>
      <c r="AE177" s="187">
        <f>IFERROR(__xludf.DUMMYFUNCTION("""COMPUTED_VALUE"""),27.0)</f>
        <v>27</v>
      </c>
      <c r="AF177" s="187">
        <f>IFERROR(__xludf.DUMMYFUNCTION("""COMPUTED_VALUE"""),28.0)</f>
        <v>28</v>
      </c>
      <c r="AG177" s="187">
        <f>IFERROR(__xludf.DUMMYFUNCTION("""COMPUTED_VALUE"""),9.0)</f>
        <v>9</v>
      </c>
      <c r="AH177" s="187">
        <f>IFERROR(__xludf.DUMMYFUNCTION("""COMPUTED_VALUE"""),1.0)</f>
        <v>1</v>
      </c>
      <c r="AI177" s="187">
        <f>IFERROR(__xludf.DUMMYFUNCTION("""COMPUTED_VALUE"""),11.0)</f>
        <v>11</v>
      </c>
      <c r="AJ177" s="187">
        <f>IFERROR(__xludf.DUMMYFUNCTION("""COMPUTED_VALUE"""),1.0)</f>
        <v>1</v>
      </c>
      <c r="AK177" s="187">
        <f>IFERROR(__xludf.DUMMYFUNCTION("""COMPUTED_VALUE"""),1.0)</f>
        <v>1</v>
      </c>
      <c r="AL177" s="187">
        <f>IFERROR(__xludf.DUMMYFUNCTION("""COMPUTED_VALUE"""),0.0)</f>
        <v>0</v>
      </c>
      <c r="AM177" s="187">
        <f>IFERROR(__xludf.DUMMYFUNCTION("""COMPUTED_VALUE"""),0.0)</f>
        <v>0</v>
      </c>
      <c r="AN177" s="187">
        <f>IFERROR(__xludf.DUMMYFUNCTION("""COMPUTED_VALUE"""),69.0)</f>
        <v>69</v>
      </c>
      <c r="AO177" s="187">
        <f>IFERROR(__xludf.DUMMYFUNCTION("""COMPUTED_VALUE"""),109.0)</f>
        <v>109</v>
      </c>
      <c r="AP177" s="187">
        <f>IFERROR(__xludf.DUMMYFUNCTION("""COMPUTED_VALUE"""),11.0)</f>
        <v>11</v>
      </c>
      <c r="AQ177" s="217">
        <f>IFERROR(__xludf.DUMMYFUNCTION("""COMPUTED_VALUE"""),29225.636363636364)</f>
        <v>29225.63636</v>
      </c>
      <c r="AR177" s="188">
        <f>IFERROR(__xludf.DUMMYFUNCTION("""COMPUTED_VALUE"""),9.909090909090908)</f>
        <v>9.909090909</v>
      </c>
      <c r="AS177" s="217">
        <f>IFERROR(__xludf.DUMMYFUNCTION("""COMPUTED_VALUE"""),11765.6)</f>
        <v>11765.6</v>
      </c>
      <c r="AT177" s="217"/>
      <c r="AU177" s="218">
        <f>IFERROR(__xludf.DUMMYFUNCTION("""COMPUTED_VALUE"""),0.03659800548708793)</f>
        <v>0.03659800549</v>
      </c>
      <c r="AV177" s="217">
        <f>IFERROR(__xludf.DUMMYFUNCTION("""COMPUTED_VALUE"""),64296.4)</f>
        <v>64296.4</v>
      </c>
      <c r="AW177" s="219">
        <f>IFERROR(__xludf.DUMMYFUNCTION("""COMPUTED_VALUE"""),5.0)</f>
        <v>5</v>
      </c>
      <c r="AX177" s="219">
        <f>IFERROR(__xludf.DUMMYFUNCTION("""COMPUTED_VALUE"""),113.0)</f>
        <v>113</v>
      </c>
      <c r="AY177" s="262">
        <f>IFERROR(__xludf.DUMMYFUNCTION("""COMPUTED_VALUE"""),1108.42)</f>
        <v>1108.42</v>
      </c>
      <c r="AZ177" s="263">
        <f>IFERROR(__xludf.DUMMYFUNCTION("""COMPUTED_VALUE"""),18.0)</f>
        <v>18</v>
      </c>
      <c r="BA177" s="263">
        <f>IFERROR(__xludf.DUMMYFUNCTION("""COMPUTED_VALUE"""),5.0)</f>
        <v>5</v>
      </c>
      <c r="BB177" s="263">
        <f>IFERROR(__xludf.DUMMYFUNCTION("""COMPUTED_VALUE"""),55.0)</f>
        <v>55</v>
      </c>
      <c r="BC177" s="263">
        <f>IFERROR(__xludf.DUMMYFUNCTION("""COMPUTED_VALUE"""),7.0)</f>
        <v>7</v>
      </c>
      <c r="BD177" s="265"/>
      <c r="BE177" s="258"/>
      <c r="BF177" s="255" t="e">
        <v>#REF!</v>
      </c>
      <c r="BG177" s="256">
        <f t="shared" si="4"/>
        <v>321482</v>
      </c>
      <c r="BH177" s="257" t="str">
        <f t="shared" si="5"/>
        <v>#REF!</v>
      </c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</row>
    <row r="178">
      <c r="A178" s="6"/>
      <c r="B178" s="98"/>
      <c r="C178" s="212"/>
      <c r="D178" s="98"/>
      <c r="E178" s="213"/>
      <c r="F178" s="222"/>
      <c r="G178" s="259"/>
      <c r="H178" s="259"/>
      <c r="I178" s="216"/>
      <c r="J178" s="56"/>
      <c r="K178" s="217"/>
      <c r="L178" s="217"/>
      <c r="M178" s="217"/>
      <c r="N178" s="217"/>
      <c r="O178" s="260"/>
      <c r="P178" s="218"/>
      <c r="Q178" s="218"/>
      <c r="R178" s="218"/>
      <c r="S178" s="187"/>
      <c r="T178" s="187"/>
      <c r="U178" s="187"/>
      <c r="V178" s="187"/>
      <c r="W178" s="187"/>
      <c r="X178" s="187"/>
      <c r="Y178" s="188"/>
      <c r="Z178" s="188"/>
      <c r="AA178" s="187"/>
      <c r="AB178" s="187"/>
      <c r="AC178" s="187"/>
      <c r="AD178" s="187"/>
      <c r="AE178" s="187"/>
      <c r="AF178" s="187"/>
      <c r="AG178" s="187"/>
      <c r="AH178" s="187"/>
      <c r="AI178" s="187"/>
      <c r="AJ178" s="187"/>
      <c r="AK178" s="187"/>
      <c r="AL178" s="187"/>
      <c r="AM178" s="187"/>
      <c r="AN178" s="187"/>
      <c r="AO178" s="187"/>
      <c r="AP178" s="187"/>
      <c r="AQ178" s="217"/>
      <c r="AR178" s="188"/>
      <c r="AS178" s="217"/>
      <c r="AT178" s="217"/>
      <c r="AU178" s="218"/>
      <c r="AV178" s="217"/>
      <c r="AW178" s="219"/>
      <c r="AX178" s="219"/>
      <c r="AY178" s="262"/>
      <c r="AZ178" s="263"/>
      <c r="BA178" s="263"/>
      <c r="BB178" s="263"/>
      <c r="BC178" s="263"/>
      <c r="BD178" s="265"/>
      <c r="BE178" s="258"/>
      <c r="BF178" s="241" t="e">
        <v>#REF!</v>
      </c>
      <c r="BG178" s="256">
        <f t="shared" si="4"/>
        <v>0</v>
      </c>
      <c r="BH178" s="257" t="str">
        <f t="shared" si="5"/>
        <v>#REF!</v>
      </c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</row>
    <row r="179">
      <c r="A179" s="6"/>
      <c r="B179" s="98"/>
      <c r="C179" s="212"/>
      <c r="D179" s="98"/>
      <c r="E179" s="213"/>
      <c r="F179" s="222"/>
      <c r="G179" s="259"/>
      <c r="H179" s="259"/>
      <c r="I179" s="216"/>
      <c r="J179" s="216"/>
      <c r="K179" s="217"/>
      <c r="L179" s="217"/>
      <c r="M179" s="217"/>
      <c r="N179" s="217"/>
      <c r="O179" s="217"/>
      <c r="P179" s="218"/>
      <c r="Q179" s="218"/>
      <c r="R179" s="218"/>
      <c r="S179" s="187"/>
      <c r="T179" s="187"/>
      <c r="U179" s="187"/>
      <c r="V179" s="187"/>
      <c r="W179" s="187"/>
      <c r="X179" s="187"/>
      <c r="Y179" s="188"/>
      <c r="Z179" s="188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  <c r="AK179" s="187"/>
      <c r="AL179" s="187"/>
      <c r="AM179" s="187"/>
      <c r="AN179" s="187"/>
      <c r="AO179" s="187"/>
      <c r="AP179" s="187"/>
      <c r="AQ179" s="217"/>
      <c r="AR179" s="188"/>
      <c r="AS179" s="217"/>
      <c r="AT179" s="217"/>
      <c r="AU179" s="218"/>
      <c r="AV179" s="217"/>
      <c r="AW179" s="219"/>
      <c r="AX179" s="219"/>
      <c r="AY179" s="262"/>
      <c r="AZ179" s="263"/>
      <c r="BA179" s="263"/>
      <c r="BB179" s="263"/>
      <c r="BC179" s="263"/>
      <c r="BD179" s="265"/>
      <c r="BE179" s="258"/>
      <c r="BF179" s="255" t="e">
        <v>#REF!</v>
      </c>
      <c r="BG179" s="256">
        <f t="shared" si="4"/>
        <v>0</v>
      </c>
      <c r="BH179" s="257" t="str">
        <f t="shared" si="5"/>
        <v>#REF!</v>
      </c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</row>
    <row r="180">
      <c r="A180" s="6"/>
      <c r="B180" s="98"/>
      <c r="C180" s="212"/>
      <c r="D180" s="98"/>
      <c r="E180" s="213"/>
      <c r="F180" s="222"/>
      <c r="G180" s="259"/>
      <c r="H180" s="259"/>
      <c r="I180" s="216"/>
      <c r="J180" s="216"/>
      <c r="K180" s="217"/>
      <c r="L180" s="217"/>
      <c r="M180" s="217"/>
      <c r="N180" s="217"/>
      <c r="O180" s="217"/>
      <c r="P180" s="218"/>
      <c r="Q180" s="218"/>
      <c r="R180" s="218"/>
      <c r="S180" s="187"/>
      <c r="T180" s="187"/>
      <c r="U180" s="187"/>
      <c r="V180" s="187"/>
      <c r="W180" s="187"/>
      <c r="X180" s="187"/>
      <c r="Y180" s="188"/>
      <c r="Z180" s="188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7"/>
      <c r="AP180" s="187"/>
      <c r="AQ180" s="217"/>
      <c r="AR180" s="188"/>
      <c r="AS180" s="217"/>
      <c r="AT180" s="217"/>
      <c r="AU180" s="218"/>
      <c r="AV180" s="217"/>
      <c r="AW180" s="219"/>
      <c r="AX180" s="219"/>
      <c r="AY180" s="262"/>
      <c r="AZ180" s="263"/>
      <c r="BA180" s="263"/>
      <c r="BB180" s="263"/>
      <c r="BC180" s="263"/>
      <c r="BD180" s="265"/>
      <c r="BE180" s="258"/>
      <c r="BF180" s="255" t="e">
        <v>#REF!</v>
      </c>
      <c r="BG180" s="256">
        <f t="shared" si="4"/>
        <v>0</v>
      </c>
      <c r="BH180" s="257" t="str">
        <f t="shared" si="5"/>
        <v>#REF!</v>
      </c>
      <c r="BI180" s="98"/>
      <c r="BJ180" s="98"/>
      <c r="BK180" s="98"/>
      <c r="BL180" s="98"/>
      <c r="BM180" s="98"/>
      <c r="BN180" s="98"/>
      <c r="BO180" s="98"/>
      <c r="BP180" s="98"/>
      <c r="BQ180" s="98"/>
      <c r="BR180" s="98"/>
    </row>
    <row r="181">
      <c r="A181" s="6"/>
      <c r="B181" s="98"/>
      <c r="C181" s="212"/>
      <c r="D181" s="98"/>
      <c r="E181" s="213"/>
      <c r="F181" s="222"/>
      <c r="G181" s="259"/>
      <c r="H181" s="259"/>
      <c r="I181" s="216"/>
      <c r="J181" s="216"/>
      <c r="K181" s="217"/>
      <c r="L181" s="217"/>
      <c r="M181" s="217"/>
      <c r="N181" s="217"/>
      <c r="O181" s="217"/>
      <c r="P181" s="218"/>
      <c r="Q181" s="218"/>
      <c r="R181" s="218"/>
      <c r="S181" s="187"/>
      <c r="T181" s="187"/>
      <c r="U181" s="187"/>
      <c r="V181" s="187"/>
      <c r="W181" s="187"/>
      <c r="X181" s="187"/>
      <c r="Y181" s="188"/>
      <c r="Z181" s="188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87"/>
      <c r="AM181" s="187"/>
      <c r="AN181" s="187"/>
      <c r="AO181" s="187"/>
      <c r="AP181" s="187"/>
      <c r="AQ181" s="217"/>
      <c r="AR181" s="188"/>
      <c r="AS181" s="217"/>
      <c r="AT181" s="217"/>
      <c r="AU181" s="218"/>
      <c r="AV181" s="217"/>
      <c r="AW181" s="219"/>
      <c r="AX181" s="219"/>
      <c r="AY181" s="262"/>
      <c r="AZ181" s="263"/>
      <c r="BA181" s="263"/>
      <c r="BB181" s="263"/>
      <c r="BC181" s="263"/>
      <c r="BD181" s="258"/>
      <c r="BE181" s="258"/>
      <c r="BF181" s="255" t="e">
        <v>#REF!</v>
      </c>
      <c r="BG181" s="256">
        <f t="shared" si="4"/>
        <v>0</v>
      </c>
      <c r="BH181" s="257" t="str">
        <f t="shared" si="5"/>
        <v>#REF!</v>
      </c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</row>
    <row r="182">
      <c r="A182" s="6"/>
      <c r="B182" s="98"/>
      <c r="C182" s="212"/>
      <c r="D182" s="98"/>
      <c r="E182" s="213"/>
      <c r="F182" s="222"/>
      <c r="G182" s="259"/>
      <c r="H182" s="259"/>
      <c r="I182" s="216"/>
      <c r="J182" s="56"/>
      <c r="K182" s="217"/>
      <c r="L182" s="217"/>
      <c r="M182" s="217"/>
      <c r="N182" s="217"/>
      <c r="O182" s="260"/>
      <c r="P182" s="218"/>
      <c r="Q182" s="218"/>
      <c r="R182" s="218"/>
      <c r="S182" s="187"/>
      <c r="T182" s="187"/>
      <c r="U182" s="187"/>
      <c r="V182" s="187"/>
      <c r="W182" s="187"/>
      <c r="X182" s="187"/>
      <c r="Y182" s="188"/>
      <c r="Z182" s="188"/>
      <c r="AA182" s="187"/>
      <c r="AB182" s="187"/>
      <c r="AC182" s="187"/>
      <c r="AD182" s="187"/>
      <c r="AE182" s="187"/>
      <c r="AF182" s="187"/>
      <c r="AG182" s="187"/>
      <c r="AH182" s="187"/>
      <c r="AI182" s="187"/>
      <c r="AJ182" s="187"/>
      <c r="AK182" s="187"/>
      <c r="AL182" s="187"/>
      <c r="AM182" s="187"/>
      <c r="AN182" s="187"/>
      <c r="AO182" s="187"/>
      <c r="AP182" s="187"/>
      <c r="AQ182" s="217"/>
      <c r="AR182" s="188"/>
      <c r="AS182" s="217"/>
      <c r="AT182" s="217"/>
      <c r="AU182" s="218"/>
      <c r="AV182" s="217"/>
      <c r="AW182" s="219"/>
      <c r="AX182" s="219"/>
      <c r="AY182" s="262"/>
      <c r="AZ182" s="263"/>
      <c r="BA182" s="263"/>
      <c r="BB182" s="263"/>
      <c r="BC182" s="263"/>
      <c r="BD182" s="265"/>
      <c r="BE182" s="258"/>
      <c r="BF182" s="241" t="e">
        <v>#REF!</v>
      </c>
      <c r="BG182" s="256">
        <f t="shared" si="4"/>
        <v>0</v>
      </c>
      <c r="BH182" s="257" t="str">
        <f t="shared" si="5"/>
        <v>#REF!</v>
      </c>
      <c r="BI182" s="98"/>
      <c r="BJ182" s="98"/>
      <c r="BK182" s="98"/>
      <c r="BL182" s="98"/>
      <c r="BM182" s="98"/>
      <c r="BN182" s="98"/>
      <c r="BO182" s="98"/>
      <c r="BP182" s="98"/>
      <c r="BQ182" s="98"/>
      <c r="BR182" s="98"/>
    </row>
    <row r="183">
      <c r="A183" s="6"/>
      <c r="B183" s="98"/>
      <c r="C183" s="212"/>
      <c r="D183" s="98"/>
      <c r="E183" s="213"/>
      <c r="F183" s="222"/>
      <c r="G183" s="259"/>
      <c r="H183" s="259"/>
      <c r="I183" s="216"/>
      <c r="J183" s="56"/>
      <c r="K183" s="217"/>
      <c r="L183" s="217"/>
      <c r="M183" s="217"/>
      <c r="N183" s="217"/>
      <c r="O183" s="260"/>
      <c r="P183" s="218"/>
      <c r="Q183" s="218"/>
      <c r="R183" s="218"/>
      <c r="S183" s="187"/>
      <c r="T183" s="187"/>
      <c r="U183" s="187"/>
      <c r="V183" s="187"/>
      <c r="W183" s="187"/>
      <c r="X183" s="187"/>
      <c r="Y183" s="188"/>
      <c r="Z183" s="188"/>
      <c r="AA183" s="187"/>
      <c r="AB183" s="187"/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/>
      <c r="AN183" s="187"/>
      <c r="AO183" s="187"/>
      <c r="AP183" s="187"/>
      <c r="AQ183" s="217"/>
      <c r="AR183" s="188"/>
      <c r="AS183" s="217"/>
      <c r="AT183" s="217"/>
      <c r="AU183" s="218"/>
      <c r="AV183" s="217"/>
      <c r="AW183" s="219"/>
      <c r="AX183" s="219"/>
      <c r="AY183" s="262"/>
      <c r="AZ183" s="263"/>
      <c r="BA183" s="263"/>
      <c r="BB183" s="263"/>
      <c r="BC183" s="263"/>
      <c r="BD183" s="258"/>
      <c r="BE183" s="258"/>
      <c r="BF183" s="241" t="e">
        <v>#REF!</v>
      </c>
      <c r="BG183" s="256">
        <f t="shared" si="4"/>
        <v>0</v>
      </c>
      <c r="BH183" s="257" t="str">
        <f t="shared" si="5"/>
        <v>#REF!</v>
      </c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</row>
    <row r="184">
      <c r="A184" s="6"/>
      <c r="B184" s="98"/>
      <c r="C184" s="212"/>
      <c r="D184" s="98"/>
      <c r="E184" s="213"/>
      <c r="F184" s="222"/>
      <c r="G184" s="259"/>
      <c r="H184" s="259"/>
      <c r="I184" s="216"/>
      <c r="J184" s="216"/>
      <c r="K184" s="217"/>
      <c r="L184" s="217"/>
      <c r="M184" s="217"/>
      <c r="N184" s="217"/>
      <c r="O184" s="217"/>
      <c r="P184" s="218"/>
      <c r="Q184" s="218"/>
      <c r="R184" s="218"/>
      <c r="S184" s="187"/>
      <c r="T184" s="187"/>
      <c r="U184" s="187"/>
      <c r="V184" s="187"/>
      <c r="W184" s="187"/>
      <c r="X184" s="187"/>
      <c r="Y184" s="188"/>
      <c r="Z184" s="188"/>
      <c r="AA184" s="187"/>
      <c r="AB184" s="187"/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/>
      <c r="AN184" s="187"/>
      <c r="AO184" s="187"/>
      <c r="AP184" s="187"/>
      <c r="AQ184" s="217"/>
      <c r="AR184" s="188"/>
      <c r="AS184" s="217"/>
      <c r="AT184" s="217"/>
      <c r="AU184" s="218"/>
      <c r="AV184" s="217"/>
      <c r="AW184" s="219"/>
      <c r="AX184" s="219"/>
      <c r="AY184" s="262"/>
      <c r="AZ184" s="263"/>
      <c r="BA184" s="263"/>
      <c r="BB184" s="263"/>
      <c r="BC184" s="263"/>
      <c r="BD184" s="258"/>
      <c r="BE184" s="258"/>
      <c r="BF184" s="255" t="e">
        <v>#REF!</v>
      </c>
      <c r="BG184" s="256">
        <f t="shared" si="4"/>
        <v>0</v>
      </c>
      <c r="BH184" s="257" t="str">
        <f t="shared" si="5"/>
        <v>#REF!</v>
      </c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</row>
    <row r="185">
      <c r="A185" s="6"/>
      <c r="B185" s="98"/>
      <c r="C185" s="212"/>
      <c r="D185" s="98"/>
      <c r="E185" s="213"/>
      <c r="F185" s="222"/>
      <c r="G185" s="215"/>
      <c r="H185" s="215"/>
      <c r="I185" s="216"/>
      <c r="J185" s="216"/>
      <c r="K185" s="217"/>
      <c r="L185" s="217"/>
      <c r="M185" s="217"/>
      <c r="N185" s="217"/>
      <c r="O185" s="217"/>
      <c r="P185" s="218"/>
      <c r="Q185" s="218"/>
      <c r="R185" s="218"/>
      <c r="S185" s="187"/>
      <c r="T185" s="187"/>
      <c r="U185" s="187"/>
      <c r="V185" s="187"/>
      <c r="W185" s="187"/>
      <c r="X185" s="187"/>
      <c r="Y185" s="188"/>
      <c r="Z185" s="188"/>
      <c r="AA185" s="187"/>
      <c r="AB185" s="187"/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/>
      <c r="AN185" s="187"/>
      <c r="AO185" s="187"/>
      <c r="AP185" s="187"/>
      <c r="AQ185" s="217"/>
      <c r="AR185" s="188"/>
      <c r="AS185" s="217"/>
      <c r="AT185" s="217"/>
      <c r="AU185" s="218"/>
      <c r="AV185" s="217"/>
      <c r="AW185" s="219"/>
      <c r="AX185" s="219"/>
      <c r="AY185" s="262"/>
      <c r="AZ185" s="263"/>
      <c r="BA185" s="263"/>
      <c r="BB185" s="263"/>
      <c r="BC185" s="263"/>
      <c r="BD185" s="265"/>
      <c r="BE185" s="258"/>
      <c r="BF185" s="255" t="e">
        <v>#REF!</v>
      </c>
      <c r="BG185" s="256">
        <f t="shared" si="4"/>
        <v>0</v>
      </c>
      <c r="BH185" s="257" t="str">
        <f t="shared" si="5"/>
        <v>#REF!</v>
      </c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</row>
    <row r="186">
      <c r="A186" s="6"/>
      <c r="B186" s="98"/>
      <c r="C186" s="212"/>
      <c r="D186" s="98"/>
      <c r="E186" s="213"/>
      <c r="F186" s="222"/>
      <c r="G186" s="259"/>
      <c r="H186" s="259"/>
      <c r="I186" s="216"/>
      <c r="J186" s="216"/>
      <c r="K186" s="217"/>
      <c r="L186" s="217"/>
      <c r="M186" s="217"/>
      <c r="N186" s="217"/>
      <c r="O186" s="217"/>
      <c r="P186" s="218"/>
      <c r="Q186" s="218"/>
      <c r="R186" s="218"/>
      <c r="S186" s="187"/>
      <c r="T186" s="187"/>
      <c r="U186" s="187"/>
      <c r="V186" s="187"/>
      <c r="W186" s="187"/>
      <c r="X186" s="187"/>
      <c r="Y186" s="188"/>
      <c r="Z186" s="188"/>
      <c r="AA186" s="187"/>
      <c r="AB186" s="187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7"/>
      <c r="AQ186" s="217"/>
      <c r="AR186" s="188"/>
      <c r="AS186" s="217"/>
      <c r="AT186" s="217"/>
      <c r="AU186" s="218"/>
      <c r="AV186" s="217"/>
      <c r="AW186" s="219"/>
      <c r="AX186" s="219"/>
      <c r="AY186" s="262"/>
      <c r="AZ186" s="263"/>
      <c r="BA186" s="263"/>
      <c r="BB186" s="263"/>
      <c r="BC186" s="263"/>
      <c r="BD186" s="258"/>
      <c r="BE186" s="258"/>
      <c r="BF186" s="255" t="e">
        <v>#REF!</v>
      </c>
      <c r="BG186" s="256">
        <f t="shared" si="4"/>
        <v>0</v>
      </c>
      <c r="BH186" s="257" t="str">
        <f t="shared" si="5"/>
        <v>#REF!</v>
      </c>
      <c r="BI186" s="98"/>
      <c r="BJ186" s="98"/>
      <c r="BK186" s="98"/>
      <c r="BL186" s="98"/>
      <c r="BM186" s="98"/>
      <c r="BN186" s="98"/>
      <c r="BO186" s="98"/>
      <c r="BP186" s="98"/>
      <c r="BQ186" s="98"/>
      <c r="BR186" s="98"/>
    </row>
    <row r="187">
      <c r="A187" s="6"/>
      <c r="B187" s="98"/>
      <c r="C187" s="212"/>
      <c r="D187" s="98"/>
      <c r="E187" s="213"/>
      <c r="F187" s="222"/>
      <c r="G187" s="259"/>
      <c r="H187" s="259"/>
      <c r="I187" s="216"/>
      <c r="J187" s="56"/>
      <c r="K187" s="217"/>
      <c r="L187" s="217"/>
      <c r="M187" s="217"/>
      <c r="N187" s="217"/>
      <c r="O187" s="260"/>
      <c r="P187" s="218"/>
      <c r="Q187" s="218"/>
      <c r="R187" s="218"/>
      <c r="S187" s="187"/>
      <c r="T187" s="187"/>
      <c r="U187" s="187"/>
      <c r="V187" s="187"/>
      <c r="W187" s="187"/>
      <c r="X187" s="187"/>
      <c r="Y187" s="188"/>
      <c r="Z187" s="188"/>
      <c r="AA187" s="187"/>
      <c r="AB187" s="187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7"/>
      <c r="AQ187" s="217"/>
      <c r="AR187" s="188"/>
      <c r="AS187" s="217"/>
      <c r="AT187" s="260"/>
      <c r="AU187" s="218"/>
      <c r="AV187" s="217"/>
      <c r="AW187" s="219"/>
      <c r="AX187" s="219"/>
      <c r="AY187" s="262"/>
      <c r="AZ187" s="263"/>
      <c r="BA187" s="263"/>
      <c r="BB187" s="263"/>
      <c r="BC187" s="263"/>
      <c r="BD187" s="265"/>
      <c r="BE187" s="258"/>
      <c r="BF187" s="241" t="e">
        <v>#REF!</v>
      </c>
      <c r="BG187" s="256">
        <f t="shared" si="4"/>
        <v>0</v>
      </c>
      <c r="BH187" s="257" t="str">
        <f t="shared" si="5"/>
        <v>#REF!</v>
      </c>
      <c r="BI187" s="98"/>
      <c r="BJ187" s="98"/>
      <c r="BK187" s="98"/>
      <c r="BL187" s="98"/>
      <c r="BM187" s="98"/>
      <c r="BN187" s="98"/>
      <c r="BO187" s="98"/>
      <c r="BP187" s="98"/>
      <c r="BQ187" s="98"/>
      <c r="BR187" s="98"/>
    </row>
    <row r="188">
      <c r="A188" s="6"/>
      <c r="B188" s="98"/>
      <c r="C188" s="212"/>
      <c r="D188" s="98"/>
      <c r="E188" s="213"/>
      <c r="F188" s="222"/>
      <c r="G188" s="259"/>
      <c r="H188" s="259"/>
      <c r="I188" s="216"/>
      <c r="J188" s="56"/>
      <c r="K188" s="217"/>
      <c r="L188" s="217"/>
      <c r="M188" s="217"/>
      <c r="N188" s="217"/>
      <c r="O188" s="260"/>
      <c r="P188" s="218"/>
      <c r="Q188" s="218"/>
      <c r="R188" s="218"/>
      <c r="S188" s="187"/>
      <c r="T188" s="187"/>
      <c r="U188" s="187"/>
      <c r="V188" s="187"/>
      <c r="W188" s="187"/>
      <c r="X188" s="187"/>
      <c r="Y188" s="188"/>
      <c r="Z188" s="188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217"/>
      <c r="AR188" s="188"/>
      <c r="AS188" s="217"/>
      <c r="AT188" s="217"/>
      <c r="AU188" s="218"/>
      <c r="AV188" s="217"/>
      <c r="AW188" s="219"/>
      <c r="AX188" s="219"/>
      <c r="AY188" s="262"/>
      <c r="AZ188" s="263"/>
      <c r="BA188" s="263"/>
      <c r="BB188" s="263"/>
      <c r="BC188" s="263"/>
      <c r="BD188" s="265"/>
      <c r="BE188" s="258"/>
      <c r="BF188" s="241" t="e">
        <v>#REF!</v>
      </c>
      <c r="BG188" s="256">
        <f t="shared" si="4"/>
        <v>0</v>
      </c>
      <c r="BH188" s="257" t="str">
        <f t="shared" si="5"/>
        <v>#REF!</v>
      </c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</row>
    <row r="189">
      <c r="A189" s="6"/>
      <c r="B189" s="98"/>
      <c r="C189" s="212"/>
      <c r="D189" s="98"/>
      <c r="E189" s="213"/>
      <c r="F189" s="222"/>
      <c r="G189" s="259"/>
      <c r="H189" s="259"/>
      <c r="I189" s="216"/>
      <c r="J189" s="216"/>
      <c r="K189" s="217"/>
      <c r="L189" s="217"/>
      <c r="M189" s="217"/>
      <c r="N189" s="217"/>
      <c r="O189" s="217"/>
      <c r="P189" s="218"/>
      <c r="Q189" s="218"/>
      <c r="R189" s="218"/>
      <c r="S189" s="187"/>
      <c r="T189" s="187"/>
      <c r="U189" s="187"/>
      <c r="V189" s="187"/>
      <c r="W189" s="187"/>
      <c r="X189" s="187"/>
      <c r="Y189" s="188"/>
      <c r="Z189" s="188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217"/>
      <c r="AR189" s="188"/>
      <c r="AS189" s="217"/>
      <c r="AT189" s="217"/>
      <c r="AU189" s="218"/>
      <c r="AV189" s="217"/>
      <c r="AW189" s="219"/>
      <c r="AX189" s="219"/>
      <c r="AY189" s="262"/>
      <c r="AZ189" s="263"/>
      <c r="BA189" s="263"/>
      <c r="BB189" s="263"/>
      <c r="BC189" s="263"/>
      <c r="BD189" s="265"/>
      <c r="BE189" s="258"/>
      <c r="BF189" s="255" t="e">
        <v>#REF!</v>
      </c>
      <c r="BG189" s="256">
        <f t="shared" si="4"/>
        <v>0</v>
      </c>
      <c r="BH189" s="257" t="str">
        <f t="shared" si="5"/>
        <v>#REF!</v>
      </c>
      <c r="BI189" s="98"/>
      <c r="BJ189" s="98"/>
      <c r="BK189" s="98"/>
      <c r="BL189" s="98"/>
      <c r="BM189" s="98"/>
      <c r="BN189" s="98"/>
      <c r="BO189" s="98"/>
      <c r="BP189" s="98"/>
      <c r="BQ189" s="98"/>
      <c r="BR189" s="98"/>
    </row>
    <row r="190">
      <c r="A190" s="6"/>
      <c r="B190" s="98"/>
      <c r="C190" s="212"/>
      <c r="D190" s="98"/>
      <c r="E190" s="213"/>
      <c r="F190" s="222"/>
      <c r="G190" s="259"/>
      <c r="H190" s="259"/>
      <c r="I190" s="216"/>
      <c r="J190" s="216"/>
      <c r="K190" s="217"/>
      <c r="L190" s="217"/>
      <c r="M190" s="217"/>
      <c r="N190" s="217"/>
      <c r="O190" s="217"/>
      <c r="P190" s="218"/>
      <c r="Q190" s="218"/>
      <c r="R190" s="218"/>
      <c r="S190" s="187"/>
      <c r="T190" s="187"/>
      <c r="U190" s="187"/>
      <c r="V190" s="187"/>
      <c r="W190" s="187"/>
      <c r="X190" s="187"/>
      <c r="Y190" s="188"/>
      <c r="Z190" s="188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217"/>
      <c r="AR190" s="188"/>
      <c r="AS190" s="217"/>
      <c r="AT190" s="217"/>
      <c r="AU190" s="218"/>
      <c r="AV190" s="217"/>
      <c r="AW190" s="219"/>
      <c r="AX190" s="219"/>
      <c r="AY190" s="262"/>
      <c r="AZ190" s="263"/>
      <c r="BA190" s="263"/>
      <c r="BB190" s="263"/>
      <c r="BC190" s="263"/>
      <c r="BD190" s="258"/>
      <c r="BE190" s="258"/>
      <c r="BF190" s="255" t="e">
        <v>#REF!</v>
      </c>
      <c r="BG190" s="256">
        <f t="shared" si="4"/>
        <v>0</v>
      </c>
      <c r="BH190" s="257" t="str">
        <f t="shared" si="5"/>
        <v>#REF!</v>
      </c>
      <c r="BI190" s="98"/>
      <c r="BJ190" s="98"/>
      <c r="BK190" s="98"/>
      <c r="BL190" s="98"/>
      <c r="BM190" s="98"/>
      <c r="BN190" s="98"/>
      <c r="BO190" s="98"/>
      <c r="BP190" s="98"/>
      <c r="BQ190" s="98"/>
      <c r="BR190" s="98"/>
    </row>
    <row r="191">
      <c r="A191" s="6"/>
      <c r="B191" s="98"/>
      <c r="C191" s="212"/>
      <c r="D191" s="98"/>
      <c r="E191" s="213"/>
      <c r="F191" s="222"/>
      <c r="G191" s="259"/>
      <c r="H191" s="259"/>
      <c r="I191" s="216"/>
      <c r="J191" s="56"/>
      <c r="K191" s="217"/>
      <c r="L191" s="217"/>
      <c r="M191" s="217"/>
      <c r="N191" s="217"/>
      <c r="O191" s="217"/>
      <c r="P191" s="218"/>
      <c r="Q191" s="218"/>
      <c r="R191" s="218"/>
      <c r="S191" s="187"/>
      <c r="T191" s="187"/>
      <c r="U191" s="187"/>
      <c r="V191" s="187"/>
      <c r="W191" s="187"/>
      <c r="X191" s="187"/>
      <c r="Y191" s="188"/>
      <c r="Z191" s="188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217"/>
      <c r="AR191" s="188"/>
      <c r="AS191" s="217"/>
      <c r="AT191" s="260"/>
      <c r="AU191" s="218"/>
      <c r="AV191" s="217"/>
      <c r="AW191" s="219"/>
      <c r="AX191" s="219"/>
      <c r="AY191" s="262"/>
      <c r="AZ191" s="263"/>
      <c r="BA191" s="263"/>
      <c r="BB191" s="263"/>
      <c r="BC191" s="263"/>
      <c r="BD191" s="265"/>
      <c r="BE191" s="258"/>
      <c r="BF191" s="255" t="e">
        <v>#REF!</v>
      </c>
      <c r="BG191" s="256">
        <f t="shared" si="4"/>
        <v>0</v>
      </c>
      <c r="BH191" s="257" t="str">
        <f t="shared" si="5"/>
        <v>#REF!</v>
      </c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</row>
    <row r="192">
      <c r="A192" s="6"/>
      <c r="B192" s="98"/>
      <c r="C192" s="212"/>
      <c r="D192" s="98"/>
      <c r="E192" s="213"/>
      <c r="F192" s="222"/>
      <c r="G192" s="259"/>
      <c r="H192" s="259"/>
      <c r="I192" s="216"/>
      <c r="J192" s="216"/>
      <c r="K192" s="217"/>
      <c r="L192" s="217"/>
      <c r="M192" s="217"/>
      <c r="N192" s="217"/>
      <c r="O192" s="217"/>
      <c r="P192" s="218"/>
      <c r="Q192" s="218"/>
      <c r="R192" s="218"/>
      <c r="S192" s="187"/>
      <c r="T192" s="187"/>
      <c r="U192" s="187"/>
      <c r="V192" s="187"/>
      <c r="W192" s="187"/>
      <c r="X192" s="187"/>
      <c r="Y192" s="188"/>
      <c r="Z192" s="188"/>
      <c r="AA192" s="187"/>
      <c r="AB192" s="187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7"/>
      <c r="AQ192" s="217"/>
      <c r="AR192" s="188"/>
      <c r="AS192" s="217"/>
      <c r="AT192" s="217"/>
      <c r="AU192" s="218"/>
      <c r="AV192" s="217"/>
      <c r="AW192" s="219"/>
      <c r="AX192" s="219"/>
      <c r="AY192" s="262"/>
      <c r="AZ192" s="263"/>
      <c r="BA192" s="263"/>
      <c r="BB192" s="263"/>
      <c r="BC192" s="263"/>
      <c r="BD192" s="265"/>
      <c r="BE192" s="258"/>
      <c r="BF192" s="255" t="e">
        <v>#REF!</v>
      </c>
      <c r="BG192" s="256">
        <f t="shared" si="4"/>
        <v>0</v>
      </c>
      <c r="BH192" s="257" t="str">
        <f t="shared" si="5"/>
        <v>#REF!</v>
      </c>
      <c r="BI192" s="98"/>
      <c r="BJ192" s="98"/>
      <c r="BK192" s="98"/>
      <c r="BL192" s="98"/>
      <c r="BM192" s="98"/>
      <c r="BN192" s="98"/>
      <c r="BO192" s="98"/>
      <c r="BP192" s="98"/>
      <c r="BQ192" s="98"/>
      <c r="BR192" s="98"/>
    </row>
    <row r="193">
      <c r="A193" s="6"/>
      <c r="B193" s="98"/>
      <c r="C193" s="212"/>
      <c r="D193" s="98"/>
      <c r="E193" s="213"/>
      <c r="F193" s="222"/>
      <c r="G193" s="259"/>
      <c r="H193" s="259"/>
      <c r="I193" s="216"/>
      <c r="J193" s="216"/>
      <c r="K193" s="217"/>
      <c r="L193" s="217"/>
      <c r="M193" s="217"/>
      <c r="N193" s="217"/>
      <c r="O193" s="217"/>
      <c r="P193" s="218"/>
      <c r="Q193" s="218"/>
      <c r="R193" s="218"/>
      <c r="S193" s="187"/>
      <c r="T193" s="187"/>
      <c r="U193" s="187"/>
      <c r="V193" s="187"/>
      <c r="W193" s="187"/>
      <c r="X193" s="187"/>
      <c r="Y193" s="188"/>
      <c r="Z193" s="188"/>
      <c r="AA193" s="187"/>
      <c r="AB193" s="187"/>
      <c r="AC193" s="187"/>
      <c r="AD193" s="187"/>
      <c r="AE193" s="187"/>
      <c r="AF193" s="187"/>
      <c r="AG193" s="187"/>
      <c r="AH193" s="187"/>
      <c r="AI193" s="187"/>
      <c r="AJ193" s="187"/>
      <c r="AK193" s="187"/>
      <c r="AL193" s="187"/>
      <c r="AM193" s="187"/>
      <c r="AN193" s="187"/>
      <c r="AO193" s="187"/>
      <c r="AP193" s="187"/>
      <c r="AQ193" s="217"/>
      <c r="AR193" s="188"/>
      <c r="AS193" s="217"/>
      <c r="AT193" s="217"/>
      <c r="AU193" s="218"/>
      <c r="AV193" s="217"/>
      <c r="AW193" s="219"/>
      <c r="AX193" s="219"/>
      <c r="AY193" s="262"/>
      <c r="AZ193" s="263"/>
      <c r="BA193" s="263"/>
      <c r="BB193" s="263"/>
      <c r="BC193" s="263"/>
      <c r="BD193" s="258"/>
      <c r="BE193" s="258"/>
      <c r="BF193" s="255" t="e">
        <v>#REF!</v>
      </c>
      <c r="BG193" s="256">
        <f t="shared" si="4"/>
        <v>0</v>
      </c>
      <c r="BH193" s="257" t="str">
        <f t="shared" si="5"/>
        <v>#REF!</v>
      </c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</row>
    <row r="194">
      <c r="A194" s="6"/>
      <c r="B194" s="98"/>
      <c r="C194" s="98"/>
      <c r="D194" s="98"/>
      <c r="E194" s="213"/>
      <c r="F194" s="222"/>
      <c r="G194" s="250"/>
      <c r="H194" s="250"/>
      <c r="I194" s="216"/>
      <c r="J194" s="56"/>
      <c r="K194" s="216"/>
      <c r="L194" s="216"/>
      <c r="M194" s="216"/>
      <c r="N194" s="216"/>
      <c r="O194" s="216"/>
      <c r="P194" s="218"/>
      <c r="Q194" s="218"/>
      <c r="R194" s="218"/>
      <c r="S194" s="266"/>
      <c r="T194" s="266"/>
      <c r="U194" s="266"/>
      <c r="V194" s="266"/>
      <c r="W194" s="266"/>
      <c r="X194" s="266"/>
      <c r="Y194" s="216"/>
      <c r="Z194" s="216"/>
      <c r="AA194" s="266"/>
      <c r="AB194" s="266"/>
      <c r="AC194" s="266"/>
      <c r="AD194" s="266"/>
      <c r="AE194" s="266"/>
      <c r="AF194" s="266"/>
      <c r="AG194" s="266"/>
      <c r="AH194" s="266"/>
      <c r="AI194" s="266"/>
      <c r="AJ194" s="266"/>
      <c r="AK194" s="266"/>
      <c r="AL194" s="266"/>
      <c r="AM194" s="266"/>
      <c r="AN194" s="266"/>
      <c r="AO194" s="266"/>
      <c r="AP194" s="266"/>
      <c r="AQ194" s="216"/>
      <c r="AR194" s="216"/>
      <c r="AS194" s="216"/>
      <c r="AT194" s="260"/>
      <c r="AU194" s="218"/>
      <c r="AV194" s="188"/>
      <c r="AW194" s="219"/>
      <c r="AX194" s="219"/>
      <c r="AY194" s="220"/>
      <c r="AZ194" s="219"/>
      <c r="BA194" s="219"/>
      <c r="BB194" s="219"/>
      <c r="BC194" s="219"/>
      <c r="BD194" s="261"/>
      <c r="BE194" s="98"/>
      <c r="BF194" s="255" t="e">
        <v>#REF!</v>
      </c>
      <c r="BG194" s="255">
        <f t="shared" si="4"/>
        <v>0</v>
      </c>
      <c r="BH194" s="257" t="str">
        <f t="shared" si="5"/>
        <v>#REF!</v>
      </c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</row>
    <row r="195">
      <c r="A195" s="6"/>
      <c r="B195" s="98"/>
      <c r="C195" s="212"/>
      <c r="D195" s="98"/>
      <c r="E195" s="213"/>
      <c r="F195" s="222"/>
      <c r="G195" s="250"/>
      <c r="H195" s="250"/>
      <c r="I195" s="216"/>
      <c r="J195" s="216"/>
      <c r="K195" s="216"/>
      <c r="L195" s="216"/>
      <c r="M195" s="216"/>
      <c r="N195" s="216"/>
      <c r="O195" s="216"/>
      <c r="P195" s="218"/>
      <c r="Q195" s="218"/>
      <c r="R195" s="218"/>
      <c r="S195" s="266"/>
      <c r="T195" s="266"/>
      <c r="U195" s="266"/>
      <c r="V195" s="266"/>
      <c r="W195" s="266"/>
      <c r="X195" s="266"/>
      <c r="Y195" s="216"/>
      <c r="Z195" s="216"/>
      <c r="AA195" s="266"/>
      <c r="AB195" s="266"/>
      <c r="AC195" s="266"/>
      <c r="AD195" s="266"/>
      <c r="AE195" s="266"/>
      <c r="AF195" s="266"/>
      <c r="AG195" s="266"/>
      <c r="AH195" s="266"/>
      <c r="AI195" s="266"/>
      <c r="AJ195" s="266"/>
      <c r="AK195" s="266"/>
      <c r="AL195" s="266"/>
      <c r="AM195" s="266"/>
      <c r="AN195" s="266"/>
      <c r="AO195" s="266"/>
      <c r="AP195" s="266"/>
      <c r="AQ195" s="216"/>
      <c r="AR195" s="216"/>
      <c r="AS195" s="216"/>
      <c r="AT195" s="267"/>
      <c r="AU195" s="218"/>
      <c r="AV195" s="188"/>
      <c r="AW195" s="219"/>
      <c r="AX195" s="219"/>
      <c r="AY195" s="220"/>
      <c r="AZ195" s="219"/>
      <c r="BA195" s="219"/>
      <c r="BB195" s="219"/>
      <c r="BC195" s="219"/>
      <c r="BD195" s="261"/>
      <c r="BE195" s="98"/>
      <c r="BF195" s="255" t="e">
        <v>#REF!</v>
      </c>
      <c r="BG195" s="255">
        <f t="shared" si="4"/>
        <v>0</v>
      </c>
      <c r="BH195" s="257" t="str">
        <f t="shared" si="5"/>
        <v>#REF!</v>
      </c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</row>
    <row r="196">
      <c r="A196" s="6"/>
      <c r="B196" s="98"/>
      <c r="C196" s="212"/>
      <c r="D196" s="98"/>
      <c r="E196" s="213"/>
      <c r="F196" s="222"/>
      <c r="G196" s="250"/>
      <c r="H196" s="250"/>
      <c r="I196" s="216"/>
      <c r="J196" s="56"/>
      <c r="K196" s="216"/>
      <c r="L196" s="216"/>
      <c r="M196" s="216"/>
      <c r="N196" s="216"/>
      <c r="O196" s="56"/>
      <c r="P196" s="218"/>
      <c r="Q196" s="218"/>
      <c r="R196" s="218"/>
      <c r="S196" s="266"/>
      <c r="T196" s="266"/>
      <c r="U196" s="266"/>
      <c r="V196" s="266"/>
      <c r="W196" s="266"/>
      <c r="X196" s="266"/>
      <c r="Y196" s="216"/>
      <c r="Z196" s="216"/>
      <c r="AA196" s="266"/>
      <c r="AB196" s="266"/>
      <c r="AC196" s="266"/>
      <c r="AD196" s="266"/>
      <c r="AE196" s="266"/>
      <c r="AF196" s="266"/>
      <c r="AG196" s="266"/>
      <c r="AH196" s="266"/>
      <c r="AI196" s="266"/>
      <c r="AJ196" s="266"/>
      <c r="AK196" s="266"/>
      <c r="AL196" s="266"/>
      <c r="AM196" s="266"/>
      <c r="AN196" s="266"/>
      <c r="AO196" s="266"/>
      <c r="AP196" s="266"/>
      <c r="AQ196" s="216"/>
      <c r="AR196" s="216"/>
      <c r="AS196" s="216"/>
      <c r="AT196" s="260"/>
      <c r="AU196" s="218"/>
      <c r="AV196" s="188"/>
      <c r="AW196" s="219"/>
      <c r="AX196" s="219"/>
      <c r="AY196" s="220"/>
      <c r="AZ196" s="219"/>
      <c r="BA196" s="219"/>
      <c r="BB196" s="219"/>
      <c r="BC196" s="219"/>
      <c r="BD196" s="261"/>
      <c r="BE196" s="98"/>
      <c r="BF196" s="241" t="e">
        <v>#REF!</v>
      </c>
      <c r="BG196" s="255">
        <f t="shared" si="4"/>
        <v>0</v>
      </c>
      <c r="BH196" s="257" t="str">
        <f t="shared" si="5"/>
        <v>#REF!</v>
      </c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</row>
    <row r="197">
      <c r="A197" s="6"/>
      <c r="B197" s="98"/>
      <c r="C197" s="212"/>
      <c r="D197" s="98"/>
      <c r="E197" s="213"/>
      <c r="F197" s="222"/>
      <c r="G197" s="250"/>
      <c r="H197" s="250"/>
      <c r="I197" s="216"/>
      <c r="J197" s="216"/>
      <c r="K197" s="216"/>
      <c r="L197" s="216"/>
      <c r="M197" s="216"/>
      <c r="N197" s="216"/>
      <c r="O197" s="216"/>
      <c r="P197" s="218"/>
      <c r="Q197" s="218"/>
      <c r="R197" s="218"/>
      <c r="S197" s="266"/>
      <c r="T197" s="266"/>
      <c r="U197" s="266"/>
      <c r="V197" s="266"/>
      <c r="W197" s="266"/>
      <c r="X197" s="266"/>
      <c r="Y197" s="216"/>
      <c r="Z197" s="216"/>
      <c r="AA197" s="266"/>
      <c r="AB197" s="266"/>
      <c r="AC197" s="266"/>
      <c r="AD197" s="266"/>
      <c r="AE197" s="266"/>
      <c r="AF197" s="266"/>
      <c r="AG197" s="266"/>
      <c r="AH197" s="266"/>
      <c r="AI197" s="266"/>
      <c r="AJ197" s="266"/>
      <c r="AK197" s="266"/>
      <c r="AL197" s="266"/>
      <c r="AM197" s="266"/>
      <c r="AN197" s="266"/>
      <c r="AO197" s="266"/>
      <c r="AP197" s="266"/>
      <c r="AQ197" s="216"/>
      <c r="AR197" s="216"/>
      <c r="AS197" s="216"/>
      <c r="AT197" s="267"/>
      <c r="AU197" s="218"/>
      <c r="AV197" s="188"/>
      <c r="AW197" s="219"/>
      <c r="AX197" s="219"/>
      <c r="AY197" s="220"/>
      <c r="AZ197" s="219"/>
      <c r="BA197" s="219"/>
      <c r="BB197" s="219"/>
      <c r="BC197" s="219"/>
      <c r="BD197" s="261"/>
      <c r="BE197" s="98"/>
      <c r="BF197" s="255" t="e">
        <v>#REF!</v>
      </c>
      <c r="BG197" s="255">
        <f t="shared" si="4"/>
        <v>0</v>
      </c>
      <c r="BH197" s="257" t="str">
        <f t="shared" si="5"/>
        <v>#REF!</v>
      </c>
      <c r="BI197" s="98"/>
      <c r="BJ197" s="98"/>
      <c r="BK197" s="98"/>
      <c r="BL197" s="98"/>
      <c r="BM197" s="98"/>
      <c r="BN197" s="98"/>
      <c r="BO197" s="98"/>
      <c r="BP197" s="98"/>
      <c r="BQ197" s="98"/>
      <c r="BR197" s="98"/>
    </row>
    <row r="198">
      <c r="A198" s="6"/>
      <c r="B198" s="98"/>
      <c r="C198" s="212"/>
      <c r="D198" s="98"/>
      <c r="E198" s="213"/>
      <c r="F198" s="222"/>
      <c r="G198" s="250"/>
      <c r="H198" s="250"/>
      <c r="I198" s="216"/>
      <c r="J198" s="216"/>
      <c r="K198" s="216"/>
      <c r="L198" s="216"/>
      <c r="M198" s="216"/>
      <c r="N198" s="216"/>
      <c r="O198" s="216"/>
      <c r="P198" s="218"/>
      <c r="Q198" s="218"/>
      <c r="R198" s="218"/>
      <c r="S198" s="266"/>
      <c r="T198" s="266"/>
      <c r="U198" s="266"/>
      <c r="V198" s="266"/>
      <c r="W198" s="266"/>
      <c r="X198" s="266"/>
      <c r="Y198" s="216"/>
      <c r="Z198" s="216"/>
      <c r="AA198" s="266"/>
      <c r="AB198" s="266"/>
      <c r="AC198" s="266"/>
      <c r="AD198" s="266"/>
      <c r="AE198" s="266"/>
      <c r="AF198" s="266"/>
      <c r="AG198" s="266"/>
      <c r="AH198" s="266"/>
      <c r="AI198" s="266"/>
      <c r="AJ198" s="266"/>
      <c r="AK198" s="266"/>
      <c r="AL198" s="266"/>
      <c r="AM198" s="266"/>
      <c r="AN198" s="266"/>
      <c r="AO198" s="266"/>
      <c r="AP198" s="266"/>
      <c r="AQ198" s="216"/>
      <c r="AR198" s="216"/>
      <c r="AS198" s="216"/>
      <c r="AT198" s="267"/>
      <c r="AU198" s="218"/>
      <c r="AV198" s="188"/>
      <c r="AW198" s="219"/>
      <c r="AX198" s="219"/>
      <c r="AY198" s="220"/>
      <c r="AZ198" s="219"/>
      <c r="BA198" s="219"/>
      <c r="BB198" s="219"/>
      <c r="BC198" s="219"/>
      <c r="BD198" s="261"/>
      <c r="BE198" s="98"/>
      <c r="BF198" s="255" t="e">
        <v>#REF!</v>
      </c>
      <c r="BG198" s="255">
        <f t="shared" si="4"/>
        <v>0</v>
      </c>
      <c r="BH198" s="257" t="str">
        <f t="shared" si="5"/>
        <v>#REF!</v>
      </c>
      <c r="BI198" s="98"/>
      <c r="BJ198" s="98"/>
      <c r="BK198" s="98"/>
      <c r="BL198" s="98"/>
      <c r="BM198" s="98"/>
      <c r="BN198" s="98"/>
      <c r="BO198" s="98"/>
      <c r="BP198" s="98"/>
      <c r="BQ198" s="98"/>
      <c r="BR198" s="98"/>
    </row>
    <row r="199">
      <c r="A199" s="6"/>
      <c r="B199" s="98"/>
      <c r="C199" s="212"/>
      <c r="D199" s="98"/>
      <c r="E199" s="213"/>
      <c r="F199" s="222"/>
      <c r="G199" s="250"/>
      <c r="H199" s="250"/>
      <c r="I199" s="216"/>
      <c r="J199" s="216"/>
      <c r="K199" s="216"/>
      <c r="L199" s="216"/>
      <c r="M199" s="216"/>
      <c r="N199" s="216"/>
      <c r="O199" s="216"/>
      <c r="P199" s="218"/>
      <c r="Q199" s="218"/>
      <c r="R199" s="218"/>
      <c r="S199" s="266"/>
      <c r="T199" s="266"/>
      <c r="U199" s="266"/>
      <c r="V199" s="266"/>
      <c r="W199" s="266"/>
      <c r="X199" s="266"/>
      <c r="Y199" s="216"/>
      <c r="Z199" s="216"/>
      <c r="AA199" s="266"/>
      <c r="AB199" s="266"/>
      <c r="AC199" s="266"/>
      <c r="AD199" s="266"/>
      <c r="AE199" s="266"/>
      <c r="AF199" s="266"/>
      <c r="AG199" s="266"/>
      <c r="AH199" s="266"/>
      <c r="AI199" s="266"/>
      <c r="AJ199" s="266"/>
      <c r="AK199" s="266"/>
      <c r="AL199" s="266"/>
      <c r="AM199" s="266"/>
      <c r="AN199" s="266"/>
      <c r="AO199" s="266"/>
      <c r="AP199" s="266"/>
      <c r="AQ199" s="216"/>
      <c r="AR199" s="216"/>
      <c r="AS199" s="216"/>
      <c r="AT199" s="267"/>
      <c r="AU199" s="218"/>
      <c r="AV199" s="188"/>
      <c r="AW199" s="219"/>
      <c r="AX199" s="219"/>
      <c r="AY199" s="220"/>
      <c r="AZ199" s="219"/>
      <c r="BA199" s="219"/>
      <c r="BB199" s="219"/>
      <c r="BC199" s="219"/>
      <c r="BD199" s="261"/>
      <c r="BE199" s="98"/>
      <c r="BF199" s="255" t="e">
        <v>#REF!</v>
      </c>
      <c r="BG199" s="255">
        <f t="shared" si="4"/>
        <v>0</v>
      </c>
      <c r="BH199" s="257" t="str">
        <f t="shared" si="5"/>
        <v>#REF!</v>
      </c>
      <c r="BI199" s="98"/>
      <c r="BJ199" s="98"/>
      <c r="BK199" s="98"/>
      <c r="BL199" s="98"/>
      <c r="BM199" s="98"/>
      <c r="BN199" s="98"/>
      <c r="BO199" s="98"/>
      <c r="BP199" s="98"/>
      <c r="BQ199" s="98"/>
      <c r="BR199" s="98"/>
    </row>
    <row r="200">
      <c r="A200" s="6"/>
      <c r="B200" s="98"/>
      <c r="C200" s="98"/>
      <c r="D200" s="98"/>
      <c r="E200" s="213"/>
      <c r="F200" s="222"/>
      <c r="G200" s="250"/>
      <c r="H200" s="250"/>
      <c r="I200" s="216"/>
      <c r="J200" s="216"/>
      <c r="K200" s="216"/>
      <c r="L200" s="216"/>
      <c r="M200" s="216"/>
      <c r="N200" s="216"/>
      <c r="O200" s="216"/>
      <c r="P200" s="218"/>
      <c r="Q200" s="218"/>
      <c r="R200" s="218"/>
      <c r="S200" s="266"/>
      <c r="T200" s="266"/>
      <c r="U200" s="266"/>
      <c r="V200" s="266"/>
      <c r="W200" s="266"/>
      <c r="X200" s="266"/>
      <c r="Y200" s="216"/>
      <c r="Z200" s="216"/>
      <c r="AA200" s="266"/>
      <c r="AB200" s="266"/>
      <c r="AC200" s="266"/>
      <c r="AD200" s="266"/>
      <c r="AE200" s="266"/>
      <c r="AF200" s="266"/>
      <c r="AG200" s="266"/>
      <c r="AH200" s="266"/>
      <c r="AI200" s="266"/>
      <c r="AJ200" s="266"/>
      <c r="AK200" s="266"/>
      <c r="AL200" s="266"/>
      <c r="AM200" s="266"/>
      <c r="AN200" s="266"/>
      <c r="AO200" s="266"/>
      <c r="AP200" s="266"/>
      <c r="AQ200" s="216"/>
      <c r="AR200" s="216"/>
      <c r="AS200" s="216"/>
      <c r="AT200" s="267"/>
      <c r="AU200" s="218"/>
      <c r="AV200" s="188"/>
      <c r="AW200" s="219"/>
      <c r="AX200" s="219"/>
      <c r="AY200" s="220"/>
      <c r="AZ200" s="219"/>
      <c r="BA200" s="219"/>
      <c r="BB200" s="219"/>
      <c r="BC200" s="219"/>
      <c r="BD200" s="221"/>
      <c r="BE200" s="98"/>
      <c r="BF200" s="255" t="e">
        <v>#REF!</v>
      </c>
      <c r="BG200" s="255">
        <f t="shared" si="4"/>
        <v>0</v>
      </c>
      <c r="BH200" s="257" t="str">
        <f t="shared" si="5"/>
        <v>#REF!</v>
      </c>
      <c r="BI200" s="98"/>
      <c r="BJ200" s="98"/>
      <c r="BK200" s="98"/>
      <c r="BL200" s="98"/>
      <c r="BM200" s="98"/>
      <c r="BN200" s="98"/>
      <c r="BO200" s="98"/>
      <c r="BP200" s="98"/>
      <c r="BQ200" s="98"/>
      <c r="BR200" s="98"/>
    </row>
    <row r="201">
      <c r="A201" s="6"/>
      <c r="B201" s="98"/>
      <c r="C201" s="98"/>
      <c r="D201" s="98"/>
      <c r="E201" s="213"/>
      <c r="F201" s="222"/>
      <c r="G201" s="250"/>
      <c r="H201" s="250"/>
      <c r="I201" s="216"/>
      <c r="J201" s="216"/>
      <c r="K201" s="216"/>
      <c r="L201" s="216"/>
      <c r="M201" s="216"/>
      <c r="N201" s="216"/>
      <c r="O201" s="216"/>
      <c r="P201" s="218"/>
      <c r="Q201" s="218"/>
      <c r="R201" s="218"/>
      <c r="S201" s="266"/>
      <c r="T201" s="266"/>
      <c r="U201" s="266"/>
      <c r="V201" s="266"/>
      <c r="W201" s="266"/>
      <c r="X201" s="266"/>
      <c r="Y201" s="216"/>
      <c r="Z201" s="216"/>
      <c r="AA201" s="266"/>
      <c r="AB201" s="266"/>
      <c r="AC201" s="266"/>
      <c r="AD201" s="266"/>
      <c r="AE201" s="266"/>
      <c r="AF201" s="266"/>
      <c r="AG201" s="266"/>
      <c r="AH201" s="266"/>
      <c r="AI201" s="266"/>
      <c r="AJ201" s="266"/>
      <c r="AK201" s="266"/>
      <c r="AL201" s="266"/>
      <c r="AM201" s="266"/>
      <c r="AN201" s="266"/>
      <c r="AO201" s="266"/>
      <c r="AP201" s="266"/>
      <c r="AQ201" s="216"/>
      <c r="AR201" s="216"/>
      <c r="AS201" s="216"/>
      <c r="AT201" s="267"/>
      <c r="AU201" s="218"/>
      <c r="AV201" s="188"/>
      <c r="AW201" s="219"/>
      <c r="AX201" s="219"/>
      <c r="AY201" s="220"/>
      <c r="AZ201" s="219"/>
      <c r="BA201" s="219"/>
      <c r="BB201" s="219"/>
      <c r="BC201" s="219"/>
      <c r="BD201" s="261"/>
      <c r="BE201" s="98"/>
      <c r="BF201" s="255" t="e">
        <v>#REF!</v>
      </c>
      <c r="BG201" s="255">
        <f t="shared" si="4"/>
        <v>0</v>
      </c>
      <c r="BH201" s="257" t="str">
        <f t="shared" si="5"/>
        <v>#REF!</v>
      </c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</row>
    <row r="202">
      <c r="A202" s="6"/>
      <c r="B202" s="98"/>
      <c r="C202" s="212"/>
      <c r="D202" s="98"/>
      <c r="E202" s="213"/>
      <c r="F202" s="222"/>
      <c r="G202" s="250"/>
      <c r="H202" s="250"/>
      <c r="I202" s="216"/>
      <c r="J202" s="216"/>
      <c r="K202" s="216"/>
      <c r="L202" s="216"/>
      <c r="M202" s="216"/>
      <c r="N202" s="216"/>
      <c r="O202" s="216"/>
      <c r="P202" s="218"/>
      <c r="Q202" s="218"/>
      <c r="R202" s="218"/>
      <c r="S202" s="266"/>
      <c r="T202" s="266"/>
      <c r="U202" s="266"/>
      <c r="V202" s="266"/>
      <c r="W202" s="266"/>
      <c r="X202" s="266"/>
      <c r="Y202" s="216"/>
      <c r="Z202" s="216"/>
      <c r="AA202" s="266"/>
      <c r="AB202" s="266"/>
      <c r="AC202" s="266"/>
      <c r="AD202" s="266"/>
      <c r="AE202" s="266"/>
      <c r="AF202" s="266"/>
      <c r="AG202" s="266"/>
      <c r="AH202" s="266"/>
      <c r="AI202" s="266"/>
      <c r="AJ202" s="266"/>
      <c r="AK202" s="266"/>
      <c r="AL202" s="266"/>
      <c r="AM202" s="266"/>
      <c r="AN202" s="266"/>
      <c r="AO202" s="266"/>
      <c r="AP202" s="266"/>
      <c r="AQ202" s="216"/>
      <c r="AR202" s="216"/>
      <c r="AS202" s="216"/>
      <c r="AT202" s="267"/>
      <c r="AU202" s="218"/>
      <c r="AV202" s="188"/>
      <c r="AW202" s="219"/>
      <c r="AX202" s="219"/>
      <c r="AY202" s="220"/>
      <c r="AZ202" s="219"/>
      <c r="BA202" s="219"/>
      <c r="BB202" s="219"/>
      <c r="BC202" s="219"/>
      <c r="BD202" s="221"/>
      <c r="BE202" s="98"/>
      <c r="BF202" s="255" t="e">
        <v>#REF!</v>
      </c>
      <c r="BG202" s="255">
        <f t="shared" si="4"/>
        <v>0</v>
      </c>
      <c r="BH202" s="257" t="str">
        <f t="shared" si="5"/>
        <v>#REF!</v>
      </c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</row>
    <row r="203">
      <c r="A203" s="6"/>
      <c r="B203" s="98"/>
      <c r="C203" s="212"/>
      <c r="D203" s="98"/>
      <c r="E203" s="213"/>
      <c r="F203" s="222"/>
      <c r="G203" s="250"/>
      <c r="H203" s="250"/>
      <c r="I203" s="216"/>
      <c r="J203" s="216"/>
      <c r="K203" s="216"/>
      <c r="L203" s="216"/>
      <c r="M203" s="216"/>
      <c r="N203" s="216"/>
      <c r="O203" s="216"/>
      <c r="P203" s="218"/>
      <c r="Q203" s="218"/>
      <c r="R203" s="218"/>
      <c r="S203" s="266"/>
      <c r="T203" s="266"/>
      <c r="U203" s="266"/>
      <c r="V203" s="266"/>
      <c r="W203" s="266"/>
      <c r="X203" s="266"/>
      <c r="Y203" s="216"/>
      <c r="Z203" s="216"/>
      <c r="AA203" s="266"/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  <c r="AP203" s="266"/>
      <c r="AQ203" s="216"/>
      <c r="AR203" s="216"/>
      <c r="AS203" s="216"/>
      <c r="AT203" s="267"/>
      <c r="AU203" s="218"/>
      <c r="AV203" s="188"/>
      <c r="AW203" s="219"/>
      <c r="AX203" s="219"/>
      <c r="AY203" s="220"/>
      <c r="AZ203" s="219"/>
      <c r="BA203" s="219"/>
      <c r="BB203" s="219"/>
      <c r="BC203" s="219"/>
      <c r="BD203" s="221"/>
      <c r="BE203" s="98"/>
      <c r="BF203" s="255" t="e">
        <v>#REF!</v>
      </c>
      <c r="BG203" s="255">
        <f t="shared" si="4"/>
        <v>0</v>
      </c>
      <c r="BH203" s="253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</row>
    <row r="204">
      <c r="A204" s="6"/>
      <c r="B204" s="98"/>
      <c r="C204" s="212"/>
      <c r="D204" s="98"/>
      <c r="E204" s="213"/>
      <c r="F204" s="222"/>
      <c r="G204" s="250"/>
      <c r="H204" s="250"/>
      <c r="I204" s="216"/>
      <c r="J204" s="56"/>
      <c r="K204" s="216"/>
      <c r="L204" s="216"/>
      <c r="M204" s="216"/>
      <c r="N204" s="216"/>
      <c r="O204" s="216"/>
      <c r="P204" s="218"/>
      <c r="Q204" s="218"/>
      <c r="R204" s="218"/>
      <c r="S204" s="266"/>
      <c r="T204" s="266"/>
      <c r="U204" s="266"/>
      <c r="V204" s="266"/>
      <c r="W204" s="266"/>
      <c r="X204" s="266"/>
      <c r="Y204" s="216"/>
      <c r="Z204" s="216"/>
      <c r="AA204" s="266"/>
      <c r="AB204" s="266"/>
      <c r="AC204" s="266"/>
      <c r="AD204" s="266"/>
      <c r="AE204" s="266"/>
      <c r="AF204" s="266"/>
      <c r="AG204" s="266"/>
      <c r="AH204" s="266"/>
      <c r="AI204" s="266"/>
      <c r="AJ204" s="266"/>
      <c r="AK204" s="266"/>
      <c r="AL204" s="266"/>
      <c r="AM204" s="266"/>
      <c r="AN204" s="266"/>
      <c r="AO204" s="266"/>
      <c r="AP204" s="266"/>
      <c r="AQ204" s="216"/>
      <c r="AR204" s="216"/>
      <c r="AS204" s="216"/>
      <c r="AT204" s="260"/>
      <c r="AU204" s="218"/>
      <c r="AV204" s="188"/>
      <c r="AW204" s="219"/>
      <c r="AX204" s="219"/>
      <c r="AY204" s="220"/>
      <c r="AZ204" s="219"/>
      <c r="BA204" s="219"/>
      <c r="BB204" s="219"/>
      <c r="BC204" s="219"/>
      <c r="BD204" s="261"/>
      <c r="BE204" s="98"/>
      <c r="BF204" s="255" t="e">
        <v>#REF!</v>
      </c>
      <c r="BG204" s="255">
        <f t="shared" si="4"/>
        <v>0</v>
      </c>
      <c r="BH204" s="253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</row>
    <row r="205">
      <c r="A205" s="6"/>
      <c r="B205" s="98"/>
      <c r="C205" s="212"/>
      <c r="D205" s="98"/>
      <c r="E205" s="213"/>
      <c r="F205" s="222"/>
      <c r="G205" s="250"/>
      <c r="H205" s="250"/>
      <c r="I205" s="216"/>
      <c r="J205" s="216"/>
      <c r="K205" s="216"/>
      <c r="L205" s="216"/>
      <c r="M205" s="216"/>
      <c r="N205" s="216"/>
      <c r="O205" s="216"/>
      <c r="P205" s="218"/>
      <c r="Q205" s="218"/>
      <c r="R205" s="218"/>
      <c r="S205" s="266"/>
      <c r="T205" s="266"/>
      <c r="U205" s="266"/>
      <c r="V205" s="266"/>
      <c r="W205" s="266"/>
      <c r="X205" s="266"/>
      <c r="Y205" s="216"/>
      <c r="Z205" s="216"/>
      <c r="AA205" s="266"/>
      <c r="AB205" s="266"/>
      <c r="AC205" s="266"/>
      <c r="AD205" s="266"/>
      <c r="AE205" s="266"/>
      <c r="AF205" s="266"/>
      <c r="AG205" s="266"/>
      <c r="AH205" s="266"/>
      <c r="AI205" s="266"/>
      <c r="AJ205" s="266"/>
      <c r="AK205" s="266"/>
      <c r="AL205" s="266"/>
      <c r="AM205" s="266"/>
      <c r="AN205" s="266"/>
      <c r="AO205" s="266"/>
      <c r="AP205" s="266"/>
      <c r="AQ205" s="216"/>
      <c r="AR205" s="216"/>
      <c r="AS205" s="216"/>
      <c r="AT205" s="267"/>
      <c r="AU205" s="218"/>
      <c r="AV205" s="188"/>
      <c r="AW205" s="219"/>
      <c r="AX205" s="219"/>
      <c r="AY205" s="220"/>
      <c r="AZ205" s="219"/>
      <c r="BA205" s="219"/>
      <c r="BB205" s="219"/>
      <c r="BC205" s="219"/>
      <c r="BD205" s="221"/>
      <c r="BE205" s="98"/>
      <c r="BF205" s="255" t="e">
        <v>#REF!</v>
      </c>
      <c r="BG205" s="255">
        <f t="shared" si="4"/>
        <v>0</v>
      </c>
      <c r="BH205" s="253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</row>
    <row r="206">
      <c r="A206" s="6"/>
      <c r="B206" s="98"/>
      <c r="C206" s="212"/>
      <c r="D206" s="98"/>
      <c r="E206" s="213"/>
      <c r="F206" s="222"/>
      <c r="G206" s="250"/>
      <c r="H206" s="250"/>
      <c r="I206" s="216"/>
      <c r="J206" s="216"/>
      <c r="K206" s="216"/>
      <c r="L206" s="216"/>
      <c r="M206" s="216"/>
      <c r="N206" s="216"/>
      <c r="O206" s="216"/>
      <c r="P206" s="218"/>
      <c r="Q206" s="218"/>
      <c r="R206" s="218"/>
      <c r="S206" s="266"/>
      <c r="T206" s="266"/>
      <c r="U206" s="266"/>
      <c r="V206" s="266"/>
      <c r="W206" s="266"/>
      <c r="X206" s="266"/>
      <c r="Y206" s="216"/>
      <c r="Z206" s="216"/>
      <c r="AA206" s="266"/>
      <c r="AB206" s="266"/>
      <c r="AC206" s="266"/>
      <c r="AD206" s="266"/>
      <c r="AE206" s="266"/>
      <c r="AF206" s="266"/>
      <c r="AG206" s="266"/>
      <c r="AH206" s="266"/>
      <c r="AI206" s="266"/>
      <c r="AJ206" s="266"/>
      <c r="AK206" s="266"/>
      <c r="AL206" s="266"/>
      <c r="AM206" s="266"/>
      <c r="AN206" s="266"/>
      <c r="AO206" s="266"/>
      <c r="AP206" s="266"/>
      <c r="AQ206" s="216"/>
      <c r="AR206" s="216"/>
      <c r="AS206" s="216"/>
      <c r="AT206" s="260"/>
      <c r="AU206" s="218"/>
      <c r="AV206" s="188"/>
      <c r="AW206" s="219"/>
      <c r="AX206" s="219"/>
      <c r="AY206" s="220"/>
      <c r="AZ206" s="219"/>
      <c r="BA206" s="219"/>
      <c r="BB206" s="219"/>
      <c r="BC206" s="219"/>
      <c r="BD206" s="261"/>
      <c r="BE206" s="98"/>
      <c r="BF206" s="255" t="e">
        <v>#REF!</v>
      </c>
      <c r="BG206" s="255">
        <f t="shared" si="4"/>
        <v>0</v>
      </c>
      <c r="BH206" s="253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</row>
    <row r="207">
      <c r="A207" s="6"/>
      <c r="B207" s="98"/>
      <c r="C207" s="212"/>
      <c r="D207" s="98"/>
      <c r="E207" s="213"/>
      <c r="F207" s="222"/>
      <c r="G207" s="250"/>
      <c r="H207" s="250"/>
      <c r="I207" s="216"/>
      <c r="J207" s="56"/>
      <c r="K207" s="216"/>
      <c r="L207" s="216"/>
      <c r="M207" s="216"/>
      <c r="N207" s="216"/>
      <c r="O207" s="56"/>
      <c r="P207" s="218"/>
      <c r="Q207" s="218"/>
      <c r="R207" s="218"/>
      <c r="S207" s="266"/>
      <c r="T207" s="266"/>
      <c r="U207" s="266"/>
      <c r="V207" s="266"/>
      <c r="W207" s="266"/>
      <c r="X207" s="266"/>
      <c r="Y207" s="216"/>
      <c r="Z207" s="216"/>
      <c r="AA207" s="266"/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  <c r="AP207" s="266"/>
      <c r="AQ207" s="216"/>
      <c r="AR207" s="216"/>
      <c r="AS207" s="216"/>
      <c r="AT207" s="267"/>
      <c r="AU207" s="218"/>
      <c r="AV207" s="188"/>
      <c r="AW207" s="219"/>
      <c r="AX207" s="219"/>
      <c r="AY207" s="220"/>
      <c r="AZ207" s="219"/>
      <c r="BA207" s="219"/>
      <c r="BB207" s="219"/>
      <c r="BC207" s="219"/>
      <c r="BD207" s="221"/>
      <c r="BE207" s="98"/>
      <c r="BF207" s="241" t="e">
        <v>#REF!</v>
      </c>
      <c r="BG207" s="255">
        <f t="shared" si="4"/>
        <v>0</v>
      </c>
      <c r="BH207" s="253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</row>
    <row r="208">
      <c r="A208" s="6"/>
      <c r="B208" s="98"/>
      <c r="C208" s="212"/>
      <c r="D208" s="98"/>
      <c r="E208" s="213"/>
      <c r="F208" s="222"/>
      <c r="G208" s="250"/>
      <c r="H208" s="250"/>
      <c r="I208" s="216"/>
      <c r="J208" s="216"/>
      <c r="K208" s="216"/>
      <c r="L208" s="216"/>
      <c r="M208" s="216"/>
      <c r="N208" s="216"/>
      <c r="O208" s="216"/>
      <c r="P208" s="218"/>
      <c r="Q208" s="218"/>
      <c r="R208" s="218"/>
      <c r="S208" s="266"/>
      <c r="T208" s="266"/>
      <c r="U208" s="266"/>
      <c r="V208" s="266"/>
      <c r="W208" s="266"/>
      <c r="X208" s="266"/>
      <c r="Y208" s="216"/>
      <c r="Z208" s="216"/>
      <c r="AA208" s="266"/>
      <c r="AB208" s="266"/>
      <c r="AC208" s="266"/>
      <c r="AD208" s="266"/>
      <c r="AE208" s="266"/>
      <c r="AF208" s="266"/>
      <c r="AG208" s="266"/>
      <c r="AH208" s="266"/>
      <c r="AI208" s="266"/>
      <c r="AJ208" s="266"/>
      <c r="AK208" s="266"/>
      <c r="AL208" s="266"/>
      <c r="AM208" s="266"/>
      <c r="AN208" s="266"/>
      <c r="AO208" s="266"/>
      <c r="AP208" s="266"/>
      <c r="AQ208" s="216"/>
      <c r="AR208" s="216"/>
      <c r="AS208" s="216"/>
      <c r="AT208" s="267"/>
      <c r="AU208" s="218"/>
      <c r="AV208" s="188"/>
      <c r="AW208" s="219"/>
      <c r="AX208" s="219"/>
      <c r="AY208" s="220"/>
      <c r="AZ208" s="219"/>
      <c r="BA208" s="219"/>
      <c r="BB208" s="219"/>
      <c r="BC208" s="219"/>
      <c r="BD208" s="221"/>
      <c r="BE208" s="98"/>
      <c r="BF208" s="255" t="e">
        <v>#REF!</v>
      </c>
      <c r="BG208" s="255">
        <f t="shared" si="4"/>
        <v>0</v>
      </c>
      <c r="BH208" s="253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</row>
    <row r="209">
      <c r="A209" s="6"/>
      <c r="B209" s="98"/>
      <c r="C209" s="212"/>
      <c r="D209" s="98"/>
      <c r="E209" s="213"/>
      <c r="F209" s="222"/>
      <c r="G209" s="250"/>
      <c r="H209" s="250"/>
      <c r="I209" s="216"/>
      <c r="J209" s="216"/>
      <c r="K209" s="216"/>
      <c r="L209" s="216"/>
      <c r="M209" s="216"/>
      <c r="N209" s="216"/>
      <c r="O209" s="216"/>
      <c r="P209" s="218"/>
      <c r="Q209" s="218"/>
      <c r="R209" s="218"/>
      <c r="S209" s="266"/>
      <c r="T209" s="266"/>
      <c r="U209" s="266"/>
      <c r="V209" s="266"/>
      <c r="W209" s="266"/>
      <c r="X209" s="266"/>
      <c r="Y209" s="216"/>
      <c r="Z209" s="216"/>
      <c r="AA209" s="266"/>
      <c r="AB209" s="266"/>
      <c r="AC209" s="266"/>
      <c r="AD209" s="266"/>
      <c r="AE209" s="266"/>
      <c r="AF209" s="266"/>
      <c r="AG209" s="266"/>
      <c r="AH209" s="266"/>
      <c r="AI209" s="266"/>
      <c r="AJ209" s="266"/>
      <c r="AK209" s="266"/>
      <c r="AL209" s="266"/>
      <c r="AM209" s="266"/>
      <c r="AN209" s="266"/>
      <c r="AO209" s="266"/>
      <c r="AP209" s="266"/>
      <c r="AQ209" s="216"/>
      <c r="AR209" s="216"/>
      <c r="AS209" s="216"/>
      <c r="AT209" s="267"/>
      <c r="AU209" s="218"/>
      <c r="AV209" s="188"/>
      <c r="AW209" s="219"/>
      <c r="AX209" s="219"/>
      <c r="AY209" s="220"/>
      <c r="AZ209" s="219"/>
      <c r="BA209" s="219"/>
      <c r="BB209" s="219"/>
      <c r="BC209" s="219"/>
      <c r="BD209" s="261"/>
      <c r="BE209" s="98"/>
      <c r="BF209" s="255" t="e">
        <v>#REF!</v>
      </c>
      <c r="BG209" s="255">
        <f t="shared" si="4"/>
        <v>0</v>
      </c>
      <c r="BH209" s="253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</row>
    <row r="210">
      <c r="A210" s="6"/>
      <c r="B210" s="98"/>
      <c r="C210" s="212"/>
      <c r="D210" s="98"/>
      <c r="E210" s="213"/>
      <c r="F210" s="222"/>
      <c r="G210" s="250"/>
      <c r="H210" s="250"/>
      <c r="I210" s="216"/>
      <c r="J210" s="216"/>
      <c r="K210" s="216"/>
      <c r="L210" s="216"/>
      <c r="M210" s="216"/>
      <c r="N210" s="216"/>
      <c r="O210" s="216"/>
      <c r="P210" s="218"/>
      <c r="Q210" s="218"/>
      <c r="R210" s="218"/>
      <c r="S210" s="266"/>
      <c r="T210" s="266"/>
      <c r="U210" s="266"/>
      <c r="V210" s="266"/>
      <c r="W210" s="266"/>
      <c r="X210" s="266"/>
      <c r="Y210" s="216"/>
      <c r="Z210" s="216"/>
      <c r="AA210" s="266"/>
      <c r="AB210" s="266"/>
      <c r="AC210" s="266"/>
      <c r="AD210" s="266"/>
      <c r="AE210" s="266"/>
      <c r="AF210" s="266"/>
      <c r="AG210" s="266"/>
      <c r="AH210" s="266"/>
      <c r="AI210" s="266"/>
      <c r="AJ210" s="266"/>
      <c r="AK210" s="266"/>
      <c r="AL210" s="266"/>
      <c r="AM210" s="266"/>
      <c r="AN210" s="266"/>
      <c r="AO210" s="266"/>
      <c r="AP210" s="266"/>
      <c r="AQ210" s="216"/>
      <c r="AR210" s="216"/>
      <c r="AS210" s="216"/>
      <c r="AT210" s="267"/>
      <c r="AU210" s="218"/>
      <c r="AV210" s="188"/>
      <c r="AW210" s="219"/>
      <c r="AX210" s="219"/>
      <c r="AY210" s="220"/>
      <c r="AZ210" s="219"/>
      <c r="BA210" s="219"/>
      <c r="BB210" s="219"/>
      <c r="BC210" s="219"/>
      <c r="BD210" s="261"/>
      <c r="BE210" s="98"/>
      <c r="BF210" s="255" t="e">
        <v>#REF!</v>
      </c>
      <c r="BG210" s="255">
        <f t="shared" si="4"/>
        <v>0</v>
      </c>
      <c r="BH210" s="253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</row>
    <row r="211">
      <c r="A211" s="6"/>
      <c r="B211" s="98"/>
      <c r="C211" s="212"/>
      <c r="D211" s="98"/>
      <c r="E211" s="213"/>
      <c r="F211" s="222"/>
      <c r="G211" s="250"/>
      <c r="H211" s="250"/>
      <c r="I211" s="216"/>
      <c r="J211" s="56"/>
      <c r="K211" s="216"/>
      <c r="L211" s="216"/>
      <c r="M211" s="216"/>
      <c r="N211" s="216"/>
      <c r="O211" s="56"/>
      <c r="P211" s="218"/>
      <c r="Q211" s="218"/>
      <c r="R211" s="218"/>
      <c r="S211" s="266"/>
      <c r="T211" s="266"/>
      <c r="U211" s="266"/>
      <c r="V211" s="266"/>
      <c r="W211" s="266"/>
      <c r="X211" s="266"/>
      <c r="Y211" s="216"/>
      <c r="Z211" s="216"/>
      <c r="AA211" s="266"/>
      <c r="AB211" s="266"/>
      <c r="AC211" s="266"/>
      <c r="AD211" s="266"/>
      <c r="AE211" s="266"/>
      <c r="AF211" s="266"/>
      <c r="AG211" s="266"/>
      <c r="AH211" s="266"/>
      <c r="AI211" s="266"/>
      <c r="AJ211" s="266"/>
      <c r="AK211" s="266"/>
      <c r="AL211" s="266"/>
      <c r="AM211" s="266"/>
      <c r="AN211" s="266"/>
      <c r="AO211" s="266"/>
      <c r="AP211" s="266"/>
      <c r="AQ211" s="216"/>
      <c r="AR211" s="216"/>
      <c r="AS211" s="216"/>
      <c r="AT211" s="260"/>
      <c r="AU211" s="218"/>
      <c r="AV211" s="188"/>
      <c r="AW211" s="219"/>
      <c r="AX211" s="219"/>
      <c r="AY211" s="220"/>
      <c r="AZ211" s="219"/>
      <c r="BA211" s="219"/>
      <c r="BB211" s="219"/>
      <c r="BC211" s="219"/>
      <c r="BD211" s="261"/>
      <c r="BE211" s="98"/>
      <c r="BF211" s="241" t="e">
        <v>#REF!</v>
      </c>
      <c r="BG211" s="255">
        <f t="shared" si="4"/>
        <v>0</v>
      </c>
      <c r="BH211" s="253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</row>
    <row r="212">
      <c r="A212" s="6"/>
      <c r="B212" s="98"/>
      <c r="C212" s="212"/>
      <c r="D212" s="98"/>
      <c r="E212" s="213"/>
      <c r="F212" s="222"/>
      <c r="G212" s="250"/>
      <c r="H212" s="250"/>
      <c r="I212" s="216"/>
      <c r="J212" s="216"/>
      <c r="K212" s="216"/>
      <c r="L212" s="216"/>
      <c r="M212" s="216"/>
      <c r="N212" s="216"/>
      <c r="O212" s="216"/>
      <c r="P212" s="218"/>
      <c r="Q212" s="218"/>
      <c r="R212" s="218"/>
      <c r="S212" s="266"/>
      <c r="T212" s="266"/>
      <c r="U212" s="266"/>
      <c r="V212" s="266"/>
      <c r="W212" s="266"/>
      <c r="X212" s="266"/>
      <c r="Y212" s="216"/>
      <c r="Z212" s="216"/>
      <c r="AA212" s="266"/>
      <c r="AB212" s="266"/>
      <c r="AC212" s="266"/>
      <c r="AD212" s="266"/>
      <c r="AE212" s="266"/>
      <c r="AF212" s="266"/>
      <c r="AG212" s="266"/>
      <c r="AH212" s="266"/>
      <c r="AI212" s="266"/>
      <c r="AJ212" s="266"/>
      <c r="AK212" s="266"/>
      <c r="AL212" s="266"/>
      <c r="AM212" s="266"/>
      <c r="AN212" s="266"/>
      <c r="AO212" s="266"/>
      <c r="AP212" s="266"/>
      <c r="AQ212" s="216"/>
      <c r="AR212" s="216"/>
      <c r="AS212" s="216"/>
      <c r="AT212" s="267"/>
      <c r="AU212" s="218"/>
      <c r="AV212" s="188"/>
      <c r="AW212" s="219"/>
      <c r="AX212" s="219"/>
      <c r="AY212" s="220"/>
      <c r="AZ212" s="219"/>
      <c r="BA212" s="219"/>
      <c r="BB212" s="219"/>
      <c r="BC212" s="219"/>
      <c r="BD212" s="261"/>
      <c r="BE212" s="98"/>
      <c r="BF212" s="255" t="e">
        <v>#REF!</v>
      </c>
      <c r="BG212" s="255">
        <f t="shared" si="4"/>
        <v>0</v>
      </c>
      <c r="BH212" s="253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</row>
    <row r="213">
      <c r="A213" s="6"/>
      <c r="B213" s="98"/>
      <c r="C213" s="212"/>
      <c r="D213" s="98"/>
      <c r="E213" s="213"/>
      <c r="F213" s="222"/>
      <c r="G213" s="250"/>
      <c r="H213" s="250"/>
      <c r="I213" s="216"/>
      <c r="J213" s="216"/>
      <c r="K213" s="216"/>
      <c r="L213" s="216"/>
      <c r="M213" s="216"/>
      <c r="N213" s="216"/>
      <c r="O213" s="216"/>
      <c r="P213" s="218"/>
      <c r="Q213" s="218"/>
      <c r="R213" s="218"/>
      <c r="S213" s="266"/>
      <c r="T213" s="266"/>
      <c r="U213" s="266"/>
      <c r="V213" s="266"/>
      <c r="W213" s="266"/>
      <c r="X213" s="266"/>
      <c r="Y213" s="216"/>
      <c r="Z213" s="216"/>
      <c r="AA213" s="266"/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  <c r="AP213" s="266"/>
      <c r="AQ213" s="216"/>
      <c r="AR213" s="216"/>
      <c r="AS213" s="216"/>
      <c r="AT213" s="267"/>
      <c r="AU213" s="218"/>
      <c r="AV213" s="188"/>
      <c r="AW213" s="219"/>
      <c r="AX213" s="219"/>
      <c r="AY213" s="220"/>
      <c r="AZ213" s="219"/>
      <c r="BA213" s="219"/>
      <c r="BB213" s="219"/>
      <c r="BC213" s="219"/>
      <c r="BD213" s="221"/>
      <c r="BE213" s="98"/>
      <c r="BF213" s="255" t="e">
        <v>#REF!</v>
      </c>
      <c r="BG213" s="255">
        <f t="shared" si="4"/>
        <v>0</v>
      </c>
      <c r="BH213" s="253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</row>
    <row r="214">
      <c r="A214" s="6"/>
      <c r="B214" s="98"/>
      <c r="C214" s="212"/>
      <c r="D214" s="98"/>
      <c r="E214" s="213"/>
      <c r="F214" s="222"/>
      <c r="G214" s="250"/>
      <c r="H214" s="250"/>
      <c r="I214" s="216"/>
      <c r="J214" s="216"/>
      <c r="K214" s="216"/>
      <c r="L214" s="216"/>
      <c r="M214" s="216"/>
      <c r="N214" s="216"/>
      <c r="O214" s="216"/>
      <c r="P214" s="218"/>
      <c r="Q214" s="218"/>
      <c r="R214" s="218"/>
      <c r="S214" s="266"/>
      <c r="T214" s="266"/>
      <c r="U214" s="266"/>
      <c r="V214" s="266"/>
      <c r="W214" s="266"/>
      <c r="X214" s="266"/>
      <c r="Y214" s="216"/>
      <c r="Z214" s="216"/>
      <c r="AA214" s="266"/>
      <c r="AB214" s="266"/>
      <c r="AC214" s="266"/>
      <c r="AD214" s="266"/>
      <c r="AE214" s="266"/>
      <c r="AF214" s="266"/>
      <c r="AG214" s="266"/>
      <c r="AH214" s="266"/>
      <c r="AI214" s="266"/>
      <c r="AJ214" s="266"/>
      <c r="AK214" s="266"/>
      <c r="AL214" s="266"/>
      <c r="AM214" s="266"/>
      <c r="AN214" s="266"/>
      <c r="AO214" s="266"/>
      <c r="AP214" s="266"/>
      <c r="AQ214" s="216"/>
      <c r="AR214" s="216"/>
      <c r="AS214" s="216"/>
      <c r="AT214" s="267"/>
      <c r="AU214" s="218"/>
      <c r="AV214" s="188"/>
      <c r="AW214" s="219"/>
      <c r="AX214" s="219"/>
      <c r="AY214" s="220"/>
      <c r="AZ214" s="219"/>
      <c r="BA214" s="219"/>
      <c r="BB214" s="219"/>
      <c r="BC214" s="219"/>
      <c r="BD214" s="221"/>
      <c r="BE214" s="98"/>
      <c r="BF214" s="255" t="e">
        <v>#REF!</v>
      </c>
      <c r="BG214" s="255">
        <f t="shared" si="4"/>
        <v>0</v>
      </c>
      <c r="BH214" s="253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</row>
    <row r="215">
      <c r="A215" s="6"/>
      <c r="B215" s="98"/>
      <c r="C215" s="212"/>
      <c r="D215" s="98"/>
      <c r="E215" s="213"/>
      <c r="F215" s="222"/>
      <c r="G215" s="250"/>
      <c r="H215" s="250"/>
      <c r="I215" s="216"/>
      <c r="J215" s="216"/>
      <c r="K215" s="216"/>
      <c r="L215" s="216"/>
      <c r="M215" s="216"/>
      <c r="N215" s="216"/>
      <c r="O215" s="216"/>
      <c r="P215" s="218"/>
      <c r="Q215" s="218"/>
      <c r="R215" s="218"/>
      <c r="S215" s="266"/>
      <c r="T215" s="266"/>
      <c r="U215" s="266"/>
      <c r="V215" s="266"/>
      <c r="W215" s="266"/>
      <c r="X215" s="266"/>
      <c r="Y215" s="216"/>
      <c r="Z215" s="216"/>
      <c r="AA215" s="266"/>
      <c r="AB215" s="266"/>
      <c r="AC215" s="266"/>
      <c r="AD215" s="266"/>
      <c r="AE215" s="266"/>
      <c r="AF215" s="266"/>
      <c r="AG215" s="266"/>
      <c r="AH215" s="266"/>
      <c r="AI215" s="266"/>
      <c r="AJ215" s="266"/>
      <c r="AK215" s="266"/>
      <c r="AL215" s="266"/>
      <c r="AM215" s="266"/>
      <c r="AN215" s="266"/>
      <c r="AO215" s="266"/>
      <c r="AP215" s="266"/>
      <c r="AQ215" s="216"/>
      <c r="AR215" s="216"/>
      <c r="AS215" s="216"/>
      <c r="AT215" s="267"/>
      <c r="AU215" s="218"/>
      <c r="AV215" s="188"/>
      <c r="AW215" s="219"/>
      <c r="AX215" s="219"/>
      <c r="AY215" s="220"/>
      <c r="AZ215" s="219"/>
      <c r="BA215" s="219"/>
      <c r="BB215" s="219"/>
      <c r="BC215" s="219"/>
      <c r="BD215" s="261"/>
      <c r="BE215" s="98"/>
      <c r="BF215" s="255" t="e">
        <v>#REF!</v>
      </c>
      <c r="BG215" s="255">
        <f t="shared" si="4"/>
        <v>0</v>
      </c>
      <c r="BH215" s="253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</row>
    <row r="216">
      <c r="A216" s="6"/>
      <c r="B216" s="98"/>
      <c r="C216" s="212"/>
      <c r="D216" s="98"/>
      <c r="E216" s="213"/>
      <c r="F216" s="222"/>
      <c r="G216" s="250"/>
      <c r="H216" s="250"/>
      <c r="I216" s="216"/>
      <c r="J216" s="216"/>
      <c r="K216" s="216"/>
      <c r="L216" s="216"/>
      <c r="M216" s="216"/>
      <c r="N216" s="216"/>
      <c r="O216" s="216"/>
      <c r="P216" s="218"/>
      <c r="Q216" s="218"/>
      <c r="R216" s="218"/>
      <c r="S216" s="266"/>
      <c r="T216" s="266"/>
      <c r="U216" s="266"/>
      <c r="V216" s="266"/>
      <c r="W216" s="266"/>
      <c r="X216" s="266"/>
      <c r="Y216" s="216"/>
      <c r="Z216" s="216"/>
      <c r="AA216" s="266"/>
      <c r="AB216" s="266"/>
      <c r="AC216" s="266"/>
      <c r="AD216" s="266"/>
      <c r="AE216" s="266"/>
      <c r="AF216" s="266"/>
      <c r="AG216" s="266"/>
      <c r="AH216" s="266"/>
      <c r="AI216" s="266"/>
      <c r="AJ216" s="266"/>
      <c r="AK216" s="266"/>
      <c r="AL216" s="266"/>
      <c r="AM216" s="266"/>
      <c r="AN216" s="266"/>
      <c r="AO216" s="266"/>
      <c r="AP216" s="266"/>
      <c r="AQ216" s="216"/>
      <c r="AR216" s="216"/>
      <c r="AS216" s="216"/>
      <c r="AT216" s="267"/>
      <c r="AU216" s="218"/>
      <c r="AV216" s="188"/>
      <c r="AW216" s="219"/>
      <c r="AX216" s="219"/>
      <c r="AY216" s="220"/>
      <c r="AZ216" s="219"/>
      <c r="BA216" s="219"/>
      <c r="BB216" s="219"/>
      <c r="BC216" s="219"/>
      <c r="BD216" s="221"/>
      <c r="BE216" s="98"/>
      <c r="BF216" s="255" t="e">
        <v>#REF!</v>
      </c>
      <c r="BG216" s="255">
        <f t="shared" si="4"/>
        <v>0</v>
      </c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>
      <c r="A217" s="6"/>
      <c r="B217" s="98"/>
      <c r="C217" s="212"/>
      <c r="D217" s="98"/>
      <c r="E217" s="213"/>
      <c r="F217" s="222"/>
      <c r="G217" s="250"/>
      <c r="H217" s="250"/>
      <c r="I217" s="216"/>
      <c r="J217" s="216"/>
      <c r="K217" s="216"/>
      <c r="L217" s="216"/>
      <c r="M217" s="216"/>
      <c r="N217" s="216"/>
      <c r="O217" s="216"/>
      <c r="P217" s="218"/>
      <c r="Q217" s="218"/>
      <c r="R217" s="218"/>
      <c r="S217" s="266"/>
      <c r="T217" s="266"/>
      <c r="U217" s="266"/>
      <c r="V217" s="266"/>
      <c r="W217" s="266"/>
      <c r="X217" s="266"/>
      <c r="Y217" s="216"/>
      <c r="Z217" s="216"/>
      <c r="AA217" s="266"/>
      <c r="AB217" s="266"/>
      <c r="AC217" s="266"/>
      <c r="AD217" s="266"/>
      <c r="AE217" s="266"/>
      <c r="AF217" s="266"/>
      <c r="AG217" s="266"/>
      <c r="AH217" s="266"/>
      <c r="AI217" s="266"/>
      <c r="AJ217" s="266"/>
      <c r="AK217" s="266"/>
      <c r="AL217" s="266"/>
      <c r="AM217" s="266"/>
      <c r="AN217" s="266"/>
      <c r="AO217" s="266"/>
      <c r="AP217" s="266"/>
      <c r="AQ217" s="216"/>
      <c r="AR217" s="216"/>
      <c r="AS217" s="216"/>
      <c r="AT217" s="267"/>
      <c r="AU217" s="218"/>
      <c r="AV217" s="188"/>
      <c r="AW217" s="219"/>
      <c r="AX217" s="219"/>
      <c r="AY217" s="220"/>
      <c r="AZ217" s="219"/>
      <c r="BA217" s="219"/>
      <c r="BB217" s="219"/>
      <c r="BC217" s="219"/>
      <c r="BD217" s="261"/>
      <c r="BE217" s="98"/>
      <c r="BF217" s="255" t="e">
        <v>#REF!</v>
      </c>
      <c r="BG217" s="255">
        <f t="shared" si="4"/>
        <v>0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>
      <c r="A218" s="6"/>
      <c r="B218" s="98"/>
      <c r="C218" s="212"/>
      <c r="D218" s="98"/>
      <c r="E218" s="213"/>
      <c r="F218" s="222"/>
      <c r="G218" s="250"/>
      <c r="H218" s="250"/>
      <c r="I218" s="216"/>
      <c r="J218" s="216"/>
      <c r="K218" s="216"/>
      <c r="L218" s="216"/>
      <c r="M218" s="216"/>
      <c r="N218" s="216"/>
      <c r="O218" s="216"/>
      <c r="P218" s="218"/>
      <c r="Q218" s="218"/>
      <c r="R218" s="218"/>
      <c r="S218" s="266"/>
      <c r="T218" s="266"/>
      <c r="U218" s="266"/>
      <c r="V218" s="266"/>
      <c r="W218" s="266"/>
      <c r="X218" s="266"/>
      <c r="Y218" s="216"/>
      <c r="Z218" s="216"/>
      <c r="AA218" s="266"/>
      <c r="AB218" s="266"/>
      <c r="AC218" s="266"/>
      <c r="AD218" s="266"/>
      <c r="AE218" s="266"/>
      <c r="AF218" s="266"/>
      <c r="AG218" s="266"/>
      <c r="AH218" s="266"/>
      <c r="AI218" s="266"/>
      <c r="AJ218" s="266"/>
      <c r="AK218" s="266"/>
      <c r="AL218" s="266"/>
      <c r="AM218" s="266"/>
      <c r="AN218" s="266"/>
      <c r="AO218" s="266"/>
      <c r="AP218" s="266"/>
      <c r="AQ218" s="216"/>
      <c r="AR218" s="216"/>
      <c r="AS218" s="216"/>
      <c r="AT218" s="267"/>
      <c r="AU218" s="218"/>
      <c r="AV218" s="188"/>
      <c r="AW218" s="219"/>
      <c r="AX218" s="219"/>
      <c r="AY218" s="220"/>
      <c r="AZ218" s="219"/>
      <c r="BA218" s="219"/>
      <c r="BB218" s="219"/>
      <c r="BC218" s="219"/>
      <c r="BD218" s="261"/>
      <c r="BE218" s="98"/>
      <c r="BF218" s="255" t="e">
        <v>#REF!</v>
      </c>
      <c r="BG218" s="255">
        <f t="shared" si="4"/>
        <v>0</v>
      </c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>
      <c r="A219" s="6"/>
      <c r="B219" s="98"/>
      <c r="C219" s="212"/>
      <c r="D219" s="98"/>
      <c r="E219" s="213"/>
      <c r="F219" s="222"/>
      <c r="G219" s="250"/>
      <c r="H219" s="250"/>
      <c r="I219" s="216"/>
      <c r="J219" s="216"/>
      <c r="K219" s="216"/>
      <c r="L219" s="216"/>
      <c r="M219" s="216"/>
      <c r="N219" s="216"/>
      <c r="O219" s="216"/>
      <c r="P219" s="218"/>
      <c r="Q219" s="218"/>
      <c r="R219" s="218"/>
      <c r="S219" s="266"/>
      <c r="T219" s="266"/>
      <c r="U219" s="266"/>
      <c r="V219" s="266"/>
      <c r="W219" s="266"/>
      <c r="X219" s="266"/>
      <c r="Y219" s="216"/>
      <c r="Z219" s="216"/>
      <c r="AA219" s="266"/>
      <c r="AB219" s="266"/>
      <c r="AC219" s="266"/>
      <c r="AD219" s="266"/>
      <c r="AE219" s="266"/>
      <c r="AF219" s="266"/>
      <c r="AG219" s="266"/>
      <c r="AH219" s="266"/>
      <c r="AI219" s="266"/>
      <c r="AJ219" s="266"/>
      <c r="AK219" s="266"/>
      <c r="AL219" s="266"/>
      <c r="AM219" s="266"/>
      <c r="AN219" s="266"/>
      <c r="AO219" s="266"/>
      <c r="AP219" s="266"/>
      <c r="AQ219" s="216"/>
      <c r="AR219" s="216"/>
      <c r="AS219" s="216"/>
      <c r="AT219" s="267"/>
      <c r="AU219" s="218"/>
      <c r="AV219" s="188"/>
      <c r="AW219" s="219"/>
      <c r="AX219" s="219"/>
      <c r="AY219" s="220"/>
      <c r="AZ219" s="219"/>
      <c r="BA219" s="219"/>
      <c r="BB219" s="219"/>
      <c r="BC219" s="219"/>
      <c r="BD219" s="261"/>
      <c r="BE219" s="98"/>
      <c r="BF219" s="255" t="e">
        <v>#REF!</v>
      </c>
      <c r="BG219" s="255">
        <f t="shared" si="4"/>
        <v>0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>
      <c r="A220" s="6"/>
      <c r="B220" s="98"/>
      <c r="C220" s="212"/>
      <c r="D220" s="98"/>
      <c r="E220" s="213"/>
      <c r="F220" s="222"/>
      <c r="G220" s="250"/>
      <c r="H220" s="250"/>
      <c r="I220" s="216"/>
      <c r="J220" s="216"/>
      <c r="K220" s="216"/>
      <c r="L220" s="216"/>
      <c r="M220" s="216"/>
      <c r="N220" s="216"/>
      <c r="O220" s="216"/>
      <c r="P220" s="218"/>
      <c r="Q220" s="218"/>
      <c r="R220" s="218"/>
      <c r="S220" s="266"/>
      <c r="T220" s="266"/>
      <c r="U220" s="266"/>
      <c r="V220" s="266"/>
      <c r="W220" s="266"/>
      <c r="X220" s="266"/>
      <c r="Y220" s="216"/>
      <c r="Z220" s="216"/>
      <c r="AA220" s="266"/>
      <c r="AB220" s="266"/>
      <c r="AC220" s="266"/>
      <c r="AD220" s="266"/>
      <c r="AE220" s="266"/>
      <c r="AF220" s="266"/>
      <c r="AG220" s="266"/>
      <c r="AH220" s="266"/>
      <c r="AI220" s="266"/>
      <c r="AJ220" s="266"/>
      <c r="AK220" s="266"/>
      <c r="AL220" s="266"/>
      <c r="AM220" s="266"/>
      <c r="AN220" s="266"/>
      <c r="AO220" s="266"/>
      <c r="AP220" s="266"/>
      <c r="AQ220" s="216"/>
      <c r="AR220" s="216"/>
      <c r="AS220" s="216"/>
      <c r="AT220" s="267"/>
      <c r="AU220" s="218"/>
      <c r="AV220" s="188"/>
      <c r="AW220" s="219"/>
      <c r="AX220" s="219"/>
      <c r="AY220" s="220"/>
      <c r="AZ220" s="219"/>
      <c r="BA220" s="219"/>
      <c r="BB220" s="219"/>
      <c r="BC220" s="219"/>
      <c r="BD220" s="221"/>
      <c r="BE220" s="98"/>
      <c r="BF220" s="255" t="e">
        <v>#REF!</v>
      </c>
      <c r="BG220" s="255">
        <f t="shared" si="4"/>
        <v>0</v>
      </c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>
      <c r="A221" s="6"/>
      <c r="B221" s="98"/>
      <c r="C221" s="212"/>
      <c r="D221" s="98"/>
      <c r="E221" s="213"/>
      <c r="F221" s="222"/>
      <c r="G221" s="250"/>
      <c r="H221" s="250"/>
      <c r="I221" s="216"/>
      <c r="J221" s="216"/>
      <c r="K221" s="216"/>
      <c r="L221" s="216"/>
      <c r="M221" s="216"/>
      <c r="N221" s="216"/>
      <c r="O221" s="216"/>
      <c r="P221" s="218"/>
      <c r="Q221" s="218"/>
      <c r="R221" s="218"/>
      <c r="S221" s="266"/>
      <c r="T221" s="266"/>
      <c r="U221" s="266"/>
      <c r="V221" s="266"/>
      <c r="W221" s="266"/>
      <c r="X221" s="266"/>
      <c r="Y221" s="216"/>
      <c r="Z221" s="216"/>
      <c r="AA221" s="266"/>
      <c r="AB221" s="266"/>
      <c r="AC221" s="266"/>
      <c r="AD221" s="266"/>
      <c r="AE221" s="266"/>
      <c r="AF221" s="266"/>
      <c r="AG221" s="266"/>
      <c r="AH221" s="266"/>
      <c r="AI221" s="266"/>
      <c r="AJ221" s="266"/>
      <c r="AK221" s="266"/>
      <c r="AL221" s="266"/>
      <c r="AM221" s="266"/>
      <c r="AN221" s="266"/>
      <c r="AO221" s="266"/>
      <c r="AP221" s="266"/>
      <c r="AQ221" s="216"/>
      <c r="AR221" s="216"/>
      <c r="AS221" s="216"/>
      <c r="AT221" s="267"/>
      <c r="AU221" s="218"/>
      <c r="AV221" s="188"/>
      <c r="AW221" s="219"/>
      <c r="AX221" s="219"/>
      <c r="AY221" s="220"/>
      <c r="AZ221" s="219"/>
      <c r="BA221" s="219"/>
      <c r="BB221" s="219"/>
      <c r="BC221" s="219"/>
      <c r="BD221" s="221"/>
      <c r="BE221" s="98"/>
      <c r="BF221" s="255" t="e">
        <v>#REF!</v>
      </c>
      <c r="BG221" s="255">
        <f t="shared" si="4"/>
        <v>0</v>
      </c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>
      <c r="A222" s="6"/>
      <c r="B222" s="98"/>
      <c r="C222" s="212"/>
      <c r="D222" s="98"/>
      <c r="E222" s="213"/>
      <c r="F222" s="222"/>
      <c r="G222" s="250"/>
      <c r="H222" s="250"/>
      <c r="I222" s="216"/>
      <c r="J222" s="56"/>
      <c r="K222" s="216"/>
      <c r="L222" s="216"/>
      <c r="M222" s="216"/>
      <c r="N222" s="216"/>
      <c r="O222" s="216"/>
      <c r="P222" s="218"/>
      <c r="Q222" s="218"/>
      <c r="R222" s="218"/>
      <c r="S222" s="266"/>
      <c r="T222" s="266"/>
      <c r="U222" s="266"/>
      <c r="V222" s="266"/>
      <c r="W222" s="266"/>
      <c r="X222" s="266"/>
      <c r="Y222" s="216"/>
      <c r="Z222" s="216"/>
      <c r="AA222" s="266"/>
      <c r="AB222" s="266"/>
      <c r="AC222" s="266"/>
      <c r="AD222" s="266"/>
      <c r="AE222" s="266"/>
      <c r="AF222" s="266"/>
      <c r="AG222" s="266"/>
      <c r="AH222" s="266"/>
      <c r="AI222" s="266"/>
      <c r="AJ222" s="266"/>
      <c r="AK222" s="266"/>
      <c r="AL222" s="266"/>
      <c r="AM222" s="266"/>
      <c r="AN222" s="266"/>
      <c r="AO222" s="266"/>
      <c r="AP222" s="266"/>
      <c r="AQ222" s="216"/>
      <c r="AR222" s="216"/>
      <c r="AS222" s="216"/>
      <c r="AT222" s="260"/>
      <c r="AU222" s="218"/>
      <c r="AV222" s="188"/>
      <c r="AW222" s="219"/>
      <c r="AX222" s="219"/>
      <c r="AY222" s="220"/>
      <c r="AZ222" s="219"/>
      <c r="BA222" s="219"/>
      <c r="BB222" s="219"/>
      <c r="BC222" s="219"/>
      <c r="BD222" s="261"/>
      <c r="BE222" s="98"/>
      <c r="BF222" s="255" t="e">
        <v>#REF!</v>
      </c>
      <c r="BG222" s="255">
        <f t="shared" si="4"/>
        <v>0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>
      <c r="A223" s="6"/>
      <c r="B223" s="98"/>
      <c r="C223" s="212"/>
      <c r="D223" s="98"/>
      <c r="E223" s="213"/>
      <c r="F223" s="222"/>
      <c r="G223" s="250"/>
      <c r="H223" s="250"/>
      <c r="I223" s="216"/>
      <c r="J223" s="216"/>
      <c r="K223" s="216"/>
      <c r="L223" s="216"/>
      <c r="M223" s="216"/>
      <c r="N223" s="216"/>
      <c r="O223" s="216"/>
      <c r="P223" s="218"/>
      <c r="Q223" s="218"/>
      <c r="R223" s="218"/>
      <c r="S223" s="266"/>
      <c r="T223" s="266"/>
      <c r="U223" s="266"/>
      <c r="V223" s="266"/>
      <c r="W223" s="266"/>
      <c r="X223" s="266"/>
      <c r="Y223" s="216"/>
      <c r="Z223" s="216"/>
      <c r="AA223" s="266"/>
      <c r="AB223" s="266"/>
      <c r="AC223" s="266"/>
      <c r="AD223" s="266"/>
      <c r="AE223" s="266"/>
      <c r="AF223" s="266"/>
      <c r="AG223" s="266"/>
      <c r="AH223" s="266"/>
      <c r="AI223" s="266"/>
      <c r="AJ223" s="266"/>
      <c r="AK223" s="266"/>
      <c r="AL223" s="266"/>
      <c r="AM223" s="266"/>
      <c r="AN223" s="266"/>
      <c r="AO223" s="266"/>
      <c r="AP223" s="266"/>
      <c r="AQ223" s="216"/>
      <c r="AR223" s="216"/>
      <c r="AS223" s="216"/>
      <c r="AT223" s="267"/>
      <c r="AU223" s="218"/>
      <c r="AV223" s="188"/>
      <c r="AW223" s="219"/>
      <c r="AX223" s="219"/>
      <c r="AY223" s="220"/>
      <c r="AZ223" s="219"/>
      <c r="BA223" s="219"/>
      <c r="BB223" s="219"/>
      <c r="BC223" s="219"/>
      <c r="BD223" s="221"/>
      <c r="BE223" s="98"/>
      <c r="BF223" s="255" t="e">
        <v>#REF!</v>
      </c>
      <c r="BG223" s="255">
        <f t="shared" si="4"/>
        <v>0</v>
      </c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>
      <c r="A224" s="6"/>
      <c r="B224" s="98"/>
      <c r="C224" s="212"/>
      <c r="D224" s="98"/>
      <c r="E224" s="213"/>
      <c r="F224" s="222"/>
      <c r="G224" s="250"/>
      <c r="H224" s="250"/>
      <c r="I224" s="216"/>
      <c r="J224" s="216"/>
      <c r="K224" s="216"/>
      <c r="L224" s="216"/>
      <c r="M224" s="216"/>
      <c r="N224" s="216"/>
      <c r="O224" s="216"/>
      <c r="P224" s="218"/>
      <c r="Q224" s="218"/>
      <c r="R224" s="218"/>
      <c r="S224" s="266"/>
      <c r="T224" s="266"/>
      <c r="U224" s="266"/>
      <c r="V224" s="266"/>
      <c r="W224" s="266"/>
      <c r="X224" s="266"/>
      <c r="Y224" s="216"/>
      <c r="Z224" s="216"/>
      <c r="AA224" s="266"/>
      <c r="AB224" s="266"/>
      <c r="AC224" s="266"/>
      <c r="AD224" s="266"/>
      <c r="AE224" s="266"/>
      <c r="AF224" s="266"/>
      <c r="AG224" s="266"/>
      <c r="AH224" s="266"/>
      <c r="AI224" s="266"/>
      <c r="AJ224" s="266"/>
      <c r="AK224" s="266"/>
      <c r="AL224" s="266"/>
      <c r="AM224" s="266"/>
      <c r="AN224" s="266"/>
      <c r="AO224" s="266"/>
      <c r="AP224" s="266"/>
      <c r="AQ224" s="216"/>
      <c r="AR224" s="216"/>
      <c r="AS224" s="216"/>
      <c r="AT224" s="267"/>
      <c r="AU224" s="218"/>
      <c r="AV224" s="188"/>
      <c r="AW224" s="219"/>
      <c r="AX224" s="219"/>
      <c r="AY224" s="220"/>
      <c r="AZ224" s="219"/>
      <c r="BA224" s="219"/>
      <c r="BB224" s="219"/>
      <c r="BC224" s="219"/>
      <c r="BD224" s="221"/>
      <c r="BE224" s="98"/>
      <c r="BF224" s="255" t="e">
        <v>#REF!</v>
      </c>
      <c r="BG224" s="255">
        <f t="shared" si="4"/>
        <v>0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>
      <c r="A225" s="6"/>
      <c r="B225" s="98"/>
      <c r="C225" s="212"/>
      <c r="D225" s="98"/>
      <c r="E225" s="213"/>
      <c r="F225" s="222"/>
      <c r="G225" s="250"/>
      <c r="H225" s="250"/>
      <c r="I225" s="216"/>
      <c r="J225" s="56"/>
      <c r="K225" s="216"/>
      <c r="L225" s="216"/>
      <c r="M225" s="216"/>
      <c r="N225" s="216"/>
      <c r="O225" s="56"/>
      <c r="P225" s="218"/>
      <c r="Q225" s="218"/>
      <c r="R225" s="218"/>
      <c r="S225" s="266"/>
      <c r="T225" s="266"/>
      <c r="U225" s="266"/>
      <c r="V225" s="266"/>
      <c r="W225" s="266"/>
      <c r="X225" s="266"/>
      <c r="Y225" s="216"/>
      <c r="Z225" s="21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16"/>
      <c r="AR225" s="216"/>
      <c r="AS225" s="216"/>
      <c r="AT225" s="260"/>
      <c r="AU225" s="218"/>
      <c r="AV225" s="188"/>
      <c r="AW225" s="219"/>
      <c r="AX225" s="219"/>
      <c r="AY225" s="220"/>
      <c r="AZ225" s="219"/>
      <c r="BA225" s="219"/>
      <c r="BB225" s="219"/>
      <c r="BC225" s="219"/>
      <c r="BD225" s="261"/>
      <c r="BE225" s="98"/>
      <c r="BF225" s="241" t="e">
        <v>#REF!</v>
      </c>
      <c r="BG225" s="255">
        <f t="shared" si="4"/>
        <v>0</v>
      </c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>
      <c r="A226" s="6"/>
      <c r="B226" s="98"/>
      <c r="C226" s="212"/>
      <c r="D226" s="98"/>
      <c r="E226" s="213"/>
      <c r="F226" s="222"/>
      <c r="G226" s="220"/>
      <c r="H226" s="220"/>
      <c r="I226" s="216"/>
      <c r="J226" s="216"/>
      <c r="K226" s="216"/>
      <c r="L226" s="216"/>
      <c r="M226" s="216"/>
      <c r="N226" s="216"/>
      <c r="O226" s="216"/>
      <c r="P226" s="218"/>
      <c r="Q226" s="218"/>
      <c r="R226" s="218"/>
      <c r="S226" s="266"/>
      <c r="T226" s="266"/>
      <c r="U226" s="266"/>
      <c r="V226" s="266"/>
      <c r="W226" s="266"/>
      <c r="X226" s="266"/>
      <c r="Y226" s="216"/>
      <c r="Z226" s="216"/>
      <c r="AA226" s="266"/>
      <c r="AB226" s="266"/>
      <c r="AC226" s="266"/>
      <c r="AD226" s="266"/>
      <c r="AE226" s="266"/>
      <c r="AF226" s="266"/>
      <c r="AG226" s="266"/>
      <c r="AH226" s="266"/>
      <c r="AI226" s="266"/>
      <c r="AJ226" s="266"/>
      <c r="AK226" s="266"/>
      <c r="AL226" s="266"/>
      <c r="AM226" s="266"/>
      <c r="AN226" s="266"/>
      <c r="AO226" s="266"/>
      <c r="AP226" s="266"/>
      <c r="AQ226" s="216"/>
      <c r="AR226" s="216"/>
      <c r="AS226" s="216"/>
      <c r="AT226" s="267"/>
      <c r="AU226" s="218"/>
      <c r="AV226" s="188"/>
      <c r="AW226" s="219"/>
      <c r="AX226" s="219"/>
      <c r="AY226" s="220"/>
      <c r="AZ226" s="219"/>
      <c r="BA226" s="219"/>
      <c r="BB226" s="219"/>
      <c r="BC226" s="219"/>
      <c r="BD226" s="221"/>
      <c r="BE226" s="98"/>
      <c r="BF226" s="255" t="e">
        <v>#REF!</v>
      </c>
      <c r="BG226" s="255">
        <f t="shared" si="4"/>
        <v>0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>
      <c r="A227" s="6"/>
      <c r="B227" s="98"/>
      <c r="C227" s="212"/>
      <c r="D227" s="98"/>
      <c r="E227" s="213"/>
      <c r="F227" s="222"/>
      <c r="G227" s="250"/>
      <c r="H227" s="250"/>
      <c r="I227" s="216"/>
      <c r="J227" s="216"/>
      <c r="K227" s="216"/>
      <c r="L227" s="216"/>
      <c r="M227" s="216"/>
      <c r="N227" s="216"/>
      <c r="O227" s="216"/>
      <c r="P227" s="218"/>
      <c r="Q227" s="218"/>
      <c r="R227" s="218"/>
      <c r="S227" s="266"/>
      <c r="T227" s="266"/>
      <c r="U227" s="266"/>
      <c r="V227" s="266"/>
      <c r="W227" s="266"/>
      <c r="X227" s="266"/>
      <c r="Y227" s="216"/>
      <c r="Z227" s="216"/>
      <c r="AA227" s="266"/>
      <c r="AB227" s="266"/>
      <c r="AC227" s="266"/>
      <c r="AD227" s="266"/>
      <c r="AE227" s="266"/>
      <c r="AF227" s="266"/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16"/>
      <c r="AR227" s="216"/>
      <c r="AS227" s="216"/>
      <c r="AT227" s="267"/>
      <c r="AU227" s="218"/>
      <c r="AV227" s="188"/>
      <c r="AW227" s="219"/>
      <c r="AX227" s="219"/>
      <c r="AY227" s="220"/>
      <c r="AZ227" s="219"/>
      <c r="BA227" s="219"/>
      <c r="BB227" s="219"/>
      <c r="BC227" s="219"/>
      <c r="BD227" s="221"/>
      <c r="BE227" s="98"/>
      <c r="BF227" s="255" t="e">
        <v>#REF!</v>
      </c>
      <c r="BG227" s="255">
        <f t="shared" si="4"/>
        <v>0</v>
      </c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>
      <c r="A228" s="6"/>
      <c r="B228" s="98"/>
      <c r="C228" s="212"/>
      <c r="D228" s="98"/>
      <c r="E228" s="213"/>
      <c r="F228" s="222"/>
      <c r="G228" s="250"/>
      <c r="H228" s="250"/>
      <c r="I228" s="216"/>
      <c r="J228" s="216"/>
      <c r="K228" s="216"/>
      <c r="L228" s="216"/>
      <c r="M228" s="216"/>
      <c r="N228" s="216"/>
      <c r="O228" s="216"/>
      <c r="P228" s="218"/>
      <c r="Q228" s="218"/>
      <c r="R228" s="218"/>
      <c r="S228" s="266"/>
      <c r="T228" s="266"/>
      <c r="U228" s="266"/>
      <c r="V228" s="266"/>
      <c r="W228" s="266"/>
      <c r="X228" s="266"/>
      <c r="Y228" s="216"/>
      <c r="Z228" s="216"/>
      <c r="AA228" s="266"/>
      <c r="AB228" s="266"/>
      <c r="AC228" s="266"/>
      <c r="AD228" s="266"/>
      <c r="AE228" s="266"/>
      <c r="AF228" s="266"/>
      <c r="AG228" s="266"/>
      <c r="AH228" s="266"/>
      <c r="AI228" s="266"/>
      <c r="AJ228" s="266"/>
      <c r="AK228" s="266"/>
      <c r="AL228" s="266"/>
      <c r="AM228" s="266"/>
      <c r="AN228" s="266"/>
      <c r="AO228" s="266"/>
      <c r="AP228" s="266"/>
      <c r="AQ228" s="216"/>
      <c r="AR228" s="216"/>
      <c r="AS228" s="216"/>
      <c r="AT228" s="267"/>
      <c r="AU228" s="218"/>
      <c r="AV228" s="188"/>
      <c r="AW228" s="219"/>
      <c r="AX228" s="219"/>
      <c r="AY228" s="220"/>
      <c r="AZ228" s="219"/>
      <c r="BA228" s="219"/>
      <c r="BB228" s="219"/>
      <c r="BC228" s="219"/>
      <c r="BD228" s="221"/>
      <c r="BE228" s="98"/>
      <c r="BF228" s="255" t="e">
        <v>#REF!</v>
      </c>
      <c r="BG228" s="255">
        <f t="shared" si="4"/>
        <v>0</v>
      </c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>
      <c r="A229" s="6"/>
      <c r="B229" s="98"/>
      <c r="C229" s="212"/>
      <c r="D229" s="98"/>
      <c r="E229" s="213"/>
      <c r="F229" s="222"/>
      <c r="G229" s="250"/>
      <c r="H229" s="250"/>
      <c r="I229" s="216"/>
      <c r="J229" s="216"/>
      <c r="K229" s="216"/>
      <c r="L229" s="216"/>
      <c r="M229" s="216"/>
      <c r="N229" s="216"/>
      <c r="O229" s="216"/>
      <c r="P229" s="218"/>
      <c r="Q229" s="218"/>
      <c r="R229" s="218"/>
      <c r="S229" s="266"/>
      <c r="T229" s="266"/>
      <c r="U229" s="266"/>
      <c r="V229" s="266"/>
      <c r="W229" s="266"/>
      <c r="X229" s="266"/>
      <c r="Y229" s="216"/>
      <c r="Z229" s="216"/>
      <c r="AA229" s="266"/>
      <c r="AB229" s="266"/>
      <c r="AC229" s="266"/>
      <c r="AD229" s="266"/>
      <c r="AE229" s="266"/>
      <c r="AF229" s="266"/>
      <c r="AG229" s="266"/>
      <c r="AH229" s="266"/>
      <c r="AI229" s="266"/>
      <c r="AJ229" s="266"/>
      <c r="AK229" s="266"/>
      <c r="AL229" s="266"/>
      <c r="AM229" s="266"/>
      <c r="AN229" s="266"/>
      <c r="AO229" s="266"/>
      <c r="AP229" s="266"/>
      <c r="AQ229" s="216"/>
      <c r="AR229" s="216"/>
      <c r="AS229" s="216"/>
      <c r="AT229" s="267"/>
      <c r="AU229" s="218"/>
      <c r="AV229" s="188"/>
      <c r="AW229" s="219"/>
      <c r="AX229" s="219"/>
      <c r="AY229" s="220"/>
      <c r="AZ229" s="219"/>
      <c r="BA229" s="219"/>
      <c r="BB229" s="219"/>
      <c r="BC229" s="219"/>
      <c r="BD229" s="221"/>
      <c r="BE229" s="98"/>
      <c r="BF229" s="255" t="e">
        <v>#REF!</v>
      </c>
      <c r="BG229" s="255">
        <f t="shared" si="4"/>
        <v>0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</row>
    <row r="230">
      <c r="A230" s="6"/>
      <c r="B230" s="98"/>
      <c r="C230" s="212"/>
      <c r="D230" s="98"/>
      <c r="E230" s="213"/>
      <c r="F230" s="222"/>
      <c r="G230" s="250"/>
      <c r="H230" s="250"/>
      <c r="I230" s="216"/>
      <c r="J230" s="216"/>
      <c r="K230" s="216"/>
      <c r="L230" s="216"/>
      <c r="M230" s="216"/>
      <c r="N230" s="216"/>
      <c r="O230" s="216"/>
      <c r="P230" s="218"/>
      <c r="Q230" s="218"/>
      <c r="R230" s="218"/>
      <c r="S230" s="266"/>
      <c r="T230" s="266"/>
      <c r="U230" s="266"/>
      <c r="V230" s="266"/>
      <c r="W230" s="266"/>
      <c r="X230" s="266"/>
      <c r="Y230" s="216"/>
      <c r="Z230" s="216"/>
      <c r="AA230" s="266"/>
      <c r="AB230" s="266"/>
      <c r="AC230" s="266"/>
      <c r="AD230" s="266"/>
      <c r="AE230" s="266"/>
      <c r="AF230" s="266"/>
      <c r="AG230" s="266"/>
      <c r="AH230" s="266"/>
      <c r="AI230" s="266"/>
      <c r="AJ230" s="266"/>
      <c r="AK230" s="266"/>
      <c r="AL230" s="266"/>
      <c r="AM230" s="266"/>
      <c r="AN230" s="266"/>
      <c r="AO230" s="266"/>
      <c r="AP230" s="266"/>
      <c r="AQ230" s="216"/>
      <c r="AR230" s="216"/>
      <c r="AS230" s="216"/>
      <c r="AT230" s="267"/>
      <c r="AU230" s="218"/>
      <c r="AV230" s="188"/>
      <c r="AW230" s="219"/>
      <c r="AX230" s="219"/>
      <c r="AY230" s="220"/>
      <c r="AZ230" s="219"/>
      <c r="BA230" s="219"/>
      <c r="BB230" s="219"/>
      <c r="BC230" s="219"/>
      <c r="BD230" s="221"/>
      <c r="BE230" s="98"/>
      <c r="BF230" s="255" t="e">
        <v>#REF!</v>
      </c>
      <c r="BG230" s="255">
        <f t="shared" si="4"/>
        <v>0</v>
      </c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</row>
    <row r="231">
      <c r="A231" s="6"/>
      <c r="B231" s="98"/>
      <c r="C231" s="212"/>
      <c r="D231" s="98"/>
      <c r="E231" s="213"/>
      <c r="F231" s="222"/>
      <c r="G231" s="250"/>
      <c r="H231" s="250"/>
      <c r="I231" s="216"/>
      <c r="J231" s="216"/>
      <c r="K231" s="56"/>
      <c r="L231" s="216"/>
      <c r="M231" s="216"/>
      <c r="N231" s="216"/>
      <c r="O231" s="216"/>
      <c r="P231" s="218"/>
      <c r="Q231" s="218"/>
      <c r="R231" s="218"/>
      <c r="S231" s="266"/>
      <c r="T231" s="266"/>
      <c r="U231" s="266"/>
      <c r="V231" s="266"/>
      <c r="W231" s="266"/>
      <c r="X231" s="266"/>
      <c r="Y231" s="216"/>
      <c r="Z231" s="216"/>
      <c r="AA231" s="266"/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16"/>
      <c r="AR231" s="216"/>
      <c r="AS231" s="216"/>
      <c r="AT231" s="267"/>
      <c r="AU231" s="218"/>
      <c r="AV231" s="188"/>
      <c r="AW231" s="219"/>
      <c r="AX231" s="219"/>
      <c r="AY231" s="220"/>
      <c r="AZ231" s="219"/>
      <c r="BA231" s="219"/>
      <c r="BB231" s="219"/>
      <c r="BC231" s="219"/>
      <c r="BD231" s="221"/>
      <c r="BE231" s="98"/>
      <c r="BF231" s="10"/>
      <c r="BG231" s="10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</row>
    <row r="232">
      <c r="A232" s="6"/>
      <c r="B232" s="98"/>
      <c r="C232" s="212"/>
      <c r="D232" s="98"/>
      <c r="E232" s="213"/>
      <c r="F232" s="222"/>
      <c r="G232" s="250"/>
      <c r="H232" s="250"/>
      <c r="I232" s="216"/>
      <c r="J232" s="216"/>
      <c r="K232" s="56"/>
      <c r="L232" s="216"/>
      <c r="M232" s="216"/>
      <c r="N232" s="216"/>
      <c r="O232" s="216"/>
      <c r="P232" s="218"/>
      <c r="Q232" s="218"/>
      <c r="R232" s="218"/>
      <c r="S232" s="266"/>
      <c r="T232" s="266"/>
      <c r="U232" s="266"/>
      <c r="V232" s="266"/>
      <c r="W232" s="266"/>
      <c r="X232" s="266"/>
      <c r="Y232" s="216"/>
      <c r="Z232" s="216"/>
      <c r="AA232" s="266"/>
      <c r="AB232" s="266"/>
      <c r="AC232" s="266"/>
      <c r="AD232" s="266"/>
      <c r="AE232" s="266"/>
      <c r="AF232" s="266"/>
      <c r="AG232" s="266"/>
      <c r="AH232" s="266"/>
      <c r="AI232" s="266"/>
      <c r="AJ232" s="266"/>
      <c r="AK232" s="266"/>
      <c r="AL232" s="266"/>
      <c r="AM232" s="266"/>
      <c r="AN232" s="266"/>
      <c r="AO232" s="266"/>
      <c r="AP232" s="266"/>
      <c r="AQ232" s="216"/>
      <c r="AR232" s="216"/>
      <c r="AS232" s="216"/>
      <c r="AT232" s="267"/>
      <c r="AU232" s="218"/>
      <c r="AV232" s="188"/>
      <c r="AW232" s="219"/>
      <c r="AX232" s="219"/>
      <c r="AY232" s="220"/>
      <c r="AZ232" s="219"/>
      <c r="BA232" s="219"/>
      <c r="BB232" s="219"/>
      <c r="BC232" s="219"/>
      <c r="BD232" s="221"/>
      <c r="BE232" s="98"/>
      <c r="BF232" s="10"/>
      <c r="BG232" s="10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</row>
    <row r="233">
      <c r="A233" s="6"/>
      <c r="B233" s="98"/>
      <c r="C233" s="212"/>
      <c r="D233" s="98"/>
      <c r="E233" s="213"/>
      <c r="F233" s="222"/>
      <c r="G233" s="250"/>
      <c r="H233" s="250"/>
      <c r="I233" s="216"/>
      <c r="J233" s="216"/>
      <c r="K233" s="56"/>
      <c r="L233" s="216"/>
      <c r="M233" s="216"/>
      <c r="N233" s="216"/>
      <c r="O233" s="216"/>
      <c r="P233" s="218"/>
      <c r="Q233" s="218"/>
      <c r="R233" s="218"/>
      <c r="S233" s="266"/>
      <c r="T233" s="266"/>
      <c r="U233" s="266"/>
      <c r="V233" s="266"/>
      <c r="W233" s="266"/>
      <c r="X233" s="266"/>
      <c r="Y233" s="216"/>
      <c r="Z233" s="216"/>
      <c r="AA233" s="266"/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16"/>
      <c r="AR233" s="216"/>
      <c r="AS233" s="216"/>
      <c r="AT233" s="267"/>
      <c r="AU233" s="218"/>
      <c r="AV233" s="188"/>
      <c r="AW233" s="219"/>
      <c r="AX233" s="219"/>
      <c r="AY233" s="220"/>
      <c r="AZ233" s="219"/>
      <c r="BA233" s="219"/>
      <c r="BB233" s="219"/>
      <c r="BC233" s="219"/>
      <c r="BD233" s="221"/>
      <c r="BE233" s="98"/>
      <c r="BF233" s="10"/>
      <c r="BG233" s="10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</row>
    <row r="234">
      <c r="A234" s="6"/>
      <c r="B234" s="98"/>
      <c r="C234" s="212"/>
      <c r="D234" s="98"/>
      <c r="E234" s="213"/>
      <c r="F234" s="222"/>
      <c r="G234" s="250"/>
      <c r="H234" s="250"/>
      <c r="I234" s="216"/>
      <c r="J234" s="216"/>
      <c r="K234" s="56"/>
      <c r="L234" s="216"/>
      <c r="M234" s="216"/>
      <c r="N234" s="216"/>
      <c r="O234" s="216"/>
      <c r="P234" s="218"/>
      <c r="Q234" s="218"/>
      <c r="R234" s="218"/>
      <c r="S234" s="266"/>
      <c r="T234" s="266"/>
      <c r="U234" s="266"/>
      <c r="V234" s="266"/>
      <c r="W234" s="266"/>
      <c r="X234" s="266"/>
      <c r="Y234" s="216"/>
      <c r="Z234" s="216"/>
      <c r="AA234" s="266"/>
      <c r="AB234" s="266"/>
      <c r="AC234" s="266"/>
      <c r="AD234" s="266"/>
      <c r="AE234" s="266"/>
      <c r="AF234" s="266"/>
      <c r="AG234" s="266"/>
      <c r="AH234" s="266"/>
      <c r="AI234" s="266"/>
      <c r="AJ234" s="266"/>
      <c r="AK234" s="266"/>
      <c r="AL234" s="266"/>
      <c r="AM234" s="266"/>
      <c r="AN234" s="266"/>
      <c r="AO234" s="266"/>
      <c r="AP234" s="266"/>
      <c r="AQ234" s="216"/>
      <c r="AR234" s="216"/>
      <c r="AS234" s="216"/>
      <c r="AT234" s="267"/>
      <c r="AU234" s="218"/>
      <c r="AV234" s="188"/>
      <c r="AW234" s="219"/>
      <c r="AX234" s="219"/>
      <c r="AY234" s="220"/>
      <c r="AZ234" s="219"/>
      <c r="BA234" s="219"/>
      <c r="BB234" s="219"/>
      <c r="BC234" s="219"/>
      <c r="BD234" s="221"/>
      <c r="BE234" s="98"/>
      <c r="BF234" s="10"/>
      <c r="BG234" s="10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</row>
    <row r="235">
      <c r="A235" s="6"/>
      <c r="B235" s="98"/>
      <c r="C235" s="212"/>
      <c r="D235" s="98"/>
      <c r="E235" s="213"/>
      <c r="F235" s="222"/>
      <c r="G235" s="250"/>
      <c r="H235" s="250"/>
      <c r="I235" s="216"/>
      <c r="J235" s="216"/>
      <c r="K235" s="56"/>
      <c r="L235" s="216"/>
      <c r="M235" s="216"/>
      <c r="N235" s="216"/>
      <c r="O235" s="216"/>
      <c r="P235" s="218"/>
      <c r="Q235" s="218"/>
      <c r="R235" s="218"/>
      <c r="S235" s="266"/>
      <c r="T235" s="266"/>
      <c r="U235" s="266"/>
      <c r="V235" s="266"/>
      <c r="W235" s="266"/>
      <c r="X235" s="266"/>
      <c r="Y235" s="216"/>
      <c r="Z235" s="216"/>
      <c r="AA235" s="266"/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16"/>
      <c r="AR235" s="216"/>
      <c r="AS235" s="216"/>
      <c r="AT235" s="267"/>
      <c r="AU235" s="218"/>
      <c r="AV235" s="188"/>
      <c r="AW235" s="219"/>
      <c r="AX235" s="219"/>
      <c r="AY235" s="220"/>
      <c r="AZ235" s="219"/>
      <c r="BA235" s="219"/>
      <c r="BB235" s="219"/>
      <c r="BC235" s="219"/>
      <c r="BD235" s="221"/>
      <c r="BE235" s="98"/>
      <c r="BF235" s="10"/>
      <c r="BG235" s="10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</row>
    <row r="236">
      <c r="A236" s="6"/>
      <c r="B236" s="98"/>
      <c r="C236" s="212"/>
      <c r="D236" s="98"/>
      <c r="E236" s="213"/>
      <c r="F236" s="222"/>
      <c r="G236" s="250"/>
      <c r="H236" s="250"/>
      <c r="I236" s="216"/>
      <c r="J236" s="56"/>
      <c r="K236" s="56"/>
      <c r="L236" s="216"/>
      <c r="M236" s="216"/>
      <c r="N236" s="216"/>
      <c r="O236" s="56"/>
      <c r="P236" s="218"/>
      <c r="Q236" s="218"/>
      <c r="R236" s="218"/>
      <c r="S236" s="266"/>
      <c r="T236" s="266"/>
      <c r="U236" s="266"/>
      <c r="V236" s="266"/>
      <c r="W236" s="266"/>
      <c r="X236" s="266"/>
      <c r="Y236" s="216"/>
      <c r="Z236" s="21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  <c r="AP236" s="266"/>
      <c r="AQ236" s="216"/>
      <c r="AR236" s="216"/>
      <c r="AS236" s="216"/>
      <c r="AT236" s="267"/>
      <c r="AU236" s="218"/>
      <c r="AV236" s="188"/>
      <c r="AW236" s="219"/>
      <c r="AX236" s="219"/>
      <c r="AY236" s="220"/>
      <c r="AZ236" s="219"/>
      <c r="BA236" s="219"/>
      <c r="BB236" s="219"/>
      <c r="BC236" s="219"/>
      <c r="BD236" s="221"/>
      <c r="BE236" s="98"/>
      <c r="BF236" s="10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</row>
    <row r="237">
      <c r="A237" s="6"/>
      <c r="B237" s="98"/>
      <c r="C237" s="212"/>
      <c r="D237" s="98"/>
      <c r="E237" s="213"/>
      <c r="F237" s="222"/>
      <c r="G237" s="250"/>
      <c r="H237" s="250"/>
      <c r="I237" s="216"/>
      <c r="J237" s="56"/>
      <c r="K237" s="56"/>
      <c r="L237" s="216"/>
      <c r="M237" s="216"/>
      <c r="N237" s="216"/>
      <c r="O237" s="216"/>
      <c r="P237" s="218"/>
      <c r="Q237" s="268"/>
      <c r="R237" s="218"/>
      <c r="S237" s="266"/>
      <c r="T237" s="266"/>
      <c r="U237" s="266"/>
      <c r="V237" s="266"/>
      <c r="W237" s="266"/>
      <c r="X237" s="266"/>
      <c r="Y237" s="216"/>
      <c r="Z237" s="216"/>
      <c r="AA237" s="266"/>
      <c r="AB237" s="266"/>
      <c r="AC237" s="266"/>
      <c r="AD237" s="266"/>
      <c r="AE237" s="266"/>
      <c r="AF237" s="266"/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16"/>
      <c r="AR237" s="216"/>
      <c r="AS237" s="216"/>
      <c r="AT237" s="267"/>
      <c r="AU237" s="218"/>
      <c r="AV237" s="188"/>
      <c r="AW237" s="219"/>
      <c r="AX237" s="219"/>
      <c r="AY237" s="220"/>
      <c r="AZ237" s="219"/>
      <c r="BA237" s="219"/>
      <c r="BB237" s="219"/>
      <c r="BC237" s="219"/>
      <c r="BD237" s="221"/>
      <c r="BE237" s="98"/>
      <c r="BF237" s="10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</row>
    <row r="238">
      <c r="A238" s="6"/>
      <c r="B238" s="98"/>
      <c r="C238" s="212"/>
      <c r="D238" s="98"/>
      <c r="E238" s="213"/>
      <c r="F238" s="222"/>
      <c r="G238" s="250"/>
      <c r="H238" s="250"/>
      <c r="I238" s="216"/>
      <c r="J238" s="216"/>
      <c r="K238" s="56"/>
      <c r="L238" s="216"/>
      <c r="M238" s="216"/>
      <c r="N238" s="216"/>
      <c r="O238" s="216"/>
      <c r="P238" s="218"/>
      <c r="Q238" s="268"/>
      <c r="R238" s="218"/>
      <c r="S238" s="266"/>
      <c r="T238" s="266"/>
      <c r="U238" s="266"/>
      <c r="V238" s="266"/>
      <c r="W238" s="266"/>
      <c r="X238" s="266"/>
      <c r="Y238" s="216"/>
      <c r="Z238" s="21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266"/>
      <c r="AQ238" s="216"/>
      <c r="AR238" s="216"/>
      <c r="AS238" s="216"/>
      <c r="AT238" s="267"/>
      <c r="AU238" s="218"/>
      <c r="AV238" s="188"/>
      <c r="AW238" s="219"/>
      <c r="AX238" s="219"/>
      <c r="AY238" s="220"/>
      <c r="AZ238" s="219"/>
      <c r="BA238" s="219"/>
      <c r="BB238" s="219"/>
      <c r="BC238" s="219"/>
      <c r="BD238" s="221"/>
      <c r="BE238" s="98"/>
      <c r="BF238" s="10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</row>
    <row r="239">
      <c r="A239" s="6"/>
      <c r="B239" s="98"/>
      <c r="C239" s="212"/>
      <c r="D239" s="98"/>
      <c r="E239" s="213"/>
      <c r="F239" s="222"/>
      <c r="G239" s="220"/>
      <c r="H239" s="220"/>
      <c r="I239" s="216"/>
      <c r="J239" s="216"/>
      <c r="K239" s="56"/>
      <c r="L239" s="216"/>
      <c r="M239" s="216"/>
      <c r="N239" s="216"/>
      <c r="O239" s="216"/>
      <c r="P239" s="218"/>
      <c r="Q239" s="268"/>
      <c r="R239" s="218"/>
      <c r="S239" s="266"/>
      <c r="T239" s="266"/>
      <c r="U239" s="266"/>
      <c r="V239" s="266"/>
      <c r="W239" s="266"/>
      <c r="X239" s="266"/>
      <c r="Y239" s="216"/>
      <c r="Z239" s="21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266"/>
      <c r="AQ239" s="216"/>
      <c r="AR239" s="216"/>
      <c r="AS239" s="216"/>
      <c r="AT239" s="267"/>
      <c r="AU239" s="218"/>
      <c r="AV239" s="188"/>
      <c r="AW239" s="219"/>
      <c r="AX239" s="219"/>
      <c r="AY239" s="220"/>
      <c r="AZ239" s="219"/>
      <c r="BA239" s="219"/>
      <c r="BB239" s="219"/>
      <c r="BC239" s="219"/>
      <c r="BD239" s="261"/>
      <c r="BE239" s="98"/>
      <c r="BF239" s="10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</row>
    <row r="240">
      <c r="A240" s="6"/>
      <c r="B240" s="98"/>
      <c r="C240" s="212"/>
      <c r="D240" s="98"/>
      <c r="E240" s="213"/>
      <c r="F240" s="222"/>
      <c r="G240" s="250"/>
      <c r="H240" s="250"/>
      <c r="I240" s="216"/>
      <c r="J240" s="216"/>
      <c r="K240" s="56"/>
      <c r="L240" s="216"/>
      <c r="M240" s="216"/>
      <c r="N240" s="216"/>
      <c r="O240" s="216"/>
      <c r="P240" s="218"/>
      <c r="Q240" s="268"/>
      <c r="R240" s="218"/>
      <c r="S240" s="266"/>
      <c r="T240" s="266"/>
      <c r="U240" s="266"/>
      <c r="V240" s="266"/>
      <c r="W240" s="266"/>
      <c r="X240" s="266"/>
      <c r="Y240" s="216"/>
      <c r="Z240" s="216"/>
      <c r="AA240" s="266"/>
      <c r="AB240" s="266"/>
      <c r="AC240" s="266"/>
      <c r="AD240" s="266"/>
      <c r="AE240" s="266"/>
      <c r="AF240" s="266"/>
      <c r="AG240" s="266"/>
      <c r="AH240" s="266"/>
      <c r="AI240" s="266"/>
      <c r="AJ240" s="266"/>
      <c r="AK240" s="266"/>
      <c r="AL240" s="266"/>
      <c r="AM240" s="266"/>
      <c r="AN240" s="266"/>
      <c r="AO240" s="266"/>
      <c r="AP240" s="266"/>
      <c r="AQ240" s="216"/>
      <c r="AR240" s="216"/>
      <c r="AS240" s="216"/>
      <c r="AT240" s="267"/>
      <c r="AU240" s="218"/>
      <c r="AV240" s="188"/>
      <c r="AW240" s="219"/>
      <c r="AX240" s="219"/>
      <c r="AY240" s="220"/>
      <c r="AZ240" s="219"/>
      <c r="BA240" s="219"/>
      <c r="BB240" s="219"/>
      <c r="BC240" s="219"/>
      <c r="BD240" s="221"/>
      <c r="BE240" s="98"/>
      <c r="BF240" s="10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</row>
    <row r="241">
      <c r="A241" s="6"/>
      <c r="B241" s="98"/>
      <c r="C241" s="212"/>
      <c r="D241" s="98"/>
      <c r="E241" s="213"/>
      <c r="F241" s="222"/>
      <c r="G241" s="250"/>
      <c r="H241" s="250"/>
      <c r="I241" s="216"/>
      <c r="J241" s="56"/>
      <c r="K241" s="56"/>
      <c r="L241" s="216"/>
      <c r="M241" s="216"/>
      <c r="N241" s="216"/>
      <c r="O241" s="216"/>
      <c r="P241" s="218"/>
      <c r="Q241" s="268"/>
      <c r="R241" s="218"/>
      <c r="S241" s="266"/>
      <c r="T241" s="266"/>
      <c r="U241" s="266"/>
      <c r="V241" s="266"/>
      <c r="W241" s="266"/>
      <c r="X241" s="266"/>
      <c r="Y241" s="216"/>
      <c r="Z241" s="216"/>
      <c r="AA241" s="266"/>
      <c r="AB241" s="266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  <c r="AP241" s="266"/>
      <c r="AQ241" s="216"/>
      <c r="AR241" s="216"/>
      <c r="AS241" s="216"/>
      <c r="AT241" s="267"/>
      <c r="AU241" s="218"/>
      <c r="AV241" s="188"/>
      <c r="AW241" s="219"/>
      <c r="AX241" s="219"/>
      <c r="AY241" s="220"/>
      <c r="AZ241" s="219"/>
      <c r="BA241" s="219"/>
      <c r="BB241" s="219"/>
      <c r="BC241" s="219"/>
      <c r="BD241" s="221"/>
      <c r="BE241" s="98"/>
      <c r="BF241" s="10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</row>
    <row r="242">
      <c r="A242" s="6"/>
      <c r="B242" s="98"/>
      <c r="C242" s="212"/>
      <c r="D242" s="98"/>
      <c r="E242" s="213"/>
      <c r="F242" s="222"/>
      <c r="G242" s="250"/>
      <c r="H242" s="250"/>
      <c r="I242" s="216"/>
      <c r="J242" s="216"/>
      <c r="K242" s="56"/>
      <c r="L242" s="216"/>
      <c r="M242" s="216"/>
      <c r="N242" s="216"/>
      <c r="O242" s="216"/>
      <c r="P242" s="218"/>
      <c r="Q242" s="268"/>
      <c r="R242" s="218"/>
      <c r="S242" s="266"/>
      <c r="T242" s="266"/>
      <c r="U242" s="266"/>
      <c r="V242" s="266"/>
      <c r="W242" s="266"/>
      <c r="X242" s="266"/>
      <c r="Y242" s="216"/>
      <c r="Z242" s="216"/>
      <c r="AA242" s="266"/>
      <c r="AB242" s="266"/>
      <c r="AC242" s="266"/>
      <c r="AD242" s="266"/>
      <c r="AE242" s="266"/>
      <c r="AF242" s="266"/>
      <c r="AG242" s="266"/>
      <c r="AH242" s="266"/>
      <c r="AI242" s="266"/>
      <c r="AJ242" s="266"/>
      <c r="AK242" s="266"/>
      <c r="AL242" s="266"/>
      <c r="AM242" s="266"/>
      <c r="AN242" s="266"/>
      <c r="AO242" s="266"/>
      <c r="AP242" s="266"/>
      <c r="AQ242" s="216"/>
      <c r="AR242" s="216"/>
      <c r="AS242" s="216"/>
      <c r="AT242" s="267"/>
      <c r="AU242" s="218"/>
      <c r="AV242" s="188"/>
      <c r="AW242" s="219"/>
      <c r="AX242" s="219"/>
      <c r="AY242" s="220"/>
      <c r="AZ242" s="219"/>
      <c r="BA242" s="219"/>
      <c r="BB242" s="219"/>
      <c r="BC242" s="219"/>
      <c r="BD242" s="221"/>
      <c r="BE242" s="98"/>
      <c r="BF242" s="10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</row>
    <row r="243">
      <c r="A243" s="6"/>
      <c r="B243" s="98"/>
      <c r="C243" s="212"/>
      <c r="D243" s="98"/>
      <c r="E243" s="213"/>
      <c r="F243" s="222"/>
      <c r="G243" s="250"/>
      <c r="H243" s="250"/>
      <c r="I243" s="216"/>
      <c r="J243" s="56"/>
      <c r="K243" s="56"/>
      <c r="L243" s="216"/>
      <c r="M243" s="216"/>
      <c r="N243" s="216"/>
      <c r="O243" s="216"/>
      <c r="P243" s="218"/>
      <c r="Q243" s="268"/>
      <c r="R243" s="218"/>
      <c r="S243" s="266"/>
      <c r="T243" s="266"/>
      <c r="U243" s="266"/>
      <c r="V243" s="266"/>
      <c r="W243" s="266"/>
      <c r="X243" s="266"/>
      <c r="Y243" s="216"/>
      <c r="Z243" s="216"/>
      <c r="AA243" s="266"/>
      <c r="AB243" s="266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  <c r="AP243" s="266"/>
      <c r="AQ243" s="216"/>
      <c r="AR243" s="216"/>
      <c r="AS243" s="216"/>
      <c r="AT243" s="267"/>
      <c r="AU243" s="218"/>
      <c r="AV243" s="188"/>
      <c r="AW243" s="219"/>
      <c r="AX243" s="219"/>
      <c r="AY243" s="220"/>
      <c r="AZ243" s="219"/>
      <c r="BA243" s="219"/>
      <c r="BB243" s="219"/>
      <c r="BC243" s="219"/>
      <c r="BD243" s="221"/>
      <c r="BE243" s="98"/>
      <c r="BF243" s="10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</row>
    <row r="244">
      <c r="A244" s="6"/>
      <c r="B244" s="98"/>
      <c r="C244" s="212"/>
      <c r="D244" s="98"/>
      <c r="E244" s="213"/>
      <c r="F244" s="222"/>
      <c r="G244" s="250"/>
      <c r="H244" s="250"/>
      <c r="I244" s="216"/>
      <c r="J244" s="56"/>
      <c r="K244" s="56"/>
      <c r="L244" s="216"/>
      <c r="M244" s="216"/>
      <c r="N244" s="216"/>
      <c r="O244" s="56"/>
      <c r="P244" s="218"/>
      <c r="Q244" s="268"/>
      <c r="R244" s="218"/>
      <c r="S244" s="266"/>
      <c r="T244" s="266"/>
      <c r="U244" s="266"/>
      <c r="V244" s="266"/>
      <c r="W244" s="266"/>
      <c r="X244" s="266"/>
      <c r="Y244" s="216"/>
      <c r="Z244" s="216"/>
      <c r="AA244" s="266"/>
      <c r="AB244" s="266"/>
      <c r="AC244" s="266"/>
      <c r="AD244" s="266"/>
      <c r="AE244" s="266"/>
      <c r="AF244" s="266"/>
      <c r="AG244" s="266"/>
      <c r="AH244" s="266"/>
      <c r="AI244" s="266"/>
      <c r="AJ244" s="266"/>
      <c r="AK244" s="266"/>
      <c r="AL244" s="266"/>
      <c r="AM244" s="266"/>
      <c r="AN244" s="266"/>
      <c r="AO244" s="266"/>
      <c r="AP244" s="266"/>
      <c r="AQ244" s="216"/>
      <c r="AR244" s="216"/>
      <c r="AS244" s="216"/>
      <c r="AT244" s="267"/>
      <c r="AU244" s="218"/>
      <c r="AV244" s="188"/>
      <c r="AW244" s="219"/>
      <c r="AX244" s="219"/>
      <c r="AY244" s="220"/>
      <c r="AZ244" s="219"/>
      <c r="BA244" s="219"/>
      <c r="BB244" s="219"/>
      <c r="BC244" s="219"/>
      <c r="BD244" s="221"/>
      <c r="BE244" s="98"/>
      <c r="BF244" s="10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</row>
    <row r="245">
      <c r="A245" s="6"/>
      <c r="B245" s="98"/>
      <c r="C245" s="212"/>
      <c r="D245" s="98"/>
      <c r="E245" s="213"/>
      <c r="F245" s="222"/>
      <c r="G245" s="250"/>
      <c r="H245" s="250"/>
      <c r="I245" s="216"/>
      <c r="J245" s="56"/>
      <c r="K245" s="56"/>
      <c r="L245" s="216"/>
      <c r="M245" s="216"/>
      <c r="N245" s="216"/>
      <c r="O245" s="216"/>
      <c r="P245" s="218"/>
      <c r="Q245" s="268"/>
      <c r="R245" s="218"/>
      <c r="S245" s="266"/>
      <c r="T245" s="266"/>
      <c r="U245" s="266"/>
      <c r="V245" s="266"/>
      <c r="W245" s="266"/>
      <c r="X245" s="266"/>
      <c r="Y245" s="216"/>
      <c r="Z245" s="216"/>
      <c r="AA245" s="266"/>
      <c r="AB245" s="266"/>
      <c r="AC245" s="266"/>
      <c r="AD245" s="266"/>
      <c r="AE245" s="266"/>
      <c r="AF245" s="266"/>
      <c r="AG245" s="266"/>
      <c r="AH245" s="266"/>
      <c r="AI245" s="266"/>
      <c r="AJ245" s="266"/>
      <c r="AK245" s="266"/>
      <c r="AL245" s="266"/>
      <c r="AM245" s="266"/>
      <c r="AN245" s="266"/>
      <c r="AO245" s="266"/>
      <c r="AP245" s="266"/>
      <c r="AQ245" s="216"/>
      <c r="AR245" s="216"/>
      <c r="AS245" s="216"/>
      <c r="AT245" s="260"/>
      <c r="AU245" s="218"/>
      <c r="AV245" s="188"/>
      <c r="AW245" s="219"/>
      <c r="AX245" s="219"/>
      <c r="AY245" s="220"/>
      <c r="AZ245" s="219"/>
      <c r="BA245" s="219"/>
      <c r="BB245" s="219"/>
      <c r="BC245" s="219"/>
      <c r="BD245" s="221"/>
      <c r="BE245" s="98"/>
      <c r="BF245" s="10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</row>
    <row r="246">
      <c r="A246" s="6"/>
      <c r="B246" s="98"/>
      <c r="C246" s="212"/>
      <c r="D246" s="98"/>
      <c r="E246" s="213"/>
      <c r="F246" s="222"/>
      <c r="G246" s="250"/>
      <c r="H246" s="250"/>
      <c r="I246" s="216"/>
      <c r="J246" s="216"/>
      <c r="K246" s="56"/>
      <c r="L246" s="216"/>
      <c r="M246" s="216"/>
      <c r="N246" s="216"/>
      <c r="O246" s="216"/>
      <c r="P246" s="218"/>
      <c r="Q246" s="268"/>
      <c r="R246" s="218"/>
      <c r="S246" s="266"/>
      <c r="T246" s="266"/>
      <c r="U246" s="266"/>
      <c r="V246" s="266"/>
      <c r="W246" s="266"/>
      <c r="X246" s="266"/>
      <c r="Y246" s="216"/>
      <c r="Z246" s="216"/>
      <c r="AA246" s="266"/>
      <c r="AB246" s="266"/>
      <c r="AC246" s="266"/>
      <c r="AD246" s="266"/>
      <c r="AE246" s="266"/>
      <c r="AF246" s="266"/>
      <c r="AG246" s="266"/>
      <c r="AH246" s="266"/>
      <c r="AI246" s="266"/>
      <c r="AJ246" s="266"/>
      <c r="AK246" s="266"/>
      <c r="AL246" s="266"/>
      <c r="AM246" s="266"/>
      <c r="AN246" s="266"/>
      <c r="AO246" s="266"/>
      <c r="AP246" s="266"/>
      <c r="AQ246" s="216"/>
      <c r="AR246" s="216"/>
      <c r="AS246" s="216"/>
      <c r="AT246" s="267"/>
      <c r="AU246" s="218"/>
      <c r="AV246" s="188"/>
      <c r="AW246" s="219"/>
      <c r="AX246" s="219"/>
      <c r="AY246" s="220"/>
      <c r="AZ246" s="219"/>
      <c r="BA246" s="219"/>
      <c r="BB246" s="219"/>
      <c r="BC246" s="219"/>
      <c r="BD246" s="221"/>
      <c r="BE246" s="98"/>
      <c r="BF246" s="10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</row>
    <row r="247">
      <c r="A247" s="6"/>
      <c r="B247" s="98"/>
      <c r="C247" s="212"/>
      <c r="D247" s="98"/>
      <c r="E247" s="213"/>
      <c r="F247" s="222"/>
      <c r="G247" s="250"/>
      <c r="H247" s="250"/>
      <c r="I247" s="216"/>
      <c r="J247" s="56"/>
      <c r="K247" s="56"/>
      <c r="L247" s="216"/>
      <c r="M247" s="216"/>
      <c r="N247" s="216"/>
      <c r="O247" s="216"/>
      <c r="P247" s="218"/>
      <c r="Q247" s="268"/>
      <c r="R247" s="218"/>
      <c r="S247" s="266"/>
      <c r="T247" s="266"/>
      <c r="U247" s="266"/>
      <c r="V247" s="266"/>
      <c r="W247" s="266"/>
      <c r="X247" s="266"/>
      <c r="Y247" s="216"/>
      <c r="Z247" s="216"/>
      <c r="AA247" s="266"/>
      <c r="AB247" s="266"/>
      <c r="AC247" s="266"/>
      <c r="AD247" s="266"/>
      <c r="AE247" s="266"/>
      <c r="AF247" s="266"/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266"/>
      <c r="AQ247" s="216"/>
      <c r="AR247" s="216"/>
      <c r="AS247" s="216"/>
      <c r="AT247" s="267"/>
      <c r="AU247" s="218"/>
      <c r="AV247" s="188"/>
      <c r="AW247" s="219"/>
      <c r="AX247" s="219"/>
      <c r="AY247" s="220"/>
      <c r="AZ247" s="219"/>
      <c r="BA247" s="219"/>
      <c r="BB247" s="219"/>
      <c r="BC247" s="219"/>
      <c r="BD247" s="221"/>
      <c r="BE247" s="98"/>
      <c r="BF247" s="10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</row>
    <row r="248">
      <c r="A248" s="6"/>
      <c r="B248" s="6"/>
      <c r="C248" s="6"/>
      <c r="D248" s="6"/>
      <c r="E248" s="6"/>
      <c r="F248" s="18"/>
      <c r="G248" s="18"/>
      <c r="H248" s="18"/>
      <c r="I248" s="6"/>
      <c r="J248" s="6"/>
      <c r="K248" s="6"/>
      <c r="L248" s="6"/>
      <c r="M248" s="6"/>
      <c r="N248" s="6"/>
      <c r="O248" s="6"/>
      <c r="P248" s="229"/>
      <c r="Q248" s="6"/>
      <c r="R248" s="229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229"/>
      <c r="AV248" s="229"/>
      <c r="AW248" s="18"/>
      <c r="AX248" s="18"/>
      <c r="AY248" s="231"/>
      <c r="AZ248" s="18"/>
      <c r="BA248" s="18"/>
      <c r="BB248" s="18"/>
      <c r="BC248" s="18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</row>
    <row r="249">
      <c r="A249" s="6"/>
      <c r="B249" s="6"/>
      <c r="C249" s="6"/>
      <c r="D249" s="6"/>
      <c r="E249" s="6"/>
      <c r="F249" s="18"/>
      <c r="G249" s="18"/>
      <c r="H249" s="18"/>
      <c r="I249" s="6"/>
      <c r="J249" s="6"/>
      <c r="K249" s="6"/>
      <c r="L249" s="6"/>
      <c r="M249" s="6"/>
      <c r="N249" s="6"/>
      <c r="O249" s="6"/>
      <c r="P249" s="229"/>
      <c r="Q249" s="6"/>
      <c r="R249" s="229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229"/>
      <c r="AV249" s="229"/>
      <c r="AW249" s="18"/>
      <c r="AX249" s="18"/>
      <c r="AY249" s="231"/>
      <c r="AZ249" s="18"/>
      <c r="BA249" s="18"/>
      <c r="BB249" s="18"/>
      <c r="BC249" s="18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</row>
    <row r="250">
      <c r="A250" s="6"/>
      <c r="B250" s="6"/>
      <c r="C250" s="6"/>
      <c r="D250" s="6"/>
      <c r="E250" s="6"/>
      <c r="F250" s="18"/>
      <c r="G250" s="18"/>
      <c r="H250" s="18"/>
      <c r="I250" s="6"/>
      <c r="J250" s="6"/>
      <c r="K250" s="6"/>
      <c r="L250" s="6"/>
      <c r="M250" s="6"/>
      <c r="N250" s="6"/>
      <c r="O250" s="6"/>
      <c r="P250" s="229"/>
      <c r="Q250" s="6"/>
      <c r="R250" s="229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229"/>
      <c r="AV250" s="229"/>
      <c r="AW250" s="18"/>
      <c r="AX250" s="18"/>
      <c r="AY250" s="231"/>
      <c r="AZ250" s="18"/>
      <c r="BA250" s="18"/>
      <c r="BB250" s="18"/>
      <c r="BC250" s="18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</row>
    <row r="251">
      <c r="A251" s="6"/>
      <c r="B251" s="6"/>
      <c r="C251" s="6"/>
      <c r="D251" s="6"/>
      <c r="E251" s="6"/>
      <c r="F251" s="18"/>
      <c r="G251" s="18"/>
      <c r="H251" s="18"/>
      <c r="I251" s="6"/>
      <c r="J251" s="6"/>
      <c r="K251" s="6"/>
      <c r="L251" s="6"/>
      <c r="M251" s="6"/>
      <c r="N251" s="6"/>
      <c r="O251" s="6"/>
      <c r="P251" s="229"/>
      <c r="Q251" s="6"/>
      <c r="R251" s="229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229"/>
      <c r="AV251" s="229"/>
      <c r="AW251" s="18"/>
      <c r="AX251" s="18"/>
      <c r="AY251" s="231"/>
      <c r="AZ251" s="18"/>
      <c r="BA251" s="18"/>
      <c r="BB251" s="18"/>
      <c r="BC251" s="18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</row>
    <row r="252">
      <c r="A252" s="6"/>
      <c r="B252" s="6"/>
      <c r="C252" s="6"/>
      <c r="D252" s="6"/>
      <c r="E252" s="6"/>
      <c r="F252" s="18"/>
      <c r="G252" s="18"/>
      <c r="H252" s="18"/>
      <c r="I252" s="6"/>
      <c r="J252" s="6"/>
      <c r="K252" s="6"/>
      <c r="L252" s="6"/>
      <c r="M252" s="6"/>
      <c r="N252" s="6"/>
      <c r="O252" s="6"/>
      <c r="P252" s="229"/>
      <c r="Q252" s="6"/>
      <c r="R252" s="229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229"/>
      <c r="AV252" s="229"/>
      <c r="AW252" s="18"/>
      <c r="AX252" s="18"/>
      <c r="AY252" s="231"/>
      <c r="AZ252" s="18"/>
      <c r="BA252" s="18"/>
      <c r="BB252" s="18"/>
      <c r="BC252" s="18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</row>
    <row r="253">
      <c r="A253" s="6"/>
      <c r="B253" s="6"/>
      <c r="C253" s="6"/>
      <c r="D253" s="6"/>
      <c r="E253" s="6"/>
      <c r="F253" s="18"/>
      <c r="G253" s="18"/>
      <c r="H253" s="18"/>
      <c r="I253" s="6"/>
      <c r="J253" s="6"/>
      <c r="K253" s="6"/>
      <c r="L253" s="6"/>
      <c r="M253" s="6"/>
      <c r="N253" s="6"/>
      <c r="O253" s="6"/>
      <c r="P253" s="229"/>
      <c r="Q253" s="6"/>
      <c r="R253" s="229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229"/>
      <c r="AV253" s="229"/>
      <c r="AW253" s="18"/>
      <c r="AX253" s="18"/>
      <c r="AY253" s="231"/>
      <c r="AZ253" s="18"/>
      <c r="BA253" s="18"/>
      <c r="BB253" s="18"/>
      <c r="BC253" s="18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</row>
    <row r="254">
      <c r="A254" s="6"/>
      <c r="B254" s="6"/>
      <c r="C254" s="6"/>
      <c r="D254" s="6"/>
      <c r="E254" s="6"/>
      <c r="F254" s="18"/>
      <c r="G254" s="18"/>
      <c r="H254" s="18"/>
      <c r="I254" s="6"/>
      <c r="J254" s="6"/>
      <c r="K254" s="6"/>
      <c r="L254" s="6"/>
      <c r="M254" s="6"/>
      <c r="N254" s="6"/>
      <c r="O254" s="6"/>
      <c r="P254" s="229"/>
      <c r="Q254" s="6"/>
      <c r="R254" s="229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229"/>
      <c r="AV254" s="229"/>
      <c r="AW254" s="18"/>
      <c r="AX254" s="18"/>
      <c r="AY254" s="231"/>
      <c r="AZ254" s="18"/>
      <c r="BA254" s="18"/>
      <c r="BB254" s="18"/>
      <c r="BC254" s="18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</row>
    <row r="255">
      <c r="A255" s="6"/>
      <c r="B255" s="6"/>
      <c r="C255" s="6"/>
      <c r="D255" s="6"/>
      <c r="E255" s="6"/>
      <c r="F255" s="18"/>
      <c r="G255" s="18"/>
      <c r="H255" s="18"/>
      <c r="I255" s="6"/>
      <c r="J255" s="6"/>
      <c r="K255" s="6"/>
      <c r="L255" s="6"/>
      <c r="M255" s="6"/>
      <c r="N255" s="6"/>
      <c r="O255" s="6"/>
      <c r="P255" s="229"/>
      <c r="Q255" s="6"/>
      <c r="R255" s="229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229"/>
      <c r="AV255" s="229"/>
      <c r="AW255" s="18"/>
      <c r="AX255" s="18"/>
      <c r="AY255" s="231"/>
      <c r="AZ255" s="18"/>
      <c r="BA255" s="18"/>
      <c r="BB255" s="18"/>
      <c r="BC255" s="18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</row>
    <row r="256">
      <c r="A256" s="6"/>
      <c r="B256" s="6"/>
      <c r="C256" s="6"/>
      <c r="D256" s="6"/>
      <c r="E256" s="6"/>
      <c r="F256" s="18"/>
      <c r="G256" s="18"/>
      <c r="H256" s="18"/>
      <c r="I256" s="6"/>
      <c r="J256" s="6"/>
      <c r="K256" s="6"/>
      <c r="L256" s="6"/>
      <c r="M256" s="6"/>
      <c r="N256" s="6"/>
      <c r="O256" s="6"/>
      <c r="P256" s="229"/>
      <c r="Q256" s="6"/>
      <c r="R256" s="229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229"/>
      <c r="AV256" s="229"/>
      <c r="AW256" s="18"/>
      <c r="AX256" s="18"/>
      <c r="AY256" s="231"/>
      <c r="AZ256" s="18"/>
      <c r="BA256" s="18"/>
      <c r="BB256" s="18"/>
      <c r="BC256" s="18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</row>
    <row r="257">
      <c r="A257" s="6"/>
      <c r="B257" s="6"/>
      <c r="C257" s="6"/>
      <c r="D257" s="6"/>
      <c r="E257" s="6"/>
      <c r="F257" s="18"/>
      <c r="G257" s="18"/>
      <c r="H257" s="18"/>
      <c r="I257" s="6"/>
      <c r="J257" s="6"/>
      <c r="K257" s="6"/>
      <c r="L257" s="6"/>
      <c r="M257" s="6"/>
      <c r="N257" s="6"/>
      <c r="O257" s="6"/>
      <c r="P257" s="229"/>
      <c r="Q257" s="6"/>
      <c r="R257" s="229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229"/>
      <c r="AV257" s="229"/>
      <c r="AW257" s="18"/>
      <c r="AX257" s="18"/>
      <c r="AY257" s="231"/>
      <c r="AZ257" s="18"/>
      <c r="BA257" s="18"/>
      <c r="BB257" s="18"/>
      <c r="BC257" s="18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</row>
    <row r="258">
      <c r="A258" s="6"/>
      <c r="B258" s="6"/>
      <c r="C258" s="6"/>
      <c r="D258" s="6"/>
      <c r="E258" s="6"/>
      <c r="F258" s="18"/>
      <c r="G258" s="18"/>
      <c r="H258" s="18"/>
      <c r="I258" s="6"/>
      <c r="J258" s="6"/>
      <c r="K258" s="6"/>
      <c r="L258" s="6"/>
      <c r="M258" s="6"/>
      <c r="N258" s="6"/>
      <c r="O258" s="6"/>
      <c r="P258" s="229"/>
      <c r="Q258" s="6"/>
      <c r="R258" s="229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229"/>
      <c r="AV258" s="229"/>
      <c r="AW258" s="18"/>
      <c r="AX258" s="18"/>
      <c r="AY258" s="231"/>
      <c r="AZ258" s="18"/>
      <c r="BA258" s="18"/>
      <c r="BB258" s="18"/>
      <c r="BC258" s="18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</row>
    <row r="259">
      <c r="A259" s="6"/>
      <c r="B259" s="6"/>
      <c r="C259" s="6"/>
      <c r="D259" s="6"/>
      <c r="E259" s="6"/>
      <c r="F259" s="18"/>
      <c r="G259" s="18"/>
      <c r="H259" s="18"/>
      <c r="I259" s="6"/>
      <c r="J259" s="6"/>
      <c r="K259" s="6"/>
      <c r="L259" s="6"/>
      <c r="M259" s="6"/>
      <c r="N259" s="6"/>
      <c r="O259" s="6"/>
      <c r="P259" s="229"/>
      <c r="Q259" s="6"/>
      <c r="R259" s="229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229"/>
      <c r="AV259" s="229"/>
      <c r="AW259" s="18"/>
      <c r="AX259" s="18"/>
      <c r="AY259" s="231"/>
      <c r="AZ259" s="18"/>
      <c r="BA259" s="18"/>
      <c r="BB259" s="18"/>
      <c r="BC259" s="18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</row>
    <row r="260">
      <c r="A260" s="6"/>
      <c r="B260" s="6"/>
      <c r="C260" s="6"/>
      <c r="D260" s="6"/>
      <c r="E260" s="6"/>
      <c r="F260" s="18"/>
      <c r="G260" s="18"/>
      <c r="H260" s="18"/>
      <c r="I260" s="6"/>
      <c r="J260" s="6"/>
      <c r="K260" s="6"/>
      <c r="L260" s="6"/>
      <c r="M260" s="6"/>
      <c r="N260" s="6"/>
      <c r="O260" s="6"/>
      <c r="P260" s="229"/>
      <c r="Q260" s="6"/>
      <c r="R260" s="229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229"/>
      <c r="AV260" s="229"/>
      <c r="AW260" s="18"/>
      <c r="AX260" s="18"/>
      <c r="AY260" s="231"/>
      <c r="AZ260" s="18"/>
      <c r="BA260" s="18"/>
      <c r="BB260" s="18"/>
      <c r="BC260" s="18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</row>
    <row r="261">
      <c r="A261" s="6"/>
      <c r="B261" s="6"/>
      <c r="C261" s="6"/>
      <c r="D261" s="6"/>
      <c r="E261" s="6"/>
      <c r="F261" s="18"/>
      <c r="G261" s="18"/>
      <c r="H261" s="18"/>
      <c r="I261" s="6"/>
      <c r="J261" s="6"/>
      <c r="K261" s="6"/>
      <c r="L261" s="6"/>
      <c r="M261" s="6"/>
      <c r="N261" s="6"/>
      <c r="O261" s="6"/>
      <c r="P261" s="229"/>
      <c r="Q261" s="6"/>
      <c r="R261" s="229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229"/>
      <c r="AV261" s="229"/>
      <c r="AW261" s="18"/>
      <c r="AX261" s="18"/>
      <c r="AY261" s="231"/>
      <c r="AZ261" s="18"/>
      <c r="BA261" s="18"/>
      <c r="BB261" s="18"/>
      <c r="BC261" s="18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</row>
    <row r="262">
      <c r="A262" s="6"/>
      <c r="B262" s="6"/>
      <c r="C262" s="6"/>
      <c r="D262" s="6"/>
      <c r="E262" s="6"/>
      <c r="F262" s="18"/>
      <c r="G262" s="18"/>
      <c r="H262" s="18"/>
      <c r="I262" s="6"/>
      <c r="J262" s="6"/>
      <c r="K262" s="6"/>
      <c r="L262" s="6"/>
      <c r="M262" s="6"/>
      <c r="N262" s="6"/>
      <c r="O262" s="6"/>
      <c r="P262" s="229"/>
      <c r="Q262" s="6"/>
      <c r="R262" s="229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229"/>
      <c r="AV262" s="229"/>
      <c r="AW262" s="18"/>
      <c r="AX262" s="18"/>
      <c r="AY262" s="231"/>
      <c r="AZ262" s="18"/>
      <c r="BA262" s="18"/>
      <c r="BB262" s="18"/>
      <c r="BC262" s="18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</row>
    <row r="263">
      <c r="A263" s="6"/>
      <c r="B263" s="6"/>
      <c r="C263" s="6"/>
      <c r="D263" s="6"/>
      <c r="E263" s="6"/>
      <c r="F263" s="18"/>
      <c r="G263" s="18"/>
      <c r="H263" s="18"/>
      <c r="I263" s="6"/>
      <c r="J263" s="6"/>
      <c r="K263" s="6"/>
      <c r="L263" s="6"/>
      <c r="M263" s="6"/>
      <c r="N263" s="6"/>
      <c r="O263" s="6"/>
      <c r="P263" s="229"/>
      <c r="Q263" s="6"/>
      <c r="R263" s="229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229"/>
      <c r="AV263" s="229"/>
      <c r="AW263" s="18"/>
      <c r="AX263" s="18"/>
      <c r="AY263" s="231"/>
      <c r="AZ263" s="18"/>
      <c r="BA263" s="18"/>
      <c r="BB263" s="18"/>
      <c r="BC263" s="18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</row>
    <row r="264">
      <c r="A264" s="6"/>
      <c r="B264" s="6"/>
      <c r="C264" s="6"/>
      <c r="D264" s="6"/>
      <c r="E264" s="6"/>
      <c r="F264" s="18"/>
      <c r="G264" s="18"/>
      <c r="H264" s="18"/>
      <c r="I264" s="6"/>
      <c r="J264" s="6"/>
      <c r="K264" s="6"/>
      <c r="L264" s="6"/>
      <c r="M264" s="6"/>
      <c r="N264" s="6"/>
      <c r="O264" s="6"/>
      <c r="P264" s="229"/>
      <c r="Q264" s="6"/>
      <c r="R264" s="229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229"/>
      <c r="AV264" s="229"/>
      <c r="AW264" s="18"/>
      <c r="AX264" s="18"/>
      <c r="AY264" s="231"/>
      <c r="AZ264" s="18"/>
      <c r="BA264" s="18"/>
      <c r="BB264" s="18"/>
      <c r="BC264" s="18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</row>
    <row r="265">
      <c r="A265" s="6"/>
      <c r="B265" s="6"/>
      <c r="C265" s="6"/>
      <c r="D265" s="6"/>
      <c r="E265" s="6"/>
      <c r="F265" s="18"/>
      <c r="G265" s="18"/>
      <c r="H265" s="18"/>
      <c r="I265" s="6"/>
      <c r="J265" s="6"/>
      <c r="K265" s="6"/>
      <c r="L265" s="6"/>
      <c r="M265" s="6"/>
      <c r="N265" s="6"/>
      <c r="O265" s="6"/>
      <c r="P265" s="229"/>
      <c r="Q265" s="6"/>
      <c r="R265" s="229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229"/>
      <c r="AV265" s="229"/>
      <c r="AW265" s="18"/>
      <c r="AX265" s="18"/>
      <c r="AY265" s="231"/>
      <c r="AZ265" s="18"/>
      <c r="BA265" s="18"/>
      <c r="BB265" s="18"/>
      <c r="BC265" s="18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</row>
    <row r="266">
      <c r="A266" s="6"/>
      <c r="B266" s="6"/>
      <c r="C266" s="6"/>
      <c r="D266" s="6"/>
      <c r="E266" s="6"/>
      <c r="F266" s="18"/>
      <c r="G266" s="18"/>
      <c r="H266" s="18"/>
      <c r="I266" s="6"/>
      <c r="J266" s="6"/>
      <c r="K266" s="6"/>
      <c r="L266" s="6"/>
      <c r="M266" s="6"/>
      <c r="N266" s="6"/>
      <c r="O266" s="6"/>
      <c r="P266" s="229"/>
      <c r="Q266" s="6"/>
      <c r="R266" s="229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229"/>
      <c r="AV266" s="229"/>
      <c r="AW266" s="18"/>
      <c r="AX266" s="18"/>
      <c r="AY266" s="231"/>
      <c r="AZ266" s="18"/>
      <c r="BA266" s="18"/>
      <c r="BB266" s="18"/>
      <c r="BC266" s="18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</row>
    <row r="267">
      <c r="A267" s="6"/>
      <c r="B267" s="6"/>
      <c r="C267" s="6"/>
      <c r="D267" s="6"/>
      <c r="E267" s="6"/>
      <c r="F267" s="18"/>
      <c r="G267" s="18"/>
      <c r="H267" s="18"/>
      <c r="I267" s="6"/>
      <c r="J267" s="6"/>
      <c r="K267" s="6"/>
      <c r="L267" s="6"/>
      <c r="M267" s="6"/>
      <c r="N267" s="6"/>
      <c r="O267" s="6"/>
      <c r="P267" s="229"/>
      <c r="Q267" s="6"/>
      <c r="R267" s="229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229"/>
      <c r="AV267" s="229"/>
      <c r="AW267" s="18"/>
      <c r="AX267" s="18"/>
      <c r="AY267" s="231"/>
      <c r="AZ267" s="18"/>
      <c r="BA267" s="18"/>
      <c r="BB267" s="18"/>
      <c r="BC267" s="18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</row>
    <row r="268">
      <c r="A268" s="6"/>
      <c r="B268" s="6"/>
      <c r="C268" s="6"/>
      <c r="D268" s="6"/>
      <c r="E268" s="6"/>
      <c r="F268" s="18"/>
      <c r="G268" s="18"/>
      <c r="H268" s="18"/>
      <c r="I268" s="6"/>
      <c r="J268" s="6"/>
      <c r="K268" s="6"/>
      <c r="L268" s="6"/>
      <c r="M268" s="6"/>
      <c r="N268" s="6"/>
      <c r="O268" s="6"/>
      <c r="P268" s="229"/>
      <c r="Q268" s="6"/>
      <c r="R268" s="229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229"/>
      <c r="AV268" s="229"/>
      <c r="AW268" s="18"/>
      <c r="AX268" s="18"/>
      <c r="AY268" s="231"/>
      <c r="AZ268" s="18"/>
      <c r="BA268" s="18"/>
      <c r="BB268" s="18"/>
      <c r="BC268" s="18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</row>
    <row r="269">
      <c r="A269" s="6"/>
      <c r="B269" s="6"/>
      <c r="C269" s="6"/>
      <c r="D269" s="6"/>
      <c r="E269" s="6"/>
      <c r="F269" s="18"/>
      <c r="G269" s="18"/>
      <c r="H269" s="18"/>
      <c r="I269" s="6"/>
      <c r="J269" s="6"/>
      <c r="K269" s="6"/>
      <c r="L269" s="6"/>
      <c r="M269" s="6"/>
      <c r="N269" s="6"/>
      <c r="O269" s="6"/>
      <c r="P269" s="229"/>
      <c r="Q269" s="6"/>
      <c r="R269" s="229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229"/>
      <c r="AV269" s="229"/>
      <c r="AW269" s="18"/>
      <c r="AX269" s="18"/>
      <c r="AY269" s="231"/>
      <c r="AZ269" s="18"/>
      <c r="BA269" s="18"/>
      <c r="BB269" s="18"/>
      <c r="BC269" s="18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</row>
    <row r="270">
      <c r="A270" s="6"/>
      <c r="B270" s="6"/>
      <c r="C270" s="6"/>
      <c r="D270" s="6"/>
      <c r="E270" s="6"/>
      <c r="F270" s="18"/>
      <c r="G270" s="18"/>
      <c r="H270" s="18"/>
      <c r="I270" s="6"/>
      <c r="J270" s="6"/>
      <c r="K270" s="6"/>
      <c r="L270" s="6"/>
      <c r="M270" s="6"/>
      <c r="N270" s="6"/>
      <c r="O270" s="6"/>
      <c r="P270" s="229"/>
      <c r="Q270" s="6"/>
      <c r="R270" s="229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229"/>
      <c r="AV270" s="229"/>
      <c r="AW270" s="18"/>
      <c r="AX270" s="18"/>
      <c r="AY270" s="231"/>
      <c r="AZ270" s="18"/>
      <c r="BA270" s="18"/>
      <c r="BB270" s="18"/>
      <c r="BC270" s="18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</row>
    <row r="271">
      <c r="P271" s="139"/>
      <c r="R271" s="139"/>
      <c r="AU271" s="139"/>
      <c r="AV271" s="139"/>
    </row>
    <row r="272">
      <c r="P272" s="139"/>
      <c r="R272" s="139"/>
      <c r="AU272" s="139"/>
      <c r="AV272" s="139"/>
    </row>
    <row r="273">
      <c r="P273" s="139"/>
      <c r="R273" s="139"/>
      <c r="AU273" s="139"/>
      <c r="AV273" s="139"/>
    </row>
    <row r="274">
      <c r="P274" s="139"/>
      <c r="R274" s="139"/>
      <c r="AU274" s="139"/>
      <c r="AV274" s="139"/>
    </row>
    <row r="275">
      <c r="P275" s="139"/>
      <c r="R275" s="139"/>
      <c r="AU275" s="139"/>
      <c r="AV275" s="139"/>
    </row>
    <row r="276">
      <c r="P276" s="139"/>
      <c r="R276" s="139"/>
      <c r="AU276" s="139"/>
      <c r="AV276" s="139"/>
    </row>
    <row r="277">
      <c r="P277" s="139"/>
      <c r="R277" s="139"/>
      <c r="AU277" s="139"/>
      <c r="AV277" s="139"/>
    </row>
    <row r="278">
      <c r="P278" s="139"/>
      <c r="R278" s="139"/>
      <c r="AU278" s="139"/>
      <c r="AV278" s="139"/>
    </row>
    <row r="279">
      <c r="P279" s="139"/>
      <c r="R279" s="139"/>
      <c r="AU279" s="139"/>
      <c r="AV279" s="139"/>
    </row>
    <row r="280">
      <c r="P280" s="139"/>
      <c r="R280" s="139"/>
      <c r="AU280" s="139"/>
      <c r="AV280" s="139"/>
    </row>
    <row r="281">
      <c r="P281" s="139"/>
      <c r="R281" s="139"/>
      <c r="AU281" s="139"/>
      <c r="AV281" s="139"/>
    </row>
    <row r="282">
      <c r="P282" s="139"/>
      <c r="R282" s="139"/>
      <c r="AU282" s="139"/>
      <c r="AV282" s="139"/>
    </row>
    <row r="283">
      <c r="P283" s="139"/>
      <c r="R283" s="139"/>
      <c r="AU283" s="139"/>
      <c r="AV283" s="139"/>
    </row>
    <row r="284">
      <c r="P284" s="139"/>
      <c r="R284" s="139"/>
      <c r="AU284" s="139"/>
      <c r="AV284" s="139"/>
    </row>
    <row r="285">
      <c r="P285" s="139"/>
      <c r="R285" s="139"/>
      <c r="AU285" s="139"/>
      <c r="AV285" s="139"/>
    </row>
    <row r="286">
      <c r="P286" s="139"/>
      <c r="R286" s="139"/>
      <c r="AU286" s="139"/>
      <c r="AV286" s="139"/>
    </row>
    <row r="287">
      <c r="P287" s="139"/>
      <c r="R287" s="139"/>
      <c r="AU287" s="139"/>
      <c r="AV287" s="139"/>
    </row>
    <row r="288">
      <c r="P288" s="139"/>
      <c r="R288" s="139"/>
      <c r="AU288" s="139"/>
      <c r="AV288" s="139"/>
    </row>
    <row r="289">
      <c r="P289" s="139"/>
      <c r="R289" s="139"/>
      <c r="AU289" s="139"/>
      <c r="AV289" s="139"/>
    </row>
    <row r="290">
      <c r="P290" s="139"/>
      <c r="R290" s="139"/>
      <c r="AU290" s="139"/>
      <c r="AV290" s="139"/>
    </row>
    <row r="291">
      <c r="P291" s="139"/>
      <c r="R291" s="139"/>
      <c r="AU291" s="139"/>
      <c r="AV291" s="139"/>
    </row>
    <row r="292">
      <c r="P292" s="139"/>
      <c r="R292" s="139"/>
      <c r="AU292" s="139"/>
      <c r="AV292" s="139"/>
    </row>
    <row r="293">
      <c r="P293" s="139"/>
      <c r="R293" s="139"/>
      <c r="AU293" s="139"/>
      <c r="AV293" s="139"/>
    </row>
    <row r="294">
      <c r="P294" s="139"/>
      <c r="R294" s="139"/>
      <c r="AU294" s="139"/>
      <c r="AV294" s="139"/>
    </row>
    <row r="295">
      <c r="P295" s="139"/>
      <c r="R295" s="139"/>
      <c r="AU295" s="139"/>
      <c r="AV295" s="139"/>
    </row>
    <row r="296">
      <c r="P296" s="139"/>
      <c r="R296" s="139"/>
      <c r="AU296" s="139"/>
      <c r="AV296" s="139"/>
    </row>
    <row r="297">
      <c r="P297" s="139"/>
      <c r="R297" s="139"/>
      <c r="AU297" s="139"/>
      <c r="AV297" s="139"/>
    </row>
    <row r="298">
      <c r="P298" s="139"/>
      <c r="R298" s="139"/>
      <c r="AU298" s="139"/>
      <c r="AV298" s="139"/>
    </row>
    <row r="299">
      <c r="P299" s="139"/>
      <c r="R299" s="139"/>
      <c r="AU299" s="139"/>
      <c r="AV299" s="139"/>
    </row>
    <row r="300">
      <c r="P300" s="139"/>
      <c r="R300" s="139"/>
      <c r="AU300" s="139"/>
      <c r="AV300" s="139"/>
    </row>
    <row r="301">
      <c r="P301" s="139"/>
      <c r="R301" s="139"/>
      <c r="AU301" s="139"/>
      <c r="AV301" s="139"/>
    </row>
    <row r="302">
      <c r="P302" s="139"/>
      <c r="R302" s="139"/>
      <c r="AU302" s="139"/>
      <c r="AV302" s="139"/>
    </row>
    <row r="303">
      <c r="P303" s="139"/>
      <c r="R303" s="139"/>
      <c r="AU303" s="139"/>
      <c r="AV303" s="139"/>
    </row>
    <row r="304">
      <c r="P304" s="139"/>
      <c r="R304" s="139"/>
      <c r="AU304" s="139"/>
      <c r="AV304" s="139"/>
    </row>
    <row r="305">
      <c r="P305" s="139"/>
      <c r="R305" s="139"/>
      <c r="AU305" s="139"/>
      <c r="AV305" s="139"/>
    </row>
    <row r="306">
      <c r="P306" s="139"/>
      <c r="R306" s="139"/>
      <c r="AU306" s="139"/>
      <c r="AV306" s="139"/>
    </row>
    <row r="307">
      <c r="P307" s="139"/>
      <c r="R307" s="139"/>
      <c r="AU307" s="139"/>
      <c r="AV307" s="139"/>
    </row>
    <row r="308">
      <c r="P308" s="139"/>
      <c r="R308" s="139"/>
      <c r="AU308" s="139"/>
      <c r="AV308" s="139"/>
    </row>
    <row r="309">
      <c r="P309" s="139"/>
      <c r="R309" s="139"/>
      <c r="AU309" s="139"/>
      <c r="AV309" s="139"/>
    </row>
    <row r="310">
      <c r="P310" s="139"/>
      <c r="R310" s="139"/>
      <c r="AU310" s="139"/>
      <c r="AV310" s="139"/>
    </row>
    <row r="311">
      <c r="P311" s="139"/>
      <c r="R311" s="139"/>
      <c r="AU311" s="139"/>
      <c r="AV311" s="139"/>
    </row>
    <row r="312">
      <c r="P312" s="139"/>
      <c r="R312" s="139"/>
      <c r="AU312" s="139"/>
      <c r="AV312" s="139"/>
    </row>
    <row r="313">
      <c r="P313" s="139"/>
      <c r="R313" s="139"/>
      <c r="AU313" s="139"/>
      <c r="AV313" s="139"/>
    </row>
    <row r="314">
      <c r="P314" s="139"/>
      <c r="R314" s="139"/>
      <c r="AU314" s="139"/>
      <c r="AV314" s="139"/>
    </row>
    <row r="315">
      <c r="P315" s="139"/>
      <c r="R315" s="139"/>
      <c r="AU315" s="139"/>
      <c r="AV315" s="139"/>
    </row>
    <row r="316">
      <c r="P316" s="139"/>
      <c r="R316" s="139"/>
      <c r="AU316" s="139"/>
      <c r="AV316" s="139"/>
    </row>
    <row r="317">
      <c r="P317" s="139"/>
      <c r="R317" s="139"/>
      <c r="AU317" s="139"/>
      <c r="AV317" s="139"/>
    </row>
    <row r="318">
      <c r="P318" s="139"/>
      <c r="R318" s="139"/>
      <c r="AU318" s="139"/>
      <c r="AV318" s="139"/>
    </row>
    <row r="319">
      <c r="P319" s="139"/>
      <c r="R319" s="139"/>
      <c r="AU319" s="139"/>
      <c r="AV319" s="139"/>
    </row>
    <row r="320">
      <c r="P320" s="139"/>
      <c r="R320" s="139"/>
      <c r="AU320" s="139"/>
      <c r="AV320" s="139"/>
    </row>
    <row r="321">
      <c r="P321" s="139"/>
      <c r="R321" s="139"/>
      <c r="AU321" s="139"/>
      <c r="AV321" s="139"/>
    </row>
    <row r="322">
      <c r="P322" s="139"/>
      <c r="R322" s="139"/>
      <c r="AU322" s="139"/>
      <c r="AV322" s="139"/>
    </row>
    <row r="323">
      <c r="P323" s="139"/>
      <c r="R323" s="139"/>
      <c r="AU323" s="139"/>
      <c r="AV323" s="139"/>
    </row>
    <row r="324">
      <c r="P324" s="139"/>
      <c r="R324" s="139"/>
      <c r="AU324" s="139"/>
      <c r="AV324" s="139"/>
    </row>
    <row r="325">
      <c r="P325" s="139"/>
      <c r="R325" s="139"/>
      <c r="AU325" s="139"/>
      <c r="AV325" s="139"/>
    </row>
    <row r="326">
      <c r="P326" s="139"/>
      <c r="R326" s="139"/>
      <c r="AU326" s="139"/>
      <c r="AV326" s="139"/>
    </row>
    <row r="327">
      <c r="P327" s="139"/>
      <c r="R327" s="139"/>
      <c r="AU327" s="139"/>
      <c r="AV327" s="139"/>
    </row>
    <row r="328">
      <c r="P328" s="139"/>
      <c r="R328" s="139"/>
      <c r="AU328" s="139"/>
      <c r="AV328" s="139"/>
    </row>
    <row r="329">
      <c r="P329" s="139"/>
      <c r="R329" s="139"/>
      <c r="AU329" s="139"/>
      <c r="AV329" s="139"/>
    </row>
    <row r="330">
      <c r="P330" s="139"/>
      <c r="R330" s="139"/>
      <c r="AU330" s="139"/>
      <c r="AV330" s="139"/>
    </row>
    <row r="331">
      <c r="P331" s="139"/>
      <c r="R331" s="139"/>
      <c r="AU331" s="139"/>
      <c r="AV331" s="139"/>
    </row>
    <row r="332">
      <c r="P332" s="139"/>
      <c r="R332" s="139"/>
      <c r="AU332" s="139"/>
      <c r="AV332" s="139"/>
    </row>
    <row r="333">
      <c r="P333" s="139"/>
      <c r="R333" s="139"/>
      <c r="AU333" s="139"/>
      <c r="AV333" s="139"/>
    </row>
    <row r="334">
      <c r="P334" s="139"/>
      <c r="R334" s="139"/>
      <c r="AU334" s="139"/>
      <c r="AV334" s="139"/>
    </row>
    <row r="335">
      <c r="P335" s="139"/>
      <c r="R335" s="139"/>
      <c r="AU335" s="139"/>
      <c r="AV335" s="139"/>
    </row>
    <row r="336">
      <c r="P336" s="139"/>
      <c r="R336" s="139"/>
      <c r="AU336" s="139"/>
      <c r="AV336" s="139"/>
    </row>
    <row r="337">
      <c r="P337" s="139"/>
      <c r="R337" s="139"/>
      <c r="AU337" s="139"/>
      <c r="AV337" s="139"/>
    </row>
    <row r="338">
      <c r="P338" s="139"/>
      <c r="R338" s="139"/>
      <c r="AU338" s="139"/>
      <c r="AV338" s="139"/>
    </row>
    <row r="339">
      <c r="P339" s="139"/>
      <c r="R339" s="139"/>
      <c r="AU339" s="139"/>
      <c r="AV339" s="139"/>
    </row>
    <row r="340">
      <c r="P340" s="139"/>
      <c r="R340" s="139"/>
      <c r="AU340" s="139"/>
      <c r="AV340" s="139"/>
    </row>
    <row r="341">
      <c r="P341" s="139"/>
      <c r="R341" s="139"/>
      <c r="AU341" s="139"/>
      <c r="AV341" s="139"/>
    </row>
    <row r="342">
      <c r="P342" s="139"/>
      <c r="R342" s="139"/>
      <c r="AU342" s="139"/>
      <c r="AV342" s="139"/>
    </row>
    <row r="343">
      <c r="P343" s="139"/>
      <c r="R343" s="139"/>
      <c r="AU343" s="139"/>
      <c r="AV343" s="139"/>
    </row>
    <row r="344">
      <c r="P344" s="139"/>
      <c r="R344" s="139"/>
      <c r="AU344" s="139"/>
      <c r="AV344" s="139"/>
    </row>
    <row r="345">
      <c r="P345" s="139"/>
      <c r="R345" s="139"/>
      <c r="AU345" s="139"/>
      <c r="AV345" s="139"/>
    </row>
    <row r="346">
      <c r="P346" s="139"/>
      <c r="R346" s="139"/>
      <c r="AU346" s="139"/>
      <c r="AV346" s="139"/>
    </row>
    <row r="347">
      <c r="P347" s="139"/>
      <c r="R347" s="139"/>
      <c r="AU347" s="139"/>
      <c r="AV347" s="139"/>
    </row>
    <row r="348">
      <c r="P348" s="139"/>
      <c r="R348" s="139"/>
      <c r="AU348" s="139"/>
      <c r="AV348" s="139"/>
    </row>
    <row r="349">
      <c r="P349" s="139"/>
      <c r="R349" s="139"/>
      <c r="AU349" s="139"/>
      <c r="AV349" s="139"/>
    </row>
    <row r="350">
      <c r="P350" s="139"/>
      <c r="R350" s="139"/>
      <c r="AU350" s="139"/>
      <c r="AV350" s="139"/>
    </row>
    <row r="351">
      <c r="P351" s="139"/>
      <c r="R351" s="139"/>
      <c r="AU351" s="139"/>
      <c r="AV351" s="139"/>
    </row>
    <row r="352">
      <c r="P352" s="139"/>
      <c r="R352" s="139"/>
      <c r="AU352" s="139"/>
      <c r="AV352" s="139"/>
    </row>
    <row r="353">
      <c r="P353" s="139"/>
      <c r="R353" s="139"/>
      <c r="AU353" s="139"/>
      <c r="AV353" s="139"/>
    </row>
    <row r="354">
      <c r="P354" s="139"/>
      <c r="R354" s="139"/>
      <c r="AU354" s="139"/>
      <c r="AV354" s="139"/>
    </row>
    <row r="355">
      <c r="P355" s="139"/>
      <c r="R355" s="139"/>
      <c r="AU355" s="139"/>
      <c r="AV355" s="139"/>
    </row>
    <row r="356">
      <c r="P356" s="139"/>
      <c r="R356" s="139"/>
      <c r="AU356" s="139"/>
      <c r="AV356" s="139"/>
    </row>
    <row r="357">
      <c r="P357" s="139"/>
      <c r="R357" s="139"/>
      <c r="AU357" s="139"/>
      <c r="AV357" s="139"/>
    </row>
    <row r="358">
      <c r="P358" s="139"/>
      <c r="R358" s="139"/>
      <c r="AU358" s="139"/>
      <c r="AV358" s="139"/>
    </row>
    <row r="359">
      <c r="P359" s="139"/>
      <c r="R359" s="139"/>
      <c r="AU359" s="139"/>
      <c r="AV359" s="139"/>
    </row>
    <row r="360">
      <c r="P360" s="139"/>
      <c r="R360" s="139"/>
      <c r="AU360" s="139"/>
      <c r="AV360" s="139"/>
    </row>
    <row r="361">
      <c r="P361" s="139"/>
      <c r="R361" s="139"/>
      <c r="AU361" s="139"/>
      <c r="AV361" s="139"/>
    </row>
    <row r="362">
      <c r="P362" s="139"/>
      <c r="R362" s="139"/>
      <c r="AU362" s="139"/>
      <c r="AV362" s="139"/>
    </row>
    <row r="363">
      <c r="P363" s="139"/>
      <c r="R363" s="139"/>
      <c r="AU363" s="139"/>
      <c r="AV363" s="139"/>
    </row>
    <row r="364">
      <c r="P364" s="139"/>
      <c r="R364" s="139"/>
      <c r="AU364" s="139"/>
      <c r="AV364" s="139"/>
    </row>
    <row r="365">
      <c r="P365" s="139"/>
      <c r="R365" s="139"/>
      <c r="AU365" s="139"/>
      <c r="AV365" s="139"/>
    </row>
    <row r="366">
      <c r="P366" s="139"/>
      <c r="R366" s="139"/>
      <c r="AU366" s="139"/>
      <c r="AV366" s="139"/>
    </row>
    <row r="367">
      <c r="P367" s="139"/>
      <c r="R367" s="139"/>
      <c r="AU367" s="139"/>
      <c r="AV367" s="139"/>
    </row>
    <row r="368">
      <c r="P368" s="139"/>
      <c r="R368" s="139"/>
      <c r="AU368" s="139"/>
      <c r="AV368" s="139"/>
    </row>
    <row r="369">
      <c r="P369" s="139"/>
      <c r="R369" s="139"/>
      <c r="AU369" s="139"/>
      <c r="AV369" s="139"/>
    </row>
    <row r="370">
      <c r="P370" s="139"/>
      <c r="R370" s="139"/>
      <c r="AU370" s="139"/>
      <c r="AV370" s="139"/>
    </row>
    <row r="371">
      <c r="P371" s="139"/>
      <c r="R371" s="139"/>
      <c r="AU371" s="139"/>
      <c r="AV371" s="139"/>
    </row>
    <row r="372">
      <c r="P372" s="139"/>
      <c r="R372" s="139"/>
      <c r="AU372" s="139"/>
      <c r="AV372" s="139"/>
    </row>
    <row r="373">
      <c r="P373" s="139"/>
      <c r="R373" s="139"/>
      <c r="AU373" s="139"/>
      <c r="AV373" s="139"/>
    </row>
    <row r="374">
      <c r="P374" s="139"/>
      <c r="R374" s="139"/>
      <c r="AU374" s="139"/>
      <c r="AV374" s="139"/>
    </row>
    <row r="375">
      <c r="P375" s="139"/>
      <c r="R375" s="139"/>
      <c r="AU375" s="139"/>
      <c r="AV375" s="139"/>
    </row>
    <row r="376">
      <c r="P376" s="139"/>
      <c r="R376" s="139"/>
      <c r="AU376" s="139"/>
      <c r="AV376" s="139"/>
    </row>
    <row r="377">
      <c r="P377" s="139"/>
      <c r="R377" s="139"/>
      <c r="AU377" s="139"/>
      <c r="AV377" s="139"/>
    </row>
    <row r="378">
      <c r="P378" s="139"/>
      <c r="R378" s="139"/>
      <c r="AU378" s="139"/>
      <c r="AV378" s="139"/>
    </row>
    <row r="379">
      <c r="P379" s="139"/>
      <c r="R379" s="139"/>
      <c r="AU379" s="139"/>
      <c r="AV379" s="139"/>
    </row>
    <row r="380">
      <c r="P380" s="139"/>
      <c r="R380" s="139"/>
      <c r="AU380" s="139"/>
      <c r="AV380" s="139"/>
    </row>
    <row r="381">
      <c r="P381" s="139"/>
      <c r="R381" s="139"/>
      <c r="AU381" s="139"/>
      <c r="AV381" s="139"/>
    </row>
    <row r="382">
      <c r="P382" s="139"/>
      <c r="R382" s="139"/>
      <c r="AU382" s="139"/>
      <c r="AV382" s="139"/>
    </row>
    <row r="383">
      <c r="P383" s="139"/>
      <c r="R383" s="139"/>
      <c r="AU383" s="139"/>
      <c r="AV383" s="139"/>
    </row>
    <row r="384">
      <c r="P384" s="139"/>
      <c r="R384" s="139"/>
      <c r="AU384" s="139"/>
      <c r="AV384" s="139"/>
    </row>
    <row r="385">
      <c r="P385" s="139"/>
      <c r="R385" s="139"/>
      <c r="AU385" s="139"/>
      <c r="AV385" s="139"/>
    </row>
    <row r="386">
      <c r="P386" s="139"/>
      <c r="R386" s="139"/>
      <c r="AU386" s="139"/>
      <c r="AV386" s="139"/>
    </row>
    <row r="387">
      <c r="P387" s="139"/>
      <c r="R387" s="139"/>
      <c r="AU387" s="139"/>
      <c r="AV387" s="139"/>
    </row>
    <row r="388">
      <c r="P388" s="139"/>
      <c r="R388" s="139"/>
      <c r="AU388" s="139"/>
      <c r="AV388" s="139"/>
    </row>
    <row r="389">
      <c r="P389" s="139"/>
      <c r="R389" s="139"/>
      <c r="AU389" s="139"/>
      <c r="AV389" s="139"/>
    </row>
    <row r="390">
      <c r="P390" s="139"/>
      <c r="R390" s="139"/>
      <c r="AU390" s="139"/>
      <c r="AV390" s="139"/>
    </row>
    <row r="391">
      <c r="P391" s="139"/>
      <c r="R391" s="139"/>
      <c r="AU391" s="139"/>
      <c r="AV391" s="139"/>
    </row>
    <row r="392">
      <c r="P392" s="139"/>
      <c r="R392" s="139"/>
      <c r="AU392" s="139"/>
      <c r="AV392" s="139"/>
    </row>
    <row r="393">
      <c r="P393" s="139"/>
      <c r="R393" s="139"/>
      <c r="AU393" s="139"/>
      <c r="AV393" s="139"/>
    </row>
    <row r="394">
      <c r="P394" s="139"/>
      <c r="R394" s="139"/>
      <c r="AU394" s="139"/>
      <c r="AV394" s="139"/>
    </row>
    <row r="395">
      <c r="P395" s="139"/>
      <c r="R395" s="139"/>
      <c r="AU395" s="139"/>
      <c r="AV395" s="139"/>
    </row>
    <row r="396">
      <c r="P396" s="139"/>
      <c r="R396" s="139"/>
      <c r="AU396" s="139"/>
      <c r="AV396" s="139"/>
    </row>
    <row r="397">
      <c r="P397" s="139"/>
      <c r="R397" s="139"/>
      <c r="AU397" s="139"/>
      <c r="AV397" s="139"/>
    </row>
    <row r="398">
      <c r="P398" s="139"/>
      <c r="R398" s="139"/>
      <c r="AU398" s="139"/>
      <c r="AV398" s="139"/>
    </row>
    <row r="399">
      <c r="P399" s="139"/>
      <c r="R399" s="139"/>
      <c r="AU399" s="139"/>
      <c r="AV399" s="139"/>
    </row>
    <row r="400">
      <c r="P400" s="139"/>
      <c r="R400" s="139"/>
      <c r="AU400" s="139"/>
      <c r="AV400" s="139"/>
    </row>
    <row r="401">
      <c r="P401" s="139"/>
      <c r="R401" s="139"/>
      <c r="AU401" s="139"/>
      <c r="AV401" s="139"/>
    </row>
    <row r="402">
      <c r="P402" s="139"/>
      <c r="R402" s="139"/>
      <c r="AU402" s="139"/>
      <c r="AV402" s="139"/>
    </row>
    <row r="403">
      <c r="P403" s="139"/>
      <c r="R403" s="139"/>
      <c r="AU403" s="139"/>
      <c r="AV403" s="139"/>
    </row>
    <row r="404">
      <c r="P404" s="139"/>
      <c r="R404" s="139"/>
      <c r="AU404" s="139"/>
      <c r="AV404" s="139"/>
    </row>
    <row r="405">
      <c r="P405" s="139"/>
      <c r="R405" s="139"/>
      <c r="AU405" s="139"/>
      <c r="AV405" s="139"/>
    </row>
    <row r="406">
      <c r="P406" s="139"/>
      <c r="R406" s="139"/>
      <c r="AU406" s="139"/>
      <c r="AV406" s="139"/>
    </row>
    <row r="407">
      <c r="P407" s="139"/>
      <c r="R407" s="139"/>
      <c r="AU407" s="139"/>
      <c r="AV407" s="139"/>
    </row>
    <row r="408">
      <c r="P408" s="139"/>
      <c r="R408" s="139"/>
      <c r="AU408" s="139"/>
      <c r="AV408" s="139"/>
    </row>
    <row r="409">
      <c r="P409" s="139"/>
      <c r="R409" s="139"/>
      <c r="AU409" s="139"/>
      <c r="AV409" s="139"/>
    </row>
    <row r="410">
      <c r="P410" s="139"/>
      <c r="R410" s="139"/>
      <c r="AU410" s="139"/>
      <c r="AV410" s="139"/>
    </row>
    <row r="411">
      <c r="P411" s="139"/>
      <c r="R411" s="139"/>
      <c r="AU411" s="139"/>
      <c r="AV411" s="139"/>
    </row>
    <row r="412">
      <c r="P412" s="139"/>
      <c r="R412" s="139"/>
      <c r="AU412" s="139"/>
      <c r="AV412" s="139"/>
    </row>
    <row r="413">
      <c r="P413" s="139"/>
      <c r="R413" s="139"/>
      <c r="AU413" s="139"/>
      <c r="AV413" s="139"/>
    </row>
    <row r="414">
      <c r="P414" s="139"/>
      <c r="R414" s="139"/>
      <c r="AU414" s="139"/>
      <c r="AV414" s="139"/>
    </row>
    <row r="415">
      <c r="P415" s="139"/>
      <c r="R415" s="139"/>
      <c r="AU415" s="139"/>
      <c r="AV415" s="139"/>
    </row>
    <row r="416">
      <c r="P416" s="139"/>
      <c r="R416" s="139"/>
      <c r="AU416" s="139"/>
      <c r="AV416" s="139"/>
    </row>
    <row r="417">
      <c r="P417" s="139"/>
      <c r="R417" s="139"/>
      <c r="AU417" s="139"/>
      <c r="AV417" s="139"/>
    </row>
    <row r="418">
      <c r="P418" s="139"/>
      <c r="R418" s="139"/>
      <c r="AU418" s="139"/>
      <c r="AV418" s="139"/>
    </row>
    <row r="419">
      <c r="P419" s="139"/>
      <c r="R419" s="139"/>
      <c r="AU419" s="139"/>
      <c r="AV419" s="139"/>
    </row>
    <row r="420">
      <c r="P420" s="139"/>
      <c r="R420" s="139"/>
      <c r="AU420" s="139"/>
      <c r="AV420" s="139"/>
    </row>
    <row r="421">
      <c r="P421" s="139"/>
      <c r="R421" s="139"/>
      <c r="AU421" s="139"/>
      <c r="AV421" s="139"/>
    </row>
    <row r="422">
      <c r="P422" s="139"/>
      <c r="R422" s="139"/>
      <c r="AU422" s="139"/>
      <c r="AV422" s="139"/>
    </row>
    <row r="423">
      <c r="P423" s="139"/>
      <c r="R423" s="139"/>
      <c r="AU423" s="139"/>
      <c r="AV423" s="139"/>
    </row>
    <row r="424">
      <c r="P424" s="139"/>
      <c r="R424" s="139"/>
      <c r="AU424" s="139"/>
      <c r="AV424" s="139"/>
    </row>
    <row r="425">
      <c r="P425" s="139"/>
      <c r="R425" s="139"/>
      <c r="AU425" s="139"/>
      <c r="AV425" s="139"/>
    </row>
    <row r="426">
      <c r="P426" s="139"/>
      <c r="R426" s="139"/>
      <c r="AU426" s="139"/>
      <c r="AV426" s="139"/>
    </row>
    <row r="427">
      <c r="P427" s="139"/>
      <c r="R427" s="139"/>
      <c r="AU427" s="139"/>
      <c r="AV427" s="139"/>
    </row>
    <row r="428">
      <c r="P428" s="139"/>
      <c r="R428" s="139"/>
      <c r="AU428" s="139"/>
      <c r="AV428" s="139"/>
    </row>
    <row r="429">
      <c r="P429" s="139"/>
      <c r="R429" s="139"/>
      <c r="AU429" s="139"/>
      <c r="AV429" s="139"/>
    </row>
    <row r="430">
      <c r="P430" s="139"/>
      <c r="R430" s="139"/>
      <c r="AU430" s="139"/>
      <c r="AV430" s="139"/>
    </row>
    <row r="431">
      <c r="P431" s="139"/>
      <c r="R431" s="139"/>
      <c r="AU431" s="139"/>
      <c r="AV431" s="139"/>
    </row>
    <row r="432">
      <c r="P432" s="139"/>
      <c r="R432" s="139"/>
      <c r="AU432" s="139"/>
      <c r="AV432" s="139"/>
    </row>
    <row r="433">
      <c r="P433" s="139"/>
      <c r="R433" s="139"/>
      <c r="AU433" s="139"/>
      <c r="AV433" s="139"/>
    </row>
    <row r="434">
      <c r="P434" s="139"/>
      <c r="R434" s="139"/>
      <c r="AU434" s="139"/>
      <c r="AV434" s="139"/>
    </row>
    <row r="435">
      <c r="P435" s="139"/>
      <c r="R435" s="139"/>
      <c r="AU435" s="139"/>
      <c r="AV435" s="139"/>
    </row>
    <row r="436">
      <c r="P436" s="139"/>
      <c r="R436" s="139"/>
      <c r="AU436" s="139"/>
      <c r="AV436" s="139"/>
    </row>
    <row r="437">
      <c r="P437" s="139"/>
      <c r="R437" s="139"/>
      <c r="AU437" s="139"/>
      <c r="AV437" s="139"/>
    </row>
    <row r="438">
      <c r="P438" s="139"/>
      <c r="R438" s="139"/>
      <c r="AU438" s="139"/>
      <c r="AV438" s="139"/>
    </row>
    <row r="439">
      <c r="P439" s="139"/>
      <c r="R439" s="139"/>
      <c r="AU439" s="139"/>
      <c r="AV439" s="139"/>
    </row>
    <row r="440">
      <c r="P440" s="139"/>
      <c r="R440" s="139"/>
      <c r="AU440" s="139"/>
      <c r="AV440" s="139"/>
    </row>
    <row r="441">
      <c r="P441" s="139"/>
      <c r="R441" s="139"/>
      <c r="AU441" s="139"/>
      <c r="AV441" s="139"/>
    </row>
    <row r="442">
      <c r="P442" s="139"/>
      <c r="R442" s="139"/>
      <c r="AU442" s="139"/>
      <c r="AV442" s="139"/>
    </row>
    <row r="443">
      <c r="P443" s="139"/>
      <c r="R443" s="139"/>
      <c r="AU443" s="139"/>
      <c r="AV443" s="139"/>
    </row>
    <row r="444">
      <c r="P444" s="139"/>
      <c r="R444" s="139"/>
      <c r="AU444" s="139"/>
      <c r="AV444" s="139"/>
    </row>
    <row r="445">
      <c r="P445" s="139"/>
      <c r="R445" s="139"/>
      <c r="AU445" s="139"/>
      <c r="AV445" s="139"/>
    </row>
    <row r="446">
      <c r="P446" s="139"/>
      <c r="R446" s="139"/>
      <c r="AU446" s="139"/>
      <c r="AV446" s="139"/>
    </row>
    <row r="447">
      <c r="P447" s="139"/>
      <c r="R447" s="139"/>
      <c r="AU447" s="139"/>
      <c r="AV447" s="139"/>
    </row>
    <row r="448">
      <c r="P448" s="139"/>
      <c r="R448" s="139"/>
      <c r="AU448" s="139"/>
      <c r="AV448" s="139"/>
    </row>
    <row r="449">
      <c r="P449" s="139"/>
      <c r="R449" s="139"/>
      <c r="AU449" s="139"/>
      <c r="AV449" s="139"/>
    </row>
    <row r="450">
      <c r="P450" s="139"/>
      <c r="R450" s="139"/>
      <c r="AU450" s="139"/>
      <c r="AV450" s="139"/>
    </row>
    <row r="451">
      <c r="P451" s="139"/>
      <c r="R451" s="139"/>
      <c r="AU451" s="139"/>
      <c r="AV451" s="139"/>
    </row>
    <row r="452">
      <c r="P452" s="139"/>
      <c r="R452" s="139"/>
      <c r="AU452" s="139"/>
      <c r="AV452" s="139"/>
    </row>
    <row r="453">
      <c r="P453" s="139"/>
      <c r="R453" s="139"/>
      <c r="AU453" s="139"/>
      <c r="AV453" s="139"/>
    </row>
    <row r="454">
      <c r="P454" s="139"/>
      <c r="R454" s="139"/>
      <c r="AU454" s="139"/>
      <c r="AV454" s="139"/>
    </row>
    <row r="455">
      <c r="P455" s="139"/>
      <c r="R455" s="139"/>
      <c r="AU455" s="139"/>
      <c r="AV455" s="139"/>
    </row>
    <row r="456">
      <c r="P456" s="139"/>
      <c r="R456" s="139"/>
      <c r="AU456" s="139"/>
      <c r="AV456" s="139"/>
    </row>
    <row r="457">
      <c r="P457" s="139"/>
      <c r="R457" s="139"/>
      <c r="AU457" s="139"/>
      <c r="AV457" s="139"/>
    </row>
    <row r="458">
      <c r="P458" s="139"/>
      <c r="R458" s="139"/>
      <c r="AU458" s="139"/>
      <c r="AV458" s="139"/>
    </row>
    <row r="459">
      <c r="P459" s="139"/>
      <c r="R459" s="139"/>
      <c r="AU459" s="139"/>
      <c r="AV459" s="139"/>
    </row>
    <row r="460">
      <c r="P460" s="139"/>
      <c r="R460" s="139"/>
      <c r="AU460" s="139"/>
      <c r="AV460" s="139"/>
    </row>
    <row r="461">
      <c r="P461" s="139"/>
      <c r="R461" s="139"/>
      <c r="AU461" s="139"/>
      <c r="AV461" s="139"/>
    </row>
    <row r="462">
      <c r="P462" s="139"/>
      <c r="R462" s="139"/>
      <c r="AU462" s="139"/>
      <c r="AV462" s="139"/>
    </row>
    <row r="463">
      <c r="P463" s="139"/>
      <c r="R463" s="139"/>
      <c r="AU463" s="139"/>
      <c r="AV463" s="139"/>
    </row>
    <row r="464">
      <c r="P464" s="139"/>
      <c r="R464" s="139"/>
      <c r="AU464" s="139"/>
      <c r="AV464" s="139"/>
    </row>
    <row r="465">
      <c r="P465" s="139"/>
      <c r="R465" s="139"/>
      <c r="AU465" s="139"/>
      <c r="AV465" s="139"/>
    </row>
    <row r="466">
      <c r="P466" s="139"/>
      <c r="R466" s="139"/>
      <c r="AU466" s="139"/>
      <c r="AV466" s="139"/>
    </row>
    <row r="467">
      <c r="P467" s="139"/>
      <c r="R467" s="139"/>
      <c r="AU467" s="139"/>
      <c r="AV467" s="139"/>
    </row>
    <row r="468">
      <c r="P468" s="139"/>
      <c r="R468" s="139"/>
      <c r="AU468" s="139"/>
      <c r="AV468" s="139"/>
    </row>
    <row r="469">
      <c r="P469" s="139"/>
      <c r="R469" s="139"/>
      <c r="AU469" s="139"/>
      <c r="AV469" s="139"/>
    </row>
    <row r="470">
      <c r="P470" s="139"/>
      <c r="R470" s="139"/>
      <c r="AU470" s="139"/>
      <c r="AV470" s="139"/>
    </row>
    <row r="471">
      <c r="P471" s="139"/>
      <c r="R471" s="139"/>
      <c r="AU471" s="139"/>
      <c r="AV471" s="139"/>
    </row>
    <row r="472">
      <c r="P472" s="139"/>
      <c r="R472" s="139"/>
      <c r="AU472" s="139"/>
      <c r="AV472" s="139"/>
    </row>
    <row r="473">
      <c r="P473" s="139"/>
      <c r="R473" s="139"/>
      <c r="AU473" s="139"/>
      <c r="AV473" s="139"/>
    </row>
    <row r="474">
      <c r="P474" s="139"/>
      <c r="R474" s="139"/>
      <c r="AU474" s="139"/>
      <c r="AV474" s="139"/>
    </row>
    <row r="475">
      <c r="P475" s="139"/>
      <c r="R475" s="139"/>
      <c r="AU475" s="139"/>
      <c r="AV475" s="139"/>
    </row>
    <row r="476">
      <c r="P476" s="139"/>
      <c r="R476" s="139"/>
      <c r="AU476" s="139"/>
      <c r="AV476" s="139"/>
    </row>
    <row r="477">
      <c r="P477" s="139"/>
      <c r="R477" s="139"/>
      <c r="AU477" s="139"/>
      <c r="AV477" s="139"/>
    </row>
    <row r="478">
      <c r="P478" s="139"/>
      <c r="R478" s="139"/>
      <c r="AU478" s="139"/>
      <c r="AV478" s="139"/>
    </row>
    <row r="479">
      <c r="P479" s="139"/>
      <c r="R479" s="139"/>
      <c r="AU479" s="139"/>
      <c r="AV479" s="139"/>
    </row>
    <row r="480">
      <c r="P480" s="139"/>
      <c r="R480" s="139"/>
      <c r="AU480" s="139"/>
      <c r="AV480" s="139"/>
    </row>
    <row r="481">
      <c r="P481" s="139"/>
      <c r="R481" s="139"/>
      <c r="AU481" s="139"/>
      <c r="AV481" s="139"/>
    </row>
    <row r="482">
      <c r="P482" s="139"/>
      <c r="R482" s="139"/>
      <c r="AU482" s="139"/>
      <c r="AV482" s="139"/>
    </row>
    <row r="483">
      <c r="P483" s="139"/>
      <c r="R483" s="139"/>
      <c r="AU483" s="139"/>
      <c r="AV483" s="139"/>
    </row>
    <row r="484">
      <c r="P484" s="139"/>
      <c r="R484" s="139"/>
      <c r="AU484" s="139"/>
      <c r="AV484" s="139"/>
    </row>
    <row r="485">
      <c r="P485" s="139"/>
      <c r="R485" s="139"/>
      <c r="AU485" s="139"/>
      <c r="AV485" s="139"/>
    </row>
    <row r="486">
      <c r="P486" s="139"/>
      <c r="R486" s="139"/>
      <c r="AU486" s="139"/>
      <c r="AV486" s="139"/>
    </row>
    <row r="487">
      <c r="P487" s="139"/>
      <c r="R487" s="139"/>
      <c r="AU487" s="139"/>
      <c r="AV487" s="139"/>
    </row>
    <row r="488">
      <c r="P488" s="139"/>
      <c r="R488" s="139"/>
      <c r="AU488" s="139"/>
      <c r="AV488" s="139"/>
    </row>
    <row r="489">
      <c r="P489" s="139"/>
      <c r="R489" s="139"/>
      <c r="AU489" s="139"/>
      <c r="AV489" s="139"/>
    </row>
    <row r="490">
      <c r="P490" s="139"/>
      <c r="R490" s="139"/>
      <c r="AU490" s="139"/>
      <c r="AV490" s="139"/>
    </row>
    <row r="491">
      <c r="P491" s="139"/>
      <c r="R491" s="139"/>
      <c r="AU491" s="139"/>
      <c r="AV491" s="139"/>
    </row>
    <row r="492">
      <c r="P492" s="139"/>
      <c r="R492" s="139"/>
      <c r="AU492" s="139"/>
      <c r="AV492" s="139"/>
    </row>
    <row r="493">
      <c r="P493" s="139"/>
      <c r="R493" s="139"/>
      <c r="AU493" s="139"/>
      <c r="AV493" s="139"/>
    </row>
    <row r="494">
      <c r="P494" s="139"/>
      <c r="R494" s="139"/>
      <c r="AU494" s="139"/>
      <c r="AV494" s="139"/>
    </row>
    <row r="495">
      <c r="P495" s="139"/>
      <c r="R495" s="139"/>
      <c r="AU495" s="139"/>
      <c r="AV495" s="139"/>
    </row>
    <row r="496">
      <c r="P496" s="139"/>
      <c r="R496" s="139"/>
      <c r="AU496" s="139"/>
      <c r="AV496" s="139"/>
    </row>
    <row r="497">
      <c r="P497" s="139"/>
      <c r="R497" s="139"/>
      <c r="AU497" s="139"/>
      <c r="AV497" s="139"/>
    </row>
    <row r="498">
      <c r="P498" s="139"/>
      <c r="R498" s="139"/>
      <c r="AU498" s="139"/>
      <c r="AV498" s="139"/>
    </row>
    <row r="499">
      <c r="P499" s="139"/>
      <c r="R499" s="139"/>
      <c r="AU499" s="139"/>
      <c r="AV499" s="139"/>
    </row>
    <row r="500">
      <c r="P500" s="139"/>
      <c r="R500" s="139"/>
      <c r="AU500" s="139"/>
      <c r="AV500" s="139"/>
    </row>
    <row r="501">
      <c r="P501" s="139"/>
      <c r="R501" s="139"/>
      <c r="AU501" s="139"/>
      <c r="AV501" s="139"/>
    </row>
    <row r="502">
      <c r="P502" s="139"/>
      <c r="R502" s="139"/>
      <c r="AU502" s="139"/>
      <c r="AV502" s="139"/>
    </row>
    <row r="503">
      <c r="P503" s="139"/>
      <c r="R503" s="139"/>
      <c r="AU503" s="139"/>
      <c r="AV503" s="139"/>
    </row>
    <row r="504">
      <c r="P504" s="139"/>
      <c r="R504" s="139"/>
      <c r="AU504" s="139"/>
      <c r="AV504" s="139"/>
    </row>
    <row r="505">
      <c r="P505" s="139"/>
      <c r="R505" s="139"/>
      <c r="AU505" s="139"/>
      <c r="AV505" s="139"/>
    </row>
    <row r="506">
      <c r="P506" s="139"/>
      <c r="R506" s="139"/>
      <c r="AU506" s="139"/>
      <c r="AV506" s="139"/>
    </row>
    <row r="507">
      <c r="P507" s="139"/>
      <c r="R507" s="139"/>
      <c r="AU507" s="139"/>
      <c r="AV507" s="139"/>
    </row>
    <row r="508">
      <c r="P508" s="139"/>
      <c r="R508" s="139"/>
      <c r="AU508" s="139"/>
      <c r="AV508" s="139"/>
    </row>
    <row r="509">
      <c r="P509" s="139"/>
      <c r="R509" s="139"/>
      <c r="AU509" s="139"/>
      <c r="AV509" s="139"/>
    </row>
    <row r="510">
      <c r="P510" s="139"/>
      <c r="R510" s="139"/>
      <c r="AU510" s="139"/>
      <c r="AV510" s="139"/>
    </row>
    <row r="511">
      <c r="P511" s="139"/>
      <c r="R511" s="139"/>
      <c r="AU511" s="139"/>
      <c r="AV511" s="139"/>
    </row>
    <row r="512">
      <c r="P512" s="139"/>
      <c r="R512" s="139"/>
      <c r="AU512" s="139"/>
      <c r="AV512" s="139"/>
    </row>
    <row r="513">
      <c r="P513" s="139"/>
      <c r="R513" s="139"/>
      <c r="AU513" s="139"/>
      <c r="AV513" s="139"/>
    </row>
    <row r="514">
      <c r="P514" s="139"/>
      <c r="R514" s="139"/>
      <c r="AU514" s="139"/>
      <c r="AV514" s="139"/>
    </row>
    <row r="515">
      <c r="P515" s="139"/>
      <c r="R515" s="139"/>
      <c r="AU515" s="139"/>
      <c r="AV515" s="139"/>
    </row>
    <row r="516">
      <c r="P516" s="139"/>
      <c r="R516" s="139"/>
      <c r="AU516" s="139"/>
      <c r="AV516" s="139"/>
    </row>
    <row r="517">
      <c r="P517" s="139"/>
      <c r="R517" s="139"/>
      <c r="AU517" s="139"/>
      <c r="AV517" s="139"/>
    </row>
    <row r="518">
      <c r="P518" s="139"/>
      <c r="R518" s="139"/>
      <c r="AU518" s="139"/>
      <c r="AV518" s="139"/>
    </row>
    <row r="519">
      <c r="P519" s="139"/>
      <c r="R519" s="139"/>
      <c r="AU519" s="139"/>
      <c r="AV519" s="139"/>
    </row>
    <row r="520">
      <c r="P520" s="139"/>
      <c r="R520" s="139"/>
      <c r="AU520" s="139"/>
      <c r="AV520" s="139"/>
    </row>
    <row r="521">
      <c r="P521" s="139"/>
      <c r="R521" s="139"/>
      <c r="AU521" s="139"/>
      <c r="AV521" s="139"/>
    </row>
    <row r="522">
      <c r="P522" s="139"/>
      <c r="R522" s="139"/>
      <c r="AU522" s="139"/>
      <c r="AV522" s="139"/>
    </row>
    <row r="523">
      <c r="P523" s="139"/>
      <c r="R523" s="139"/>
      <c r="AU523" s="139"/>
      <c r="AV523" s="139"/>
    </row>
    <row r="524">
      <c r="P524" s="139"/>
      <c r="R524" s="139"/>
      <c r="AU524" s="139"/>
      <c r="AV524" s="139"/>
    </row>
    <row r="525">
      <c r="P525" s="139"/>
      <c r="R525" s="139"/>
      <c r="AU525" s="139"/>
      <c r="AV525" s="139"/>
    </row>
    <row r="526">
      <c r="P526" s="139"/>
      <c r="R526" s="139"/>
      <c r="AU526" s="139"/>
      <c r="AV526" s="139"/>
    </row>
    <row r="527">
      <c r="P527" s="139"/>
      <c r="R527" s="139"/>
      <c r="AU527" s="139"/>
      <c r="AV527" s="139"/>
    </row>
    <row r="528">
      <c r="P528" s="139"/>
      <c r="R528" s="139"/>
      <c r="AU528" s="139"/>
      <c r="AV528" s="139"/>
    </row>
    <row r="529">
      <c r="P529" s="139"/>
      <c r="R529" s="139"/>
      <c r="AU529" s="139"/>
      <c r="AV529" s="139"/>
    </row>
    <row r="530">
      <c r="P530" s="139"/>
      <c r="R530" s="139"/>
      <c r="AU530" s="139"/>
      <c r="AV530" s="139"/>
    </row>
    <row r="531">
      <c r="P531" s="139"/>
      <c r="R531" s="139"/>
      <c r="AU531" s="139"/>
      <c r="AV531" s="139"/>
    </row>
    <row r="532">
      <c r="P532" s="139"/>
      <c r="R532" s="139"/>
      <c r="AU532" s="139"/>
      <c r="AV532" s="139"/>
    </row>
    <row r="533">
      <c r="P533" s="139"/>
      <c r="R533" s="139"/>
      <c r="AU533" s="139"/>
      <c r="AV533" s="139"/>
    </row>
    <row r="534">
      <c r="P534" s="139"/>
      <c r="R534" s="139"/>
      <c r="AU534" s="139"/>
      <c r="AV534" s="139"/>
    </row>
    <row r="535">
      <c r="P535" s="139"/>
      <c r="R535" s="139"/>
      <c r="AU535" s="139"/>
      <c r="AV535" s="139"/>
    </row>
    <row r="536">
      <c r="P536" s="139"/>
      <c r="R536" s="139"/>
      <c r="AU536" s="139"/>
      <c r="AV536" s="139"/>
    </row>
    <row r="537">
      <c r="P537" s="139"/>
      <c r="R537" s="139"/>
      <c r="AU537" s="139"/>
      <c r="AV537" s="139"/>
    </row>
    <row r="538">
      <c r="P538" s="139"/>
      <c r="R538" s="139"/>
      <c r="AU538" s="139"/>
      <c r="AV538" s="139"/>
    </row>
    <row r="539">
      <c r="P539" s="139"/>
      <c r="R539" s="139"/>
      <c r="AU539" s="139"/>
      <c r="AV539" s="139"/>
    </row>
    <row r="540">
      <c r="P540" s="139"/>
      <c r="R540" s="139"/>
      <c r="AU540" s="139"/>
      <c r="AV540" s="139"/>
    </row>
    <row r="541">
      <c r="P541" s="139"/>
      <c r="R541" s="139"/>
      <c r="AU541" s="139"/>
      <c r="AV541" s="139"/>
    </row>
    <row r="542">
      <c r="P542" s="139"/>
      <c r="R542" s="139"/>
      <c r="AU542" s="139"/>
      <c r="AV542" s="139"/>
    </row>
    <row r="543">
      <c r="P543" s="139"/>
      <c r="R543" s="139"/>
      <c r="AU543" s="139"/>
      <c r="AV543" s="139"/>
    </row>
    <row r="544">
      <c r="P544" s="139"/>
      <c r="R544" s="139"/>
      <c r="AU544" s="139"/>
      <c r="AV544" s="139"/>
    </row>
    <row r="545">
      <c r="P545" s="139"/>
      <c r="R545" s="139"/>
      <c r="AU545" s="139"/>
      <c r="AV545" s="139"/>
    </row>
    <row r="546">
      <c r="P546" s="139"/>
      <c r="R546" s="139"/>
      <c r="AU546" s="139"/>
      <c r="AV546" s="139"/>
    </row>
    <row r="547">
      <c r="P547" s="139"/>
      <c r="R547" s="139"/>
      <c r="AU547" s="139"/>
      <c r="AV547" s="139"/>
    </row>
    <row r="548">
      <c r="P548" s="139"/>
      <c r="R548" s="139"/>
      <c r="AU548" s="139"/>
      <c r="AV548" s="139"/>
    </row>
    <row r="549">
      <c r="P549" s="139"/>
      <c r="R549" s="139"/>
      <c r="AU549" s="139"/>
      <c r="AV549" s="139"/>
    </row>
    <row r="550">
      <c r="P550" s="139"/>
      <c r="R550" s="139"/>
      <c r="AU550" s="139"/>
      <c r="AV550" s="139"/>
    </row>
    <row r="551">
      <c r="P551" s="139"/>
      <c r="R551" s="139"/>
      <c r="AU551" s="139"/>
      <c r="AV551" s="139"/>
    </row>
    <row r="552">
      <c r="P552" s="139"/>
      <c r="R552" s="139"/>
      <c r="AU552" s="139"/>
      <c r="AV552" s="139"/>
    </row>
    <row r="553">
      <c r="P553" s="139"/>
      <c r="R553" s="139"/>
      <c r="AU553" s="139"/>
      <c r="AV553" s="139"/>
    </row>
    <row r="554">
      <c r="P554" s="139"/>
      <c r="R554" s="139"/>
      <c r="AU554" s="139"/>
      <c r="AV554" s="139"/>
    </row>
    <row r="555">
      <c r="P555" s="139"/>
      <c r="R555" s="139"/>
      <c r="AU555" s="139"/>
      <c r="AV555" s="139"/>
    </row>
    <row r="556">
      <c r="P556" s="139"/>
      <c r="R556" s="139"/>
      <c r="AU556" s="139"/>
      <c r="AV556" s="139"/>
    </row>
    <row r="557">
      <c r="P557" s="139"/>
      <c r="R557" s="139"/>
      <c r="AU557" s="139"/>
      <c r="AV557" s="139"/>
    </row>
    <row r="558">
      <c r="P558" s="139"/>
      <c r="R558" s="139"/>
      <c r="AU558" s="139"/>
      <c r="AV558" s="139"/>
    </row>
    <row r="559">
      <c r="P559" s="139"/>
      <c r="R559" s="139"/>
      <c r="AU559" s="139"/>
      <c r="AV559" s="139"/>
    </row>
    <row r="560">
      <c r="P560" s="139"/>
      <c r="R560" s="139"/>
      <c r="AU560" s="139"/>
      <c r="AV560" s="139"/>
    </row>
    <row r="561">
      <c r="P561" s="139"/>
      <c r="R561" s="139"/>
      <c r="AU561" s="139"/>
      <c r="AV561" s="139"/>
    </row>
    <row r="562">
      <c r="P562" s="139"/>
      <c r="R562" s="139"/>
      <c r="AU562" s="139"/>
      <c r="AV562" s="139"/>
    </row>
    <row r="563">
      <c r="P563" s="139"/>
      <c r="R563" s="139"/>
      <c r="AU563" s="139"/>
      <c r="AV563" s="139"/>
    </row>
    <row r="564">
      <c r="P564" s="139"/>
      <c r="R564" s="139"/>
      <c r="AU564" s="139"/>
      <c r="AV564" s="139"/>
    </row>
    <row r="565">
      <c r="P565" s="139"/>
      <c r="R565" s="139"/>
      <c r="AU565" s="139"/>
      <c r="AV565" s="139"/>
    </row>
    <row r="566">
      <c r="P566" s="139"/>
      <c r="R566" s="139"/>
      <c r="AU566" s="139"/>
      <c r="AV566" s="139"/>
    </row>
    <row r="567">
      <c r="P567" s="139"/>
      <c r="R567" s="139"/>
      <c r="AU567" s="139"/>
      <c r="AV567" s="139"/>
    </row>
    <row r="568">
      <c r="P568" s="139"/>
      <c r="R568" s="139"/>
      <c r="AU568" s="139"/>
      <c r="AV568" s="139"/>
    </row>
    <row r="569">
      <c r="P569" s="139"/>
      <c r="R569" s="139"/>
      <c r="AU569" s="139"/>
      <c r="AV569" s="139"/>
    </row>
    <row r="570">
      <c r="P570" s="139"/>
      <c r="R570" s="139"/>
      <c r="AU570" s="139"/>
      <c r="AV570" s="139"/>
    </row>
    <row r="571">
      <c r="P571" s="139"/>
      <c r="R571" s="139"/>
      <c r="AU571" s="139"/>
      <c r="AV571" s="139"/>
    </row>
    <row r="572">
      <c r="P572" s="139"/>
      <c r="R572" s="139"/>
      <c r="AU572" s="139"/>
      <c r="AV572" s="139"/>
    </row>
    <row r="573">
      <c r="P573" s="139"/>
      <c r="R573" s="139"/>
      <c r="AU573" s="139"/>
      <c r="AV573" s="139"/>
    </row>
    <row r="574">
      <c r="P574" s="139"/>
      <c r="R574" s="139"/>
      <c r="AU574" s="139"/>
      <c r="AV574" s="139"/>
    </row>
    <row r="575">
      <c r="P575" s="139"/>
      <c r="R575" s="139"/>
      <c r="AU575" s="139"/>
      <c r="AV575" s="139"/>
    </row>
    <row r="576">
      <c r="P576" s="139"/>
      <c r="R576" s="139"/>
      <c r="AU576" s="139"/>
      <c r="AV576" s="139"/>
    </row>
    <row r="577">
      <c r="P577" s="139"/>
      <c r="R577" s="139"/>
      <c r="AU577" s="139"/>
      <c r="AV577" s="139"/>
    </row>
    <row r="578">
      <c r="P578" s="139"/>
      <c r="R578" s="139"/>
      <c r="AU578" s="139"/>
      <c r="AV578" s="139"/>
    </row>
    <row r="579">
      <c r="P579" s="139"/>
      <c r="R579" s="139"/>
      <c r="AU579" s="139"/>
      <c r="AV579" s="139"/>
    </row>
    <row r="580">
      <c r="P580" s="139"/>
      <c r="R580" s="139"/>
      <c r="AU580" s="139"/>
      <c r="AV580" s="139"/>
    </row>
    <row r="581">
      <c r="P581" s="139"/>
      <c r="R581" s="139"/>
      <c r="AU581" s="139"/>
      <c r="AV581" s="139"/>
    </row>
    <row r="582">
      <c r="P582" s="139"/>
      <c r="R582" s="139"/>
      <c r="AU582" s="139"/>
      <c r="AV582" s="139"/>
    </row>
    <row r="583">
      <c r="P583" s="139"/>
      <c r="R583" s="139"/>
      <c r="AU583" s="139"/>
      <c r="AV583" s="139"/>
    </row>
    <row r="584">
      <c r="P584" s="139"/>
      <c r="R584" s="139"/>
      <c r="AU584" s="139"/>
      <c r="AV584" s="139"/>
    </row>
    <row r="585">
      <c r="P585" s="139"/>
      <c r="R585" s="139"/>
      <c r="AU585" s="139"/>
      <c r="AV585" s="139"/>
    </row>
    <row r="586">
      <c r="P586" s="139"/>
      <c r="R586" s="139"/>
      <c r="AU586" s="139"/>
      <c r="AV586" s="139"/>
    </row>
    <row r="587">
      <c r="P587" s="139"/>
      <c r="R587" s="139"/>
      <c r="AU587" s="139"/>
      <c r="AV587" s="139"/>
    </row>
    <row r="588">
      <c r="P588" s="139"/>
      <c r="R588" s="139"/>
      <c r="AU588" s="139"/>
      <c r="AV588" s="139"/>
    </row>
    <row r="589">
      <c r="P589" s="139"/>
      <c r="R589" s="139"/>
      <c r="AU589" s="139"/>
      <c r="AV589" s="139"/>
    </row>
    <row r="590">
      <c r="P590" s="139"/>
      <c r="R590" s="139"/>
      <c r="AU590" s="139"/>
      <c r="AV590" s="139"/>
    </row>
    <row r="591">
      <c r="P591" s="139"/>
      <c r="R591" s="139"/>
      <c r="AU591" s="139"/>
      <c r="AV591" s="139"/>
    </row>
    <row r="592">
      <c r="P592" s="139"/>
      <c r="R592" s="139"/>
      <c r="AU592" s="139"/>
      <c r="AV592" s="139"/>
    </row>
    <row r="593">
      <c r="P593" s="139"/>
      <c r="R593" s="139"/>
      <c r="AU593" s="139"/>
      <c r="AV593" s="139"/>
    </row>
    <row r="594">
      <c r="P594" s="139"/>
      <c r="R594" s="139"/>
      <c r="AU594" s="139"/>
      <c r="AV594" s="139"/>
    </row>
    <row r="595">
      <c r="P595" s="139"/>
      <c r="R595" s="139"/>
      <c r="AU595" s="139"/>
      <c r="AV595" s="139"/>
    </row>
    <row r="596">
      <c r="P596" s="139"/>
      <c r="R596" s="139"/>
      <c r="AU596" s="139"/>
      <c r="AV596" s="139"/>
    </row>
    <row r="597">
      <c r="P597" s="139"/>
      <c r="R597" s="139"/>
      <c r="AU597" s="139"/>
      <c r="AV597" s="139"/>
    </row>
    <row r="598">
      <c r="P598" s="139"/>
      <c r="R598" s="139"/>
      <c r="AU598" s="139"/>
      <c r="AV598" s="139"/>
    </row>
    <row r="599">
      <c r="P599" s="139"/>
      <c r="R599" s="139"/>
      <c r="AU599" s="139"/>
      <c r="AV599" s="139"/>
    </row>
    <row r="600">
      <c r="P600" s="139"/>
      <c r="R600" s="139"/>
      <c r="AU600" s="139"/>
      <c r="AV600" s="139"/>
    </row>
    <row r="601">
      <c r="P601" s="139"/>
      <c r="R601" s="139"/>
      <c r="AU601" s="139"/>
      <c r="AV601" s="139"/>
    </row>
    <row r="602">
      <c r="P602" s="139"/>
      <c r="R602" s="139"/>
      <c r="AU602" s="139"/>
      <c r="AV602" s="139"/>
    </row>
    <row r="603">
      <c r="P603" s="139"/>
      <c r="R603" s="139"/>
      <c r="AU603" s="139"/>
      <c r="AV603" s="139"/>
    </row>
    <row r="604">
      <c r="P604" s="139"/>
      <c r="R604" s="139"/>
      <c r="AU604" s="139"/>
      <c r="AV604" s="139"/>
    </row>
    <row r="605">
      <c r="P605" s="139"/>
      <c r="R605" s="139"/>
      <c r="AU605" s="139"/>
      <c r="AV605" s="139"/>
    </row>
    <row r="606">
      <c r="P606" s="139"/>
      <c r="R606" s="139"/>
      <c r="AU606" s="139"/>
      <c r="AV606" s="139"/>
    </row>
    <row r="607">
      <c r="P607" s="139"/>
      <c r="R607" s="139"/>
      <c r="AU607" s="139"/>
      <c r="AV607" s="139"/>
    </row>
    <row r="608">
      <c r="P608" s="139"/>
      <c r="R608" s="139"/>
      <c r="AU608" s="139"/>
      <c r="AV608" s="139"/>
    </row>
    <row r="609">
      <c r="P609" s="139"/>
      <c r="R609" s="139"/>
      <c r="AU609" s="139"/>
      <c r="AV609" s="139"/>
    </row>
    <row r="610">
      <c r="P610" s="139"/>
      <c r="R610" s="139"/>
      <c r="AU610" s="139"/>
      <c r="AV610" s="139"/>
    </row>
    <row r="611">
      <c r="P611" s="139"/>
      <c r="R611" s="139"/>
      <c r="AU611" s="139"/>
      <c r="AV611" s="139"/>
    </row>
    <row r="612">
      <c r="P612" s="139"/>
      <c r="R612" s="139"/>
      <c r="AU612" s="139"/>
      <c r="AV612" s="139"/>
    </row>
    <row r="613">
      <c r="P613" s="139"/>
      <c r="R613" s="139"/>
      <c r="AU613" s="139"/>
      <c r="AV613" s="139"/>
    </row>
    <row r="614">
      <c r="P614" s="139"/>
      <c r="R614" s="139"/>
      <c r="AU614" s="139"/>
      <c r="AV614" s="139"/>
    </row>
    <row r="615">
      <c r="P615" s="139"/>
      <c r="R615" s="139"/>
      <c r="AU615" s="139"/>
      <c r="AV615" s="139"/>
    </row>
    <row r="616">
      <c r="P616" s="139"/>
      <c r="R616" s="139"/>
      <c r="AU616" s="139"/>
      <c r="AV616" s="139"/>
    </row>
    <row r="617">
      <c r="P617" s="139"/>
      <c r="R617" s="139"/>
      <c r="AU617" s="139"/>
      <c r="AV617" s="139"/>
    </row>
    <row r="618">
      <c r="P618" s="139"/>
      <c r="R618" s="139"/>
      <c r="AU618" s="139"/>
      <c r="AV618" s="139"/>
    </row>
    <row r="619">
      <c r="P619" s="139"/>
      <c r="R619" s="139"/>
      <c r="AU619" s="139"/>
      <c r="AV619" s="139"/>
    </row>
    <row r="620">
      <c r="P620" s="139"/>
      <c r="R620" s="139"/>
      <c r="AU620" s="139"/>
      <c r="AV620" s="139"/>
    </row>
    <row r="621">
      <c r="P621" s="139"/>
      <c r="R621" s="139"/>
      <c r="AU621" s="139"/>
      <c r="AV621" s="139"/>
    </row>
    <row r="622">
      <c r="P622" s="139"/>
      <c r="R622" s="139"/>
      <c r="AU622" s="139"/>
      <c r="AV622" s="139"/>
    </row>
    <row r="623">
      <c r="P623" s="139"/>
      <c r="R623" s="139"/>
      <c r="AU623" s="139"/>
      <c r="AV623" s="139"/>
    </row>
    <row r="624">
      <c r="P624" s="139"/>
      <c r="R624" s="139"/>
      <c r="AU624" s="139"/>
      <c r="AV624" s="139"/>
    </row>
    <row r="625">
      <c r="P625" s="139"/>
      <c r="R625" s="139"/>
      <c r="AU625" s="139"/>
      <c r="AV625" s="139"/>
    </row>
    <row r="626">
      <c r="P626" s="139"/>
      <c r="R626" s="139"/>
      <c r="AU626" s="139"/>
      <c r="AV626" s="139"/>
    </row>
    <row r="627">
      <c r="P627" s="139"/>
      <c r="R627" s="139"/>
      <c r="AU627" s="139"/>
      <c r="AV627" s="139"/>
    </row>
    <row r="628">
      <c r="P628" s="139"/>
      <c r="R628" s="139"/>
      <c r="AU628" s="139"/>
      <c r="AV628" s="139"/>
    </row>
    <row r="629">
      <c r="P629" s="139"/>
      <c r="R629" s="139"/>
      <c r="AU629" s="139"/>
      <c r="AV629" s="139"/>
    </row>
    <row r="630">
      <c r="P630" s="139"/>
      <c r="R630" s="139"/>
      <c r="AU630" s="139"/>
      <c r="AV630" s="139"/>
    </row>
    <row r="631">
      <c r="P631" s="139"/>
      <c r="R631" s="139"/>
      <c r="AU631" s="139"/>
      <c r="AV631" s="139"/>
    </row>
    <row r="632">
      <c r="P632" s="139"/>
      <c r="R632" s="139"/>
      <c r="AU632" s="139"/>
      <c r="AV632" s="139"/>
    </row>
    <row r="633">
      <c r="P633" s="139"/>
      <c r="R633" s="139"/>
      <c r="AU633" s="139"/>
      <c r="AV633" s="139"/>
    </row>
    <row r="634">
      <c r="P634" s="139"/>
      <c r="R634" s="139"/>
      <c r="AU634" s="139"/>
      <c r="AV634" s="139"/>
    </row>
    <row r="635">
      <c r="P635" s="139"/>
      <c r="R635" s="139"/>
      <c r="AU635" s="139"/>
      <c r="AV635" s="139"/>
    </row>
    <row r="636">
      <c r="P636" s="139"/>
      <c r="R636" s="139"/>
      <c r="AU636" s="139"/>
      <c r="AV636" s="139"/>
    </row>
    <row r="637">
      <c r="P637" s="139"/>
      <c r="R637" s="139"/>
      <c r="AU637" s="139"/>
      <c r="AV637" s="139"/>
    </row>
    <row r="638">
      <c r="P638" s="139"/>
      <c r="R638" s="139"/>
      <c r="AU638" s="139"/>
      <c r="AV638" s="139"/>
    </row>
    <row r="639">
      <c r="P639" s="139"/>
      <c r="R639" s="139"/>
      <c r="AU639" s="139"/>
      <c r="AV639" s="139"/>
    </row>
    <row r="640">
      <c r="P640" s="139"/>
      <c r="R640" s="139"/>
      <c r="AU640" s="139"/>
      <c r="AV640" s="139"/>
    </row>
    <row r="641">
      <c r="P641" s="139"/>
      <c r="R641" s="139"/>
      <c r="AU641" s="139"/>
      <c r="AV641" s="139"/>
    </row>
    <row r="642">
      <c r="P642" s="139"/>
      <c r="R642" s="139"/>
      <c r="AU642" s="139"/>
      <c r="AV642" s="139"/>
    </row>
    <row r="643">
      <c r="P643" s="139"/>
      <c r="R643" s="139"/>
      <c r="AU643" s="139"/>
      <c r="AV643" s="139"/>
    </row>
    <row r="644">
      <c r="P644" s="139"/>
      <c r="R644" s="139"/>
      <c r="AU644" s="139"/>
      <c r="AV644" s="139"/>
    </row>
    <row r="645">
      <c r="P645" s="139"/>
      <c r="R645" s="139"/>
      <c r="AU645" s="139"/>
      <c r="AV645" s="139"/>
    </row>
    <row r="646">
      <c r="P646" s="139"/>
      <c r="R646" s="139"/>
      <c r="AU646" s="139"/>
      <c r="AV646" s="139"/>
    </row>
    <row r="647">
      <c r="P647" s="139"/>
      <c r="R647" s="139"/>
      <c r="AU647" s="139"/>
      <c r="AV647" s="139"/>
    </row>
    <row r="648">
      <c r="P648" s="139"/>
      <c r="R648" s="139"/>
      <c r="AU648" s="139"/>
      <c r="AV648" s="139"/>
    </row>
    <row r="649">
      <c r="P649" s="139"/>
      <c r="R649" s="139"/>
      <c r="AU649" s="139"/>
      <c r="AV649" s="139"/>
    </row>
    <row r="650">
      <c r="P650" s="139"/>
      <c r="R650" s="139"/>
      <c r="AU650" s="139"/>
      <c r="AV650" s="139"/>
    </row>
    <row r="651">
      <c r="P651" s="139"/>
      <c r="R651" s="139"/>
      <c r="AU651" s="139"/>
      <c r="AV651" s="139"/>
    </row>
    <row r="652">
      <c r="P652" s="139"/>
      <c r="R652" s="139"/>
      <c r="AU652" s="139"/>
      <c r="AV652" s="139"/>
    </row>
    <row r="653">
      <c r="P653" s="139"/>
      <c r="R653" s="139"/>
      <c r="AU653" s="139"/>
      <c r="AV653" s="139"/>
    </row>
    <row r="654">
      <c r="P654" s="139"/>
      <c r="R654" s="139"/>
      <c r="AU654" s="139"/>
      <c r="AV654" s="139"/>
    </row>
    <row r="655">
      <c r="P655" s="139"/>
      <c r="R655" s="139"/>
      <c r="AU655" s="139"/>
      <c r="AV655" s="139"/>
    </row>
    <row r="656">
      <c r="P656" s="139"/>
      <c r="R656" s="139"/>
      <c r="AU656" s="139"/>
      <c r="AV656" s="139"/>
    </row>
    <row r="657">
      <c r="P657" s="139"/>
      <c r="R657" s="139"/>
      <c r="AU657" s="139"/>
      <c r="AV657" s="139"/>
    </row>
    <row r="658">
      <c r="P658" s="139"/>
      <c r="R658" s="139"/>
      <c r="AU658" s="139"/>
      <c r="AV658" s="139"/>
    </row>
    <row r="659">
      <c r="P659" s="139"/>
      <c r="R659" s="139"/>
      <c r="AU659" s="139"/>
      <c r="AV659" s="139"/>
    </row>
    <row r="660">
      <c r="P660" s="139"/>
      <c r="R660" s="139"/>
      <c r="AU660" s="139"/>
      <c r="AV660" s="139"/>
    </row>
    <row r="661">
      <c r="P661" s="139"/>
      <c r="R661" s="139"/>
      <c r="AU661" s="139"/>
      <c r="AV661" s="139"/>
    </row>
    <row r="662">
      <c r="P662" s="139"/>
      <c r="R662" s="139"/>
      <c r="AU662" s="139"/>
      <c r="AV662" s="139"/>
    </row>
    <row r="663">
      <c r="P663" s="139"/>
      <c r="R663" s="139"/>
      <c r="AU663" s="139"/>
      <c r="AV663" s="139"/>
    </row>
    <row r="664">
      <c r="P664" s="139"/>
      <c r="R664" s="139"/>
      <c r="AU664" s="139"/>
      <c r="AV664" s="139"/>
    </row>
    <row r="665">
      <c r="P665" s="139"/>
      <c r="R665" s="139"/>
      <c r="AU665" s="139"/>
      <c r="AV665" s="139"/>
    </row>
    <row r="666">
      <c r="P666" s="139"/>
      <c r="R666" s="139"/>
      <c r="AU666" s="139"/>
      <c r="AV666" s="139"/>
    </row>
    <row r="667">
      <c r="P667" s="139"/>
      <c r="R667" s="139"/>
      <c r="AU667" s="139"/>
      <c r="AV667" s="139"/>
    </row>
    <row r="668">
      <c r="P668" s="139"/>
      <c r="R668" s="139"/>
      <c r="AU668" s="139"/>
      <c r="AV668" s="139"/>
    </row>
    <row r="669">
      <c r="P669" s="139"/>
      <c r="R669" s="139"/>
      <c r="AU669" s="139"/>
      <c r="AV669" s="139"/>
    </row>
    <row r="670">
      <c r="P670" s="139"/>
      <c r="R670" s="139"/>
      <c r="AU670" s="139"/>
      <c r="AV670" s="139"/>
    </row>
    <row r="671">
      <c r="P671" s="139"/>
      <c r="R671" s="139"/>
      <c r="AU671" s="139"/>
      <c r="AV671" s="139"/>
    </row>
    <row r="672">
      <c r="P672" s="139"/>
      <c r="R672" s="139"/>
      <c r="AU672" s="139"/>
      <c r="AV672" s="139"/>
    </row>
    <row r="673">
      <c r="P673" s="139"/>
      <c r="R673" s="139"/>
      <c r="AU673" s="139"/>
      <c r="AV673" s="139"/>
    </row>
    <row r="674">
      <c r="P674" s="139"/>
      <c r="R674" s="139"/>
      <c r="AU674" s="139"/>
      <c r="AV674" s="139"/>
    </row>
    <row r="675">
      <c r="P675" s="139"/>
      <c r="R675" s="139"/>
      <c r="AU675" s="139"/>
      <c r="AV675" s="139"/>
    </row>
    <row r="676">
      <c r="P676" s="139"/>
      <c r="R676" s="139"/>
      <c r="AU676" s="139"/>
      <c r="AV676" s="139"/>
    </row>
    <row r="677">
      <c r="P677" s="139"/>
      <c r="R677" s="139"/>
      <c r="AU677" s="139"/>
      <c r="AV677" s="139"/>
    </row>
    <row r="678">
      <c r="P678" s="139"/>
      <c r="R678" s="139"/>
      <c r="AU678" s="139"/>
      <c r="AV678" s="139"/>
    </row>
    <row r="679">
      <c r="P679" s="139"/>
      <c r="R679" s="139"/>
      <c r="AU679" s="139"/>
      <c r="AV679" s="139"/>
    </row>
    <row r="680">
      <c r="P680" s="139"/>
      <c r="R680" s="139"/>
      <c r="AU680" s="139"/>
      <c r="AV680" s="139"/>
    </row>
    <row r="681">
      <c r="P681" s="139"/>
      <c r="R681" s="139"/>
      <c r="AU681" s="139"/>
      <c r="AV681" s="139"/>
    </row>
    <row r="682">
      <c r="P682" s="139"/>
      <c r="R682" s="139"/>
      <c r="AU682" s="139"/>
      <c r="AV682" s="139"/>
    </row>
    <row r="683">
      <c r="P683" s="139"/>
      <c r="R683" s="139"/>
      <c r="AU683" s="139"/>
      <c r="AV683" s="139"/>
    </row>
    <row r="684">
      <c r="P684" s="139"/>
      <c r="R684" s="139"/>
      <c r="AU684" s="139"/>
      <c r="AV684" s="139"/>
    </row>
    <row r="685">
      <c r="P685" s="139"/>
      <c r="R685" s="139"/>
      <c r="AU685" s="139"/>
      <c r="AV685" s="139"/>
    </row>
    <row r="686">
      <c r="P686" s="139"/>
      <c r="R686" s="139"/>
      <c r="AU686" s="139"/>
      <c r="AV686" s="139"/>
    </row>
    <row r="687">
      <c r="P687" s="139"/>
      <c r="R687" s="139"/>
      <c r="AU687" s="139"/>
      <c r="AV687" s="139"/>
    </row>
    <row r="688">
      <c r="P688" s="139"/>
      <c r="R688" s="139"/>
      <c r="AU688" s="139"/>
      <c r="AV688" s="139"/>
    </row>
    <row r="689">
      <c r="P689" s="139"/>
      <c r="R689" s="139"/>
      <c r="AU689" s="139"/>
      <c r="AV689" s="139"/>
    </row>
    <row r="690">
      <c r="P690" s="139"/>
      <c r="R690" s="139"/>
      <c r="AU690" s="139"/>
      <c r="AV690" s="139"/>
    </row>
    <row r="691">
      <c r="P691" s="139"/>
      <c r="R691" s="139"/>
      <c r="AU691" s="139"/>
      <c r="AV691" s="139"/>
    </row>
    <row r="692">
      <c r="P692" s="139"/>
      <c r="R692" s="139"/>
      <c r="AU692" s="139"/>
      <c r="AV692" s="139"/>
    </row>
    <row r="693">
      <c r="P693" s="139"/>
      <c r="R693" s="139"/>
      <c r="AU693" s="139"/>
      <c r="AV693" s="139"/>
    </row>
    <row r="694">
      <c r="P694" s="139"/>
      <c r="R694" s="139"/>
      <c r="AU694" s="139"/>
      <c r="AV694" s="139"/>
    </row>
    <row r="695">
      <c r="P695" s="139"/>
      <c r="R695" s="139"/>
      <c r="AU695" s="139"/>
      <c r="AV695" s="139"/>
    </row>
    <row r="696">
      <c r="P696" s="139"/>
      <c r="R696" s="139"/>
      <c r="AU696" s="139"/>
      <c r="AV696" s="139"/>
    </row>
    <row r="697">
      <c r="P697" s="139"/>
      <c r="R697" s="139"/>
      <c r="AU697" s="139"/>
      <c r="AV697" s="139"/>
    </row>
    <row r="698">
      <c r="P698" s="139"/>
      <c r="R698" s="139"/>
      <c r="AU698" s="139"/>
      <c r="AV698" s="139"/>
    </row>
    <row r="699">
      <c r="P699" s="139"/>
      <c r="R699" s="139"/>
      <c r="AU699" s="139"/>
      <c r="AV699" s="139"/>
    </row>
    <row r="700">
      <c r="P700" s="139"/>
      <c r="R700" s="139"/>
      <c r="AU700" s="139"/>
      <c r="AV700" s="139"/>
    </row>
    <row r="701">
      <c r="P701" s="139"/>
      <c r="R701" s="139"/>
      <c r="AU701" s="139"/>
      <c r="AV701" s="139"/>
    </row>
    <row r="702">
      <c r="P702" s="139"/>
      <c r="R702" s="139"/>
      <c r="AU702" s="139"/>
      <c r="AV702" s="139"/>
    </row>
    <row r="703">
      <c r="P703" s="139"/>
      <c r="R703" s="139"/>
      <c r="AU703" s="139"/>
      <c r="AV703" s="139"/>
    </row>
    <row r="704">
      <c r="P704" s="139"/>
      <c r="R704" s="139"/>
      <c r="AU704" s="139"/>
      <c r="AV704" s="139"/>
    </row>
    <row r="705">
      <c r="P705" s="139"/>
      <c r="R705" s="139"/>
      <c r="AU705" s="139"/>
      <c r="AV705" s="139"/>
    </row>
    <row r="706">
      <c r="P706" s="139"/>
      <c r="R706" s="139"/>
      <c r="AU706" s="139"/>
      <c r="AV706" s="139"/>
    </row>
    <row r="707">
      <c r="P707" s="139"/>
      <c r="R707" s="139"/>
      <c r="AU707" s="139"/>
      <c r="AV707" s="139"/>
    </row>
    <row r="708">
      <c r="P708" s="139"/>
      <c r="R708" s="139"/>
      <c r="AU708" s="139"/>
      <c r="AV708" s="139"/>
    </row>
    <row r="709">
      <c r="P709" s="139"/>
      <c r="R709" s="139"/>
      <c r="AU709" s="139"/>
      <c r="AV709" s="139"/>
    </row>
    <row r="710">
      <c r="P710" s="139"/>
      <c r="R710" s="139"/>
      <c r="AU710" s="139"/>
      <c r="AV710" s="139"/>
    </row>
    <row r="711">
      <c r="P711" s="139"/>
      <c r="R711" s="139"/>
      <c r="AU711" s="139"/>
      <c r="AV711" s="139"/>
    </row>
    <row r="712">
      <c r="P712" s="139"/>
      <c r="R712" s="139"/>
      <c r="AU712" s="139"/>
      <c r="AV712" s="139"/>
    </row>
    <row r="713">
      <c r="P713" s="139"/>
      <c r="R713" s="139"/>
      <c r="AU713" s="139"/>
      <c r="AV713" s="139"/>
    </row>
    <row r="714">
      <c r="P714" s="139"/>
      <c r="R714" s="139"/>
      <c r="AU714" s="139"/>
      <c r="AV714" s="139"/>
    </row>
    <row r="715">
      <c r="P715" s="139"/>
      <c r="R715" s="139"/>
      <c r="AU715" s="139"/>
      <c r="AV715" s="139"/>
    </row>
    <row r="716">
      <c r="P716" s="139"/>
      <c r="R716" s="139"/>
      <c r="AU716" s="139"/>
      <c r="AV716" s="139"/>
    </row>
    <row r="717">
      <c r="P717" s="139"/>
      <c r="R717" s="139"/>
      <c r="AU717" s="139"/>
      <c r="AV717" s="139"/>
    </row>
    <row r="718">
      <c r="P718" s="139"/>
      <c r="R718" s="139"/>
      <c r="AU718" s="139"/>
      <c r="AV718" s="139"/>
    </row>
    <row r="719">
      <c r="P719" s="139"/>
      <c r="R719" s="139"/>
      <c r="AU719" s="139"/>
      <c r="AV719" s="139"/>
    </row>
    <row r="720">
      <c r="P720" s="139"/>
      <c r="R720" s="139"/>
      <c r="AU720" s="139"/>
      <c r="AV720" s="139"/>
    </row>
    <row r="721">
      <c r="P721" s="139"/>
      <c r="R721" s="139"/>
      <c r="AU721" s="139"/>
      <c r="AV721" s="139"/>
    </row>
    <row r="722">
      <c r="P722" s="139"/>
      <c r="R722" s="139"/>
      <c r="AU722" s="139"/>
      <c r="AV722" s="139"/>
    </row>
    <row r="723">
      <c r="P723" s="139"/>
      <c r="R723" s="139"/>
      <c r="AU723" s="139"/>
      <c r="AV723" s="139"/>
    </row>
    <row r="724">
      <c r="P724" s="139"/>
      <c r="R724" s="139"/>
      <c r="AU724" s="139"/>
      <c r="AV724" s="139"/>
    </row>
    <row r="725">
      <c r="P725" s="139"/>
      <c r="R725" s="139"/>
      <c r="AU725" s="139"/>
      <c r="AV725" s="139"/>
    </row>
    <row r="726">
      <c r="P726" s="139"/>
      <c r="R726" s="139"/>
      <c r="AU726" s="139"/>
      <c r="AV726" s="139"/>
    </row>
    <row r="727">
      <c r="P727" s="139"/>
      <c r="R727" s="139"/>
      <c r="AU727" s="139"/>
      <c r="AV727" s="139"/>
    </row>
    <row r="728">
      <c r="P728" s="139"/>
      <c r="R728" s="139"/>
      <c r="AU728" s="139"/>
      <c r="AV728" s="139"/>
    </row>
    <row r="729">
      <c r="P729" s="139"/>
      <c r="R729" s="139"/>
      <c r="AU729" s="139"/>
      <c r="AV729" s="139"/>
    </row>
    <row r="730">
      <c r="P730" s="139"/>
      <c r="R730" s="139"/>
      <c r="AU730" s="139"/>
      <c r="AV730" s="139"/>
    </row>
    <row r="731">
      <c r="P731" s="139"/>
      <c r="R731" s="139"/>
      <c r="AU731" s="139"/>
      <c r="AV731" s="139"/>
    </row>
    <row r="732">
      <c r="P732" s="139"/>
      <c r="R732" s="139"/>
      <c r="AU732" s="139"/>
      <c r="AV732" s="139"/>
    </row>
    <row r="733">
      <c r="P733" s="139"/>
      <c r="R733" s="139"/>
      <c r="AU733" s="139"/>
      <c r="AV733" s="139"/>
    </row>
    <row r="734">
      <c r="P734" s="139"/>
      <c r="R734" s="139"/>
      <c r="AU734" s="139"/>
      <c r="AV734" s="139"/>
    </row>
    <row r="735">
      <c r="P735" s="139"/>
      <c r="R735" s="139"/>
      <c r="AU735" s="139"/>
      <c r="AV735" s="139"/>
    </row>
    <row r="736">
      <c r="P736" s="139"/>
      <c r="R736" s="139"/>
      <c r="AU736" s="139"/>
      <c r="AV736" s="139"/>
    </row>
    <row r="737">
      <c r="P737" s="139"/>
      <c r="R737" s="139"/>
      <c r="AU737" s="139"/>
      <c r="AV737" s="139"/>
    </row>
    <row r="738">
      <c r="P738" s="139"/>
      <c r="R738" s="139"/>
      <c r="AU738" s="139"/>
      <c r="AV738" s="139"/>
    </row>
    <row r="739">
      <c r="P739" s="139"/>
      <c r="R739" s="139"/>
      <c r="AU739" s="139"/>
      <c r="AV739" s="139"/>
    </row>
    <row r="740">
      <c r="P740" s="139"/>
      <c r="R740" s="139"/>
      <c r="AU740" s="139"/>
      <c r="AV740" s="139"/>
    </row>
    <row r="741">
      <c r="P741" s="139"/>
      <c r="R741" s="139"/>
      <c r="AU741" s="139"/>
      <c r="AV741" s="139"/>
    </row>
    <row r="742">
      <c r="P742" s="139"/>
      <c r="R742" s="139"/>
      <c r="AU742" s="139"/>
      <c r="AV742" s="139"/>
    </row>
    <row r="743">
      <c r="P743" s="139"/>
      <c r="R743" s="139"/>
      <c r="AU743" s="139"/>
      <c r="AV743" s="139"/>
    </row>
    <row r="744">
      <c r="P744" s="139"/>
      <c r="R744" s="139"/>
      <c r="AU744" s="139"/>
      <c r="AV744" s="139"/>
    </row>
    <row r="745">
      <c r="P745" s="139"/>
      <c r="R745" s="139"/>
      <c r="AU745" s="139"/>
      <c r="AV745" s="139"/>
    </row>
    <row r="746">
      <c r="P746" s="139"/>
      <c r="R746" s="139"/>
      <c r="AU746" s="139"/>
      <c r="AV746" s="139"/>
    </row>
    <row r="747">
      <c r="P747" s="139"/>
      <c r="R747" s="139"/>
      <c r="AU747" s="139"/>
      <c r="AV747" s="139"/>
    </row>
    <row r="748">
      <c r="P748" s="139"/>
      <c r="R748" s="139"/>
      <c r="AU748" s="139"/>
      <c r="AV748" s="139"/>
    </row>
    <row r="749">
      <c r="P749" s="139"/>
      <c r="R749" s="139"/>
      <c r="AU749" s="139"/>
      <c r="AV749" s="139"/>
    </row>
    <row r="750">
      <c r="P750" s="139"/>
      <c r="R750" s="139"/>
      <c r="AU750" s="139"/>
      <c r="AV750" s="139"/>
    </row>
    <row r="751">
      <c r="P751" s="139"/>
      <c r="R751" s="139"/>
      <c r="AU751" s="139"/>
      <c r="AV751" s="139"/>
    </row>
    <row r="752">
      <c r="P752" s="139"/>
      <c r="R752" s="139"/>
      <c r="AU752" s="139"/>
      <c r="AV752" s="139"/>
    </row>
    <row r="753">
      <c r="P753" s="139"/>
      <c r="R753" s="139"/>
      <c r="AU753" s="139"/>
      <c r="AV753" s="139"/>
    </row>
    <row r="754">
      <c r="P754" s="139"/>
      <c r="R754" s="139"/>
      <c r="AU754" s="139"/>
      <c r="AV754" s="139"/>
    </row>
    <row r="755">
      <c r="P755" s="139"/>
      <c r="R755" s="139"/>
      <c r="AU755" s="139"/>
      <c r="AV755" s="139"/>
    </row>
    <row r="756">
      <c r="P756" s="139"/>
      <c r="R756" s="139"/>
      <c r="AU756" s="139"/>
      <c r="AV756" s="139"/>
    </row>
    <row r="757">
      <c r="P757" s="139"/>
      <c r="R757" s="139"/>
      <c r="AU757" s="139"/>
      <c r="AV757" s="139"/>
    </row>
    <row r="758">
      <c r="P758" s="139"/>
      <c r="R758" s="139"/>
      <c r="AU758" s="139"/>
      <c r="AV758" s="139"/>
    </row>
    <row r="759">
      <c r="P759" s="139"/>
      <c r="R759" s="139"/>
      <c r="AU759" s="139"/>
      <c r="AV759" s="139"/>
    </row>
    <row r="760">
      <c r="P760" s="139"/>
      <c r="R760" s="139"/>
      <c r="AU760" s="139"/>
      <c r="AV760" s="139"/>
    </row>
    <row r="761">
      <c r="P761" s="139"/>
      <c r="R761" s="139"/>
      <c r="AU761" s="139"/>
      <c r="AV761" s="139"/>
    </row>
    <row r="762">
      <c r="P762" s="139"/>
      <c r="R762" s="139"/>
      <c r="AU762" s="139"/>
      <c r="AV762" s="139"/>
    </row>
    <row r="763">
      <c r="P763" s="139"/>
      <c r="R763" s="139"/>
      <c r="AU763" s="139"/>
      <c r="AV763" s="139"/>
    </row>
    <row r="764">
      <c r="P764" s="139"/>
      <c r="R764" s="139"/>
      <c r="AU764" s="139"/>
      <c r="AV764" s="139"/>
    </row>
    <row r="765">
      <c r="P765" s="139"/>
      <c r="R765" s="139"/>
      <c r="AU765" s="139"/>
      <c r="AV765" s="139"/>
    </row>
    <row r="766">
      <c r="P766" s="139"/>
      <c r="R766" s="139"/>
      <c r="AU766" s="139"/>
      <c r="AV766" s="139"/>
    </row>
    <row r="767">
      <c r="P767" s="139"/>
      <c r="R767" s="139"/>
      <c r="AU767" s="139"/>
      <c r="AV767" s="139"/>
    </row>
    <row r="768">
      <c r="P768" s="139"/>
      <c r="R768" s="139"/>
      <c r="AU768" s="139"/>
      <c r="AV768" s="139"/>
    </row>
    <row r="769">
      <c r="P769" s="139"/>
      <c r="R769" s="139"/>
      <c r="AU769" s="139"/>
      <c r="AV769" s="139"/>
    </row>
    <row r="770">
      <c r="P770" s="139"/>
      <c r="R770" s="139"/>
      <c r="AU770" s="139"/>
      <c r="AV770" s="139"/>
    </row>
    <row r="771">
      <c r="P771" s="139"/>
      <c r="R771" s="139"/>
      <c r="AU771" s="139"/>
      <c r="AV771" s="139"/>
    </row>
    <row r="772">
      <c r="P772" s="139"/>
      <c r="R772" s="139"/>
      <c r="AU772" s="139"/>
      <c r="AV772" s="139"/>
    </row>
    <row r="773">
      <c r="P773" s="139"/>
      <c r="R773" s="139"/>
      <c r="AU773" s="139"/>
      <c r="AV773" s="139"/>
    </row>
    <row r="774">
      <c r="P774" s="139"/>
      <c r="R774" s="139"/>
      <c r="AU774" s="139"/>
      <c r="AV774" s="139"/>
    </row>
    <row r="775">
      <c r="P775" s="139"/>
      <c r="R775" s="139"/>
      <c r="AU775" s="139"/>
      <c r="AV775" s="139"/>
    </row>
    <row r="776">
      <c r="P776" s="139"/>
      <c r="R776" s="139"/>
      <c r="AU776" s="139"/>
      <c r="AV776" s="139"/>
    </row>
    <row r="777">
      <c r="P777" s="139"/>
      <c r="R777" s="139"/>
      <c r="AU777" s="139"/>
      <c r="AV777" s="139"/>
    </row>
    <row r="778">
      <c r="P778" s="139"/>
      <c r="R778" s="139"/>
      <c r="AU778" s="139"/>
      <c r="AV778" s="139"/>
    </row>
    <row r="779">
      <c r="P779" s="139"/>
      <c r="R779" s="139"/>
      <c r="AU779" s="139"/>
      <c r="AV779" s="139"/>
    </row>
    <row r="780">
      <c r="P780" s="139"/>
      <c r="R780" s="139"/>
      <c r="AU780" s="139"/>
      <c r="AV780" s="139"/>
    </row>
    <row r="781">
      <c r="P781" s="139"/>
      <c r="R781" s="139"/>
      <c r="AU781" s="139"/>
      <c r="AV781" s="139"/>
    </row>
    <row r="782">
      <c r="P782" s="139"/>
      <c r="R782" s="139"/>
      <c r="AU782" s="139"/>
      <c r="AV782" s="139"/>
    </row>
    <row r="783">
      <c r="P783" s="139"/>
      <c r="R783" s="139"/>
      <c r="AU783" s="139"/>
      <c r="AV783" s="139"/>
    </row>
    <row r="784">
      <c r="P784" s="139"/>
      <c r="R784" s="139"/>
      <c r="AU784" s="139"/>
      <c r="AV784" s="139"/>
    </row>
    <row r="785">
      <c r="P785" s="139"/>
      <c r="R785" s="139"/>
      <c r="AU785" s="139"/>
      <c r="AV785" s="139"/>
    </row>
    <row r="786">
      <c r="P786" s="139"/>
      <c r="R786" s="139"/>
      <c r="AU786" s="139"/>
      <c r="AV786" s="139"/>
    </row>
    <row r="787">
      <c r="P787" s="139"/>
      <c r="R787" s="139"/>
      <c r="AU787" s="139"/>
      <c r="AV787" s="139"/>
    </row>
    <row r="788">
      <c r="P788" s="139"/>
      <c r="R788" s="139"/>
      <c r="AU788" s="139"/>
      <c r="AV788" s="139"/>
    </row>
    <row r="789">
      <c r="P789" s="139"/>
      <c r="R789" s="139"/>
      <c r="AU789" s="139"/>
      <c r="AV789" s="139"/>
    </row>
    <row r="790">
      <c r="P790" s="139"/>
      <c r="R790" s="139"/>
      <c r="AU790" s="139"/>
      <c r="AV790" s="139"/>
    </row>
    <row r="791">
      <c r="P791" s="139"/>
      <c r="R791" s="139"/>
      <c r="AU791" s="139"/>
      <c r="AV791" s="139"/>
    </row>
    <row r="792">
      <c r="P792" s="139"/>
      <c r="R792" s="139"/>
      <c r="AU792" s="139"/>
      <c r="AV792" s="139"/>
    </row>
    <row r="793">
      <c r="P793" s="139"/>
      <c r="R793" s="139"/>
      <c r="AU793" s="139"/>
      <c r="AV793" s="139"/>
    </row>
    <row r="794">
      <c r="P794" s="139"/>
      <c r="R794" s="139"/>
      <c r="AU794" s="139"/>
      <c r="AV794" s="139"/>
    </row>
    <row r="795">
      <c r="P795" s="139"/>
      <c r="R795" s="139"/>
      <c r="AU795" s="139"/>
      <c r="AV795" s="139"/>
    </row>
    <row r="796">
      <c r="P796" s="139"/>
      <c r="R796" s="139"/>
      <c r="AU796" s="139"/>
      <c r="AV796" s="139"/>
    </row>
    <row r="797">
      <c r="P797" s="139"/>
      <c r="R797" s="139"/>
      <c r="AU797" s="139"/>
      <c r="AV797" s="139"/>
    </row>
    <row r="798">
      <c r="P798" s="139"/>
      <c r="R798" s="139"/>
      <c r="AU798" s="139"/>
      <c r="AV798" s="139"/>
    </row>
    <row r="799">
      <c r="P799" s="139"/>
      <c r="R799" s="139"/>
      <c r="AU799" s="139"/>
      <c r="AV799" s="139"/>
    </row>
    <row r="800">
      <c r="P800" s="139"/>
      <c r="R800" s="139"/>
      <c r="AU800" s="139"/>
      <c r="AV800" s="139"/>
    </row>
    <row r="801">
      <c r="P801" s="139"/>
      <c r="R801" s="139"/>
      <c r="AU801" s="139"/>
      <c r="AV801" s="139"/>
    </row>
    <row r="802">
      <c r="P802" s="139"/>
      <c r="R802" s="139"/>
      <c r="AU802" s="139"/>
      <c r="AV802" s="139"/>
    </row>
    <row r="803">
      <c r="P803" s="139"/>
      <c r="R803" s="139"/>
      <c r="AU803" s="139"/>
      <c r="AV803" s="139"/>
    </row>
    <row r="804">
      <c r="P804" s="139"/>
      <c r="R804" s="139"/>
      <c r="AU804" s="139"/>
      <c r="AV804" s="139"/>
    </row>
    <row r="805">
      <c r="P805" s="139"/>
      <c r="R805" s="139"/>
      <c r="AU805" s="139"/>
      <c r="AV805" s="139"/>
    </row>
    <row r="806">
      <c r="P806" s="139"/>
      <c r="R806" s="139"/>
      <c r="AU806" s="139"/>
      <c r="AV806" s="139"/>
    </row>
    <row r="807">
      <c r="P807" s="139"/>
      <c r="R807" s="139"/>
      <c r="AU807" s="139"/>
      <c r="AV807" s="139"/>
    </row>
    <row r="808">
      <c r="P808" s="139"/>
      <c r="R808" s="139"/>
      <c r="AU808" s="139"/>
      <c r="AV808" s="139"/>
    </row>
    <row r="809">
      <c r="P809" s="139"/>
      <c r="R809" s="139"/>
      <c r="AU809" s="139"/>
      <c r="AV809" s="139"/>
    </row>
    <row r="810">
      <c r="P810" s="139"/>
      <c r="R810" s="139"/>
      <c r="AU810" s="139"/>
      <c r="AV810" s="139"/>
    </row>
    <row r="811">
      <c r="P811" s="139"/>
      <c r="R811" s="139"/>
      <c r="AU811" s="139"/>
      <c r="AV811" s="139"/>
    </row>
    <row r="812">
      <c r="P812" s="139"/>
      <c r="R812" s="139"/>
      <c r="AU812" s="139"/>
      <c r="AV812" s="139"/>
    </row>
    <row r="813">
      <c r="P813" s="139"/>
      <c r="R813" s="139"/>
      <c r="AU813" s="139"/>
      <c r="AV813" s="139"/>
    </row>
    <row r="814">
      <c r="P814" s="139"/>
      <c r="R814" s="139"/>
      <c r="AU814" s="139"/>
      <c r="AV814" s="139"/>
    </row>
    <row r="815">
      <c r="P815" s="139"/>
      <c r="R815" s="139"/>
      <c r="AU815" s="139"/>
      <c r="AV815" s="139"/>
    </row>
    <row r="816">
      <c r="P816" s="139"/>
      <c r="R816" s="139"/>
      <c r="AU816" s="139"/>
      <c r="AV816" s="139"/>
    </row>
    <row r="817">
      <c r="P817" s="139"/>
      <c r="R817" s="139"/>
      <c r="AU817" s="139"/>
      <c r="AV817" s="139"/>
    </row>
    <row r="818">
      <c r="P818" s="139"/>
      <c r="R818" s="139"/>
      <c r="AU818" s="139"/>
      <c r="AV818" s="139"/>
    </row>
    <row r="819">
      <c r="P819" s="139"/>
      <c r="R819" s="139"/>
      <c r="AU819" s="139"/>
      <c r="AV819" s="139"/>
    </row>
    <row r="820">
      <c r="P820" s="139"/>
      <c r="R820" s="139"/>
      <c r="AU820" s="139"/>
      <c r="AV820" s="139"/>
    </row>
    <row r="821">
      <c r="P821" s="139"/>
      <c r="R821" s="139"/>
      <c r="AU821" s="139"/>
      <c r="AV821" s="139"/>
    </row>
    <row r="822">
      <c r="P822" s="139"/>
      <c r="R822" s="139"/>
      <c r="AU822" s="139"/>
      <c r="AV822" s="139"/>
    </row>
    <row r="823">
      <c r="P823" s="139"/>
      <c r="R823" s="139"/>
      <c r="AU823" s="139"/>
      <c r="AV823" s="139"/>
    </row>
    <row r="824">
      <c r="P824" s="139"/>
      <c r="R824" s="139"/>
      <c r="AU824" s="139"/>
      <c r="AV824" s="139"/>
    </row>
    <row r="825">
      <c r="P825" s="139"/>
      <c r="R825" s="139"/>
      <c r="AU825" s="139"/>
      <c r="AV825" s="139"/>
    </row>
    <row r="826">
      <c r="P826" s="139"/>
      <c r="R826" s="139"/>
      <c r="AU826" s="139"/>
      <c r="AV826" s="139"/>
    </row>
    <row r="827">
      <c r="P827" s="139"/>
      <c r="R827" s="139"/>
      <c r="AU827" s="139"/>
      <c r="AV827" s="139"/>
    </row>
    <row r="828">
      <c r="P828" s="139"/>
      <c r="R828" s="139"/>
      <c r="AU828" s="139"/>
      <c r="AV828" s="139"/>
    </row>
    <row r="829">
      <c r="P829" s="139"/>
      <c r="R829" s="139"/>
      <c r="AU829" s="139"/>
      <c r="AV829" s="139"/>
    </row>
    <row r="830">
      <c r="P830" s="139"/>
      <c r="R830" s="139"/>
      <c r="AU830" s="139"/>
      <c r="AV830" s="139"/>
    </row>
    <row r="831">
      <c r="P831" s="139"/>
      <c r="R831" s="139"/>
      <c r="AU831" s="139"/>
      <c r="AV831" s="139"/>
    </row>
    <row r="832">
      <c r="P832" s="139"/>
      <c r="R832" s="139"/>
      <c r="AU832" s="139"/>
      <c r="AV832" s="139"/>
    </row>
    <row r="833">
      <c r="P833" s="139"/>
      <c r="R833" s="139"/>
      <c r="AU833" s="139"/>
      <c r="AV833" s="139"/>
    </row>
    <row r="834">
      <c r="P834" s="139"/>
      <c r="R834" s="139"/>
      <c r="AU834" s="139"/>
      <c r="AV834" s="139"/>
    </row>
    <row r="835">
      <c r="P835" s="139"/>
      <c r="R835" s="139"/>
      <c r="AU835" s="139"/>
      <c r="AV835" s="139"/>
    </row>
    <row r="836">
      <c r="P836" s="139"/>
      <c r="R836" s="139"/>
      <c r="AU836" s="139"/>
      <c r="AV836" s="139"/>
    </row>
    <row r="837">
      <c r="P837" s="139"/>
      <c r="R837" s="139"/>
      <c r="AU837" s="139"/>
      <c r="AV837" s="139"/>
    </row>
    <row r="838">
      <c r="P838" s="139"/>
      <c r="R838" s="139"/>
      <c r="AU838" s="139"/>
      <c r="AV838" s="139"/>
    </row>
    <row r="839">
      <c r="P839" s="139"/>
      <c r="R839" s="139"/>
      <c r="AU839" s="139"/>
      <c r="AV839" s="139"/>
    </row>
    <row r="840">
      <c r="P840" s="139"/>
      <c r="R840" s="139"/>
      <c r="AU840" s="139"/>
      <c r="AV840" s="139"/>
    </row>
    <row r="841">
      <c r="P841" s="139"/>
      <c r="R841" s="139"/>
      <c r="AU841" s="139"/>
      <c r="AV841" s="139"/>
    </row>
    <row r="842">
      <c r="P842" s="139"/>
      <c r="R842" s="139"/>
      <c r="AU842" s="139"/>
      <c r="AV842" s="139"/>
    </row>
    <row r="843">
      <c r="P843" s="139"/>
      <c r="R843" s="139"/>
      <c r="AU843" s="139"/>
      <c r="AV843" s="139"/>
    </row>
    <row r="844">
      <c r="P844" s="139"/>
      <c r="R844" s="139"/>
      <c r="AU844" s="139"/>
      <c r="AV844" s="139"/>
    </row>
    <row r="845">
      <c r="P845" s="139"/>
      <c r="R845" s="139"/>
      <c r="AU845" s="139"/>
      <c r="AV845" s="139"/>
    </row>
    <row r="846">
      <c r="P846" s="139"/>
      <c r="R846" s="139"/>
      <c r="AU846" s="139"/>
      <c r="AV846" s="139"/>
    </row>
    <row r="847">
      <c r="P847" s="139"/>
      <c r="R847" s="139"/>
      <c r="AU847" s="139"/>
      <c r="AV847" s="139"/>
    </row>
    <row r="848">
      <c r="P848" s="139"/>
      <c r="R848" s="139"/>
      <c r="AU848" s="139"/>
      <c r="AV848" s="139"/>
    </row>
    <row r="849">
      <c r="P849" s="139"/>
      <c r="R849" s="139"/>
      <c r="AU849" s="139"/>
      <c r="AV849" s="139"/>
    </row>
    <row r="850">
      <c r="P850" s="139"/>
      <c r="R850" s="139"/>
      <c r="AU850" s="139"/>
      <c r="AV850" s="139"/>
    </row>
    <row r="851">
      <c r="P851" s="139"/>
      <c r="R851" s="139"/>
      <c r="AU851" s="139"/>
      <c r="AV851" s="139"/>
    </row>
    <row r="852">
      <c r="P852" s="139"/>
      <c r="R852" s="139"/>
      <c r="AU852" s="139"/>
      <c r="AV852" s="139"/>
    </row>
    <row r="853">
      <c r="P853" s="139"/>
      <c r="R853" s="139"/>
      <c r="AU853" s="139"/>
      <c r="AV853" s="139"/>
    </row>
    <row r="854">
      <c r="P854" s="139"/>
      <c r="R854" s="139"/>
      <c r="AU854" s="139"/>
      <c r="AV854" s="139"/>
    </row>
    <row r="855">
      <c r="P855" s="139"/>
      <c r="R855" s="139"/>
      <c r="AU855" s="139"/>
      <c r="AV855" s="139"/>
    </row>
    <row r="856">
      <c r="P856" s="139"/>
      <c r="R856" s="139"/>
      <c r="AU856" s="139"/>
      <c r="AV856" s="139"/>
    </row>
    <row r="857">
      <c r="P857" s="139"/>
      <c r="R857" s="139"/>
      <c r="AU857" s="139"/>
      <c r="AV857" s="139"/>
    </row>
    <row r="858">
      <c r="P858" s="139"/>
      <c r="R858" s="139"/>
      <c r="AU858" s="139"/>
      <c r="AV858" s="139"/>
    </row>
    <row r="859">
      <c r="P859" s="139"/>
      <c r="R859" s="139"/>
      <c r="AU859" s="139"/>
      <c r="AV859" s="139"/>
    </row>
    <row r="860">
      <c r="P860" s="139"/>
      <c r="R860" s="139"/>
      <c r="AU860" s="139"/>
      <c r="AV860" s="139"/>
    </row>
    <row r="861">
      <c r="P861" s="139"/>
      <c r="R861" s="139"/>
      <c r="AU861" s="139"/>
      <c r="AV861" s="139"/>
    </row>
    <row r="862">
      <c r="P862" s="139"/>
      <c r="R862" s="139"/>
      <c r="AU862" s="139"/>
      <c r="AV862" s="139"/>
    </row>
    <row r="863">
      <c r="P863" s="139"/>
      <c r="R863" s="139"/>
      <c r="AU863" s="139"/>
      <c r="AV863" s="139"/>
    </row>
    <row r="864">
      <c r="P864" s="139"/>
      <c r="R864" s="139"/>
      <c r="AU864" s="139"/>
      <c r="AV864" s="139"/>
    </row>
    <row r="865">
      <c r="P865" s="139"/>
      <c r="R865" s="139"/>
      <c r="AU865" s="139"/>
      <c r="AV865" s="139"/>
    </row>
    <row r="866">
      <c r="P866" s="139"/>
      <c r="R866" s="139"/>
      <c r="AU866" s="139"/>
      <c r="AV866" s="139"/>
    </row>
    <row r="867">
      <c r="P867" s="139"/>
      <c r="R867" s="139"/>
      <c r="AU867" s="139"/>
      <c r="AV867" s="139"/>
    </row>
    <row r="868">
      <c r="P868" s="139"/>
      <c r="R868" s="139"/>
      <c r="AU868" s="139"/>
      <c r="AV868" s="139"/>
    </row>
    <row r="869">
      <c r="P869" s="139"/>
      <c r="R869" s="139"/>
      <c r="AU869" s="139"/>
      <c r="AV869" s="139"/>
    </row>
    <row r="870">
      <c r="P870" s="139"/>
      <c r="R870" s="139"/>
      <c r="AU870" s="139"/>
      <c r="AV870" s="139"/>
    </row>
    <row r="871">
      <c r="P871" s="139"/>
      <c r="R871" s="139"/>
      <c r="AU871" s="139"/>
      <c r="AV871" s="139"/>
    </row>
    <row r="872">
      <c r="P872" s="139"/>
      <c r="R872" s="139"/>
      <c r="AU872" s="139"/>
      <c r="AV872" s="139"/>
    </row>
    <row r="873">
      <c r="P873" s="139"/>
      <c r="R873" s="139"/>
      <c r="AU873" s="139"/>
      <c r="AV873" s="139"/>
    </row>
    <row r="874">
      <c r="P874" s="139"/>
      <c r="R874" s="139"/>
      <c r="AU874" s="139"/>
      <c r="AV874" s="139"/>
    </row>
    <row r="875">
      <c r="P875" s="139"/>
      <c r="R875" s="139"/>
      <c r="AU875" s="139"/>
      <c r="AV875" s="139"/>
    </row>
    <row r="876">
      <c r="P876" s="139"/>
      <c r="R876" s="139"/>
      <c r="AU876" s="139"/>
      <c r="AV876" s="139"/>
    </row>
    <row r="877">
      <c r="P877" s="139"/>
      <c r="R877" s="139"/>
      <c r="AU877" s="139"/>
      <c r="AV877" s="139"/>
    </row>
    <row r="878">
      <c r="P878" s="139"/>
      <c r="R878" s="139"/>
      <c r="AU878" s="139"/>
      <c r="AV878" s="139"/>
    </row>
    <row r="879">
      <c r="P879" s="139"/>
      <c r="R879" s="139"/>
      <c r="AU879" s="139"/>
      <c r="AV879" s="139"/>
    </row>
    <row r="880">
      <c r="P880" s="139"/>
      <c r="R880" s="139"/>
      <c r="AU880" s="139"/>
      <c r="AV880" s="139"/>
    </row>
    <row r="881">
      <c r="P881" s="139"/>
      <c r="R881" s="139"/>
      <c r="AU881" s="139"/>
      <c r="AV881" s="139"/>
    </row>
    <row r="882">
      <c r="P882" s="139"/>
      <c r="R882" s="139"/>
      <c r="AU882" s="139"/>
      <c r="AV882" s="139"/>
    </row>
    <row r="883">
      <c r="P883" s="139"/>
      <c r="R883" s="139"/>
      <c r="AU883" s="139"/>
      <c r="AV883" s="139"/>
    </row>
    <row r="884">
      <c r="P884" s="139"/>
      <c r="R884" s="139"/>
      <c r="AU884" s="139"/>
      <c r="AV884" s="139"/>
    </row>
    <row r="885">
      <c r="P885" s="139"/>
      <c r="R885" s="139"/>
      <c r="AU885" s="139"/>
      <c r="AV885" s="139"/>
    </row>
    <row r="886">
      <c r="P886" s="139"/>
      <c r="R886" s="139"/>
      <c r="AU886" s="139"/>
      <c r="AV886" s="139"/>
    </row>
    <row r="887">
      <c r="P887" s="139"/>
      <c r="R887" s="139"/>
      <c r="AU887" s="139"/>
      <c r="AV887" s="139"/>
    </row>
    <row r="888">
      <c r="P888" s="139"/>
      <c r="R888" s="139"/>
      <c r="AU888" s="139"/>
      <c r="AV888" s="139"/>
    </row>
    <row r="889">
      <c r="P889" s="139"/>
      <c r="R889" s="139"/>
      <c r="AU889" s="139"/>
      <c r="AV889" s="139"/>
    </row>
    <row r="890">
      <c r="P890" s="139"/>
      <c r="R890" s="139"/>
      <c r="AU890" s="139"/>
      <c r="AV890" s="139"/>
    </row>
    <row r="891">
      <c r="P891" s="139"/>
      <c r="R891" s="139"/>
      <c r="AU891" s="139"/>
      <c r="AV891" s="139"/>
    </row>
    <row r="892">
      <c r="P892" s="139"/>
      <c r="R892" s="139"/>
      <c r="AU892" s="139"/>
      <c r="AV892" s="139"/>
    </row>
    <row r="893">
      <c r="P893" s="139"/>
      <c r="R893" s="139"/>
      <c r="AU893" s="139"/>
      <c r="AV893" s="139"/>
    </row>
    <row r="894">
      <c r="P894" s="139"/>
      <c r="R894" s="139"/>
      <c r="AU894" s="139"/>
      <c r="AV894" s="139"/>
    </row>
    <row r="895">
      <c r="P895" s="139"/>
      <c r="R895" s="139"/>
      <c r="AU895" s="139"/>
      <c r="AV895" s="139"/>
    </row>
    <row r="896">
      <c r="P896" s="139"/>
      <c r="R896" s="139"/>
      <c r="AU896" s="139"/>
      <c r="AV896" s="139"/>
    </row>
    <row r="897">
      <c r="P897" s="139"/>
      <c r="R897" s="139"/>
      <c r="AU897" s="139"/>
      <c r="AV897" s="139"/>
    </row>
    <row r="898">
      <c r="P898" s="139"/>
      <c r="R898" s="139"/>
      <c r="AU898" s="139"/>
      <c r="AV898" s="139"/>
    </row>
    <row r="899">
      <c r="P899" s="139"/>
      <c r="R899" s="139"/>
      <c r="AU899" s="139"/>
      <c r="AV899" s="139"/>
    </row>
    <row r="900">
      <c r="P900" s="139"/>
      <c r="R900" s="139"/>
      <c r="AU900" s="139"/>
      <c r="AV900" s="139"/>
    </row>
    <row r="901">
      <c r="P901" s="139"/>
      <c r="R901" s="139"/>
      <c r="AU901" s="139"/>
      <c r="AV901" s="139"/>
    </row>
    <row r="902">
      <c r="P902" s="139"/>
      <c r="R902" s="139"/>
      <c r="AU902" s="139"/>
      <c r="AV902" s="139"/>
    </row>
    <row r="903">
      <c r="P903" s="139"/>
      <c r="R903" s="139"/>
      <c r="AU903" s="139"/>
      <c r="AV903" s="139"/>
    </row>
    <row r="904">
      <c r="P904" s="139"/>
      <c r="R904" s="139"/>
      <c r="AU904" s="139"/>
      <c r="AV904" s="139"/>
    </row>
    <row r="905">
      <c r="P905" s="139"/>
      <c r="R905" s="139"/>
      <c r="AU905" s="139"/>
      <c r="AV905" s="139"/>
    </row>
    <row r="906">
      <c r="P906" s="139"/>
      <c r="R906" s="139"/>
      <c r="AU906" s="139"/>
      <c r="AV906" s="139"/>
    </row>
    <row r="907">
      <c r="P907" s="139"/>
      <c r="R907" s="139"/>
      <c r="AU907" s="139"/>
      <c r="AV907" s="139"/>
    </row>
    <row r="908">
      <c r="P908" s="139"/>
      <c r="R908" s="139"/>
      <c r="AU908" s="139"/>
      <c r="AV908" s="139"/>
    </row>
    <row r="909">
      <c r="P909" s="139"/>
      <c r="R909" s="139"/>
      <c r="AU909" s="139"/>
      <c r="AV909" s="139"/>
    </row>
    <row r="910">
      <c r="P910" s="139"/>
      <c r="R910" s="139"/>
      <c r="AU910" s="139"/>
      <c r="AV910" s="139"/>
    </row>
    <row r="911">
      <c r="P911" s="139"/>
      <c r="R911" s="139"/>
      <c r="AU911" s="139"/>
      <c r="AV911" s="139"/>
    </row>
    <row r="912">
      <c r="P912" s="139"/>
      <c r="R912" s="139"/>
      <c r="AU912" s="139"/>
      <c r="AV912" s="139"/>
    </row>
    <row r="913">
      <c r="P913" s="139"/>
      <c r="R913" s="139"/>
      <c r="AU913" s="139"/>
      <c r="AV913" s="139"/>
    </row>
    <row r="914">
      <c r="P914" s="139"/>
      <c r="R914" s="139"/>
      <c r="AU914" s="139"/>
      <c r="AV914" s="139"/>
    </row>
    <row r="915">
      <c r="P915" s="139"/>
      <c r="R915" s="139"/>
      <c r="AU915" s="139"/>
      <c r="AV915" s="139"/>
    </row>
    <row r="916">
      <c r="P916" s="139"/>
      <c r="R916" s="139"/>
      <c r="AU916" s="139"/>
      <c r="AV916" s="139"/>
    </row>
    <row r="917">
      <c r="P917" s="139"/>
      <c r="R917" s="139"/>
      <c r="AU917" s="139"/>
      <c r="AV917" s="139"/>
    </row>
    <row r="918">
      <c r="P918" s="139"/>
      <c r="R918" s="139"/>
      <c r="AU918" s="139"/>
      <c r="AV918" s="139"/>
    </row>
    <row r="919">
      <c r="P919" s="139"/>
      <c r="R919" s="139"/>
      <c r="AU919" s="139"/>
      <c r="AV919" s="139"/>
    </row>
    <row r="920">
      <c r="P920" s="139"/>
      <c r="R920" s="139"/>
      <c r="AU920" s="139"/>
      <c r="AV920" s="139"/>
    </row>
    <row r="921">
      <c r="P921" s="139"/>
      <c r="R921" s="139"/>
      <c r="AU921" s="139"/>
      <c r="AV921" s="139"/>
    </row>
    <row r="922">
      <c r="P922" s="139"/>
      <c r="R922" s="139"/>
      <c r="AU922" s="139"/>
      <c r="AV922" s="139"/>
    </row>
    <row r="923">
      <c r="P923" s="139"/>
      <c r="R923" s="139"/>
      <c r="AU923" s="139"/>
      <c r="AV923" s="139"/>
    </row>
    <row r="924">
      <c r="P924" s="139"/>
      <c r="R924" s="139"/>
      <c r="AU924" s="139"/>
      <c r="AV924" s="139"/>
    </row>
    <row r="925">
      <c r="P925" s="139"/>
      <c r="R925" s="139"/>
      <c r="AU925" s="139"/>
      <c r="AV925" s="139"/>
    </row>
    <row r="926">
      <c r="P926" s="139"/>
      <c r="R926" s="139"/>
      <c r="AU926" s="139"/>
      <c r="AV926" s="139"/>
    </row>
    <row r="927">
      <c r="P927" s="139"/>
      <c r="R927" s="139"/>
      <c r="AU927" s="139"/>
      <c r="AV927" s="139"/>
    </row>
    <row r="928">
      <c r="P928" s="139"/>
      <c r="R928" s="139"/>
      <c r="AU928" s="139"/>
      <c r="AV928" s="139"/>
    </row>
    <row r="929">
      <c r="P929" s="139"/>
      <c r="R929" s="139"/>
      <c r="AU929" s="139"/>
      <c r="AV929" s="139"/>
    </row>
    <row r="930">
      <c r="P930" s="139"/>
      <c r="R930" s="139"/>
      <c r="AU930" s="139"/>
      <c r="AV930" s="139"/>
    </row>
    <row r="931">
      <c r="P931" s="139"/>
      <c r="R931" s="139"/>
      <c r="AU931" s="139"/>
      <c r="AV931" s="139"/>
    </row>
    <row r="932">
      <c r="P932" s="139"/>
      <c r="R932" s="139"/>
      <c r="AU932" s="139"/>
      <c r="AV932" s="139"/>
    </row>
    <row r="933">
      <c r="P933" s="139"/>
      <c r="R933" s="139"/>
      <c r="AU933" s="139"/>
      <c r="AV933" s="139"/>
    </row>
    <row r="934">
      <c r="P934" s="139"/>
      <c r="R934" s="139"/>
      <c r="AU934" s="139"/>
      <c r="AV934" s="139"/>
    </row>
    <row r="935">
      <c r="P935" s="139"/>
      <c r="R935" s="139"/>
      <c r="AU935" s="139"/>
      <c r="AV935" s="139"/>
    </row>
    <row r="936">
      <c r="P936" s="139"/>
      <c r="R936" s="139"/>
      <c r="AU936" s="139"/>
      <c r="AV936" s="139"/>
    </row>
    <row r="937">
      <c r="P937" s="139"/>
      <c r="R937" s="139"/>
      <c r="AU937" s="139"/>
      <c r="AV937" s="139"/>
    </row>
    <row r="938">
      <c r="P938" s="139"/>
      <c r="R938" s="139"/>
      <c r="AU938" s="139"/>
      <c r="AV938" s="139"/>
    </row>
    <row r="939">
      <c r="P939" s="139"/>
      <c r="R939" s="139"/>
      <c r="AU939" s="139"/>
      <c r="AV939" s="139"/>
    </row>
    <row r="940">
      <c r="P940" s="139"/>
      <c r="R940" s="139"/>
      <c r="AU940" s="139"/>
      <c r="AV940" s="139"/>
    </row>
    <row r="941">
      <c r="P941" s="139"/>
      <c r="R941" s="139"/>
      <c r="AU941" s="139"/>
      <c r="AV941" s="139"/>
    </row>
    <row r="942">
      <c r="P942" s="139"/>
      <c r="R942" s="139"/>
      <c r="AU942" s="139"/>
      <c r="AV942" s="139"/>
    </row>
    <row r="943">
      <c r="P943" s="139"/>
      <c r="R943" s="139"/>
      <c r="AU943" s="139"/>
      <c r="AV943" s="139"/>
    </row>
    <row r="944">
      <c r="P944" s="139"/>
      <c r="R944" s="139"/>
      <c r="AU944" s="139"/>
      <c r="AV944" s="139"/>
    </row>
    <row r="945">
      <c r="P945" s="139"/>
      <c r="R945" s="139"/>
      <c r="AU945" s="139"/>
      <c r="AV945" s="139"/>
    </row>
    <row r="946">
      <c r="P946" s="139"/>
      <c r="R946" s="139"/>
      <c r="AU946" s="139"/>
      <c r="AV946" s="139"/>
    </row>
    <row r="947">
      <c r="P947" s="139"/>
      <c r="R947" s="139"/>
      <c r="AU947" s="139"/>
      <c r="AV947" s="139"/>
    </row>
    <row r="948">
      <c r="P948" s="139"/>
      <c r="R948" s="139"/>
      <c r="AU948" s="139"/>
      <c r="AV948" s="139"/>
    </row>
    <row r="949">
      <c r="P949" s="139"/>
      <c r="R949" s="139"/>
      <c r="AU949" s="139"/>
      <c r="AV949" s="139"/>
    </row>
    <row r="950">
      <c r="P950" s="139"/>
      <c r="R950" s="139"/>
      <c r="AU950" s="139"/>
      <c r="AV950" s="139"/>
    </row>
    <row r="951">
      <c r="P951" s="139"/>
      <c r="R951" s="139"/>
      <c r="AU951" s="139"/>
      <c r="AV951" s="139"/>
    </row>
    <row r="952">
      <c r="P952" s="139"/>
      <c r="R952" s="139"/>
      <c r="AU952" s="139"/>
      <c r="AV952" s="139"/>
    </row>
    <row r="953">
      <c r="P953" s="139"/>
      <c r="R953" s="139"/>
      <c r="AU953" s="139"/>
      <c r="AV953" s="139"/>
    </row>
    <row r="954">
      <c r="P954" s="139"/>
      <c r="R954" s="139"/>
      <c r="AU954" s="139"/>
      <c r="AV954" s="139"/>
    </row>
    <row r="955">
      <c r="P955" s="139"/>
      <c r="R955" s="139"/>
      <c r="AU955" s="139"/>
      <c r="AV955" s="139"/>
    </row>
    <row r="956">
      <c r="P956" s="139"/>
      <c r="R956" s="139"/>
      <c r="AU956" s="139"/>
      <c r="AV956" s="139"/>
    </row>
    <row r="957">
      <c r="P957" s="139"/>
      <c r="R957" s="139"/>
      <c r="AU957" s="139"/>
      <c r="AV957" s="139"/>
    </row>
    <row r="958">
      <c r="P958" s="139"/>
      <c r="R958" s="139"/>
      <c r="AU958" s="139"/>
      <c r="AV958" s="139"/>
    </row>
    <row r="959">
      <c r="P959" s="139"/>
      <c r="R959" s="139"/>
      <c r="AU959" s="139"/>
      <c r="AV959" s="139"/>
    </row>
    <row r="960">
      <c r="P960" s="139"/>
      <c r="R960" s="139"/>
      <c r="AU960" s="139"/>
      <c r="AV960" s="139"/>
    </row>
    <row r="961">
      <c r="P961" s="139"/>
      <c r="R961" s="139"/>
      <c r="AU961" s="139"/>
      <c r="AV961" s="139"/>
    </row>
    <row r="962">
      <c r="P962" s="139"/>
      <c r="R962" s="139"/>
      <c r="AU962" s="139"/>
      <c r="AV962" s="139"/>
    </row>
    <row r="963">
      <c r="P963" s="139"/>
      <c r="R963" s="139"/>
      <c r="AU963" s="139"/>
      <c r="AV963" s="139"/>
    </row>
    <row r="964">
      <c r="P964" s="139"/>
      <c r="R964" s="139"/>
      <c r="AU964" s="139"/>
      <c r="AV964" s="139"/>
    </row>
    <row r="965">
      <c r="P965" s="139"/>
      <c r="R965" s="139"/>
      <c r="AU965" s="139"/>
      <c r="AV965" s="139"/>
    </row>
    <row r="966">
      <c r="P966" s="139"/>
      <c r="R966" s="139"/>
      <c r="AU966" s="139"/>
      <c r="AV966" s="139"/>
    </row>
    <row r="967">
      <c r="P967" s="139"/>
      <c r="R967" s="139"/>
      <c r="AU967" s="139"/>
      <c r="AV967" s="139"/>
    </row>
    <row r="968">
      <c r="P968" s="139"/>
      <c r="R968" s="139"/>
      <c r="AU968" s="139"/>
      <c r="AV968" s="139"/>
    </row>
    <row r="969">
      <c r="P969" s="139"/>
      <c r="R969" s="139"/>
      <c r="AU969" s="139"/>
      <c r="AV969" s="139"/>
    </row>
    <row r="970">
      <c r="P970" s="139"/>
      <c r="R970" s="139"/>
      <c r="AU970" s="139"/>
      <c r="AV970" s="139"/>
    </row>
    <row r="971">
      <c r="P971" s="139"/>
      <c r="R971" s="139"/>
      <c r="AU971" s="139"/>
      <c r="AV971" s="139"/>
    </row>
    <row r="972">
      <c r="P972" s="139"/>
      <c r="R972" s="139"/>
      <c r="AU972" s="139"/>
      <c r="AV972" s="139"/>
    </row>
    <row r="973">
      <c r="P973" s="139"/>
      <c r="R973" s="139"/>
      <c r="AU973" s="139"/>
      <c r="AV973" s="139"/>
    </row>
    <row r="974">
      <c r="P974" s="139"/>
      <c r="R974" s="139"/>
      <c r="AU974" s="139"/>
      <c r="AV974" s="139"/>
    </row>
    <row r="975">
      <c r="P975" s="139"/>
      <c r="R975" s="139"/>
      <c r="AU975" s="139"/>
      <c r="AV975" s="139"/>
    </row>
    <row r="976">
      <c r="P976" s="139"/>
      <c r="R976" s="139"/>
      <c r="AU976" s="139"/>
      <c r="AV976" s="139"/>
    </row>
    <row r="977">
      <c r="P977" s="139"/>
      <c r="R977" s="139"/>
      <c r="AU977" s="139"/>
      <c r="AV977" s="139"/>
    </row>
    <row r="978">
      <c r="P978" s="139"/>
      <c r="R978" s="139"/>
      <c r="AU978" s="139"/>
      <c r="AV978" s="139"/>
    </row>
    <row r="979">
      <c r="P979" s="139"/>
      <c r="R979" s="139"/>
      <c r="AU979" s="139"/>
      <c r="AV979" s="139"/>
    </row>
    <row r="980">
      <c r="P980" s="139"/>
      <c r="R980" s="139"/>
      <c r="AU980" s="139"/>
      <c r="AV980" s="139"/>
    </row>
    <row r="981">
      <c r="P981" s="139"/>
      <c r="R981" s="139"/>
      <c r="AU981" s="139"/>
      <c r="AV981" s="139"/>
    </row>
    <row r="982">
      <c r="P982" s="139"/>
      <c r="R982" s="139"/>
      <c r="AU982" s="139"/>
      <c r="AV982" s="139"/>
    </row>
    <row r="983">
      <c r="P983" s="139"/>
      <c r="R983" s="139"/>
      <c r="AU983" s="139"/>
      <c r="AV983" s="139"/>
    </row>
    <row r="984">
      <c r="P984" s="139"/>
      <c r="R984" s="139"/>
      <c r="AU984" s="139"/>
      <c r="AV984" s="139"/>
    </row>
    <row r="985">
      <c r="P985" s="139"/>
      <c r="R985" s="139"/>
      <c r="AU985" s="139"/>
      <c r="AV985" s="139"/>
    </row>
    <row r="986">
      <c r="P986" s="139"/>
      <c r="R986" s="139"/>
      <c r="AU986" s="139"/>
      <c r="AV986" s="139"/>
    </row>
    <row r="987">
      <c r="P987" s="139"/>
      <c r="R987" s="139"/>
      <c r="AU987" s="139"/>
      <c r="AV987" s="139"/>
    </row>
    <row r="988">
      <c r="P988" s="139"/>
      <c r="R988" s="139"/>
      <c r="AU988" s="139"/>
      <c r="AV988" s="139"/>
    </row>
    <row r="989">
      <c r="P989" s="139"/>
      <c r="R989" s="139"/>
      <c r="AU989" s="139"/>
      <c r="AV989" s="139"/>
    </row>
    <row r="990">
      <c r="P990" s="139"/>
      <c r="R990" s="139"/>
      <c r="AU990" s="139"/>
      <c r="AV990" s="139"/>
    </row>
    <row r="991">
      <c r="P991" s="139"/>
      <c r="R991" s="139"/>
      <c r="AU991" s="139"/>
      <c r="AV991" s="139"/>
    </row>
    <row r="992">
      <c r="P992" s="139"/>
      <c r="R992" s="139"/>
      <c r="AU992" s="139"/>
      <c r="AV992" s="139"/>
    </row>
    <row r="993">
      <c r="P993" s="139"/>
      <c r="R993" s="139"/>
      <c r="AU993" s="139"/>
      <c r="AV993" s="139"/>
    </row>
    <row r="994">
      <c r="P994" s="139"/>
      <c r="R994" s="139"/>
      <c r="AU994" s="139"/>
      <c r="AV994" s="139"/>
    </row>
    <row r="995">
      <c r="P995" s="139"/>
      <c r="R995" s="139"/>
      <c r="AU995" s="139"/>
      <c r="AV995" s="139"/>
    </row>
    <row r="996">
      <c r="P996" s="139"/>
      <c r="R996" s="139"/>
      <c r="AU996" s="139"/>
      <c r="AV996" s="139"/>
    </row>
    <row r="997">
      <c r="P997" s="139"/>
      <c r="R997" s="139"/>
      <c r="AU997" s="139"/>
      <c r="AV997" s="139"/>
    </row>
    <row r="998">
      <c r="P998" s="139"/>
      <c r="R998" s="139"/>
      <c r="AU998" s="139"/>
      <c r="AV998" s="139"/>
    </row>
    <row r="999">
      <c r="P999" s="139"/>
      <c r="R999" s="139"/>
      <c r="AU999" s="139"/>
      <c r="AV999" s="139"/>
    </row>
    <row r="1000">
      <c r="P1000" s="139"/>
      <c r="R1000" s="139"/>
      <c r="AU1000" s="139"/>
      <c r="AV1000" s="139"/>
    </row>
  </sheetData>
  <mergeCells count="6">
    <mergeCell ref="B1:E1"/>
    <mergeCell ref="I1:I2"/>
    <mergeCell ref="J1:J2"/>
    <mergeCell ref="K1:K2"/>
    <mergeCell ref="L1:L2"/>
    <mergeCell ref="I4:K4"/>
  </mergeCells>
  <conditionalFormatting sqref="BD7:BD1000">
    <cfRule type="notContainsBlanks" dxfId="1" priority="1">
      <formula>LEN(TRIM(BD7))&gt;0</formula>
    </cfRule>
  </conditionalFormatting>
  <conditionalFormatting sqref="C7:C1000">
    <cfRule type="expression" dxfId="1" priority="2">
      <formula>BD7:BD1000</formula>
    </cfRule>
  </conditionalFormatting>
  <dataValidations>
    <dataValidation type="list" allowBlank="1" showErrorMessage="1" sqref="I3">
      <formula1>"Old,New"</formula1>
    </dataValidation>
    <dataValidation type="list" allowBlank="1" showErrorMessage="1" sqref="K3">
      <formula1>Data!$CG$4:$CG$148</formula1>
    </dataValidation>
    <dataValidation type="list" allowBlank="1" showErrorMessage="1" sqref="L3">
      <formula1>Data!$CH$4:$CH$148</formula1>
    </dataValidation>
    <dataValidation type="list" allowBlank="1" showErrorMessage="1" sqref="E3">
      <formula1>'Summary 26-27'!$BN$3:$BN$16</formula1>
    </dataValidation>
    <dataValidation type="list" allowBlank="1" showErrorMessage="1" sqref="C3">
      <formula1>'Summary 26-27'!$BJ$2:$BJ$19</formula1>
    </dataValidation>
    <dataValidation type="list" allowBlank="1" showErrorMessage="1" sqref="B3">
      <formula1>'Summary 26-27'!$BM$3:$BM$22</formula1>
    </dataValidation>
    <dataValidation type="list" allowBlank="1" showErrorMessage="1" sqref="J3">
      <formula1>"Primary,Secondary"</formula1>
    </dataValidation>
    <dataValidation type="list" allowBlank="1" showErrorMessage="1" sqref="D3">
      <formula1>"Active,LEFT"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3" max="3" width="25.88"/>
  </cols>
  <sheetData>
    <row r="1">
      <c r="A1" s="199"/>
      <c r="B1" s="199"/>
      <c r="C1" s="200"/>
      <c r="E1" s="200"/>
      <c r="F1" s="201"/>
      <c r="G1" s="202"/>
      <c r="H1" s="203"/>
      <c r="I1" s="203"/>
      <c r="J1" s="201"/>
      <c r="K1" s="201"/>
      <c r="L1" s="204"/>
      <c r="M1" s="204"/>
      <c r="N1" s="204"/>
      <c r="O1" s="201"/>
      <c r="P1" s="201"/>
      <c r="Q1" s="206"/>
      <c r="R1" s="208"/>
      <c r="S1" s="201"/>
      <c r="T1" s="201"/>
      <c r="U1" s="201"/>
      <c r="V1" s="201"/>
      <c r="W1" s="207"/>
      <c r="X1" s="201"/>
      <c r="Y1" s="201"/>
      <c r="Z1" s="207"/>
      <c r="AA1" s="207"/>
      <c r="AB1" s="208"/>
      <c r="AC1" s="208"/>
      <c r="AD1" s="201"/>
      <c r="AE1" s="201"/>
      <c r="AF1" s="201"/>
      <c r="AG1" s="201"/>
      <c r="AH1" s="208"/>
      <c r="AI1" s="208"/>
      <c r="AJ1" s="201"/>
      <c r="AK1" s="208"/>
      <c r="AL1" s="201"/>
      <c r="AM1" s="208"/>
      <c r="AN1" s="201"/>
      <c r="AO1" s="201"/>
      <c r="AP1" s="201"/>
      <c r="AQ1" s="201"/>
      <c r="AR1" s="201"/>
      <c r="AS1" s="201"/>
      <c r="AT1" s="201"/>
      <c r="AU1" s="201"/>
      <c r="AV1" s="206"/>
      <c r="AW1" s="201"/>
      <c r="AX1" s="208"/>
      <c r="AY1" s="210"/>
      <c r="AZ1" s="207"/>
      <c r="BA1" s="208"/>
      <c r="BB1" s="208"/>
      <c r="BC1" s="208"/>
      <c r="BD1" s="208"/>
      <c r="BE1" s="269"/>
      <c r="BF1" s="211"/>
      <c r="BG1" s="270"/>
      <c r="BH1" s="271"/>
      <c r="BI1" s="272"/>
      <c r="BJ1" s="273"/>
      <c r="BK1" s="274"/>
      <c r="BL1" s="274"/>
      <c r="BM1" s="274"/>
      <c r="BN1" s="274"/>
      <c r="BO1" s="275"/>
      <c r="BP1" s="275"/>
      <c r="BQ1" s="275"/>
      <c r="BR1" s="275"/>
      <c r="BS1" s="276"/>
      <c r="BT1" s="276"/>
      <c r="BU1" s="276"/>
      <c r="BV1" s="277"/>
      <c r="BW1" s="277"/>
      <c r="BX1" s="277"/>
      <c r="BY1" s="276"/>
      <c r="BZ1" s="276"/>
      <c r="CA1" s="276"/>
      <c r="CB1" s="276"/>
      <c r="CC1" s="276"/>
      <c r="CD1" s="276"/>
      <c r="CE1" s="276"/>
      <c r="CF1" s="276"/>
      <c r="CG1" s="276"/>
      <c r="CH1" s="276"/>
      <c r="CI1" s="276"/>
      <c r="CJ1" s="278"/>
      <c r="CK1" s="278"/>
      <c r="CL1" s="278"/>
      <c r="CM1" s="279"/>
      <c r="CN1" s="280"/>
      <c r="CO1" s="276"/>
      <c r="CP1" s="276"/>
      <c r="CQ1" s="281"/>
      <c r="CR1" s="281"/>
      <c r="CS1" s="276"/>
      <c r="CT1" s="276"/>
      <c r="CU1" s="276"/>
      <c r="CV1" s="276"/>
      <c r="CW1" s="282"/>
      <c r="CX1" s="270"/>
      <c r="CY1" s="276"/>
      <c r="CZ1" s="276"/>
    </row>
    <row r="2">
      <c r="A2" s="283">
        <f>((1200000/30)*14)+1200000</f>
        <v>1760000</v>
      </c>
      <c r="B2" s="284">
        <f>12/30</f>
        <v>0.4</v>
      </c>
      <c r="C2" s="285">
        <f>10/31</f>
        <v>0.3225806452</v>
      </c>
      <c r="D2" s="284">
        <v>2.0</v>
      </c>
      <c r="E2" s="284">
        <v>3.0</v>
      </c>
      <c r="F2" s="6"/>
      <c r="G2" s="286">
        <v>5.0</v>
      </c>
      <c r="H2" s="286">
        <v>6.0</v>
      </c>
      <c r="I2" s="284">
        <v>7.0</v>
      </c>
      <c r="J2" s="287">
        <v>8.0</v>
      </c>
      <c r="K2" s="284">
        <v>9.0</v>
      </c>
      <c r="L2" s="284">
        <v>10.0</v>
      </c>
      <c r="M2" s="284">
        <v>11.0</v>
      </c>
      <c r="N2" s="284">
        <v>12.0</v>
      </c>
      <c r="O2" s="284">
        <v>13.0</v>
      </c>
      <c r="P2" s="287">
        <v>14.0</v>
      </c>
      <c r="Q2" s="287">
        <v>15.0</v>
      </c>
      <c r="R2" s="284">
        <v>16.0</v>
      </c>
      <c r="S2" s="284">
        <v>17.0</v>
      </c>
      <c r="T2" s="284">
        <v>18.0</v>
      </c>
      <c r="U2" s="284">
        <v>19.0</v>
      </c>
      <c r="V2" s="284">
        <v>20.0</v>
      </c>
      <c r="W2" s="284">
        <v>21.0</v>
      </c>
      <c r="X2" s="284">
        <v>22.0</v>
      </c>
      <c r="Y2" s="284">
        <v>23.0</v>
      </c>
      <c r="Z2" s="284">
        <v>24.0</v>
      </c>
      <c r="AA2" s="284">
        <v>25.0</v>
      </c>
      <c r="AB2" s="284">
        <v>26.0</v>
      </c>
      <c r="AC2" s="284">
        <v>27.0</v>
      </c>
      <c r="AD2" s="284">
        <v>28.0</v>
      </c>
      <c r="AE2" s="284">
        <v>29.0</v>
      </c>
      <c r="AF2" s="284">
        <v>30.0</v>
      </c>
      <c r="AG2" s="284">
        <v>31.0</v>
      </c>
      <c r="AH2" s="284">
        <v>32.0</v>
      </c>
      <c r="AI2" s="284">
        <v>33.0</v>
      </c>
      <c r="AJ2" s="284">
        <v>34.0</v>
      </c>
      <c r="AK2" s="287">
        <v>35.0</v>
      </c>
      <c r="AL2" s="284">
        <v>36.0</v>
      </c>
      <c r="AM2" s="284">
        <v>37.0</v>
      </c>
      <c r="AN2" s="286">
        <v>38.0</v>
      </c>
      <c r="AO2" s="284">
        <v>39.0</v>
      </c>
      <c r="AP2" s="284">
        <v>39.0</v>
      </c>
      <c r="AQ2" s="284">
        <v>41.0</v>
      </c>
      <c r="AR2" s="284">
        <v>42.0</v>
      </c>
      <c r="AS2" s="284">
        <v>43.0</v>
      </c>
      <c r="AT2" s="284">
        <v>44.0</v>
      </c>
      <c r="AU2" s="284">
        <v>45.0</v>
      </c>
      <c r="AV2" s="6"/>
      <c r="AW2" s="6"/>
      <c r="AX2" s="6"/>
      <c r="AY2" s="287">
        <v>46.0</v>
      </c>
      <c r="AZ2" s="284">
        <v>47.0</v>
      </c>
      <c r="BA2" s="6"/>
      <c r="BB2" s="288">
        <v>46112.0</v>
      </c>
      <c r="BC2" s="6"/>
      <c r="BD2" s="286" t="s">
        <v>442</v>
      </c>
      <c r="BE2" s="274"/>
      <c r="BF2" s="270">
        <f>(7/30)+1</f>
        <v>1.233333333</v>
      </c>
      <c r="BG2" s="270"/>
      <c r="BH2" s="271"/>
      <c r="BI2" s="272">
        <f>BE118*3</f>
        <v>3600000</v>
      </c>
      <c r="BJ2" s="273"/>
      <c r="BK2" s="274"/>
      <c r="BL2" s="274"/>
      <c r="BM2" s="274"/>
      <c r="BN2" s="274"/>
      <c r="BO2" s="275" t="s">
        <v>443</v>
      </c>
      <c r="BS2" s="276"/>
      <c r="BT2" s="276"/>
      <c r="BU2" s="276"/>
      <c r="BV2" s="277"/>
      <c r="BW2" s="277"/>
      <c r="BX2" s="277"/>
      <c r="BY2" s="276"/>
      <c r="BZ2" s="276"/>
      <c r="CA2" s="276"/>
      <c r="CB2" s="276"/>
      <c r="CC2" s="276"/>
      <c r="CD2" s="276"/>
      <c r="CF2" s="276"/>
      <c r="CG2" s="276"/>
      <c r="CH2" s="276"/>
      <c r="CI2" s="276"/>
      <c r="CJ2" s="278"/>
      <c r="CK2" s="278"/>
      <c r="CL2" s="278"/>
      <c r="CM2" s="279">
        <f>COUNTIF(CM4:CM186,"&gt;0")</f>
        <v>161</v>
      </c>
      <c r="CN2" s="280"/>
      <c r="CO2" s="276"/>
      <c r="CP2" s="276"/>
      <c r="CQ2" s="281">
        <f t="shared" ref="CQ2:CR2" si="1">SUM(CQ4:CQ29)</f>
        <v>147</v>
      </c>
      <c r="CR2" s="281">
        <f t="shared" si="1"/>
        <v>16</v>
      </c>
      <c r="CS2" s="276"/>
      <c r="CT2" s="276"/>
      <c r="CU2" s="276"/>
      <c r="CV2" s="276"/>
      <c r="CW2" s="282"/>
      <c r="CX2" s="270"/>
      <c r="CY2" s="276"/>
      <c r="CZ2" s="276"/>
    </row>
    <row r="3">
      <c r="A3" s="289" t="s">
        <v>3</v>
      </c>
      <c r="B3" s="289" t="s">
        <v>369</v>
      </c>
      <c r="C3" s="289" t="s">
        <v>370</v>
      </c>
      <c r="D3" s="289" t="s">
        <v>373</v>
      </c>
      <c r="E3" s="289" t="s">
        <v>371</v>
      </c>
      <c r="F3" s="289" t="s">
        <v>372</v>
      </c>
      <c r="G3" s="290" t="s">
        <v>444</v>
      </c>
      <c r="H3" s="290" t="s">
        <v>445</v>
      </c>
      <c r="I3" s="291" t="s">
        <v>446</v>
      </c>
      <c r="J3" s="291" t="s">
        <v>447</v>
      </c>
      <c r="K3" s="289" t="s">
        <v>386</v>
      </c>
      <c r="L3" s="289" t="s">
        <v>448</v>
      </c>
      <c r="M3" s="289" t="s">
        <v>388</v>
      </c>
      <c r="N3" s="289" t="s">
        <v>390</v>
      </c>
      <c r="O3" s="289" t="s">
        <v>391</v>
      </c>
      <c r="P3" s="291" t="s">
        <v>392</v>
      </c>
      <c r="Q3" s="291" t="s">
        <v>393</v>
      </c>
      <c r="R3" s="289" t="s">
        <v>449</v>
      </c>
      <c r="S3" s="289" t="s">
        <v>450</v>
      </c>
      <c r="T3" s="289" t="s">
        <v>396</v>
      </c>
      <c r="U3" s="289" t="s">
        <v>397</v>
      </c>
      <c r="V3" s="289" t="s">
        <v>398</v>
      </c>
      <c r="W3" s="289" t="s">
        <v>399</v>
      </c>
      <c r="X3" s="289" t="s">
        <v>400</v>
      </c>
      <c r="Y3" s="289" t="s">
        <v>401</v>
      </c>
      <c r="Z3" s="289" t="s">
        <v>402</v>
      </c>
      <c r="AA3" s="289" t="s">
        <v>403</v>
      </c>
      <c r="AB3" s="289" t="s">
        <v>404</v>
      </c>
      <c r="AC3" s="289" t="s">
        <v>405</v>
      </c>
      <c r="AD3" s="289" t="s">
        <v>406</v>
      </c>
      <c r="AE3" s="289" t="s">
        <v>407</v>
      </c>
      <c r="AF3" s="289" t="s">
        <v>408</v>
      </c>
      <c r="AG3" s="289" t="s">
        <v>409</v>
      </c>
      <c r="AH3" s="292" t="s">
        <v>451</v>
      </c>
      <c r="AI3" s="292" t="s">
        <v>411</v>
      </c>
      <c r="AJ3" s="293" t="s">
        <v>376</v>
      </c>
      <c r="AK3" s="290" t="s">
        <v>412</v>
      </c>
      <c r="AL3" s="292" t="s">
        <v>413</v>
      </c>
      <c r="AM3" s="294" t="s">
        <v>414</v>
      </c>
      <c r="AN3" s="292" t="s">
        <v>415</v>
      </c>
      <c r="AO3" s="294" t="s">
        <v>383</v>
      </c>
      <c r="AP3" s="295" t="s">
        <v>384</v>
      </c>
      <c r="AQ3" s="289" t="s">
        <v>416</v>
      </c>
      <c r="AR3" s="289" t="s">
        <v>417</v>
      </c>
      <c r="AS3" s="289" t="s">
        <v>418</v>
      </c>
      <c r="AT3" s="289" t="s">
        <v>452</v>
      </c>
      <c r="AU3" s="289" t="s">
        <v>419</v>
      </c>
      <c r="AV3" s="289" t="s">
        <v>420</v>
      </c>
      <c r="AW3" s="289" t="s">
        <v>421</v>
      </c>
      <c r="AX3" s="289" t="s">
        <v>422</v>
      </c>
      <c r="AY3" s="296" t="s">
        <v>382</v>
      </c>
      <c r="AZ3" s="297" t="s">
        <v>423</v>
      </c>
      <c r="BA3" s="289" t="s">
        <v>453</v>
      </c>
      <c r="BB3" s="289" t="s">
        <v>454</v>
      </c>
      <c r="BC3" s="289" t="s">
        <v>455</v>
      </c>
      <c r="BD3" s="298" t="s">
        <v>456</v>
      </c>
      <c r="BE3" s="299" t="s">
        <v>377</v>
      </c>
      <c r="BF3" s="6"/>
      <c r="BG3" s="289" t="s">
        <v>427</v>
      </c>
      <c r="BH3" s="300" t="s">
        <v>375</v>
      </c>
      <c r="BI3" s="300" t="s">
        <v>374</v>
      </c>
      <c r="BJ3" s="301" t="s">
        <v>457</v>
      </c>
      <c r="BK3" s="299" t="s">
        <v>458</v>
      </c>
      <c r="BL3" s="299" t="s">
        <v>459</v>
      </c>
      <c r="BM3" s="299" t="s">
        <v>460</v>
      </c>
      <c r="BN3" s="299" t="s">
        <v>461</v>
      </c>
      <c r="BO3" s="302" t="s">
        <v>462</v>
      </c>
      <c r="BP3" s="302" t="s">
        <v>463</v>
      </c>
      <c r="BQ3" s="302" t="s">
        <v>464</v>
      </c>
      <c r="BR3" s="302" t="s">
        <v>465</v>
      </c>
      <c r="BS3" s="201" t="s">
        <v>385</v>
      </c>
      <c r="BT3" s="291" t="s">
        <v>466</v>
      </c>
      <c r="BU3" s="10"/>
      <c r="BV3" s="303" t="s">
        <v>467</v>
      </c>
      <c r="BW3" s="303" t="s">
        <v>468</v>
      </c>
      <c r="BX3" s="303" t="s">
        <v>469</v>
      </c>
      <c r="BY3" s="10"/>
      <c r="BZ3" s="10"/>
      <c r="CA3" s="10"/>
      <c r="CB3" s="291" t="s">
        <v>470</v>
      </c>
      <c r="CC3" s="291" t="s">
        <v>471</v>
      </c>
      <c r="CD3" s="304" t="s">
        <v>472</v>
      </c>
      <c r="CE3" s="304" t="s">
        <v>436</v>
      </c>
      <c r="CF3" s="6"/>
      <c r="CG3" s="304" t="s">
        <v>473</v>
      </c>
      <c r="CH3" s="304" t="s">
        <v>474</v>
      </c>
      <c r="CI3" s="6"/>
      <c r="CJ3" s="305" t="s">
        <v>475</v>
      </c>
      <c r="CK3" s="305" t="s">
        <v>476</v>
      </c>
      <c r="CL3" s="305" t="s">
        <v>477</v>
      </c>
      <c r="CM3" s="293" t="s">
        <v>478</v>
      </c>
      <c r="CN3" s="293" t="s">
        <v>479</v>
      </c>
      <c r="CO3" s="289" t="s">
        <v>3</v>
      </c>
      <c r="CP3" s="289" t="s">
        <v>369</v>
      </c>
      <c r="CQ3" s="304" t="s">
        <v>480</v>
      </c>
      <c r="CR3" s="304" t="s">
        <v>481</v>
      </c>
      <c r="CS3" s="6"/>
      <c r="CT3" s="6"/>
      <c r="CU3" s="6"/>
      <c r="CV3" s="6"/>
      <c r="CW3" s="306" t="s">
        <v>482</v>
      </c>
      <c r="CX3" s="270"/>
      <c r="CY3" s="6"/>
      <c r="CZ3" s="6"/>
    </row>
    <row r="4" hidden="1">
      <c r="A4" s="307" t="s">
        <v>160</v>
      </c>
      <c r="B4" s="307" t="s">
        <v>483</v>
      </c>
      <c r="C4" s="307" t="s">
        <v>346</v>
      </c>
      <c r="D4" s="307" t="s">
        <v>484</v>
      </c>
      <c r="E4" s="307" t="s">
        <v>206</v>
      </c>
      <c r="F4" s="308">
        <v>39859.0</v>
      </c>
      <c r="G4" s="309">
        <v>0.0</v>
      </c>
      <c r="H4" s="310" t="s">
        <v>485</v>
      </c>
      <c r="I4" s="287">
        <v>0.0</v>
      </c>
      <c r="J4" s="287">
        <v>0.0</v>
      </c>
      <c r="K4" s="284">
        <v>214.0</v>
      </c>
      <c r="L4" s="284">
        <v>90.0</v>
      </c>
      <c r="M4" s="284">
        <v>4.0</v>
      </c>
      <c r="N4" s="284">
        <v>218.0</v>
      </c>
      <c r="O4" s="284">
        <v>128.0</v>
      </c>
      <c r="P4" s="287">
        <v>0.0</v>
      </c>
      <c r="Q4" s="287">
        <v>0.0</v>
      </c>
      <c r="R4" s="284">
        <v>0.0</v>
      </c>
      <c r="S4" s="284">
        <v>0.0</v>
      </c>
      <c r="T4" s="284">
        <v>0.0</v>
      </c>
      <c r="U4" s="284">
        <v>0.0</v>
      </c>
      <c r="V4" s="284">
        <v>3.0</v>
      </c>
      <c r="W4" s="284">
        <v>3.0</v>
      </c>
      <c r="X4" s="284">
        <v>83.0</v>
      </c>
      <c r="Y4" s="284">
        <v>6.0</v>
      </c>
      <c r="Z4" s="284">
        <v>55.0</v>
      </c>
      <c r="AA4" s="284">
        <v>1.0</v>
      </c>
      <c r="AB4" s="284">
        <v>7.0</v>
      </c>
      <c r="AC4" s="284">
        <v>1.0</v>
      </c>
      <c r="AD4" s="284">
        <v>6.0</v>
      </c>
      <c r="AE4" s="284">
        <v>173.0</v>
      </c>
      <c r="AF4" s="284">
        <v>244.0</v>
      </c>
      <c r="AG4" s="284">
        <v>72.0</v>
      </c>
      <c r="AH4" s="309">
        <f t="shared" ref="AH4:AH186" si="2">iferror(Sum(I4:J4)/AG4,"")</f>
        <v>0</v>
      </c>
      <c r="AI4" s="309">
        <f t="shared" ref="AI4:AI186" si="3">iferror(AF4/AG4,"")</f>
        <v>3.388888889</v>
      </c>
      <c r="AJ4" s="311">
        <v>70400.0</v>
      </c>
      <c r="AK4" s="309">
        <f t="shared" ref="AK4:AK21" si="4">AJ4*BD4</f>
        <v>211200</v>
      </c>
      <c r="AL4" s="312"/>
      <c r="AM4" s="313" t="str">
        <f t="shared" ref="AM4:AM186" si="5">iferror(sum(AK4:AL4)/Sum(I4:J4),"")</f>
        <v/>
      </c>
      <c r="AN4" s="309" t="str">
        <f t="shared" ref="AN4:AN186" si="6">iferror(I4/T4,"")</f>
        <v/>
      </c>
      <c r="AO4" s="314" t="str">
        <f t="shared" ref="AO4:AO186" si="7">iferror(sum(I4:J4)/Sum(G4:H4),"")</f>
        <v/>
      </c>
      <c r="AP4" s="315">
        <v>0.0</v>
      </c>
      <c r="AQ4" s="284">
        <v>0.0</v>
      </c>
      <c r="AR4" s="284">
        <v>840.0</v>
      </c>
      <c r="AS4" s="284">
        <v>9086.43</v>
      </c>
      <c r="AT4" s="284">
        <v>0.0</v>
      </c>
      <c r="AU4" s="284">
        <v>101.0</v>
      </c>
      <c r="AV4" s="284">
        <v>0.0</v>
      </c>
      <c r="AW4" s="284">
        <v>90.0</v>
      </c>
      <c r="AX4" s="284">
        <v>128.0</v>
      </c>
      <c r="AY4" s="309" t="str">
        <f t="array" ref="AY4:AY186">iferror(VLOOKUP($C$4:$C186,'SECONDARY ORDER BOOKING REPORT '!C:O,13,0),"")</f>
        <v/>
      </c>
      <c r="AZ4" s="316"/>
      <c r="BA4" s="307" t="str">
        <f t="shared" ref="BA4:BA186" si="8">if(ISBlank(AZ4),"Active","LEFT" )</f>
        <v>Active</v>
      </c>
      <c r="BB4" s="307" t="str">
        <f t="shared" ref="BB4:BB186" si="9">ifs(F4&lt;$BB$2,"Old",F4&gt;$BB$2,"New")</f>
        <v>Old</v>
      </c>
      <c r="BC4" s="307" t="str">
        <f t="shared" ref="BC4:BC186" si="10">IFS(AO4&lt;50%,"Below 50%",AO4&lt;70%,"50%-70%",AO4&lt;90%,"70%-90%",AO4&lt;100%,"90%-100%",AO4&gt;100%,"Above 100%")</f>
        <v>Below 50%</v>
      </c>
      <c r="BD4" s="286">
        <f t="shared" ref="BD4:BD26" si="11">Match($BD$3,{"Apr","May","Jun","Jul","Aug","Sep","Oct","Nov","Dec","Jan","Feb","Mar"},0)</f>
        <v>3</v>
      </c>
      <c r="BE4" s="317" t="str">
        <f t="array" ref="BE4:BE186">iferror(VLOOKUP($C$4:$C186,'SECONDARY ORDER BOOKING REPORT '!$C:$J,8,0),"")</f>
        <v/>
      </c>
      <c r="BF4" s="284">
        <f t="shared" ref="BF4:BF139" si="12">M4-AT4</f>
        <v>4</v>
      </c>
      <c r="BG4" s="318" t="s">
        <v>485</v>
      </c>
      <c r="BH4" s="272">
        <f>IFERROR(__xludf.DUMMYFUNCTION("iferror(ArrayFormula(VLOOKUP($C$4:$C186,importrange(""1PTkkEa_ENkSqsGnpqoXy9kt0Fe1hCtlmU6kVFBNaonY"",""ORDER BOOKING REPORT 2025-26!C:O""),13,0)))"),0.0)</f>
        <v>0</v>
      </c>
      <c r="BI4" s="272">
        <f>IFERROR(__xludf.DUMMYFUNCTION("iferror(ArrayFormula(VLOOKUP($C$4:$C186,importrange(""1PTkkEa_ENkSqsGnpqoXy9kt0Fe1hCtlmU6kVFBNaonY"",""ORDER BOOKING REPORT 2025-26!C:O""),11,0)))"),1199546.0)</f>
        <v>1199546</v>
      </c>
      <c r="BJ4" s="273"/>
      <c r="BK4" s="274"/>
      <c r="BL4" s="319">
        <f t="shared" ref="BL4:BL82" si="13">BK4*BD4</f>
        <v>0</v>
      </c>
      <c r="BM4" s="319" t="str">
        <f t="shared" ref="BM4:BM186" si="14">iferror(H4+BL4,"")</f>
        <v/>
      </c>
      <c r="BN4" s="274"/>
      <c r="BO4" s="311">
        <f>IFERROR(__xludf.DUMMYFUNCTION("IFERROR(ArrayFormula(SUM(VLOOKUP($C4,importrange(""1PTkkEa_ENkSqsGnpqoXy9kt0Fe1hCtlmU6kVFBNaonY"",""ORDER BOOKING REPORT 2025-26!C:CV""),{16,23,30},0))))"),1199546.0)</f>
        <v>1199546</v>
      </c>
      <c r="BP4" s="311">
        <f>IFERROR(__xludf.DUMMYFUNCTION("IFERROR(ArrayFormula(SUM(VLOOKUP($C4,importrange(""1PTkkEa_ENkSqsGnpqoXy9kt0Fe1hCtlmU6kVFBNaonY"",""ORDER BOOKING REPORT 2025-26!C:CV""),{37,44,51},0))))"),0.0)</f>
        <v>0</v>
      </c>
      <c r="BQ4" s="311">
        <f>IFERROR(__xludf.DUMMYFUNCTION("IFERROR(ArrayFormula(SUM(VLOOKUP($C4,importrange(""1PTkkEa_ENkSqsGnpqoXy9kt0Fe1hCtlmU6kVFBNaonY"",""ORDER BOOKING REPORT 2025-26!C:CV""),{58,65,72},0))))"),0.0)</f>
        <v>0</v>
      </c>
      <c r="BR4" s="311">
        <f>IFERROR(__xludf.DUMMYFUNCTION("IFERROR(ArrayFormula(SUM(VLOOKUP($C4,importrange(""1PTkkEa_ENkSqsGnpqoXy9kt0Fe1hCtlmU6kVFBNaonY"",""ORDER BOOKING REPORT 2025-26!C:CV""),{79,86,93},0))))"),0.0)</f>
        <v>0</v>
      </c>
      <c r="BS4" s="152" t="str">
        <f t="shared" ref="BS4:BS164" si="15">iferror(AY4/BM4,"")</f>
        <v/>
      </c>
      <c r="BT4" s="152" t="str">
        <f t="shared" ref="BT4:BT145" si="16">iferror(sum(AK4:AL4)/AY4,"")</f>
        <v/>
      </c>
      <c r="BU4" s="287">
        <f t="shared" ref="BU4:BU164" si="17">BL4-G4</f>
        <v>0</v>
      </c>
      <c r="BV4" s="320">
        <v>70400.0</v>
      </c>
      <c r="BW4" s="321" t="s">
        <v>486</v>
      </c>
      <c r="BX4" s="320">
        <v>535.0</v>
      </c>
      <c r="BY4" s="287">
        <f t="shared" ref="BY4:BY157" si="18">BV4-AJ4</f>
        <v>0</v>
      </c>
      <c r="BZ4" s="10"/>
      <c r="CA4" s="318" t="s">
        <v>487</v>
      </c>
      <c r="CB4" s="287">
        <f>countif($F:$F, "&lt;=" &amp; DATE(2025,3,30))</f>
        <v>120</v>
      </c>
      <c r="CC4" s="287">
        <f>COUNTIFS(F:F, "&gt;=" &amp; DATE(2025,4,1), F:F, "&lt;=" &amp; DATE(2025,4,30))</f>
        <v>0</v>
      </c>
      <c r="CD4" s="287">
        <f>COUNTIFS(AZ:AZ, "&gt;=" &amp; DATE(2025,4,1), AZ:AZ, "&lt;=" &amp; DATE(2025,4,30))</f>
        <v>0</v>
      </c>
      <c r="CE4" s="287">
        <f t="shared" ref="CE4:CE15" si="19">CB4+CC4</f>
        <v>120</v>
      </c>
      <c r="CF4" s="287">
        <f t="shared" ref="CF4:CF15" si="20">sum(CB4:CD4)</f>
        <v>120</v>
      </c>
      <c r="CG4" s="318" t="str">
        <f t="shared" ref="CG4:CG157" si="21">if(N4&lt;60,"Below 60"," ")</f>
        <v> </v>
      </c>
      <c r="CH4" s="318" t="str">
        <f>IF(T4 = 0, "Not 50%", IF(T4 &gt;= 0.5 * N4, "Business Achieved EXACT 50%", "Not 50%"))</f>
        <v>Not 50%</v>
      </c>
      <c r="CI4" s="322">
        <f t="shared" ref="CI4:CI157" si="22">Iferror((T4/N4),)</f>
        <v>0</v>
      </c>
      <c r="CJ4" s="323"/>
      <c r="CK4" s="323"/>
      <c r="CL4" s="323"/>
      <c r="CM4" s="324">
        <f t="shared" ref="CM4:CM164" si="23">AE4-SUM(CJ4:CL4)</f>
        <v>173</v>
      </c>
      <c r="CN4" s="325"/>
      <c r="CO4" s="6"/>
      <c r="CP4" s="307" t="str">
        <f t="array" ref="CP4:CP29">sort(UNIQUE(B4:B186),1,1)</f>
        <v>Andhra Pradesh</v>
      </c>
      <c r="CQ4" s="326">
        <f t="shared" ref="CQ4:CQ27" si="24">COUNTIFS($B:$B,$CP4,$BG:$BG,"Secondary",$BA:$BA,"Active")</f>
        <v>5</v>
      </c>
      <c r="CR4" s="326">
        <f t="shared" ref="CR4:CR27" si="25">COUNTIFS($B:$B,$CP4,$BG:$BG,"Primary",$BA:$BA,"Active")</f>
        <v>0</v>
      </c>
      <c r="CS4" s="284" t="str">
        <f t="array" ref="CS4:CS16">UNIQUE(A4:A186)</f>
        <v>Sandeep Dadheech</v>
      </c>
      <c r="CT4" s="284">
        <f t="shared" ref="CT4:CT29" si="26">COUNTIFS(A:A,CS4,BA:BA,"Active")</f>
        <v>71</v>
      </c>
      <c r="CU4" s="6"/>
      <c r="CV4" s="6"/>
      <c r="CW4" s="327">
        <f t="shared" ref="CW4:CW186" si="27">sum(G4:H4)-BM4</f>
        <v>0</v>
      </c>
      <c r="CX4" s="270"/>
      <c r="CY4" s="6"/>
      <c r="CZ4" s="6"/>
    </row>
    <row r="5" hidden="1">
      <c r="A5" s="307" t="s">
        <v>160</v>
      </c>
      <c r="B5" s="307" t="s">
        <v>483</v>
      </c>
      <c r="C5" s="307" t="s">
        <v>161</v>
      </c>
      <c r="D5" s="307" t="s">
        <v>484</v>
      </c>
      <c r="E5" s="307" t="s">
        <v>206</v>
      </c>
      <c r="F5" s="308">
        <v>39859.0</v>
      </c>
      <c r="G5" s="309">
        <v>0.0</v>
      </c>
      <c r="H5" s="309">
        <v>1.5E7</v>
      </c>
      <c r="I5" s="287">
        <v>8561254.0</v>
      </c>
      <c r="J5" s="287">
        <v>0.0</v>
      </c>
      <c r="K5" s="284">
        <v>91.0</v>
      </c>
      <c r="L5" s="284">
        <v>76.0</v>
      </c>
      <c r="M5" s="284">
        <v>3.0</v>
      </c>
      <c r="N5" s="284">
        <v>94.0</v>
      </c>
      <c r="O5" s="284">
        <v>18.0</v>
      </c>
      <c r="P5" s="287">
        <v>8350687.37</v>
      </c>
      <c r="Q5" s="287">
        <v>210566.88</v>
      </c>
      <c r="R5" s="284">
        <v>41.0</v>
      </c>
      <c r="S5" s="284">
        <v>3.0</v>
      </c>
      <c r="T5" s="284">
        <v>44.0</v>
      </c>
      <c r="U5" s="284">
        <v>0.0</v>
      </c>
      <c r="V5" s="284">
        <v>6.0</v>
      </c>
      <c r="W5" s="284">
        <v>6.0</v>
      </c>
      <c r="X5" s="284">
        <v>85.0</v>
      </c>
      <c r="Y5" s="284">
        <v>4.0</v>
      </c>
      <c r="Z5" s="284">
        <v>22.0</v>
      </c>
      <c r="AA5" s="284">
        <v>0.0</v>
      </c>
      <c r="AB5" s="284">
        <v>0.0</v>
      </c>
      <c r="AC5" s="284">
        <v>0.0</v>
      </c>
      <c r="AD5" s="284">
        <v>0.0</v>
      </c>
      <c r="AE5" s="284">
        <v>248.0</v>
      </c>
      <c r="AF5" s="284">
        <v>276.0</v>
      </c>
      <c r="AG5" s="284">
        <v>71.0</v>
      </c>
      <c r="AH5" s="309">
        <f t="shared" si="2"/>
        <v>120581.0423</v>
      </c>
      <c r="AI5" s="309">
        <f t="shared" si="3"/>
        <v>3.887323944</v>
      </c>
      <c r="AJ5" s="311">
        <v>60500.0</v>
      </c>
      <c r="AK5" s="309">
        <f t="shared" si="4"/>
        <v>181500</v>
      </c>
      <c r="AL5" s="312"/>
      <c r="AM5" s="313">
        <f t="shared" si="5"/>
        <v>0.0212001653</v>
      </c>
      <c r="AN5" s="309">
        <f t="shared" si="6"/>
        <v>194573.9545</v>
      </c>
      <c r="AO5" s="314">
        <f t="shared" si="7"/>
        <v>0.5707502667</v>
      </c>
      <c r="AP5" s="315">
        <v>0.0</v>
      </c>
      <c r="AQ5" s="284">
        <v>108.0</v>
      </c>
      <c r="AR5" s="284">
        <v>717.0</v>
      </c>
      <c r="AS5" s="284">
        <v>8749.58</v>
      </c>
      <c r="AT5" s="284">
        <v>3.0</v>
      </c>
      <c r="AU5" s="284">
        <v>115.0</v>
      </c>
      <c r="AV5" s="284">
        <v>44.0</v>
      </c>
      <c r="AW5" s="284">
        <v>38.0</v>
      </c>
      <c r="AX5" s="284">
        <v>12.0</v>
      </c>
      <c r="AY5" s="309">
        <v>8863160.0</v>
      </c>
      <c r="AZ5" s="316"/>
      <c r="BA5" s="307" t="str">
        <f t="shared" si="8"/>
        <v>Active</v>
      </c>
      <c r="BB5" s="307" t="str">
        <f t="shared" si="9"/>
        <v>Old</v>
      </c>
      <c r="BC5" s="307" t="str">
        <f t="shared" si="10"/>
        <v>50%-70%</v>
      </c>
      <c r="BD5" s="286">
        <f t="shared" si="11"/>
        <v>3</v>
      </c>
      <c r="BE5" s="328">
        <v>5000000.0</v>
      </c>
      <c r="BF5" s="284">
        <f t="shared" si="12"/>
        <v>0</v>
      </c>
      <c r="BG5" s="307" t="s">
        <v>488</v>
      </c>
      <c r="BH5" s="272">
        <f>IFERROR(__xludf.DUMMYFUNCTION("""COMPUTED_VALUE"""),4.7173784E7)</f>
        <v>47173784</v>
      </c>
      <c r="BI5" s="272">
        <f>IFERROR(__xludf.DUMMYFUNCTION("""COMPUTED_VALUE"""),4.135293099000001E7)</f>
        <v>41352930.99</v>
      </c>
      <c r="BJ5" s="273"/>
      <c r="BK5" s="274"/>
      <c r="BL5" s="319">
        <f t="shared" si="13"/>
        <v>0</v>
      </c>
      <c r="BM5" s="319">
        <f t="shared" si="14"/>
        <v>15000000</v>
      </c>
      <c r="BN5" s="274"/>
      <c r="BO5" s="311">
        <f>IFERROR(__xludf.DUMMYFUNCTION("IFERROR(ArrayFormula(SUM(VLOOKUP($C5,importrange(""1PTkkEa_ENkSqsGnpqoXy9kt0Fe1hCtlmU6kVFBNaonY"",""ORDER BOOKING REPORT 2025-26!C:CV""),{16,23,30},0))))"),9856420.89)</f>
        <v>9856420.89</v>
      </c>
      <c r="BP5" s="311">
        <f>IFERROR(__xludf.DUMMYFUNCTION("IFERROR(ArrayFormula(SUM(VLOOKUP($C5,importrange(""1PTkkEa_ENkSqsGnpqoXy9kt0Fe1hCtlmU6kVFBNaonY"",""ORDER BOOKING REPORT 2025-26!C:CV""),{37,44,51},0))))"),9014759.89)</f>
        <v>9014759.89</v>
      </c>
      <c r="BQ5" s="311">
        <f>IFERROR(__xludf.DUMMYFUNCTION("IFERROR(ArrayFormula(SUM(VLOOKUP($C5,importrange(""1PTkkEa_ENkSqsGnpqoXy9kt0Fe1hCtlmU6kVFBNaonY"",""ORDER BOOKING REPORT 2025-26!C:CV""),{58,65,72},0))))"),9369047.87)</f>
        <v>9369047.87</v>
      </c>
      <c r="BR5" s="311">
        <f>IFERROR(__xludf.DUMMYFUNCTION("IFERROR(ArrayFormula(SUM(VLOOKUP($C5,importrange(""1PTkkEa_ENkSqsGnpqoXy9kt0Fe1hCtlmU6kVFBNaonY"",""ORDER BOOKING REPORT 2025-26!C:CV""),{79,86,93},0))))"),1.311270234E7)</f>
        <v>13112702.34</v>
      </c>
      <c r="BS5" s="322">
        <f t="shared" si="15"/>
        <v>0.5908773333</v>
      </c>
      <c r="BT5" s="322">
        <f t="shared" si="16"/>
        <v>0.02047802364</v>
      </c>
      <c r="BU5" s="287">
        <f t="shared" si="17"/>
        <v>0</v>
      </c>
      <c r="BV5" s="320">
        <v>60500.0</v>
      </c>
      <c r="BW5" s="321" t="s">
        <v>489</v>
      </c>
      <c r="BX5" s="320">
        <v>536.0</v>
      </c>
      <c r="BY5" s="287">
        <f t="shared" si="18"/>
        <v>0</v>
      </c>
      <c r="BZ5" s="10"/>
      <c r="CA5" s="318" t="s">
        <v>490</v>
      </c>
      <c r="CB5" s="287">
        <f>countif($F:$F, "&lt;=" &amp; DATE(2025,4,30))-COUNTIFS(AZ:AZ, "&gt;=" &amp; DATE(2025,4,1), AZ:AZ, "&lt;=" &amp; DATE(2025,4,30))</f>
        <v>120</v>
      </c>
      <c r="CC5" s="287">
        <f>COUNTIFS(F:F, "&gt;=" &amp; DATE(2025,5,1), F:F, "&lt;=" &amp; DATE(2025,5,31))</f>
        <v>4</v>
      </c>
      <c r="CD5" s="287">
        <f>COUNTIFS(AZ:AZ, "&gt;=" &amp; DATE(2025,5,1), AZ:AZ, "&lt;=" &amp; DATE(2025,5,31))</f>
        <v>0</v>
      </c>
      <c r="CE5" s="287">
        <f t="shared" si="19"/>
        <v>124</v>
      </c>
      <c r="CF5" s="287">
        <f t="shared" si="20"/>
        <v>124</v>
      </c>
      <c r="CG5" s="318" t="str">
        <f t="shared" si="21"/>
        <v> </v>
      </c>
      <c r="CH5" s="318" t="str">
        <f t="shared" ref="CH5:CH157" si="28">IF(T5 = 0, "Not 50%", IF(T5 &gt;= 0.5 * N5, "Business Achieved 50%", "Not 50%"))</f>
        <v>Not 50%</v>
      </c>
      <c r="CI5" s="322">
        <f t="shared" si="22"/>
        <v>0.4680851064</v>
      </c>
      <c r="CJ5" s="323"/>
      <c r="CK5" s="323"/>
      <c r="CL5" s="323"/>
      <c r="CM5" s="324">
        <f t="shared" si="23"/>
        <v>248</v>
      </c>
      <c r="CN5" s="325"/>
      <c r="CO5" s="6"/>
      <c r="CP5" s="307" t="s">
        <v>491</v>
      </c>
      <c r="CQ5" s="326">
        <f t="shared" si="24"/>
        <v>8</v>
      </c>
      <c r="CR5" s="326">
        <f t="shared" si="25"/>
        <v>1</v>
      </c>
      <c r="CS5" s="284" t="s">
        <v>103</v>
      </c>
      <c r="CT5" s="284">
        <f t="shared" si="26"/>
        <v>32</v>
      </c>
      <c r="CU5" s="6"/>
      <c r="CV5" s="6"/>
      <c r="CW5" s="327">
        <f t="shared" si="27"/>
        <v>0</v>
      </c>
      <c r="CX5" s="270"/>
      <c r="CY5" s="6"/>
      <c r="CZ5" s="6"/>
    </row>
    <row r="6" hidden="1">
      <c r="A6" s="307" t="s">
        <v>103</v>
      </c>
      <c r="B6" s="307" t="s">
        <v>492</v>
      </c>
      <c r="C6" s="307" t="s">
        <v>105</v>
      </c>
      <c r="D6" s="307" t="s">
        <v>493</v>
      </c>
      <c r="E6" s="307" t="s">
        <v>106</v>
      </c>
      <c r="F6" s="329">
        <v>41004.0</v>
      </c>
      <c r="G6" s="309">
        <v>2000001.0</v>
      </c>
      <c r="H6" s="309">
        <v>1.2250002E7</v>
      </c>
      <c r="I6" s="287">
        <v>9123838.0</v>
      </c>
      <c r="J6" s="287">
        <v>2248999.4</v>
      </c>
      <c r="K6" s="284">
        <v>59.0</v>
      </c>
      <c r="L6" s="284">
        <v>48.0</v>
      </c>
      <c r="M6" s="284">
        <v>2.0</v>
      </c>
      <c r="N6" s="284">
        <v>61.0</v>
      </c>
      <c r="O6" s="284">
        <v>13.0</v>
      </c>
      <c r="P6" s="287">
        <v>8589656.35</v>
      </c>
      <c r="Q6" s="287">
        <v>534181.65</v>
      </c>
      <c r="R6" s="284">
        <v>38.0</v>
      </c>
      <c r="S6" s="284">
        <v>2.0</v>
      </c>
      <c r="T6" s="284">
        <v>40.0</v>
      </c>
      <c r="U6" s="284">
        <v>9.0</v>
      </c>
      <c r="V6" s="284">
        <v>3.0</v>
      </c>
      <c r="W6" s="284">
        <v>3.0</v>
      </c>
      <c r="X6" s="284">
        <v>31.0</v>
      </c>
      <c r="Y6" s="284">
        <v>7.0</v>
      </c>
      <c r="Z6" s="284">
        <v>92.0</v>
      </c>
      <c r="AA6" s="284">
        <v>9.0</v>
      </c>
      <c r="AB6" s="284">
        <v>30.0</v>
      </c>
      <c r="AC6" s="284">
        <v>0.0</v>
      </c>
      <c r="AD6" s="284">
        <v>0.0</v>
      </c>
      <c r="AE6" s="284">
        <v>139.0</v>
      </c>
      <c r="AF6" s="284">
        <v>264.0</v>
      </c>
      <c r="AG6" s="284">
        <v>59.0</v>
      </c>
      <c r="AH6" s="309">
        <f t="shared" si="2"/>
        <v>192759.9559</v>
      </c>
      <c r="AI6" s="309">
        <f t="shared" si="3"/>
        <v>4.474576271</v>
      </c>
      <c r="AJ6" s="311">
        <v>95834.0</v>
      </c>
      <c r="AK6" s="309">
        <f t="shared" si="4"/>
        <v>287502</v>
      </c>
      <c r="AL6" s="286"/>
      <c r="AM6" s="313">
        <f t="shared" si="5"/>
        <v>0.02527970724</v>
      </c>
      <c r="AN6" s="309">
        <f t="shared" si="6"/>
        <v>228095.95</v>
      </c>
      <c r="AO6" s="314">
        <f t="shared" si="7"/>
        <v>0.7980936846</v>
      </c>
      <c r="AP6" s="315">
        <v>1.12</v>
      </c>
      <c r="AQ6" s="284">
        <v>126.0</v>
      </c>
      <c r="AR6" s="284">
        <v>479.0</v>
      </c>
      <c r="AS6" s="284">
        <v>4145.0</v>
      </c>
      <c r="AT6" s="284">
        <v>2.0</v>
      </c>
      <c r="AU6" s="284">
        <v>86.0</v>
      </c>
      <c r="AV6" s="284">
        <v>40.0</v>
      </c>
      <c r="AW6" s="284">
        <v>11.0</v>
      </c>
      <c r="AX6" s="284">
        <v>10.0</v>
      </c>
      <c r="AY6" s="309">
        <v>6732717.0</v>
      </c>
      <c r="AZ6" s="316"/>
      <c r="BA6" s="307" t="str">
        <f t="shared" si="8"/>
        <v>Active</v>
      </c>
      <c r="BB6" s="307" t="str">
        <f t="shared" si="9"/>
        <v>Old</v>
      </c>
      <c r="BC6" s="307" t="str">
        <f t="shared" si="10"/>
        <v>70%-90%</v>
      </c>
      <c r="BD6" s="286">
        <f t="shared" si="11"/>
        <v>3</v>
      </c>
      <c r="BE6" s="328">
        <v>4750001.0</v>
      </c>
      <c r="BF6" s="284">
        <f t="shared" si="12"/>
        <v>0</v>
      </c>
      <c r="BG6" s="307" t="s">
        <v>488</v>
      </c>
      <c r="BH6" s="272">
        <f>IFERROR(__xludf.DUMMYFUNCTION("""COMPUTED_VALUE"""),4.2965557E7)</f>
        <v>42965557</v>
      </c>
      <c r="BI6" s="272">
        <f>IFERROR(__xludf.DUMMYFUNCTION("""COMPUTED_VALUE"""),4.363102502E7)</f>
        <v>43631025.02</v>
      </c>
      <c r="BJ6" s="273"/>
      <c r="BK6" s="330">
        <v>666667.0</v>
      </c>
      <c r="BL6" s="319">
        <f t="shared" si="13"/>
        <v>2000001</v>
      </c>
      <c r="BM6" s="319">
        <f t="shared" si="14"/>
        <v>14250003</v>
      </c>
      <c r="BN6" s="274"/>
      <c r="BO6" s="311">
        <f>IFERROR(__xludf.DUMMYFUNCTION("IFERROR(ArrayFormula(SUM(VLOOKUP($C6,importrange(""1PTkkEa_ENkSqsGnpqoXy9kt0Fe1hCtlmU6kVFBNaonY"",""ORDER BOOKING REPORT 2025-26!C:CV""),{16,23,30},0))))"),9388731.5)</f>
        <v>9388731.5</v>
      </c>
      <c r="BP6" s="311">
        <f>IFERROR(__xludf.DUMMYFUNCTION("IFERROR(ArrayFormula(SUM(VLOOKUP($C6,importrange(""1PTkkEa_ENkSqsGnpqoXy9kt0Fe1hCtlmU6kVFBNaonY"",""ORDER BOOKING REPORT 2025-26!C:CV""),{37,44,51},0))))"),8745032.669999998)</f>
        <v>8745032.67</v>
      </c>
      <c r="BQ6" s="311">
        <f>IFERROR(__xludf.DUMMYFUNCTION("IFERROR(ArrayFormula(SUM(VLOOKUP($C6,importrange(""1PTkkEa_ENkSqsGnpqoXy9kt0Fe1hCtlmU6kVFBNaonY"",""ORDER BOOKING REPORT 2025-26!C:CV""),{58,65,72},0))))"),1.263099464E7)</f>
        <v>12630994.64</v>
      </c>
      <c r="BR6" s="311">
        <f>IFERROR(__xludf.DUMMYFUNCTION("IFERROR(ArrayFormula(SUM(VLOOKUP($C6,importrange(""1PTkkEa_ENkSqsGnpqoXy9kt0Fe1hCtlmU6kVFBNaonY"",""ORDER BOOKING REPORT 2025-26!C:CV""),{79,86,93},0))))"),1.286626621E7)</f>
        <v>12866266.21</v>
      </c>
      <c r="BS6" s="322">
        <f t="shared" si="15"/>
        <v>0.472471269</v>
      </c>
      <c r="BT6" s="322">
        <f t="shared" si="16"/>
        <v>0.04270222557</v>
      </c>
      <c r="BU6" s="287">
        <f t="shared" si="17"/>
        <v>0</v>
      </c>
      <c r="BV6" s="320">
        <v>95834.0</v>
      </c>
      <c r="BW6" s="321" t="s">
        <v>494</v>
      </c>
      <c r="BX6" s="320">
        <v>15.0</v>
      </c>
      <c r="BY6" s="287">
        <f t="shared" si="18"/>
        <v>0</v>
      </c>
      <c r="BZ6" s="10"/>
      <c r="CA6" s="318" t="s">
        <v>456</v>
      </c>
      <c r="CB6" s="287">
        <f>countif($F:$F, "&lt;=" &amp; DATE(2025,5,31))-COUNTIFS(AZ:AZ, "&gt;=" &amp; DATE(2025,4,1), AZ:AZ, "&lt;=" &amp; DATE(2025,5,31))</f>
        <v>124</v>
      </c>
      <c r="CC6" s="287">
        <f>COUNTIFS(F:F, "&gt;=" &amp; DATE(2025,6,1), F:F, "&lt;=" &amp; DATE(2025,6,30))</f>
        <v>2</v>
      </c>
      <c r="CD6" s="287">
        <f>COUNTIFS(AZ:AZ, "&gt;=" &amp; DATE(2025,6,1), AZ:AZ, "&lt;=" &amp; DATE(2025,6,30))</f>
        <v>0</v>
      </c>
      <c r="CE6" s="287">
        <f t="shared" si="19"/>
        <v>126</v>
      </c>
      <c r="CF6" s="287">
        <f t="shared" si="20"/>
        <v>126</v>
      </c>
      <c r="CG6" s="318" t="str">
        <f t="shared" si="21"/>
        <v> </v>
      </c>
      <c r="CH6" s="318" t="str">
        <f t="shared" si="28"/>
        <v>Business Achieved 50%</v>
      </c>
      <c r="CI6" s="322">
        <f t="shared" si="22"/>
        <v>0.6557377049</v>
      </c>
      <c r="CJ6" s="323"/>
      <c r="CK6" s="323"/>
      <c r="CL6" s="323"/>
      <c r="CM6" s="324">
        <f t="shared" si="23"/>
        <v>139</v>
      </c>
      <c r="CN6" s="331"/>
      <c r="CO6" s="152"/>
      <c r="CP6" s="332" t="s">
        <v>495</v>
      </c>
      <c r="CQ6" s="326">
        <f t="shared" si="24"/>
        <v>2</v>
      </c>
      <c r="CR6" s="326">
        <f t="shared" si="25"/>
        <v>0</v>
      </c>
      <c r="CS6" s="332" t="s">
        <v>273</v>
      </c>
      <c r="CT6" s="284">
        <f t="shared" si="26"/>
        <v>15</v>
      </c>
      <c r="CU6" s="152"/>
      <c r="CV6" s="152"/>
      <c r="CW6" s="327">
        <f t="shared" si="27"/>
        <v>0</v>
      </c>
      <c r="CX6" s="270"/>
      <c r="CY6" s="152"/>
      <c r="CZ6" s="152"/>
    </row>
    <row r="7" hidden="1">
      <c r="A7" s="307" t="s">
        <v>160</v>
      </c>
      <c r="B7" s="307" t="s">
        <v>483</v>
      </c>
      <c r="C7" s="307" t="s">
        <v>163</v>
      </c>
      <c r="D7" s="307" t="s">
        <v>484</v>
      </c>
      <c r="E7" s="307" t="s">
        <v>314</v>
      </c>
      <c r="F7" s="329">
        <v>41159.0</v>
      </c>
      <c r="G7" s="309">
        <v>0.0</v>
      </c>
      <c r="H7" s="309">
        <v>1.8E7</v>
      </c>
      <c r="I7" s="287">
        <v>4282163.0</v>
      </c>
      <c r="J7" s="287">
        <v>0.0</v>
      </c>
      <c r="K7" s="284">
        <v>95.0</v>
      </c>
      <c r="L7" s="284">
        <v>85.0</v>
      </c>
      <c r="M7" s="284">
        <v>2.0</v>
      </c>
      <c r="N7" s="284">
        <v>97.0</v>
      </c>
      <c r="O7" s="284">
        <v>12.0</v>
      </c>
      <c r="P7" s="287">
        <v>4121053.18</v>
      </c>
      <c r="Q7" s="287">
        <v>161110.08</v>
      </c>
      <c r="R7" s="284">
        <v>19.0</v>
      </c>
      <c r="S7" s="284">
        <v>2.0</v>
      </c>
      <c r="T7" s="284">
        <v>21.0</v>
      </c>
      <c r="U7" s="284">
        <v>0.0</v>
      </c>
      <c r="V7" s="284">
        <v>45.0</v>
      </c>
      <c r="W7" s="284">
        <v>84.0</v>
      </c>
      <c r="X7" s="284">
        <v>28.0</v>
      </c>
      <c r="Y7" s="284">
        <v>2.0</v>
      </c>
      <c r="Z7" s="284">
        <v>9.0</v>
      </c>
      <c r="AA7" s="284">
        <v>0.0</v>
      </c>
      <c r="AB7" s="284">
        <v>0.0</v>
      </c>
      <c r="AC7" s="284">
        <v>0.0</v>
      </c>
      <c r="AD7" s="284">
        <v>0.0</v>
      </c>
      <c r="AE7" s="284">
        <v>274.0</v>
      </c>
      <c r="AF7" s="284">
        <v>367.0</v>
      </c>
      <c r="AG7" s="284">
        <v>78.0</v>
      </c>
      <c r="AH7" s="309">
        <f t="shared" si="2"/>
        <v>54899.52564</v>
      </c>
      <c r="AI7" s="309">
        <f t="shared" si="3"/>
        <v>4.705128205</v>
      </c>
      <c r="AJ7" s="311">
        <v>78125.0</v>
      </c>
      <c r="AK7" s="309">
        <f t="shared" si="4"/>
        <v>234375</v>
      </c>
      <c r="AL7" s="312"/>
      <c r="AM7" s="313">
        <f t="shared" si="5"/>
        <v>0.05473285347</v>
      </c>
      <c r="AN7" s="309">
        <f t="shared" si="6"/>
        <v>203912.5238</v>
      </c>
      <c r="AO7" s="314">
        <f t="shared" si="7"/>
        <v>0.2378979444</v>
      </c>
      <c r="AP7" s="315">
        <v>0.0</v>
      </c>
      <c r="AQ7" s="284">
        <v>23.0</v>
      </c>
      <c r="AR7" s="284">
        <v>891.0</v>
      </c>
      <c r="AS7" s="284">
        <v>3350.84</v>
      </c>
      <c r="AT7" s="284">
        <v>2.0</v>
      </c>
      <c r="AU7" s="284">
        <v>39.0</v>
      </c>
      <c r="AV7" s="284">
        <v>21.0</v>
      </c>
      <c r="AW7" s="284">
        <v>64.0</v>
      </c>
      <c r="AX7" s="284">
        <v>12.0</v>
      </c>
      <c r="AY7" s="309">
        <v>4775964.0</v>
      </c>
      <c r="AZ7" s="316"/>
      <c r="BA7" s="307" t="str">
        <f t="shared" si="8"/>
        <v>Active</v>
      </c>
      <c r="BB7" s="307" t="str">
        <f t="shared" si="9"/>
        <v>Old</v>
      </c>
      <c r="BC7" s="307" t="str">
        <f t="shared" si="10"/>
        <v>Below 50%</v>
      </c>
      <c r="BD7" s="286">
        <f t="shared" si="11"/>
        <v>3</v>
      </c>
      <c r="BE7" s="328">
        <v>6000000.0</v>
      </c>
      <c r="BF7" s="284">
        <f t="shared" si="12"/>
        <v>0</v>
      </c>
      <c r="BG7" s="307" t="s">
        <v>488</v>
      </c>
      <c r="BH7" s="272">
        <f>IFERROR(__xludf.DUMMYFUNCTION("""COMPUTED_VALUE"""),5.1700476E7)</f>
        <v>51700476</v>
      </c>
      <c r="BI7" s="272">
        <f>IFERROR(__xludf.DUMMYFUNCTION("""COMPUTED_VALUE"""),3.491004561E7)</f>
        <v>34910045.61</v>
      </c>
      <c r="BJ7" s="273"/>
      <c r="BK7" s="274"/>
      <c r="BL7" s="319">
        <f t="shared" si="13"/>
        <v>0</v>
      </c>
      <c r="BM7" s="319">
        <f t="shared" si="14"/>
        <v>18000000</v>
      </c>
      <c r="BN7" s="274"/>
      <c r="BO7" s="311">
        <f>IFERROR(__xludf.DUMMYFUNCTION("IFERROR(ArrayFormula(SUM(VLOOKUP($C7,importrange(""1PTkkEa_ENkSqsGnpqoXy9kt0Fe1hCtlmU6kVFBNaonY"",""ORDER BOOKING REPORT 2025-26!C:CV""),{16,23,30},0))))"),1.1336696129999999E7)</f>
        <v>11336696.13</v>
      </c>
      <c r="BP7" s="311">
        <f>IFERROR(__xludf.DUMMYFUNCTION("IFERROR(ArrayFormula(SUM(VLOOKUP($C7,importrange(""1PTkkEa_ENkSqsGnpqoXy9kt0Fe1hCtlmU6kVFBNaonY"",""ORDER BOOKING REPORT 2025-26!C:CV""),{37,44,51},0))))"),1.3661114530000003E7)</f>
        <v>13661114.53</v>
      </c>
      <c r="BQ7" s="311">
        <f>IFERROR(__xludf.DUMMYFUNCTION("IFERROR(ArrayFormula(SUM(VLOOKUP($C7,importrange(""1PTkkEa_ENkSqsGnpqoXy9kt0Fe1hCtlmU6kVFBNaonY"",""ORDER BOOKING REPORT 2025-26!C:CV""),{58,65,72},0))))"),4070824.7800000003)</f>
        <v>4070824.78</v>
      </c>
      <c r="BR7" s="311">
        <f>IFERROR(__xludf.DUMMYFUNCTION("IFERROR(ArrayFormula(SUM(VLOOKUP($C7,importrange(""1PTkkEa_ENkSqsGnpqoXy9kt0Fe1hCtlmU6kVFBNaonY"",""ORDER BOOKING REPORT 2025-26!C:CV""),{79,86,93},0))))"),5841410.17)</f>
        <v>5841410.17</v>
      </c>
      <c r="BS7" s="322">
        <f t="shared" si="15"/>
        <v>0.2653313333</v>
      </c>
      <c r="BT7" s="322">
        <f t="shared" si="16"/>
        <v>0.04907386237</v>
      </c>
      <c r="BU7" s="287">
        <f t="shared" si="17"/>
        <v>0</v>
      </c>
      <c r="BV7" s="320">
        <v>78125.0</v>
      </c>
      <c r="BW7" s="321" t="s">
        <v>489</v>
      </c>
      <c r="BX7" s="320">
        <v>33.0</v>
      </c>
      <c r="BY7" s="287">
        <f t="shared" si="18"/>
        <v>0</v>
      </c>
      <c r="BZ7" s="10"/>
      <c r="CA7" s="318" t="s">
        <v>496</v>
      </c>
      <c r="CB7" s="287">
        <f>countif($F:$F, "&lt;=" &amp; DATE(2025,6,30))-COUNTIFS(AZ:AZ, "&gt;=" &amp; DATE(2025,4,1), AZ:AZ, "&lt;=" &amp; DATE(2025,6,30))</f>
        <v>126</v>
      </c>
      <c r="CC7" s="287">
        <f>COUNTIFS(F:F, "&gt;=" &amp; DATE(2025,7,1), F:F, "&lt;=" &amp; DATE(2025,7,31))</f>
        <v>6</v>
      </c>
      <c r="CD7" s="287">
        <f>COUNTIFS(AZ:AZ, "&gt;=" &amp; DATE(2025,7,1), AZ:AZ, "&lt;=" &amp; DATE(2025,7,31))</f>
        <v>0</v>
      </c>
      <c r="CE7" s="287">
        <f t="shared" si="19"/>
        <v>132</v>
      </c>
      <c r="CF7" s="287">
        <f t="shared" si="20"/>
        <v>132</v>
      </c>
      <c r="CG7" s="318" t="str">
        <f t="shared" si="21"/>
        <v> </v>
      </c>
      <c r="CH7" s="318" t="str">
        <f t="shared" si="28"/>
        <v>Not 50%</v>
      </c>
      <c r="CI7" s="322">
        <f t="shared" si="22"/>
        <v>0.2164948454</v>
      </c>
      <c r="CJ7" s="323"/>
      <c r="CK7" s="323"/>
      <c r="CL7" s="323"/>
      <c r="CM7" s="324">
        <f t="shared" si="23"/>
        <v>274</v>
      </c>
      <c r="CN7" s="325"/>
      <c r="CO7" s="6"/>
      <c r="CP7" s="307" t="s">
        <v>27</v>
      </c>
      <c r="CQ7" s="326">
        <f t="shared" si="24"/>
        <v>2</v>
      </c>
      <c r="CR7" s="326">
        <f t="shared" si="25"/>
        <v>0</v>
      </c>
      <c r="CS7" s="284" t="s">
        <v>301</v>
      </c>
      <c r="CT7" s="284">
        <f t="shared" si="26"/>
        <v>5</v>
      </c>
      <c r="CU7" s="6"/>
      <c r="CV7" s="6"/>
      <c r="CW7" s="327">
        <f t="shared" si="27"/>
        <v>0</v>
      </c>
      <c r="CX7" s="270"/>
      <c r="CY7" s="6"/>
      <c r="CZ7" s="6"/>
    </row>
    <row r="8" hidden="1">
      <c r="A8" s="307" t="s">
        <v>160</v>
      </c>
      <c r="B8" s="307" t="s">
        <v>483</v>
      </c>
      <c r="C8" s="307" t="s">
        <v>165</v>
      </c>
      <c r="D8" s="307" t="s">
        <v>484</v>
      </c>
      <c r="E8" s="307" t="s">
        <v>206</v>
      </c>
      <c r="F8" s="333">
        <v>41400.0</v>
      </c>
      <c r="G8" s="309">
        <v>0.0</v>
      </c>
      <c r="H8" s="309">
        <v>2.5550001E7</v>
      </c>
      <c r="I8" s="287">
        <v>1.2473294E7</v>
      </c>
      <c r="J8" s="287">
        <v>0.0</v>
      </c>
      <c r="K8" s="284">
        <v>51.0</v>
      </c>
      <c r="L8" s="284">
        <v>45.0</v>
      </c>
      <c r="M8" s="284">
        <v>4.0</v>
      </c>
      <c r="N8" s="284">
        <v>55.0</v>
      </c>
      <c r="O8" s="284">
        <v>10.0</v>
      </c>
      <c r="P8" s="287">
        <v>1.186153537E7</v>
      </c>
      <c r="Q8" s="287">
        <v>611758.52</v>
      </c>
      <c r="R8" s="284">
        <v>31.0</v>
      </c>
      <c r="S8" s="284">
        <v>4.0</v>
      </c>
      <c r="T8" s="284">
        <v>35.0</v>
      </c>
      <c r="U8" s="284">
        <v>0.0</v>
      </c>
      <c r="V8" s="284">
        <v>0.0</v>
      </c>
      <c r="W8" s="284">
        <v>0.0</v>
      </c>
      <c r="X8" s="284">
        <v>18.0</v>
      </c>
      <c r="Y8" s="284">
        <v>2.0</v>
      </c>
      <c r="Z8" s="284">
        <v>41.0</v>
      </c>
      <c r="AA8" s="284">
        <v>0.0</v>
      </c>
      <c r="AB8" s="284">
        <v>0.0</v>
      </c>
      <c r="AC8" s="284">
        <v>0.0</v>
      </c>
      <c r="AD8" s="284">
        <v>0.0</v>
      </c>
      <c r="AE8" s="284">
        <v>364.0</v>
      </c>
      <c r="AF8" s="284">
        <v>405.0</v>
      </c>
      <c r="AG8" s="284">
        <v>56.0</v>
      </c>
      <c r="AH8" s="309">
        <f t="shared" si="2"/>
        <v>222737.3929</v>
      </c>
      <c r="AI8" s="309">
        <f t="shared" si="3"/>
        <v>7.232142857</v>
      </c>
      <c r="AJ8" s="311">
        <v>83075.0</v>
      </c>
      <c r="AK8" s="309">
        <f t="shared" si="4"/>
        <v>249225</v>
      </c>
      <c r="AL8" s="312"/>
      <c r="AM8" s="313">
        <f t="shared" si="5"/>
        <v>0.01998068834</v>
      </c>
      <c r="AN8" s="309">
        <f t="shared" si="6"/>
        <v>356379.8286</v>
      </c>
      <c r="AO8" s="314">
        <f t="shared" si="7"/>
        <v>0.4881915269</v>
      </c>
      <c r="AP8" s="315">
        <v>0.0</v>
      </c>
      <c r="AQ8" s="284">
        <v>254.0</v>
      </c>
      <c r="AR8" s="284">
        <v>524.0</v>
      </c>
      <c r="AS8" s="284">
        <v>1487.91</v>
      </c>
      <c r="AT8" s="284">
        <v>4.0</v>
      </c>
      <c r="AU8" s="284">
        <v>33.0</v>
      </c>
      <c r="AV8" s="284">
        <v>35.0</v>
      </c>
      <c r="AW8" s="284">
        <v>12.0</v>
      </c>
      <c r="AX8" s="284">
        <v>8.0</v>
      </c>
      <c r="AY8" s="309">
        <v>7144590.8</v>
      </c>
      <c r="AZ8" s="316"/>
      <c r="BA8" s="307" t="str">
        <f t="shared" si="8"/>
        <v>Active</v>
      </c>
      <c r="BB8" s="307" t="str">
        <f t="shared" si="9"/>
        <v>Old</v>
      </c>
      <c r="BC8" s="307" t="str">
        <f t="shared" si="10"/>
        <v>Below 50%</v>
      </c>
      <c r="BD8" s="286">
        <f t="shared" si="11"/>
        <v>3</v>
      </c>
      <c r="BE8" s="328">
        <v>8516667.0</v>
      </c>
      <c r="BF8" s="284">
        <f t="shared" si="12"/>
        <v>0</v>
      </c>
      <c r="BG8" s="307" t="s">
        <v>488</v>
      </c>
      <c r="BH8" s="272">
        <f>IFERROR(__xludf.DUMMYFUNCTION("""COMPUTED_VALUE"""),6.12778106E7)</f>
        <v>61277810.6</v>
      </c>
      <c r="BI8" s="272">
        <f>IFERROR(__xludf.DUMMYFUNCTION("""COMPUTED_VALUE"""),6.130048567570313E7)</f>
        <v>61300485.68</v>
      </c>
      <c r="BJ8" s="273"/>
      <c r="BK8" s="274"/>
      <c r="BL8" s="319">
        <f t="shared" si="13"/>
        <v>0</v>
      </c>
      <c r="BM8" s="319">
        <f t="shared" si="14"/>
        <v>25550001</v>
      </c>
      <c r="BN8" s="274"/>
      <c r="BO8" s="311">
        <f>IFERROR(__xludf.DUMMYFUNCTION("IFERROR(ArrayFormula(SUM(VLOOKUP($C8,importrange(""1PTkkEa_ENkSqsGnpqoXy9kt0Fe1hCtlmU6kVFBNaonY"",""ORDER BOOKING REPORT 2025-26!C:CV""),{16,23,30},0))))"),1.7497662725703124E7)</f>
        <v>17497662.73</v>
      </c>
      <c r="BP8" s="311">
        <f>IFERROR(__xludf.DUMMYFUNCTION("IFERROR(ArrayFormula(SUM(VLOOKUP($C8,importrange(""1PTkkEa_ENkSqsGnpqoXy9kt0Fe1hCtlmU6kVFBNaonY"",""ORDER BOOKING REPORT 2025-26!C:CV""),{37,44,51},0))))"),1.220782257E7)</f>
        <v>12207822.57</v>
      </c>
      <c r="BQ8" s="311">
        <f>IFERROR(__xludf.DUMMYFUNCTION("IFERROR(ArrayFormula(SUM(VLOOKUP($C8,importrange(""1PTkkEa_ENkSqsGnpqoXy9kt0Fe1hCtlmU6kVFBNaonY"",""ORDER BOOKING REPORT 2025-26!C:CV""),{58,65,72},0))))"),1.293728323E7)</f>
        <v>12937283.23</v>
      </c>
      <c r="BR8" s="311">
        <f>IFERROR(__xludf.DUMMYFUNCTION("IFERROR(ArrayFormula(SUM(VLOOKUP($C8,importrange(""1PTkkEa_ENkSqsGnpqoXy9kt0Fe1hCtlmU6kVFBNaonY"",""ORDER BOOKING REPORT 2025-26!C:CV""),{79,86,93},0))))"),1.8657717150000002E7)</f>
        <v>18657717.15</v>
      </c>
      <c r="BS8" s="322">
        <f t="shared" si="15"/>
        <v>0.2796317229</v>
      </c>
      <c r="BT8" s="322">
        <f t="shared" si="16"/>
        <v>0.03488303347</v>
      </c>
      <c r="BU8" s="287">
        <f t="shared" si="17"/>
        <v>0</v>
      </c>
      <c r="BV8" s="320">
        <v>83075.0</v>
      </c>
      <c r="BW8" s="321" t="s">
        <v>489</v>
      </c>
      <c r="BX8" s="320">
        <v>82.0</v>
      </c>
      <c r="BY8" s="287">
        <f t="shared" si="18"/>
        <v>0</v>
      </c>
      <c r="BZ8" s="10"/>
      <c r="CA8" s="318" t="s">
        <v>497</v>
      </c>
      <c r="CB8" s="287">
        <f>countif($F:$F, "&lt;=" &amp; DATE(2025,7,31))-COUNTIFS(AZ:AZ, "&gt;=" &amp; DATE(2025,4,1), AZ:AZ, "&lt;=" &amp; DATE(2025,7,31))</f>
        <v>132</v>
      </c>
      <c r="CC8" s="287">
        <f>COUNTIFS(F:F, "&gt;=" &amp; DATE(2025,8,1), F:F, "&lt;=" &amp; DATE(2025,8,31))</f>
        <v>3</v>
      </c>
      <c r="CD8" s="287">
        <f>COUNTIFS(AZ:AZ, "&gt;=" &amp; DATE(2025,8,1), AZ:AZ, "&lt;=" &amp; DATE(2025,8,31))</f>
        <v>0</v>
      </c>
      <c r="CE8" s="287">
        <f t="shared" si="19"/>
        <v>135</v>
      </c>
      <c r="CF8" s="287">
        <f t="shared" si="20"/>
        <v>135</v>
      </c>
      <c r="CG8" s="318" t="str">
        <f t="shared" si="21"/>
        <v>Below 60</v>
      </c>
      <c r="CH8" s="318" t="str">
        <f t="shared" si="28"/>
        <v>Business Achieved 50%</v>
      </c>
      <c r="CI8" s="322">
        <f t="shared" si="22"/>
        <v>0.6363636364</v>
      </c>
      <c r="CJ8" s="323"/>
      <c r="CK8" s="323"/>
      <c r="CL8" s="323"/>
      <c r="CM8" s="324">
        <f t="shared" si="23"/>
        <v>364</v>
      </c>
      <c r="CN8" s="325"/>
      <c r="CO8" s="6"/>
      <c r="CP8" s="307" t="s">
        <v>498</v>
      </c>
      <c r="CQ8" s="326">
        <f t="shared" si="24"/>
        <v>1</v>
      </c>
      <c r="CR8" s="326">
        <f t="shared" si="25"/>
        <v>0</v>
      </c>
      <c r="CS8" s="284" t="s">
        <v>72</v>
      </c>
      <c r="CT8" s="284">
        <f t="shared" si="26"/>
        <v>11</v>
      </c>
      <c r="CU8" s="6"/>
      <c r="CV8" s="6"/>
      <c r="CW8" s="327">
        <f t="shared" si="27"/>
        <v>0</v>
      </c>
      <c r="CX8" s="270"/>
      <c r="CY8" s="6"/>
      <c r="CZ8" s="6"/>
    </row>
    <row r="9" hidden="1">
      <c r="A9" s="307" t="s">
        <v>160</v>
      </c>
      <c r="B9" s="307" t="s">
        <v>499</v>
      </c>
      <c r="C9" s="307" t="s">
        <v>166</v>
      </c>
      <c r="D9" s="307" t="s">
        <v>500</v>
      </c>
      <c r="E9" s="307" t="s">
        <v>501</v>
      </c>
      <c r="F9" s="308">
        <v>41563.0</v>
      </c>
      <c r="G9" s="309">
        <v>0.0</v>
      </c>
      <c r="H9" s="309">
        <v>7500000.0</v>
      </c>
      <c r="I9" s="287">
        <v>7565298.0</v>
      </c>
      <c r="J9" s="287">
        <v>0.0</v>
      </c>
      <c r="K9" s="284">
        <v>39.0</v>
      </c>
      <c r="L9" s="284">
        <v>40.0</v>
      </c>
      <c r="M9" s="284">
        <v>3.0</v>
      </c>
      <c r="N9" s="284">
        <v>42.0</v>
      </c>
      <c r="O9" s="284">
        <v>2.0</v>
      </c>
      <c r="P9" s="287">
        <v>6977902.1</v>
      </c>
      <c r="Q9" s="287">
        <v>587396.14</v>
      </c>
      <c r="R9" s="284">
        <v>17.0</v>
      </c>
      <c r="S9" s="284">
        <v>3.0</v>
      </c>
      <c r="T9" s="284">
        <v>20.0</v>
      </c>
      <c r="U9" s="284">
        <v>0.0</v>
      </c>
      <c r="V9" s="284">
        <v>9.0</v>
      </c>
      <c r="W9" s="284">
        <v>9.0</v>
      </c>
      <c r="X9" s="284">
        <v>22.0</v>
      </c>
      <c r="Y9" s="284">
        <v>1.0</v>
      </c>
      <c r="Z9" s="284">
        <v>4.0</v>
      </c>
      <c r="AA9" s="284">
        <v>0.0</v>
      </c>
      <c r="AB9" s="284">
        <v>0.0</v>
      </c>
      <c r="AC9" s="284">
        <v>0.0</v>
      </c>
      <c r="AD9" s="284">
        <v>0.0</v>
      </c>
      <c r="AE9" s="284">
        <v>205.0</v>
      </c>
      <c r="AF9" s="284">
        <v>218.0</v>
      </c>
      <c r="AG9" s="284">
        <v>78.0</v>
      </c>
      <c r="AH9" s="309">
        <f t="shared" si="2"/>
        <v>96991</v>
      </c>
      <c r="AI9" s="309">
        <f t="shared" si="3"/>
        <v>2.794871795</v>
      </c>
      <c r="AJ9" s="311">
        <v>48500.0</v>
      </c>
      <c r="AK9" s="309">
        <f t="shared" si="4"/>
        <v>145500</v>
      </c>
      <c r="AL9" s="312"/>
      <c r="AM9" s="313">
        <f t="shared" si="5"/>
        <v>0.01923255369</v>
      </c>
      <c r="AN9" s="309">
        <f t="shared" si="6"/>
        <v>378264.9</v>
      </c>
      <c r="AO9" s="314">
        <f t="shared" si="7"/>
        <v>1.0087064</v>
      </c>
      <c r="AP9" s="315">
        <v>0.0</v>
      </c>
      <c r="AQ9" s="284">
        <v>75.0</v>
      </c>
      <c r="AR9" s="284">
        <v>932.0</v>
      </c>
      <c r="AS9" s="284">
        <v>9150.26</v>
      </c>
      <c r="AT9" s="284">
        <v>3.0</v>
      </c>
      <c r="AU9" s="284">
        <v>229.0</v>
      </c>
      <c r="AV9" s="284">
        <v>20.0</v>
      </c>
      <c r="AW9" s="284">
        <v>20.0</v>
      </c>
      <c r="AX9" s="284">
        <v>2.0</v>
      </c>
      <c r="AY9" s="309">
        <v>5819903.08</v>
      </c>
      <c r="AZ9" s="316"/>
      <c r="BA9" s="307" t="str">
        <f t="shared" si="8"/>
        <v>Active</v>
      </c>
      <c r="BB9" s="307" t="str">
        <f t="shared" si="9"/>
        <v>Old</v>
      </c>
      <c r="BC9" s="307" t="str">
        <f t="shared" si="10"/>
        <v>Above 100%</v>
      </c>
      <c r="BD9" s="286">
        <f t="shared" si="11"/>
        <v>3</v>
      </c>
      <c r="BE9" s="328">
        <v>2500000.0</v>
      </c>
      <c r="BF9" s="284">
        <f t="shared" si="12"/>
        <v>0</v>
      </c>
      <c r="BG9" s="307" t="s">
        <v>488</v>
      </c>
      <c r="BH9" s="272">
        <f>IFERROR(__xludf.DUMMYFUNCTION("""COMPUTED_VALUE"""),1.99497201E7)</f>
        <v>19949720.1</v>
      </c>
      <c r="BI9" s="272">
        <f>IFERROR(__xludf.DUMMYFUNCTION("""COMPUTED_VALUE"""),2.28536648E7)</f>
        <v>22853664.8</v>
      </c>
      <c r="BJ9" s="273"/>
      <c r="BK9" s="274"/>
      <c r="BL9" s="319">
        <f t="shared" si="13"/>
        <v>0</v>
      </c>
      <c r="BM9" s="319">
        <f t="shared" si="14"/>
        <v>7500000</v>
      </c>
      <c r="BN9" s="274"/>
      <c r="BO9" s="311">
        <f>IFERROR(__xludf.DUMMYFUNCTION("IFERROR(ArrayFormula(SUM(VLOOKUP($C9,importrange(""1PTkkEa_ENkSqsGnpqoXy9kt0Fe1hCtlmU6kVFBNaonY"",""ORDER BOOKING REPORT 2025-26!C:CV""),{16,23,30},0))))"),5395771.22)</f>
        <v>5395771.22</v>
      </c>
      <c r="BP9" s="311">
        <f>IFERROR(__xludf.DUMMYFUNCTION("IFERROR(ArrayFormula(SUM(VLOOKUP($C9,importrange(""1PTkkEa_ENkSqsGnpqoXy9kt0Fe1hCtlmU6kVFBNaonY"",""ORDER BOOKING REPORT 2025-26!C:CV""),{37,44,51},0))))"),4672651.300000001)</f>
        <v>4672651.3</v>
      </c>
      <c r="BQ9" s="311">
        <f>IFERROR(__xludf.DUMMYFUNCTION("IFERROR(ArrayFormula(SUM(VLOOKUP($C9,importrange(""1PTkkEa_ENkSqsGnpqoXy9kt0Fe1hCtlmU6kVFBNaonY"",""ORDER BOOKING REPORT 2025-26!C:CV""),{58,65,72},0))))"),5378052.77)</f>
        <v>5378052.77</v>
      </c>
      <c r="BR9" s="311">
        <f>IFERROR(__xludf.DUMMYFUNCTION("IFERROR(ArrayFormula(SUM(VLOOKUP($C9,importrange(""1PTkkEa_ENkSqsGnpqoXy9kt0Fe1hCtlmU6kVFBNaonY"",""ORDER BOOKING REPORT 2025-26!C:CV""),{79,86,93},0))))"),7407189.51)</f>
        <v>7407189.51</v>
      </c>
      <c r="BS9" s="322">
        <f t="shared" si="15"/>
        <v>0.7759870773</v>
      </c>
      <c r="BT9" s="322">
        <f t="shared" si="16"/>
        <v>0.02500041633</v>
      </c>
      <c r="BU9" s="287">
        <f t="shared" si="17"/>
        <v>0</v>
      </c>
      <c r="BV9" s="320">
        <v>48500.0</v>
      </c>
      <c r="BW9" s="321" t="s">
        <v>502</v>
      </c>
      <c r="BX9" s="320">
        <v>111.0</v>
      </c>
      <c r="BY9" s="287">
        <f t="shared" si="18"/>
        <v>0</v>
      </c>
      <c r="BZ9" s="10"/>
      <c r="CA9" s="318" t="s">
        <v>503</v>
      </c>
      <c r="CB9" s="287">
        <f>countif($F:$F, "&lt;=" &amp; DATE(2025,8,31))-COUNTIFS(AZ:AZ, "&gt;=" &amp; DATE(2025,4,1), AZ:AZ, "&lt;=" &amp; DATE(2025,8,31))</f>
        <v>135</v>
      </c>
      <c r="CC9" s="287">
        <f>COUNTIFS(F:F, "&gt;=" &amp; DATE(2025,9,1), F:F, "&lt;=" &amp; DATE(2025,9,30))</f>
        <v>0</v>
      </c>
      <c r="CD9" s="287">
        <f>COUNTIFS(AZ:AZ, "&gt;=" &amp; DATE(2025,9,1), AZ:AZ, "&lt;=" &amp; DATE(2025,9,30))</f>
        <v>0</v>
      </c>
      <c r="CE9" s="287">
        <f t="shared" si="19"/>
        <v>135</v>
      </c>
      <c r="CF9" s="287">
        <f t="shared" si="20"/>
        <v>135</v>
      </c>
      <c r="CG9" s="318" t="str">
        <f t="shared" si="21"/>
        <v>Below 60</v>
      </c>
      <c r="CH9" s="318" t="str">
        <f t="shared" si="28"/>
        <v>Not 50%</v>
      </c>
      <c r="CI9" s="322">
        <f t="shared" si="22"/>
        <v>0.4761904762</v>
      </c>
      <c r="CJ9" s="323"/>
      <c r="CK9" s="323"/>
      <c r="CL9" s="323"/>
      <c r="CM9" s="324">
        <f t="shared" si="23"/>
        <v>205</v>
      </c>
      <c r="CN9" s="325"/>
      <c r="CO9" s="6"/>
      <c r="CP9" s="307" t="s">
        <v>492</v>
      </c>
      <c r="CQ9" s="326">
        <f t="shared" si="24"/>
        <v>16</v>
      </c>
      <c r="CR9" s="326">
        <f t="shared" si="25"/>
        <v>0</v>
      </c>
      <c r="CS9" s="284" t="s">
        <v>62</v>
      </c>
      <c r="CT9" s="284">
        <f t="shared" si="26"/>
        <v>5</v>
      </c>
      <c r="CU9" s="6"/>
      <c r="CV9" s="6"/>
      <c r="CW9" s="327">
        <f t="shared" si="27"/>
        <v>0</v>
      </c>
      <c r="CX9" s="270"/>
      <c r="CY9" s="6"/>
      <c r="CZ9" s="6"/>
    </row>
    <row r="10" hidden="1">
      <c r="A10" s="307" t="s">
        <v>160</v>
      </c>
      <c r="B10" s="307" t="s">
        <v>491</v>
      </c>
      <c r="C10" s="307" t="s">
        <v>350</v>
      </c>
      <c r="D10" s="307" t="s">
        <v>504</v>
      </c>
      <c r="E10" s="307" t="s">
        <v>351</v>
      </c>
      <c r="F10" s="308">
        <v>41719.0</v>
      </c>
      <c r="G10" s="309">
        <v>0.0</v>
      </c>
      <c r="H10" s="309" t="s">
        <v>485</v>
      </c>
      <c r="I10" s="287">
        <v>0.0</v>
      </c>
      <c r="J10" s="287">
        <v>0.0</v>
      </c>
      <c r="K10" s="284">
        <v>190.0</v>
      </c>
      <c r="L10" s="284">
        <v>36.0</v>
      </c>
      <c r="M10" s="284">
        <v>1.0</v>
      </c>
      <c r="N10" s="284">
        <v>191.0</v>
      </c>
      <c r="O10" s="284">
        <v>155.0</v>
      </c>
      <c r="P10" s="287">
        <v>0.0</v>
      </c>
      <c r="Q10" s="287">
        <v>0.0</v>
      </c>
      <c r="R10" s="284">
        <v>0.0</v>
      </c>
      <c r="S10" s="284">
        <v>0.0</v>
      </c>
      <c r="T10" s="284">
        <v>0.0</v>
      </c>
      <c r="U10" s="284">
        <v>0.0</v>
      </c>
      <c r="V10" s="284">
        <v>37.0</v>
      </c>
      <c r="W10" s="284">
        <v>54.0</v>
      </c>
      <c r="X10" s="284">
        <v>255.0</v>
      </c>
      <c r="Y10" s="284">
        <v>11.0</v>
      </c>
      <c r="Z10" s="284">
        <v>57.0</v>
      </c>
      <c r="AA10" s="284">
        <v>3.0</v>
      </c>
      <c r="AB10" s="284">
        <v>7.0</v>
      </c>
      <c r="AC10" s="284">
        <v>1.0</v>
      </c>
      <c r="AD10" s="284">
        <v>5.0</v>
      </c>
      <c r="AE10" s="284">
        <v>41.0</v>
      </c>
      <c r="AF10" s="284">
        <v>164.0</v>
      </c>
      <c r="AG10" s="284">
        <v>75.0</v>
      </c>
      <c r="AH10" s="309">
        <f t="shared" si="2"/>
        <v>0</v>
      </c>
      <c r="AI10" s="309">
        <f t="shared" si="3"/>
        <v>2.186666667</v>
      </c>
      <c r="AJ10" s="311">
        <v>88170.0</v>
      </c>
      <c r="AK10" s="309">
        <f t="shared" si="4"/>
        <v>264510</v>
      </c>
      <c r="AL10" s="312"/>
      <c r="AM10" s="334" t="str">
        <f t="shared" si="5"/>
        <v/>
      </c>
      <c r="AN10" s="231" t="str">
        <f t="shared" si="6"/>
        <v/>
      </c>
      <c r="AO10" s="314" t="str">
        <f t="shared" si="7"/>
        <v/>
      </c>
      <c r="AP10" s="315">
        <v>0.0</v>
      </c>
      <c r="AQ10" s="284">
        <v>0.0</v>
      </c>
      <c r="AR10" s="284">
        <v>703.0</v>
      </c>
      <c r="AS10" s="284">
        <v>7872.43</v>
      </c>
      <c r="AT10" s="284">
        <v>0.0</v>
      </c>
      <c r="AU10" s="284">
        <v>219.0</v>
      </c>
      <c r="AV10" s="284">
        <v>0.0</v>
      </c>
      <c r="AW10" s="284">
        <v>36.0</v>
      </c>
      <c r="AX10" s="284">
        <v>155.0</v>
      </c>
      <c r="AY10" s="231"/>
      <c r="AZ10" s="316"/>
      <c r="BA10" s="307" t="str">
        <f t="shared" si="8"/>
        <v>Active</v>
      </c>
      <c r="BB10" s="307" t="str">
        <f t="shared" si="9"/>
        <v>Old</v>
      </c>
      <c r="BC10" s="307" t="str">
        <f t="shared" si="10"/>
        <v>Below 50%</v>
      </c>
      <c r="BD10" s="286">
        <f t="shared" si="11"/>
        <v>3</v>
      </c>
      <c r="BE10" s="335"/>
      <c r="BF10" s="284">
        <f t="shared" si="12"/>
        <v>1</v>
      </c>
      <c r="BG10" s="318" t="s">
        <v>485</v>
      </c>
      <c r="BH10" s="271"/>
      <c r="BI10" s="271"/>
      <c r="BJ10" s="273"/>
      <c r="BK10" s="274"/>
      <c r="BL10" s="319">
        <f t="shared" si="13"/>
        <v>0</v>
      </c>
      <c r="BM10" s="319" t="str">
        <f t="shared" si="14"/>
        <v/>
      </c>
      <c r="BN10" s="274"/>
      <c r="BO10" s="311" t="str">
        <f>IFERROR(__xludf.DUMMYFUNCTION("IFERROR(ArrayFormula(SUM(VLOOKUP($C10,importrange(""1PTkkEa_ENkSqsGnpqoXy9kt0Fe1hCtlmU6kVFBNaonY"",""ORDER BOOKING REPORT 2025-26!C:CV""),{16,23,30},0))))"),"")</f>
        <v/>
      </c>
      <c r="BP10" s="311" t="str">
        <f>IFERROR(__xludf.DUMMYFUNCTION("IFERROR(ArrayFormula(SUM(VLOOKUP($C10,importrange(""1PTkkEa_ENkSqsGnpqoXy9kt0Fe1hCtlmU6kVFBNaonY"",""ORDER BOOKING REPORT 2025-26!C:CV""),{37,44,51},0))))"),"")</f>
        <v/>
      </c>
      <c r="BQ10" s="311" t="str">
        <f>IFERROR(__xludf.DUMMYFUNCTION("IFERROR(ArrayFormula(SUM(VLOOKUP($C10,importrange(""1PTkkEa_ENkSqsGnpqoXy9kt0Fe1hCtlmU6kVFBNaonY"",""ORDER BOOKING REPORT 2025-26!C:CV""),{58,65,72},0))))"),"")</f>
        <v/>
      </c>
      <c r="BR10" s="311" t="str">
        <f>IFERROR(__xludf.DUMMYFUNCTION("IFERROR(ArrayFormula(SUM(VLOOKUP($C10,importrange(""1PTkkEa_ENkSqsGnpqoXy9kt0Fe1hCtlmU6kVFBNaonY"",""ORDER BOOKING REPORT 2025-26!C:CV""),{79,86,93},0))))"),"")</f>
        <v/>
      </c>
      <c r="BS10" s="152" t="str">
        <f t="shared" si="15"/>
        <v/>
      </c>
      <c r="BT10" s="152" t="str">
        <f t="shared" si="16"/>
        <v/>
      </c>
      <c r="BU10" s="287">
        <f t="shared" si="17"/>
        <v>0</v>
      </c>
      <c r="BV10" s="320">
        <v>88170.0</v>
      </c>
      <c r="BW10" s="321" t="s">
        <v>486</v>
      </c>
      <c r="BX10" s="320">
        <v>130.0</v>
      </c>
      <c r="BY10" s="287">
        <f t="shared" si="18"/>
        <v>0</v>
      </c>
      <c r="BZ10" s="10"/>
      <c r="CA10" s="318" t="s">
        <v>505</v>
      </c>
      <c r="CB10" s="287">
        <f>countif($F:$F, "&lt;=" &amp; DATE(2025,9,30))-COUNTIFS(AZ:AZ, "&gt;=" &amp; DATE(2025,4,1), AZ:AZ, "&lt;=" &amp; DATE(2025,9,30))</f>
        <v>135</v>
      </c>
      <c r="CC10" s="287">
        <f>COUNTIFS(F:F, "&gt;=" &amp; DATE(2025,10,1), F:F, "&lt;=" &amp; DATE(2025,10,31))</f>
        <v>2</v>
      </c>
      <c r="CD10" s="287">
        <f>COUNTIFS(AZ:AZ, "&gt;=" &amp; DATE(2025,10,1), AZ:AZ, "&lt;=" &amp; DATE(2025,10,31))</f>
        <v>0</v>
      </c>
      <c r="CE10" s="287">
        <f t="shared" si="19"/>
        <v>137</v>
      </c>
      <c r="CF10" s="287">
        <f t="shared" si="20"/>
        <v>137</v>
      </c>
      <c r="CG10" s="318" t="str">
        <f t="shared" si="21"/>
        <v> </v>
      </c>
      <c r="CH10" s="318" t="str">
        <f t="shared" si="28"/>
        <v>Not 50%</v>
      </c>
      <c r="CI10" s="322">
        <f t="shared" si="22"/>
        <v>0</v>
      </c>
      <c r="CJ10" s="336"/>
      <c r="CK10" s="336"/>
      <c r="CL10" s="336"/>
      <c r="CM10" s="324">
        <f t="shared" si="23"/>
        <v>41</v>
      </c>
      <c r="CN10" s="325"/>
      <c r="CO10" s="6"/>
      <c r="CP10" s="307" t="s">
        <v>506</v>
      </c>
      <c r="CQ10" s="326">
        <f t="shared" si="24"/>
        <v>4</v>
      </c>
      <c r="CR10" s="326">
        <f t="shared" si="25"/>
        <v>1</v>
      </c>
      <c r="CS10" s="284" t="s">
        <v>23</v>
      </c>
      <c r="CT10" s="284">
        <f t="shared" si="26"/>
        <v>9</v>
      </c>
      <c r="CU10" s="6"/>
      <c r="CV10" s="6"/>
      <c r="CW10" s="327">
        <f t="shared" si="27"/>
        <v>0</v>
      </c>
      <c r="CX10" s="270"/>
      <c r="CY10" s="6"/>
      <c r="CZ10" s="6"/>
    </row>
    <row r="11" hidden="1">
      <c r="A11" s="307" t="s">
        <v>160</v>
      </c>
      <c r="B11" s="307" t="s">
        <v>483</v>
      </c>
      <c r="C11" s="307" t="s">
        <v>168</v>
      </c>
      <c r="D11" s="307" t="s">
        <v>484</v>
      </c>
      <c r="E11" s="307" t="s">
        <v>507</v>
      </c>
      <c r="F11" s="329">
        <v>41791.0</v>
      </c>
      <c r="G11" s="309">
        <v>0.0</v>
      </c>
      <c r="H11" s="309">
        <v>2.7500001E7</v>
      </c>
      <c r="I11" s="287">
        <v>1.8587947E7</v>
      </c>
      <c r="J11" s="287">
        <v>0.0</v>
      </c>
      <c r="K11" s="284">
        <v>104.0</v>
      </c>
      <c r="L11" s="284">
        <v>72.0</v>
      </c>
      <c r="M11" s="284">
        <v>0.0</v>
      </c>
      <c r="N11" s="284">
        <v>104.0</v>
      </c>
      <c r="O11" s="284">
        <v>32.0</v>
      </c>
      <c r="P11" s="287">
        <v>1.858794729E7</v>
      </c>
      <c r="Q11" s="287">
        <v>0.0</v>
      </c>
      <c r="R11" s="284">
        <v>61.0</v>
      </c>
      <c r="S11" s="284">
        <v>0.0</v>
      </c>
      <c r="T11" s="284">
        <v>61.0</v>
      </c>
      <c r="U11" s="284">
        <v>0.0</v>
      </c>
      <c r="V11" s="284">
        <v>0.0</v>
      </c>
      <c r="W11" s="284">
        <v>0.0</v>
      </c>
      <c r="X11" s="284">
        <v>31.0</v>
      </c>
      <c r="Y11" s="284">
        <v>3.0</v>
      </c>
      <c r="Z11" s="284">
        <v>68.0</v>
      </c>
      <c r="AA11" s="284">
        <v>0.0</v>
      </c>
      <c r="AB11" s="284">
        <v>0.0</v>
      </c>
      <c r="AC11" s="284">
        <v>0.0</v>
      </c>
      <c r="AD11" s="284">
        <v>0.0</v>
      </c>
      <c r="AE11" s="284">
        <v>174.0</v>
      </c>
      <c r="AF11" s="284">
        <v>242.0</v>
      </c>
      <c r="AG11" s="284">
        <v>62.0</v>
      </c>
      <c r="AH11" s="309">
        <f t="shared" si="2"/>
        <v>299805.5968</v>
      </c>
      <c r="AI11" s="309">
        <f t="shared" si="3"/>
        <v>3.903225806</v>
      </c>
      <c r="AJ11" s="311">
        <v>87460.0</v>
      </c>
      <c r="AK11" s="309">
        <f t="shared" si="4"/>
        <v>262380</v>
      </c>
      <c r="AL11" s="312"/>
      <c r="AM11" s="313">
        <f t="shared" si="5"/>
        <v>0.01411559867</v>
      </c>
      <c r="AN11" s="309">
        <f t="shared" si="6"/>
        <v>304720.4426</v>
      </c>
      <c r="AO11" s="314">
        <f t="shared" si="7"/>
        <v>0.6759253209</v>
      </c>
      <c r="AP11" s="315">
        <v>0.0</v>
      </c>
      <c r="AQ11" s="284">
        <v>166.0</v>
      </c>
      <c r="AR11" s="284">
        <v>759.0</v>
      </c>
      <c r="AS11" s="284">
        <v>10112.66</v>
      </c>
      <c r="AT11" s="284">
        <v>0.0</v>
      </c>
      <c r="AU11" s="284">
        <v>140.0</v>
      </c>
      <c r="AV11" s="284">
        <v>61.0</v>
      </c>
      <c r="AW11" s="284">
        <v>11.0</v>
      </c>
      <c r="AX11" s="284">
        <v>32.0</v>
      </c>
      <c r="AY11" s="309">
        <v>1.7583311E7</v>
      </c>
      <c r="AZ11" s="316"/>
      <c r="BA11" s="307" t="str">
        <f t="shared" si="8"/>
        <v>Active</v>
      </c>
      <c r="BB11" s="307" t="str">
        <f t="shared" si="9"/>
        <v>Old</v>
      </c>
      <c r="BC11" s="307" t="str">
        <f t="shared" si="10"/>
        <v>50%-70%</v>
      </c>
      <c r="BD11" s="286">
        <f t="shared" si="11"/>
        <v>3</v>
      </c>
      <c r="BE11" s="328">
        <v>9166667.0</v>
      </c>
      <c r="BF11" s="284">
        <f t="shared" si="12"/>
        <v>0</v>
      </c>
      <c r="BG11" s="307" t="s">
        <v>488</v>
      </c>
      <c r="BH11" s="272">
        <f>IFERROR(__xludf.DUMMYFUNCTION("""COMPUTED_VALUE"""),8.1193126E7)</f>
        <v>81193126</v>
      </c>
      <c r="BI11" s="272">
        <f>IFERROR(__xludf.DUMMYFUNCTION("""COMPUTED_VALUE"""),8.001657805999999E7)</f>
        <v>80016578.06</v>
      </c>
      <c r="BJ11" s="273"/>
      <c r="BK11" s="274"/>
      <c r="BL11" s="319">
        <f t="shared" si="13"/>
        <v>0</v>
      </c>
      <c r="BM11" s="319">
        <f t="shared" si="14"/>
        <v>27500001</v>
      </c>
      <c r="BN11" s="274"/>
      <c r="BO11" s="311">
        <f>IFERROR(__xludf.DUMMYFUNCTION("IFERROR(ArrayFormula(SUM(VLOOKUP($C11,importrange(""1PTkkEa_ENkSqsGnpqoXy9kt0Fe1hCtlmU6kVFBNaonY"",""ORDER BOOKING REPORT 2025-26!C:CV""),{16,23,30},0))))"),1.8521024099999998E7)</f>
        <v>18521024.1</v>
      </c>
      <c r="BP11" s="311">
        <f>IFERROR(__xludf.DUMMYFUNCTION("IFERROR(ArrayFormula(SUM(VLOOKUP($C11,importrange(""1PTkkEa_ENkSqsGnpqoXy9kt0Fe1hCtlmU6kVFBNaonY"",""ORDER BOOKING REPORT 2025-26!C:CV""),{37,44,51},0))))"),1.9515269979999997E7)</f>
        <v>19515269.98</v>
      </c>
      <c r="BQ11" s="311">
        <f>IFERROR(__xludf.DUMMYFUNCTION("IFERROR(ArrayFormula(SUM(VLOOKUP($C11,importrange(""1PTkkEa_ENkSqsGnpqoXy9kt0Fe1hCtlmU6kVFBNaonY"",""ORDER BOOKING REPORT 2025-26!C:CV""),{58,65,72},0))))"),1.9353356669999998E7)</f>
        <v>19353356.67</v>
      </c>
      <c r="BR11" s="311">
        <f>IFERROR(__xludf.DUMMYFUNCTION("IFERROR(ArrayFormula(SUM(VLOOKUP($C11,importrange(""1PTkkEa_ENkSqsGnpqoXy9kt0Fe1hCtlmU6kVFBNaonY"",""ORDER BOOKING REPORT 2025-26!C:CV""),{79,86,93},0))))"),2.262692731E7)</f>
        <v>22626927.31</v>
      </c>
      <c r="BS11" s="322">
        <f t="shared" si="15"/>
        <v>0.639393104</v>
      </c>
      <c r="BT11" s="322">
        <f t="shared" si="16"/>
        <v>0.01492210426</v>
      </c>
      <c r="BU11" s="287">
        <f t="shared" si="17"/>
        <v>0</v>
      </c>
      <c r="BV11" s="320">
        <v>87460.0</v>
      </c>
      <c r="BW11" s="321" t="s">
        <v>486</v>
      </c>
      <c r="BX11" s="320">
        <v>148.0</v>
      </c>
      <c r="BY11" s="287">
        <f t="shared" si="18"/>
        <v>0</v>
      </c>
      <c r="BZ11" s="10"/>
      <c r="CA11" s="318" t="s">
        <v>508</v>
      </c>
      <c r="CB11" s="287">
        <f>countif($F:$F, "&lt;=" &amp; DATE(2025,10,31))-COUNTIFS(AZ:AZ, "&gt;=" &amp; DATE(2025,4,1), AZ:AZ, "&lt;=" &amp; DATE(2025,10,31))</f>
        <v>137</v>
      </c>
      <c r="CC11" s="287">
        <f>COUNTIFS(F:F, "&gt;=" &amp; DATE(2025,11,1), F:F, "&lt;=" &amp; DATE(2025,11,30))</f>
        <v>5</v>
      </c>
      <c r="CD11" s="287">
        <f>COUNTIFS(AZ:AZ, "&gt;=" &amp; DATE(2025,11,1), AZ:AZ, "&lt;=" &amp; DATE(2025,11,30))</f>
        <v>0</v>
      </c>
      <c r="CE11" s="287">
        <f t="shared" si="19"/>
        <v>142</v>
      </c>
      <c r="CF11" s="287">
        <f t="shared" si="20"/>
        <v>142</v>
      </c>
      <c r="CG11" s="318" t="str">
        <f t="shared" si="21"/>
        <v> </v>
      </c>
      <c r="CH11" s="318" t="str">
        <f t="shared" si="28"/>
        <v>Business Achieved 50%</v>
      </c>
      <c r="CI11" s="322">
        <f t="shared" si="22"/>
        <v>0.5865384615</v>
      </c>
      <c r="CJ11" s="323"/>
      <c r="CK11" s="323"/>
      <c r="CL11" s="323"/>
      <c r="CM11" s="324">
        <f t="shared" si="23"/>
        <v>174</v>
      </c>
      <c r="CN11" s="325"/>
      <c r="CO11" s="6"/>
      <c r="CP11" s="307" t="s">
        <v>509</v>
      </c>
      <c r="CQ11" s="326">
        <f t="shared" si="24"/>
        <v>3</v>
      </c>
      <c r="CR11" s="326">
        <f t="shared" si="25"/>
        <v>0</v>
      </c>
      <c r="CS11" s="284" t="s">
        <v>48</v>
      </c>
      <c r="CT11" s="284">
        <f t="shared" si="26"/>
        <v>8</v>
      </c>
      <c r="CU11" s="6"/>
      <c r="CV11" s="6"/>
      <c r="CW11" s="327">
        <f t="shared" si="27"/>
        <v>0</v>
      </c>
      <c r="CX11" s="270"/>
      <c r="CY11" s="6"/>
      <c r="CZ11" s="6"/>
    </row>
    <row r="12" hidden="1">
      <c r="A12" s="307" t="s">
        <v>160</v>
      </c>
      <c r="B12" s="307" t="s">
        <v>499</v>
      </c>
      <c r="C12" s="307" t="s">
        <v>349</v>
      </c>
      <c r="D12" s="307" t="s">
        <v>500</v>
      </c>
      <c r="E12" s="307" t="s">
        <v>510</v>
      </c>
      <c r="F12" s="333">
        <v>42125.0</v>
      </c>
      <c r="G12" s="309">
        <v>0.0</v>
      </c>
      <c r="H12" s="309" t="s">
        <v>485</v>
      </c>
      <c r="I12" s="287">
        <v>1.8183079E7</v>
      </c>
      <c r="J12" s="287">
        <v>0.0</v>
      </c>
      <c r="K12" s="284">
        <v>154.0</v>
      </c>
      <c r="L12" s="284">
        <v>127.0</v>
      </c>
      <c r="M12" s="284">
        <v>2.0</v>
      </c>
      <c r="N12" s="284">
        <v>156.0</v>
      </c>
      <c r="O12" s="284">
        <v>29.0</v>
      </c>
      <c r="P12" s="287">
        <v>1.809418896E7</v>
      </c>
      <c r="Q12" s="287">
        <v>88889.74</v>
      </c>
      <c r="R12" s="284">
        <v>68.0</v>
      </c>
      <c r="S12" s="284">
        <v>1.0</v>
      </c>
      <c r="T12" s="284">
        <v>69.0</v>
      </c>
      <c r="U12" s="284">
        <v>0.0</v>
      </c>
      <c r="V12" s="284">
        <v>1.0</v>
      </c>
      <c r="W12" s="284">
        <v>1.0</v>
      </c>
      <c r="X12" s="284">
        <v>4.0</v>
      </c>
      <c r="Y12" s="284">
        <v>5.0</v>
      </c>
      <c r="Z12" s="284">
        <v>59.0</v>
      </c>
      <c r="AA12" s="284">
        <v>0.0</v>
      </c>
      <c r="AB12" s="284">
        <v>0.0</v>
      </c>
      <c r="AC12" s="284">
        <v>0.0</v>
      </c>
      <c r="AD12" s="284">
        <v>0.0</v>
      </c>
      <c r="AE12" s="284">
        <v>331.0</v>
      </c>
      <c r="AF12" s="284">
        <v>391.0</v>
      </c>
      <c r="AG12" s="284">
        <v>78.0</v>
      </c>
      <c r="AH12" s="309">
        <f t="shared" si="2"/>
        <v>233116.3974</v>
      </c>
      <c r="AI12" s="309">
        <f t="shared" si="3"/>
        <v>5.012820513</v>
      </c>
      <c r="AJ12" s="311">
        <v>79340.0</v>
      </c>
      <c r="AK12" s="309">
        <f t="shared" si="4"/>
        <v>238020</v>
      </c>
      <c r="AL12" s="312"/>
      <c r="AM12" s="313">
        <f t="shared" si="5"/>
        <v>0.01309019226</v>
      </c>
      <c r="AN12" s="309">
        <f t="shared" si="6"/>
        <v>263522.8841</v>
      </c>
      <c r="AO12" s="314" t="str">
        <f t="shared" si="7"/>
        <v/>
      </c>
      <c r="AP12" s="315">
        <v>0.0</v>
      </c>
      <c r="AQ12" s="284">
        <v>340.0</v>
      </c>
      <c r="AR12" s="284">
        <v>938.0</v>
      </c>
      <c r="AS12" s="284">
        <v>9226.84</v>
      </c>
      <c r="AT12" s="284">
        <v>1.0</v>
      </c>
      <c r="AU12" s="284">
        <v>73.0</v>
      </c>
      <c r="AV12" s="284">
        <v>69.0</v>
      </c>
      <c r="AW12" s="284">
        <v>73.0</v>
      </c>
      <c r="AX12" s="284">
        <v>14.0</v>
      </c>
      <c r="AY12" s="309"/>
      <c r="AZ12" s="316"/>
      <c r="BA12" s="307" t="str">
        <f t="shared" si="8"/>
        <v>Active</v>
      </c>
      <c r="BB12" s="307" t="str">
        <f t="shared" si="9"/>
        <v>Old</v>
      </c>
      <c r="BC12" s="307" t="str">
        <f t="shared" si="10"/>
        <v>Below 50%</v>
      </c>
      <c r="BD12" s="286">
        <f t="shared" si="11"/>
        <v>3</v>
      </c>
      <c r="BE12" s="328"/>
      <c r="BF12" s="284">
        <f t="shared" si="12"/>
        <v>1</v>
      </c>
      <c r="BG12" s="318" t="s">
        <v>485</v>
      </c>
      <c r="BH12" s="272">
        <f>IFERROR(__xludf.DUMMYFUNCTION("""COMPUTED_VALUE"""),7.3119024E7)</f>
        <v>73119024</v>
      </c>
      <c r="BI12" s="272">
        <f>IFERROR(__xludf.DUMMYFUNCTION("""COMPUTED_VALUE"""),7.212832463E7)</f>
        <v>72128324.63</v>
      </c>
      <c r="BJ12" s="273"/>
      <c r="BK12" s="274"/>
      <c r="BL12" s="319">
        <f t="shared" si="13"/>
        <v>0</v>
      </c>
      <c r="BM12" s="319" t="str">
        <f t="shared" si="14"/>
        <v/>
      </c>
      <c r="BN12" s="274"/>
      <c r="BO12" s="311">
        <f>IFERROR(__xludf.DUMMYFUNCTION("IFERROR(ArrayFormula(SUM(VLOOKUP($C12,importrange(""1PTkkEa_ENkSqsGnpqoXy9kt0Fe1hCtlmU6kVFBNaonY"",""ORDER BOOKING REPORT 2025-26!C:CV""),{16,23,30},0))))"),1.8213831189999998E7)</f>
        <v>18213831.19</v>
      </c>
      <c r="BP12" s="311">
        <f>IFERROR(__xludf.DUMMYFUNCTION("IFERROR(ArrayFormula(SUM(VLOOKUP($C12,importrange(""1PTkkEa_ENkSqsGnpqoXy9kt0Fe1hCtlmU6kVFBNaonY"",""ORDER BOOKING REPORT 2025-26!C:CV""),{37,44,51},0))))"),1.572276978E7)</f>
        <v>15722769.78</v>
      </c>
      <c r="BQ12" s="311">
        <f>IFERROR(__xludf.DUMMYFUNCTION("IFERROR(ArrayFormula(SUM(VLOOKUP($C12,importrange(""1PTkkEa_ENkSqsGnpqoXy9kt0Fe1hCtlmU6kVFBNaonY"",""ORDER BOOKING REPORT 2025-26!C:CV""),{58,65,72},0))))"),1.9044185669999994E7)</f>
        <v>19044185.67</v>
      </c>
      <c r="BR12" s="311">
        <f>IFERROR(__xludf.DUMMYFUNCTION("IFERROR(ArrayFormula(SUM(VLOOKUP($C12,importrange(""1PTkkEa_ENkSqsGnpqoXy9kt0Fe1hCtlmU6kVFBNaonY"",""ORDER BOOKING REPORT 2025-26!C:CV""),{79,86,93},0))))"),1.9147537990000002E7)</f>
        <v>19147537.99</v>
      </c>
      <c r="BS12" s="322" t="str">
        <f t="shared" si="15"/>
        <v/>
      </c>
      <c r="BT12" s="322" t="str">
        <f t="shared" si="16"/>
        <v/>
      </c>
      <c r="BU12" s="287">
        <f t="shared" si="17"/>
        <v>0</v>
      </c>
      <c r="BV12" s="320">
        <v>79340.0</v>
      </c>
      <c r="BW12" s="321" t="s">
        <v>489</v>
      </c>
      <c r="BX12" s="320">
        <v>221.0</v>
      </c>
      <c r="BY12" s="287">
        <f t="shared" si="18"/>
        <v>0</v>
      </c>
      <c r="BZ12" s="10"/>
      <c r="CA12" s="318" t="s">
        <v>511</v>
      </c>
      <c r="CB12" s="287">
        <f>countif($F:$F, "&lt;=" &amp; DATE(2025,11,30))-COUNTIFS(AZ:AZ, "&gt;=" &amp; DATE(2025,4,1), AZ:AZ, "&lt;=" &amp; DATE(2025,11,30))</f>
        <v>142</v>
      </c>
      <c r="CC12" s="287">
        <f>COUNTIFS(F:F, "&gt;=" &amp; DATE(2025,12,1), F:F, "&lt;=" &amp; DATE(2025,12,31))</f>
        <v>4</v>
      </c>
      <c r="CD12" s="287">
        <f>COUNTIFS(AZ:AZ, "&gt;=" &amp; DATE(2025,12,1), AZ:AZ, "&lt;=" &amp; DATE(2025,12,31))</f>
        <v>0</v>
      </c>
      <c r="CE12" s="287">
        <f t="shared" si="19"/>
        <v>146</v>
      </c>
      <c r="CF12" s="287">
        <f t="shared" si="20"/>
        <v>146</v>
      </c>
      <c r="CG12" s="318" t="str">
        <f t="shared" si="21"/>
        <v> </v>
      </c>
      <c r="CH12" s="318" t="str">
        <f t="shared" si="28"/>
        <v>Not 50%</v>
      </c>
      <c r="CI12" s="322">
        <f t="shared" si="22"/>
        <v>0.4423076923</v>
      </c>
      <c r="CJ12" s="323"/>
      <c r="CK12" s="323"/>
      <c r="CL12" s="323"/>
      <c r="CM12" s="324">
        <f t="shared" si="23"/>
        <v>331</v>
      </c>
      <c r="CN12" s="325"/>
      <c r="CO12" s="6"/>
      <c r="CP12" s="307" t="s">
        <v>512</v>
      </c>
      <c r="CQ12" s="326">
        <f t="shared" si="24"/>
        <v>0</v>
      </c>
      <c r="CR12" s="326">
        <f t="shared" si="25"/>
        <v>2</v>
      </c>
      <c r="CS12" s="284" t="s">
        <v>43</v>
      </c>
      <c r="CT12" s="284">
        <f t="shared" si="26"/>
        <v>5</v>
      </c>
      <c r="CU12" s="6"/>
      <c r="CV12" s="6"/>
      <c r="CW12" s="327">
        <f t="shared" si="27"/>
        <v>0</v>
      </c>
      <c r="CX12" s="270"/>
      <c r="CY12" s="6"/>
      <c r="CZ12" s="6"/>
    </row>
    <row r="13" hidden="1">
      <c r="A13" s="307" t="s">
        <v>103</v>
      </c>
      <c r="B13" s="307" t="s">
        <v>492</v>
      </c>
      <c r="C13" s="307" t="s">
        <v>107</v>
      </c>
      <c r="D13" s="307" t="s">
        <v>492</v>
      </c>
      <c r="E13" s="307" t="s">
        <v>513</v>
      </c>
      <c r="F13" s="329">
        <v>42530.0</v>
      </c>
      <c r="G13" s="309">
        <v>1500000.0</v>
      </c>
      <c r="H13" s="309">
        <v>8000001.0</v>
      </c>
      <c r="I13" s="287">
        <v>4647205.0</v>
      </c>
      <c r="J13" s="287">
        <v>0.0</v>
      </c>
      <c r="K13" s="284">
        <v>86.0</v>
      </c>
      <c r="L13" s="284">
        <v>61.0</v>
      </c>
      <c r="M13" s="284">
        <v>1.0</v>
      </c>
      <c r="N13" s="284">
        <v>87.0</v>
      </c>
      <c r="O13" s="284">
        <v>26.0</v>
      </c>
      <c r="P13" s="287">
        <v>4647204.69</v>
      </c>
      <c r="Q13" s="287">
        <v>0.0</v>
      </c>
      <c r="R13" s="284">
        <v>22.0</v>
      </c>
      <c r="S13" s="284">
        <v>0.0</v>
      </c>
      <c r="T13" s="284">
        <v>22.0</v>
      </c>
      <c r="U13" s="284">
        <v>0.0</v>
      </c>
      <c r="V13" s="284">
        <v>33.0</v>
      </c>
      <c r="W13" s="284">
        <v>44.0</v>
      </c>
      <c r="X13" s="284">
        <v>173.0</v>
      </c>
      <c r="Y13" s="284">
        <v>6.0</v>
      </c>
      <c r="Z13" s="284">
        <v>36.0</v>
      </c>
      <c r="AA13" s="284">
        <v>0.0</v>
      </c>
      <c r="AB13" s="284">
        <v>0.0</v>
      </c>
      <c r="AC13" s="284">
        <v>0.0</v>
      </c>
      <c r="AD13" s="284">
        <v>0.0</v>
      </c>
      <c r="AE13" s="284">
        <v>164.0</v>
      </c>
      <c r="AF13" s="284">
        <v>244.0</v>
      </c>
      <c r="AG13" s="284">
        <v>71.0</v>
      </c>
      <c r="AH13" s="309">
        <f t="shared" si="2"/>
        <v>65453.59155</v>
      </c>
      <c r="AI13" s="309">
        <f t="shared" si="3"/>
        <v>3.436619718</v>
      </c>
      <c r="AJ13" s="311">
        <v>76210.0</v>
      </c>
      <c r="AK13" s="309">
        <f t="shared" si="4"/>
        <v>228630</v>
      </c>
      <c r="AL13" s="286"/>
      <c r="AM13" s="313">
        <f t="shared" si="5"/>
        <v>0.04919731322</v>
      </c>
      <c r="AN13" s="309">
        <f t="shared" si="6"/>
        <v>211236.5909</v>
      </c>
      <c r="AO13" s="314">
        <f t="shared" si="7"/>
        <v>0.4891794222</v>
      </c>
      <c r="AP13" s="315">
        <v>0.0</v>
      </c>
      <c r="AQ13" s="284">
        <v>32.0</v>
      </c>
      <c r="AR13" s="284">
        <v>583.0</v>
      </c>
      <c r="AS13" s="284">
        <v>7031.07</v>
      </c>
      <c r="AT13" s="284">
        <v>0.0</v>
      </c>
      <c r="AU13" s="284">
        <v>115.0</v>
      </c>
      <c r="AV13" s="284">
        <v>22.0</v>
      </c>
      <c r="AW13" s="284">
        <v>42.0</v>
      </c>
      <c r="AX13" s="284">
        <v>23.0</v>
      </c>
      <c r="AY13" s="309">
        <v>3195598.0</v>
      </c>
      <c r="AZ13" s="316"/>
      <c r="BA13" s="307" t="str">
        <f t="shared" si="8"/>
        <v>Active</v>
      </c>
      <c r="BB13" s="307" t="str">
        <f t="shared" si="9"/>
        <v>Old</v>
      </c>
      <c r="BC13" s="307" t="str">
        <f t="shared" si="10"/>
        <v>Below 50%</v>
      </c>
      <c r="BD13" s="286">
        <f t="shared" si="11"/>
        <v>3</v>
      </c>
      <c r="BE13" s="328">
        <v>3166667.0</v>
      </c>
      <c r="BF13" s="284">
        <f t="shared" si="12"/>
        <v>1</v>
      </c>
      <c r="BG13" s="307" t="s">
        <v>488</v>
      </c>
      <c r="BH13" s="272">
        <f>IFERROR(__xludf.DUMMYFUNCTION("""COMPUTED_VALUE"""),2.08433008E7)</f>
        <v>20843300.8</v>
      </c>
      <c r="BI13" s="272">
        <f>IFERROR(__xludf.DUMMYFUNCTION("""COMPUTED_VALUE"""),2.0294788372968752E7)</f>
        <v>20294788.37</v>
      </c>
      <c r="BJ13" s="273"/>
      <c r="BK13" s="330">
        <v>500000.0</v>
      </c>
      <c r="BL13" s="319">
        <f t="shared" si="13"/>
        <v>1500000</v>
      </c>
      <c r="BM13" s="319">
        <f t="shared" si="14"/>
        <v>9500001</v>
      </c>
      <c r="BN13" s="274"/>
      <c r="BO13" s="311">
        <f>IFERROR(__xludf.DUMMYFUNCTION("IFERROR(ArrayFormula(SUM(VLOOKUP($C13,importrange(""1PTkkEa_ENkSqsGnpqoXy9kt0Fe1hCtlmU6kVFBNaonY"",""ORDER BOOKING REPORT 2025-26!C:CV""),{16,23,30},0))))"),5563810.822968749)</f>
        <v>5563810.823</v>
      </c>
      <c r="BP13" s="311">
        <f>IFERROR(__xludf.DUMMYFUNCTION("IFERROR(ArrayFormula(SUM(VLOOKUP($C13,importrange(""1PTkkEa_ENkSqsGnpqoXy9kt0Fe1hCtlmU6kVFBNaonY"",""ORDER BOOKING REPORT 2025-26!C:CV""),{37,44,51},0))))"),5699670.699999999)</f>
        <v>5699670.7</v>
      </c>
      <c r="BQ13" s="311">
        <f>IFERROR(__xludf.DUMMYFUNCTION("IFERROR(ArrayFormula(SUM(VLOOKUP($C13,importrange(""1PTkkEa_ENkSqsGnpqoXy9kt0Fe1hCtlmU6kVFBNaonY"",""ORDER BOOKING REPORT 2025-26!C:CV""),{58,65,72},0))))"),3654863.95)</f>
        <v>3654863.95</v>
      </c>
      <c r="BR13" s="311">
        <f>IFERROR(__xludf.DUMMYFUNCTION("IFERROR(ArrayFormula(SUM(VLOOKUP($C13,importrange(""1PTkkEa_ENkSqsGnpqoXy9kt0Fe1hCtlmU6kVFBNaonY"",""ORDER BOOKING REPORT 2025-26!C:CV""),{79,86,93},0))))"),5376442.9)</f>
        <v>5376442.9</v>
      </c>
      <c r="BS13" s="322">
        <f t="shared" si="15"/>
        <v>0.3363787014</v>
      </c>
      <c r="BT13" s="322">
        <f t="shared" si="16"/>
        <v>0.0715452945</v>
      </c>
      <c r="BU13" s="287">
        <f t="shared" si="17"/>
        <v>0</v>
      </c>
      <c r="BV13" s="320">
        <v>76210.0</v>
      </c>
      <c r="BW13" s="321" t="s">
        <v>514</v>
      </c>
      <c r="BX13" s="320">
        <v>304.0</v>
      </c>
      <c r="BY13" s="287">
        <f t="shared" si="18"/>
        <v>0</v>
      </c>
      <c r="BZ13" s="10"/>
      <c r="CA13" s="318" t="s">
        <v>515</v>
      </c>
      <c r="CB13" s="287">
        <f>countif($F:$F, "&lt;=" &amp; DATE(2025,12,31))-COUNTIFS(AZ:AZ, "&gt;=" &amp; DATE(2025,4,1), AZ:AZ, "&lt;=" &amp; DATE(2025,12,31))</f>
        <v>146</v>
      </c>
      <c r="CC13" s="287">
        <f>COUNTIFS(F:F, "&gt;=" &amp; DATE(2026,1,1), F:F, "&lt;=" &amp; DATE(2026,1,31))</f>
        <v>6</v>
      </c>
      <c r="CD13" s="287">
        <f>COUNTIFS(AZ:AZ, "&gt;=" &amp; DATE(2026,1,1), AZ:AZ, "&lt;=" &amp; DATE(2026,1,31))</f>
        <v>0</v>
      </c>
      <c r="CE13" s="287">
        <f t="shared" si="19"/>
        <v>152</v>
      </c>
      <c r="CF13" s="287">
        <f t="shared" si="20"/>
        <v>152</v>
      </c>
      <c r="CG13" s="318" t="str">
        <f t="shared" si="21"/>
        <v> </v>
      </c>
      <c r="CH13" s="318" t="str">
        <f t="shared" si="28"/>
        <v>Not 50%</v>
      </c>
      <c r="CI13" s="322">
        <f t="shared" si="22"/>
        <v>0.2528735632</v>
      </c>
      <c r="CJ13" s="323"/>
      <c r="CK13" s="323"/>
      <c r="CL13" s="323"/>
      <c r="CM13" s="324">
        <f t="shared" si="23"/>
        <v>164</v>
      </c>
      <c r="CN13" s="337"/>
      <c r="CO13" s="152"/>
      <c r="CP13" s="332" t="s">
        <v>516</v>
      </c>
      <c r="CQ13" s="326">
        <f t="shared" si="24"/>
        <v>5</v>
      </c>
      <c r="CR13" s="326">
        <f t="shared" si="25"/>
        <v>0</v>
      </c>
      <c r="CS13" s="152"/>
      <c r="CT13" s="284">
        <f t="shared" si="26"/>
        <v>0</v>
      </c>
      <c r="CU13" s="152"/>
      <c r="CV13" s="152"/>
      <c r="CW13" s="327">
        <f t="shared" si="27"/>
        <v>0</v>
      </c>
      <c r="CX13" s="270"/>
      <c r="CY13" s="152"/>
      <c r="CZ13" s="152"/>
    </row>
    <row r="14" hidden="1">
      <c r="A14" s="307" t="s">
        <v>160</v>
      </c>
      <c r="B14" s="307" t="s">
        <v>483</v>
      </c>
      <c r="C14" s="307" t="s">
        <v>170</v>
      </c>
      <c r="D14" s="307" t="s">
        <v>484</v>
      </c>
      <c r="E14" s="307" t="s">
        <v>203</v>
      </c>
      <c r="F14" s="308">
        <v>42660.0</v>
      </c>
      <c r="G14" s="309">
        <v>0.0</v>
      </c>
      <c r="H14" s="309">
        <v>1.125E7</v>
      </c>
      <c r="I14" s="287">
        <v>9030102.0</v>
      </c>
      <c r="J14" s="287">
        <v>0.0</v>
      </c>
      <c r="K14" s="284">
        <v>41.0</v>
      </c>
      <c r="L14" s="284">
        <v>40.0</v>
      </c>
      <c r="M14" s="284">
        <v>0.0</v>
      </c>
      <c r="N14" s="284">
        <v>41.0</v>
      </c>
      <c r="O14" s="284">
        <v>1.0</v>
      </c>
      <c r="P14" s="287">
        <v>9030102.23</v>
      </c>
      <c r="Q14" s="287">
        <v>0.0</v>
      </c>
      <c r="R14" s="284">
        <v>35.0</v>
      </c>
      <c r="S14" s="284">
        <v>0.0</v>
      </c>
      <c r="T14" s="284">
        <v>35.0</v>
      </c>
      <c r="U14" s="284">
        <v>0.0</v>
      </c>
      <c r="V14" s="284">
        <v>1.0</v>
      </c>
      <c r="W14" s="284">
        <v>2.0</v>
      </c>
      <c r="X14" s="284">
        <v>6.0</v>
      </c>
      <c r="Y14" s="284">
        <v>3.0</v>
      </c>
      <c r="Z14" s="284">
        <v>64.0</v>
      </c>
      <c r="AA14" s="284">
        <v>0.0</v>
      </c>
      <c r="AB14" s="284">
        <v>0.0</v>
      </c>
      <c r="AC14" s="284">
        <v>0.0</v>
      </c>
      <c r="AD14" s="284">
        <v>0.0</v>
      </c>
      <c r="AE14" s="284">
        <v>171.0</v>
      </c>
      <c r="AF14" s="284">
        <v>237.0</v>
      </c>
      <c r="AG14" s="284">
        <v>73.0</v>
      </c>
      <c r="AH14" s="309">
        <f t="shared" si="2"/>
        <v>123700.0274</v>
      </c>
      <c r="AI14" s="309">
        <f t="shared" si="3"/>
        <v>3.246575342</v>
      </c>
      <c r="AJ14" s="311">
        <v>48608.0</v>
      </c>
      <c r="AK14" s="309">
        <f t="shared" si="4"/>
        <v>145824</v>
      </c>
      <c r="AL14" s="312"/>
      <c r="AM14" s="313">
        <f t="shared" si="5"/>
        <v>0.0161486548</v>
      </c>
      <c r="AN14" s="309">
        <f t="shared" si="6"/>
        <v>258002.9143</v>
      </c>
      <c r="AO14" s="314">
        <f t="shared" si="7"/>
        <v>0.8026757333</v>
      </c>
      <c r="AP14" s="315">
        <v>0.0</v>
      </c>
      <c r="AQ14" s="284">
        <v>119.0</v>
      </c>
      <c r="AR14" s="284">
        <v>833.0</v>
      </c>
      <c r="AS14" s="284">
        <v>4989.68</v>
      </c>
      <c r="AT14" s="284">
        <v>0.0</v>
      </c>
      <c r="AU14" s="284">
        <v>125.0</v>
      </c>
      <c r="AV14" s="284">
        <v>35.0</v>
      </c>
      <c r="AW14" s="284">
        <v>6.0</v>
      </c>
      <c r="AX14" s="284">
        <v>0.0</v>
      </c>
      <c r="AY14" s="309">
        <v>3953113.0</v>
      </c>
      <c r="AZ14" s="316"/>
      <c r="BA14" s="307" t="str">
        <f t="shared" si="8"/>
        <v>Active</v>
      </c>
      <c r="BB14" s="307" t="str">
        <f t="shared" si="9"/>
        <v>Old</v>
      </c>
      <c r="BC14" s="307" t="str">
        <f t="shared" si="10"/>
        <v>70%-90%</v>
      </c>
      <c r="BD14" s="286">
        <f t="shared" si="11"/>
        <v>3</v>
      </c>
      <c r="BE14" s="328">
        <v>3750000.0</v>
      </c>
      <c r="BF14" s="284">
        <f t="shared" si="12"/>
        <v>0</v>
      </c>
      <c r="BG14" s="307" t="s">
        <v>488</v>
      </c>
      <c r="BH14" s="272">
        <f>IFERROR(__xludf.DUMMYFUNCTION("""COMPUTED_VALUE"""),3.1978384E7)</f>
        <v>31978384</v>
      </c>
      <c r="BI14" s="272">
        <f>IFERROR(__xludf.DUMMYFUNCTION("""COMPUTED_VALUE"""),3.314026786E7)</f>
        <v>33140267.86</v>
      </c>
      <c r="BJ14" s="273"/>
      <c r="BK14" s="274"/>
      <c r="BL14" s="319">
        <f t="shared" si="13"/>
        <v>0</v>
      </c>
      <c r="BM14" s="319">
        <f t="shared" si="14"/>
        <v>11250000</v>
      </c>
      <c r="BN14" s="274"/>
      <c r="BO14" s="311">
        <f>IFERROR(__xludf.DUMMYFUNCTION("IFERROR(ArrayFormula(SUM(VLOOKUP($C14,importrange(""1PTkkEa_ENkSqsGnpqoXy9kt0Fe1hCtlmU6kVFBNaonY"",""ORDER BOOKING REPORT 2025-26!C:CV""),{16,23,30},0))))"),7175717.800000001)</f>
        <v>7175717.8</v>
      </c>
      <c r="BP14" s="311">
        <f>IFERROR(__xludf.DUMMYFUNCTION("IFERROR(ArrayFormula(SUM(VLOOKUP($C14,importrange(""1PTkkEa_ENkSqsGnpqoXy9kt0Fe1hCtlmU6kVFBNaonY"",""ORDER BOOKING REPORT 2025-26!C:CV""),{37,44,51},0))))"),9478026.920000002)</f>
        <v>9478026.92</v>
      </c>
      <c r="BQ14" s="311">
        <f>IFERROR(__xludf.DUMMYFUNCTION("IFERROR(ArrayFormula(SUM(VLOOKUP($C14,importrange(""1PTkkEa_ENkSqsGnpqoXy9kt0Fe1hCtlmU6kVFBNaonY"",""ORDER BOOKING REPORT 2025-26!C:CV""),{58,65,72},0))))"),8510954.81)</f>
        <v>8510954.81</v>
      </c>
      <c r="BR14" s="311">
        <f>IFERROR(__xludf.DUMMYFUNCTION("IFERROR(ArrayFormula(SUM(VLOOKUP($C14,importrange(""1PTkkEa_ENkSqsGnpqoXy9kt0Fe1hCtlmU6kVFBNaonY"",""ORDER BOOKING REPORT 2025-26!C:CV""),{79,86,93},0))))"),7975568.33)</f>
        <v>7975568.33</v>
      </c>
      <c r="BS14" s="322">
        <f t="shared" si="15"/>
        <v>0.3513878222</v>
      </c>
      <c r="BT14" s="322">
        <f t="shared" si="16"/>
        <v>0.03688839656</v>
      </c>
      <c r="BU14" s="287">
        <f t="shared" si="17"/>
        <v>0</v>
      </c>
      <c r="BV14" s="320">
        <v>48608.0</v>
      </c>
      <c r="BW14" s="321" t="s">
        <v>514</v>
      </c>
      <c r="BX14" s="320">
        <v>438.0</v>
      </c>
      <c r="BY14" s="287">
        <f t="shared" si="18"/>
        <v>0</v>
      </c>
      <c r="BZ14" s="10"/>
      <c r="CA14" s="318" t="s">
        <v>517</v>
      </c>
      <c r="CB14" s="287">
        <f>countif($F:$F, "&lt;=" &amp; DATE(2026,1,31))-COUNTIFS(AZ:AZ, "&gt;=" &amp; DATE(2025,4,1), AZ:AZ, "&lt;=" &amp; DATE(2026,1,31))</f>
        <v>152</v>
      </c>
      <c r="CC14" s="287">
        <f>COUNTIFS(F:F, "&gt;=" &amp; DATE(2026,2,1), F:F, "&lt;=" &amp; DATE(2026,2,28))</f>
        <v>1</v>
      </c>
      <c r="CD14" s="287">
        <f>COUNTIFS(AZ:AZ, "&gt;=" &amp; DATE(2026,2,1), AZ:AZ, "&lt;=" &amp; DATE(2026,2,28))</f>
        <v>0</v>
      </c>
      <c r="CE14" s="287">
        <f t="shared" si="19"/>
        <v>153</v>
      </c>
      <c r="CF14" s="287">
        <f t="shared" si="20"/>
        <v>153</v>
      </c>
      <c r="CG14" s="318" t="str">
        <f t="shared" si="21"/>
        <v>Below 60</v>
      </c>
      <c r="CH14" s="318" t="str">
        <f t="shared" si="28"/>
        <v>Business Achieved 50%</v>
      </c>
      <c r="CI14" s="322">
        <f t="shared" si="22"/>
        <v>0.8536585366</v>
      </c>
      <c r="CJ14" s="323"/>
      <c r="CK14" s="323"/>
      <c r="CL14" s="323"/>
      <c r="CM14" s="324">
        <f t="shared" si="23"/>
        <v>171</v>
      </c>
      <c r="CN14" s="325"/>
      <c r="CO14" s="6"/>
      <c r="CP14" s="307" t="s">
        <v>518</v>
      </c>
      <c r="CQ14" s="326">
        <f t="shared" si="24"/>
        <v>7</v>
      </c>
      <c r="CR14" s="326">
        <f t="shared" si="25"/>
        <v>1</v>
      </c>
      <c r="CS14" s="284" t="s">
        <v>441</v>
      </c>
      <c r="CT14" s="284">
        <f t="shared" si="26"/>
        <v>4</v>
      </c>
      <c r="CU14" s="6"/>
      <c r="CV14" s="6"/>
      <c r="CW14" s="327">
        <f t="shared" si="27"/>
        <v>0</v>
      </c>
      <c r="CX14" s="270"/>
      <c r="CY14" s="6"/>
      <c r="CZ14" s="6"/>
    </row>
    <row r="15" hidden="1">
      <c r="A15" s="307" t="s">
        <v>103</v>
      </c>
      <c r="B15" s="307" t="s">
        <v>519</v>
      </c>
      <c r="C15" s="307" t="s">
        <v>109</v>
      </c>
      <c r="D15" s="307" t="s">
        <v>520</v>
      </c>
      <c r="E15" s="307" t="s">
        <v>153</v>
      </c>
      <c r="F15" s="308">
        <v>42720.0</v>
      </c>
      <c r="G15" s="309">
        <v>1250001.0</v>
      </c>
      <c r="H15" s="309">
        <v>9999999.0</v>
      </c>
      <c r="I15" s="287">
        <v>6917352.0</v>
      </c>
      <c r="J15" s="287">
        <v>0.0</v>
      </c>
      <c r="K15" s="284">
        <v>70.0</v>
      </c>
      <c r="L15" s="284">
        <v>61.0</v>
      </c>
      <c r="M15" s="284">
        <v>6.0</v>
      </c>
      <c r="N15" s="284">
        <v>76.0</v>
      </c>
      <c r="O15" s="284">
        <v>15.0</v>
      </c>
      <c r="P15" s="287">
        <v>5839388.38</v>
      </c>
      <c r="Q15" s="287">
        <v>1077963.91</v>
      </c>
      <c r="R15" s="284">
        <v>48.0</v>
      </c>
      <c r="S15" s="284">
        <v>6.0</v>
      </c>
      <c r="T15" s="284">
        <v>54.0</v>
      </c>
      <c r="U15" s="284">
        <v>0.0</v>
      </c>
      <c r="V15" s="284">
        <v>17.0</v>
      </c>
      <c r="W15" s="284">
        <v>23.0</v>
      </c>
      <c r="X15" s="284">
        <v>179.0</v>
      </c>
      <c r="Y15" s="284">
        <v>3.0</v>
      </c>
      <c r="Z15" s="284">
        <v>22.0</v>
      </c>
      <c r="AA15" s="284">
        <v>2.0</v>
      </c>
      <c r="AB15" s="284">
        <v>5.0</v>
      </c>
      <c r="AC15" s="284">
        <v>1.0</v>
      </c>
      <c r="AD15" s="284">
        <v>13.0</v>
      </c>
      <c r="AE15" s="284">
        <v>238.0</v>
      </c>
      <c r="AF15" s="284">
        <v>301.0</v>
      </c>
      <c r="AG15" s="284">
        <v>77.0</v>
      </c>
      <c r="AH15" s="309">
        <f t="shared" si="2"/>
        <v>89835.74026</v>
      </c>
      <c r="AI15" s="309">
        <f t="shared" si="3"/>
        <v>3.909090909</v>
      </c>
      <c r="AJ15" s="311">
        <v>61850.0</v>
      </c>
      <c r="AK15" s="309">
        <f t="shared" si="4"/>
        <v>185550</v>
      </c>
      <c r="AL15" s="286"/>
      <c r="AM15" s="313">
        <f t="shared" si="5"/>
        <v>0.0268238482</v>
      </c>
      <c r="AN15" s="309">
        <f t="shared" si="6"/>
        <v>128099.1111</v>
      </c>
      <c r="AO15" s="314">
        <f t="shared" si="7"/>
        <v>0.6148757333</v>
      </c>
      <c r="AP15" s="315">
        <v>0.0</v>
      </c>
      <c r="AQ15" s="284">
        <v>181.0</v>
      </c>
      <c r="AR15" s="284">
        <v>511.0</v>
      </c>
      <c r="AS15" s="284">
        <v>7818.29</v>
      </c>
      <c r="AT15" s="284">
        <v>6.0</v>
      </c>
      <c r="AU15" s="284">
        <v>128.0</v>
      </c>
      <c r="AV15" s="284">
        <v>54.0</v>
      </c>
      <c r="AW15" s="284">
        <v>13.0</v>
      </c>
      <c r="AX15" s="284">
        <v>9.0</v>
      </c>
      <c r="AY15" s="309">
        <v>4333834.0</v>
      </c>
      <c r="AZ15" s="316"/>
      <c r="BA15" s="307" t="str">
        <f t="shared" si="8"/>
        <v>Active</v>
      </c>
      <c r="BB15" s="307" t="str">
        <f t="shared" si="9"/>
        <v>Old</v>
      </c>
      <c r="BC15" s="307" t="str">
        <f t="shared" si="10"/>
        <v>50%-70%</v>
      </c>
      <c r="BD15" s="286">
        <f t="shared" si="11"/>
        <v>3</v>
      </c>
      <c r="BE15" s="328">
        <v>3750000.0</v>
      </c>
      <c r="BF15" s="284">
        <f t="shared" si="12"/>
        <v>0</v>
      </c>
      <c r="BG15" s="307" t="s">
        <v>488</v>
      </c>
      <c r="BH15" s="272">
        <f>IFERROR(__xludf.DUMMYFUNCTION("""COMPUTED_VALUE"""),2.7096426E7)</f>
        <v>27096426</v>
      </c>
      <c r="BI15" s="272">
        <f>IFERROR(__xludf.DUMMYFUNCTION("""COMPUTED_VALUE"""),2.727047898E7)</f>
        <v>27270478.98</v>
      </c>
      <c r="BJ15" s="273"/>
      <c r="BK15" s="330">
        <v>416667.0</v>
      </c>
      <c r="BL15" s="319">
        <f t="shared" si="13"/>
        <v>1250001</v>
      </c>
      <c r="BM15" s="319">
        <f t="shared" si="14"/>
        <v>11250000</v>
      </c>
      <c r="BN15" s="274"/>
      <c r="BO15" s="311">
        <f>IFERROR(__xludf.DUMMYFUNCTION("IFERROR(ArrayFormula(SUM(VLOOKUP($C15,importrange(""1PTkkEa_ENkSqsGnpqoXy9kt0Fe1hCtlmU6kVFBNaonY"",""ORDER BOOKING REPORT 2025-26!C:CV""),{16,23,30},0))))"),4334639.95)</f>
        <v>4334639.95</v>
      </c>
      <c r="BP15" s="311">
        <f>IFERROR(__xludf.DUMMYFUNCTION("IFERROR(ArrayFormula(SUM(VLOOKUP($C15,importrange(""1PTkkEa_ENkSqsGnpqoXy9kt0Fe1hCtlmU6kVFBNaonY"",""ORDER BOOKING REPORT 2025-26!C:CV""),{37,44,51},0))))"),7604940.140000001)</f>
        <v>7604940.14</v>
      </c>
      <c r="BQ15" s="311">
        <f>IFERROR(__xludf.DUMMYFUNCTION("IFERROR(ArrayFormula(SUM(VLOOKUP($C15,importrange(""1PTkkEa_ENkSqsGnpqoXy9kt0Fe1hCtlmU6kVFBNaonY"",""ORDER BOOKING REPORT 2025-26!C:CV""),{58,65,72},0))))"),6704108.039999999)</f>
        <v>6704108.04</v>
      </c>
      <c r="BR15" s="311">
        <f>IFERROR(__xludf.DUMMYFUNCTION("IFERROR(ArrayFormula(SUM(VLOOKUP($C15,importrange(""1PTkkEa_ENkSqsGnpqoXy9kt0Fe1hCtlmU6kVFBNaonY"",""ORDER BOOKING REPORT 2025-26!C:CV""),{79,86,93},0))))"),8626790.85)</f>
        <v>8626790.85</v>
      </c>
      <c r="BS15" s="322">
        <f t="shared" si="15"/>
        <v>0.3852296889</v>
      </c>
      <c r="BT15" s="322">
        <f t="shared" si="16"/>
        <v>0.04281428407</v>
      </c>
      <c r="BU15" s="287">
        <f t="shared" si="17"/>
        <v>0</v>
      </c>
      <c r="BV15" s="320">
        <v>61850.0</v>
      </c>
      <c r="BW15" s="321" t="s">
        <v>486</v>
      </c>
      <c r="BX15" s="320">
        <v>323.0</v>
      </c>
      <c r="BY15" s="287">
        <f t="shared" si="18"/>
        <v>0</v>
      </c>
      <c r="BZ15" s="10"/>
      <c r="CA15" s="318" t="s">
        <v>521</v>
      </c>
      <c r="CB15" s="287">
        <f>countif($F:$F, "&lt;=" &amp; DATE(2026,2,28))-COUNTIFS(AZ:AZ, "&gt;=" &amp; DATE(2025,4,1), AZ:AZ, "&lt;=" &amp; DATE(2026,2,28))</f>
        <v>153</v>
      </c>
      <c r="CC15" s="287">
        <f>COUNTIFS(F:F, "&gt;=" &amp; DATE(2026,3,1), F:F, "&lt;=" &amp; DATE(2026,3,31))</f>
        <v>7</v>
      </c>
      <c r="CD15" s="287">
        <f>COUNTIFS(AZ:AZ, "&gt;=" &amp; DATE(2026,3,1), AZ:AZ, "&lt;=" &amp; DATE(2026,3,31))</f>
        <v>0</v>
      </c>
      <c r="CE15" s="287">
        <f t="shared" si="19"/>
        <v>160</v>
      </c>
      <c r="CF15" s="287">
        <f t="shared" si="20"/>
        <v>160</v>
      </c>
      <c r="CG15" s="318" t="str">
        <f t="shared" si="21"/>
        <v> </v>
      </c>
      <c r="CH15" s="318" t="str">
        <f t="shared" si="28"/>
        <v>Business Achieved 50%</v>
      </c>
      <c r="CI15" s="322">
        <f t="shared" si="22"/>
        <v>0.7105263158</v>
      </c>
      <c r="CJ15" s="323"/>
      <c r="CK15" s="323"/>
      <c r="CL15" s="323"/>
      <c r="CM15" s="324">
        <f t="shared" si="23"/>
        <v>238</v>
      </c>
      <c r="CN15" s="337"/>
      <c r="CO15" s="152"/>
      <c r="CP15" s="332" t="s">
        <v>522</v>
      </c>
      <c r="CQ15" s="326">
        <f t="shared" si="24"/>
        <v>4</v>
      </c>
      <c r="CR15" s="326">
        <f t="shared" si="25"/>
        <v>2</v>
      </c>
      <c r="CS15" s="152" t="s">
        <v>357</v>
      </c>
      <c r="CT15" s="284">
        <f t="shared" si="26"/>
        <v>2</v>
      </c>
      <c r="CU15" s="152"/>
      <c r="CV15" s="152"/>
      <c r="CW15" s="327">
        <f t="shared" si="27"/>
        <v>0</v>
      </c>
      <c r="CX15" s="270"/>
      <c r="CY15" s="152"/>
      <c r="CZ15" s="152"/>
    </row>
    <row r="16" hidden="1">
      <c r="A16" s="307" t="s">
        <v>160</v>
      </c>
      <c r="B16" s="307" t="s">
        <v>523</v>
      </c>
      <c r="C16" s="307" t="s">
        <v>267</v>
      </c>
      <c r="D16" s="338" t="s">
        <v>524</v>
      </c>
      <c r="E16" s="338" t="s">
        <v>525</v>
      </c>
      <c r="F16" s="339">
        <v>46175.0</v>
      </c>
      <c r="G16" s="309">
        <v>0.0</v>
      </c>
      <c r="H16" s="309">
        <v>1500000.0</v>
      </c>
      <c r="I16" s="287">
        <v>677838.0</v>
      </c>
      <c r="J16" s="287">
        <v>0.0</v>
      </c>
      <c r="K16" s="284">
        <v>73.0</v>
      </c>
      <c r="L16" s="284">
        <v>51.0</v>
      </c>
      <c r="M16" s="284">
        <v>0.0</v>
      </c>
      <c r="N16" s="284">
        <v>73.0</v>
      </c>
      <c r="O16" s="284">
        <v>22.0</v>
      </c>
      <c r="P16" s="287">
        <v>677837.7</v>
      </c>
      <c r="Q16" s="287">
        <v>0.0</v>
      </c>
      <c r="R16" s="284">
        <v>19.0</v>
      </c>
      <c r="S16" s="284">
        <v>0.0</v>
      </c>
      <c r="T16" s="284">
        <v>19.0</v>
      </c>
      <c r="U16" s="284">
        <v>0.0</v>
      </c>
      <c r="V16" s="284">
        <v>39.0</v>
      </c>
      <c r="W16" s="284">
        <v>47.0</v>
      </c>
      <c r="X16" s="284">
        <v>51.0</v>
      </c>
      <c r="Y16" s="284">
        <v>1.0</v>
      </c>
      <c r="Z16" s="284">
        <v>2.0</v>
      </c>
      <c r="AA16" s="284">
        <v>0.0</v>
      </c>
      <c r="AB16" s="284">
        <v>0.0</v>
      </c>
      <c r="AC16" s="284">
        <v>1.0</v>
      </c>
      <c r="AD16" s="284">
        <v>1.0</v>
      </c>
      <c r="AE16" s="284">
        <v>67.0</v>
      </c>
      <c r="AF16" s="284">
        <v>117.0</v>
      </c>
      <c r="AG16" s="284">
        <v>24.0</v>
      </c>
      <c r="AH16" s="309">
        <f t="shared" si="2"/>
        <v>28243.25</v>
      </c>
      <c r="AI16" s="309">
        <f t="shared" si="3"/>
        <v>4.875</v>
      </c>
      <c r="AJ16" s="311">
        <v>37355.0</v>
      </c>
      <c r="AK16" s="309">
        <f t="shared" si="4"/>
        <v>112065</v>
      </c>
      <c r="AL16" s="286"/>
      <c r="AM16" s="313">
        <f t="shared" si="5"/>
        <v>0.1653271136</v>
      </c>
      <c r="AN16" s="309">
        <f t="shared" si="6"/>
        <v>35675.68421</v>
      </c>
      <c r="AO16" s="314">
        <f t="shared" si="7"/>
        <v>0.451892</v>
      </c>
      <c r="AP16" s="315">
        <v>0.0</v>
      </c>
      <c r="AQ16" s="284">
        <v>23.0</v>
      </c>
      <c r="AR16" s="284">
        <v>248.0</v>
      </c>
      <c r="AS16" s="284">
        <v>2760.12</v>
      </c>
      <c r="AT16" s="284">
        <v>0.0</v>
      </c>
      <c r="AU16" s="284">
        <v>54.0</v>
      </c>
      <c r="AV16" s="284">
        <v>19.0</v>
      </c>
      <c r="AW16" s="284">
        <v>34.0</v>
      </c>
      <c r="AX16" s="284">
        <v>20.0</v>
      </c>
      <c r="AY16" s="309"/>
      <c r="AZ16" s="340"/>
      <c r="BA16" s="307" t="str">
        <f t="shared" si="8"/>
        <v>Active</v>
      </c>
      <c r="BB16" s="307" t="str">
        <f t="shared" si="9"/>
        <v>New</v>
      </c>
      <c r="BC16" s="307" t="str">
        <f t="shared" si="10"/>
        <v>Below 50%</v>
      </c>
      <c r="BD16" s="286">
        <f t="shared" si="11"/>
        <v>3</v>
      </c>
      <c r="BE16" s="328">
        <v>1500000.0</v>
      </c>
      <c r="BF16" s="284">
        <f t="shared" si="12"/>
        <v>0</v>
      </c>
      <c r="BG16" s="307" t="s">
        <v>488</v>
      </c>
      <c r="BH16" s="272">
        <f>IFERROR(__xludf.DUMMYFUNCTION("""COMPUTED_VALUE"""),3645229.0)</f>
        <v>3645229</v>
      </c>
      <c r="BI16" s="272">
        <f>IFERROR(__xludf.DUMMYFUNCTION("""COMPUTED_VALUE"""),3645541.34)</f>
        <v>3645541.34</v>
      </c>
      <c r="BJ16" s="273"/>
      <c r="BK16" s="274"/>
      <c r="BL16" s="319">
        <f t="shared" si="13"/>
        <v>0</v>
      </c>
      <c r="BM16" s="319">
        <f t="shared" si="14"/>
        <v>1500000</v>
      </c>
      <c r="BN16" s="274"/>
      <c r="BO16" s="311">
        <f>IFERROR(__xludf.DUMMYFUNCTION("IFERROR(ArrayFormula(SUM(VLOOKUP($C16,importrange(""1PTkkEa_ENkSqsGnpqoXy9kt0Fe1hCtlmU6kVFBNaonY"",""ORDER BOOKING REPORT 2025-26!C:CV""),{16,23,30},0))))"),1303584.38)</f>
        <v>1303584.38</v>
      </c>
      <c r="BP16" s="311">
        <f>IFERROR(__xludf.DUMMYFUNCTION("IFERROR(ArrayFormula(SUM(VLOOKUP($C16,importrange(""1PTkkEa_ENkSqsGnpqoXy9kt0Fe1hCtlmU6kVFBNaonY"",""ORDER BOOKING REPORT 2025-26!C:CV""),{37,44,51},0))))"),1732625.94)</f>
        <v>1732625.94</v>
      </c>
      <c r="BQ16" s="311">
        <f>IFERROR(__xludf.DUMMYFUNCTION("IFERROR(ArrayFormula(SUM(VLOOKUP($C16,importrange(""1PTkkEa_ENkSqsGnpqoXy9kt0Fe1hCtlmU6kVFBNaonY"",""ORDER BOOKING REPORT 2025-26!C:CV""),{58,65,72},0))))"),609331.02)</f>
        <v>609331.02</v>
      </c>
      <c r="BR16" s="311">
        <f>IFERROR(__xludf.DUMMYFUNCTION("IFERROR(ArrayFormula(SUM(VLOOKUP($C16,importrange(""1PTkkEa_ENkSqsGnpqoXy9kt0Fe1hCtlmU6kVFBNaonY"",""ORDER BOOKING REPORT 2025-26!C:CV""),{79,86,93},0))))"),0.0)</f>
        <v>0</v>
      </c>
      <c r="BS16" s="322">
        <f t="shared" si="15"/>
        <v>0</v>
      </c>
      <c r="BT16" s="322" t="str">
        <f t="shared" si="16"/>
        <v/>
      </c>
      <c r="BU16" s="287">
        <f t="shared" si="17"/>
        <v>0</v>
      </c>
      <c r="BV16" s="320">
        <v>37355.0</v>
      </c>
      <c r="BW16" s="321" t="s">
        <v>526</v>
      </c>
      <c r="BX16" s="320">
        <v>341.0</v>
      </c>
      <c r="BY16" s="287">
        <f t="shared" si="18"/>
        <v>0</v>
      </c>
      <c r="BZ16" s="10"/>
      <c r="CA16" s="10"/>
      <c r="CB16" s="287">
        <f>countif($F:$F, "&lt;=" &amp; DATE(2026,3,31))-COUNTIFS(AZ:AZ, "&gt;=" &amp; DATE(2025,4,1), AZ:AZ, "&lt;=" &amp; DATE(2026,3,31))</f>
        <v>160</v>
      </c>
      <c r="CC16" s="10"/>
      <c r="CD16" s="6"/>
      <c r="CE16" s="10"/>
      <c r="CF16" s="10"/>
      <c r="CG16" s="318" t="str">
        <f t="shared" si="21"/>
        <v> </v>
      </c>
      <c r="CH16" s="318" t="str">
        <f t="shared" si="28"/>
        <v>Not 50%</v>
      </c>
      <c r="CI16" s="322">
        <f t="shared" si="22"/>
        <v>0.2602739726</v>
      </c>
      <c r="CJ16" s="323"/>
      <c r="CK16" s="323"/>
      <c r="CL16" s="323"/>
      <c r="CM16" s="324">
        <f t="shared" si="23"/>
        <v>67</v>
      </c>
      <c r="CN16" s="337"/>
      <c r="CO16" s="152"/>
      <c r="CP16" s="332" t="s">
        <v>527</v>
      </c>
      <c r="CQ16" s="326">
        <f t="shared" si="24"/>
        <v>7</v>
      </c>
      <c r="CR16" s="326">
        <f t="shared" si="25"/>
        <v>0</v>
      </c>
      <c r="CS16" s="152" t="s">
        <v>358</v>
      </c>
      <c r="CT16" s="284">
        <f t="shared" si="26"/>
        <v>2</v>
      </c>
      <c r="CU16" s="152"/>
      <c r="CV16" s="152"/>
      <c r="CW16" s="327">
        <f t="shared" si="27"/>
        <v>0</v>
      </c>
      <c r="CX16" s="270"/>
      <c r="CY16" s="152"/>
      <c r="CZ16" s="152"/>
    </row>
    <row r="17" hidden="1">
      <c r="A17" s="307" t="s">
        <v>160</v>
      </c>
      <c r="B17" s="307" t="s">
        <v>483</v>
      </c>
      <c r="C17" s="307" t="s">
        <v>171</v>
      </c>
      <c r="D17" s="307" t="s">
        <v>484</v>
      </c>
      <c r="E17" s="307" t="s">
        <v>314</v>
      </c>
      <c r="F17" s="329">
        <v>42826.0</v>
      </c>
      <c r="G17" s="309">
        <v>0.0</v>
      </c>
      <c r="H17" s="309">
        <v>9999999.0</v>
      </c>
      <c r="I17" s="287">
        <v>7255692.0</v>
      </c>
      <c r="J17" s="287">
        <v>0.0</v>
      </c>
      <c r="K17" s="284">
        <v>102.0</v>
      </c>
      <c r="L17" s="284">
        <v>67.0</v>
      </c>
      <c r="M17" s="284">
        <v>2.0</v>
      </c>
      <c r="N17" s="284">
        <v>104.0</v>
      </c>
      <c r="O17" s="284">
        <v>37.0</v>
      </c>
      <c r="P17" s="287">
        <v>7255691.63</v>
      </c>
      <c r="Q17" s="287">
        <v>0.0</v>
      </c>
      <c r="R17" s="284">
        <v>14.0</v>
      </c>
      <c r="S17" s="284">
        <v>0.0</v>
      </c>
      <c r="T17" s="284">
        <v>14.0</v>
      </c>
      <c r="U17" s="284">
        <v>0.0</v>
      </c>
      <c r="V17" s="284">
        <v>8.0</v>
      </c>
      <c r="W17" s="284">
        <v>9.0</v>
      </c>
      <c r="X17" s="284">
        <v>35.0</v>
      </c>
      <c r="Y17" s="284">
        <v>2.0</v>
      </c>
      <c r="Z17" s="284">
        <v>23.0</v>
      </c>
      <c r="AA17" s="284">
        <v>0.0</v>
      </c>
      <c r="AB17" s="284">
        <v>0.0</v>
      </c>
      <c r="AC17" s="284">
        <v>0.0</v>
      </c>
      <c r="AD17" s="284">
        <v>0.0</v>
      </c>
      <c r="AE17" s="284">
        <v>229.0</v>
      </c>
      <c r="AF17" s="284">
        <v>261.0</v>
      </c>
      <c r="AG17" s="284">
        <v>79.0</v>
      </c>
      <c r="AH17" s="309">
        <f t="shared" si="2"/>
        <v>91844.20253</v>
      </c>
      <c r="AI17" s="309">
        <f t="shared" si="3"/>
        <v>3.303797468</v>
      </c>
      <c r="AJ17" s="311">
        <v>63250.0</v>
      </c>
      <c r="AK17" s="309">
        <f t="shared" si="4"/>
        <v>189750</v>
      </c>
      <c r="AL17" s="312"/>
      <c r="AM17" s="313">
        <f t="shared" si="5"/>
        <v>0.02615188186</v>
      </c>
      <c r="AN17" s="309">
        <f t="shared" si="6"/>
        <v>518263.7143</v>
      </c>
      <c r="AO17" s="314">
        <f t="shared" si="7"/>
        <v>0.7255692726</v>
      </c>
      <c r="AP17" s="315">
        <v>0.0</v>
      </c>
      <c r="AQ17" s="284">
        <v>39.0</v>
      </c>
      <c r="AR17" s="284">
        <v>990.0</v>
      </c>
      <c r="AS17" s="284">
        <v>5601.87</v>
      </c>
      <c r="AT17" s="284">
        <v>0.0</v>
      </c>
      <c r="AU17" s="284">
        <v>84.0</v>
      </c>
      <c r="AV17" s="284">
        <v>14.0</v>
      </c>
      <c r="AW17" s="284">
        <v>53.0</v>
      </c>
      <c r="AX17" s="284">
        <v>37.0</v>
      </c>
      <c r="AY17" s="309">
        <v>2405700.83</v>
      </c>
      <c r="AZ17" s="316"/>
      <c r="BA17" s="307" t="str">
        <f t="shared" si="8"/>
        <v>Active</v>
      </c>
      <c r="BB17" s="307" t="str">
        <f t="shared" si="9"/>
        <v>Old</v>
      </c>
      <c r="BC17" s="307" t="str">
        <f t="shared" si="10"/>
        <v>70%-90%</v>
      </c>
      <c r="BD17" s="286">
        <f t="shared" si="11"/>
        <v>3</v>
      </c>
      <c r="BE17" s="328">
        <v>3333333.0</v>
      </c>
      <c r="BF17" s="284">
        <f t="shared" si="12"/>
        <v>2</v>
      </c>
      <c r="BG17" s="307" t="s">
        <v>488</v>
      </c>
      <c r="BH17" s="272">
        <f>IFERROR(__xludf.DUMMYFUNCTION("""COMPUTED_VALUE"""),2.699524153E7)</f>
        <v>26995241.53</v>
      </c>
      <c r="BI17" s="272">
        <f>IFERROR(__xludf.DUMMYFUNCTION("""COMPUTED_VALUE"""),3.846258895E7)</f>
        <v>38462588.95</v>
      </c>
      <c r="BJ17" s="273"/>
      <c r="BK17" s="274"/>
      <c r="BL17" s="319">
        <f t="shared" si="13"/>
        <v>0</v>
      </c>
      <c r="BM17" s="319">
        <f t="shared" si="14"/>
        <v>9999999</v>
      </c>
      <c r="BN17" s="274"/>
      <c r="BO17" s="311">
        <f>IFERROR(__xludf.DUMMYFUNCTION("IFERROR(ArrayFormula(SUM(VLOOKUP($C17,importrange(""1PTkkEa_ENkSqsGnpqoXy9kt0Fe1hCtlmU6kVFBNaonY"",""ORDER BOOKING REPORT 2025-26!C:CV""),{16,23,30},0))))"),1.040807E7)</f>
        <v>10408070</v>
      </c>
      <c r="BP17" s="311">
        <f>IFERROR(__xludf.DUMMYFUNCTION("IFERROR(ArrayFormula(SUM(VLOOKUP($C17,importrange(""1PTkkEa_ENkSqsGnpqoXy9kt0Fe1hCtlmU6kVFBNaonY"",""ORDER BOOKING REPORT 2025-26!C:CV""),{37,44,51},0))))"),1.05091602E7)</f>
        <v>10509160.2</v>
      </c>
      <c r="BQ17" s="311">
        <f>IFERROR(__xludf.DUMMYFUNCTION("IFERROR(ArrayFormula(SUM(VLOOKUP($C17,importrange(""1PTkkEa_ENkSqsGnpqoXy9kt0Fe1hCtlmU6kVFBNaonY"",""ORDER BOOKING REPORT 2025-26!C:CV""),{58,65,72},0))))"),7184086.75)</f>
        <v>7184086.75</v>
      </c>
      <c r="BR17" s="311">
        <f>IFERROR(__xludf.DUMMYFUNCTION("IFERROR(ArrayFormula(SUM(VLOOKUP($C17,importrange(""1PTkkEa_ENkSqsGnpqoXy9kt0Fe1hCtlmU6kVFBNaonY"",""ORDER BOOKING REPORT 2025-26!C:CV""),{79,86,93},0))))"),1.0361272E7)</f>
        <v>10361272</v>
      </c>
      <c r="BS17" s="322">
        <f t="shared" si="15"/>
        <v>0.2405701071</v>
      </c>
      <c r="BT17" s="322">
        <f t="shared" si="16"/>
        <v>0.07887514425</v>
      </c>
      <c r="BU17" s="287">
        <f t="shared" si="17"/>
        <v>0</v>
      </c>
      <c r="BV17" s="320">
        <v>63250.0</v>
      </c>
      <c r="BW17" s="321" t="s">
        <v>489</v>
      </c>
      <c r="BX17" s="320">
        <v>360.0</v>
      </c>
      <c r="BY17" s="287">
        <f t="shared" si="18"/>
        <v>0</v>
      </c>
      <c r="BZ17" s="10"/>
      <c r="CA17" s="10"/>
      <c r="CB17" s="10"/>
      <c r="CC17" s="10"/>
      <c r="CD17" s="10"/>
      <c r="CE17" s="10"/>
      <c r="CF17" s="10"/>
      <c r="CG17" s="318" t="str">
        <f t="shared" si="21"/>
        <v> </v>
      </c>
      <c r="CH17" s="318" t="str">
        <f t="shared" si="28"/>
        <v>Not 50%</v>
      </c>
      <c r="CI17" s="322">
        <f t="shared" si="22"/>
        <v>0.1346153846</v>
      </c>
      <c r="CJ17" s="323"/>
      <c r="CK17" s="323"/>
      <c r="CL17" s="323"/>
      <c r="CM17" s="324">
        <f t="shared" si="23"/>
        <v>229</v>
      </c>
      <c r="CN17" s="325"/>
      <c r="CO17" s="6"/>
      <c r="CP17" s="307" t="s">
        <v>519</v>
      </c>
      <c r="CQ17" s="326">
        <f t="shared" si="24"/>
        <v>11</v>
      </c>
      <c r="CR17" s="326">
        <f t="shared" si="25"/>
        <v>0</v>
      </c>
      <c r="CS17" s="6"/>
      <c r="CT17" s="284">
        <f t="shared" si="26"/>
        <v>0</v>
      </c>
      <c r="CU17" s="6"/>
      <c r="CV17" s="6"/>
      <c r="CW17" s="327">
        <f t="shared" si="27"/>
        <v>0</v>
      </c>
      <c r="CX17" s="270"/>
      <c r="CY17" s="6"/>
      <c r="CZ17" s="6"/>
    </row>
    <row r="18" hidden="1">
      <c r="A18" s="307" t="s">
        <v>273</v>
      </c>
      <c r="B18" s="307" t="s">
        <v>528</v>
      </c>
      <c r="C18" s="307" t="s">
        <v>274</v>
      </c>
      <c r="D18" s="307" t="s">
        <v>529</v>
      </c>
      <c r="E18" s="307" t="s">
        <v>530</v>
      </c>
      <c r="F18" s="308">
        <v>42926.0</v>
      </c>
      <c r="G18" s="309">
        <v>0.0</v>
      </c>
      <c r="H18" s="309">
        <v>6000000.0</v>
      </c>
      <c r="I18" s="287">
        <v>6444165.0</v>
      </c>
      <c r="J18" s="287">
        <v>0.0</v>
      </c>
      <c r="K18" s="284">
        <v>127.0</v>
      </c>
      <c r="L18" s="284">
        <v>75.0</v>
      </c>
      <c r="M18" s="284">
        <v>2.0</v>
      </c>
      <c r="N18" s="284">
        <v>129.0</v>
      </c>
      <c r="O18" s="284">
        <v>54.0</v>
      </c>
      <c r="P18" s="287">
        <v>6352077.65</v>
      </c>
      <c r="Q18" s="287">
        <v>92087.6</v>
      </c>
      <c r="R18" s="284">
        <v>60.0</v>
      </c>
      <c r="S18" s="284">
        <v>1.0</v>
      </c>
      <c r="T18" s="284">
        <v>61.0</v>
      </c>
      <c r="U18" s="284">
        <v>0.0</v>
      </c>
      <c r="V18" s="284">
        <v>6.0</v>
      </c>
      <c r="W18" s="284">
        <v>8.0</v>
      </c>
      <c r="X18" s="284">
        <v>55.0</v>
      </c>
      <c r="Y18" s="284">
        <v>2.0</v>
      </c>
      <c r="Z18" s="284">
        <v>33.0</v>
      </c>
      <c r="AA18" s="284">
        <v>0.0</v>
      </c>
      <c r="AB18" s="284">
        <v>0.0</v>
      </c>
      <c r="AC18" s="284">
        <v>1.0</v>
      </c>
      <c r="AD18" s="284">
        <v>1.0</v>
      </c>
      <c r="AE18" s="284">
        <v>189.0</v>
      </c>
      <c r="AF18" s="284">
        <v>231.0</v>
      </c>
      <c r="AG18" s="284">
        <v>77.0</v>
      </c>
      <c r="AH18" s="309">
        <f t="shared" si="2"/>
        <v>83690.45455</v>
      </c>
      <c r="AI18" s="309">
        <f t="shared" si="3"/>
        <v>3</v>
      </c>
      <c r="AJ18" s="311">
        <v>44575.0</v>
      </c>
      <c r="AK18" s="309">
        <f t="shared" si="4"/>
        <v>133725</v>
      </c>
      <c r="AL18" s="312"/>
      <c r="AM18" s="313">
        <f t="shared" si="5"/>
        <v>0.02075133086</v>
      </c>
      <c r="AN18" s="309">
        <f t="shared" si="6"/>
        <v>105642.0492</v>
      </c>
      <c r="AO18" s="314">
        <f t="shared" si="7"/>
        <v>1.0740275</v>
      </c>
      <c r="AP18" s="315">
        <v>0.0</v>
      </c>
      <c r="AQ18" s="284">
        <v>182.0</v>
      </c>
      <c r="AR18" s="284">
        <v>613.0</v>
      </c>
      <c r="AS18" s="284">
        <v>12041.78</v>
      </c>
      <c r="AT18" s="284">
        <v>1.0</v>
      </c>
      <c r="AU18" s="284">
        <v>161.0</v>
      </c>
      <c r="AV18" s="284">
        <v>61.0</v>
      </c>
      <c r="AW18" s="284">
        <v>25.0</v>
      </c>
      <c r="AX18" s="284">
        <v>43.0</v>
      </c>
      <c r="AY18" s="309">
        <v>6750060.0</v>
      </c>
      <c r="AZ18" s="316"/>
      <c r="BA18" s="307" t="str">
        <f t="shared" si="8"/>
        <v>Active</v>
      </c>
      <c r="BB18" s="307" t="str">
        <f t="shared" si="9"/>
        <v>Old</v>
      </c>
      <c r="BC18" s="307" t="str">
        <f t="shared" si="10"/>
        <v>Above 100%</v>
      </c>
      <c r="BD18" s="286">
        <f t="shared" si="11"/>
        <v>3</v>
      </c>
      <c r="BE18" s="328">
        <v>2000000.0</v>
      </c>
      <c r="BF18" s="284">
        <f t="shared" si="12"/>
        <v>1</v>
      </c>
      <c r="BG18" s="307" t="s">
        <v>488</v>
      </c>
      <c r="BH18" s="272">
        <f>IFERROR(__xludf.DUMMYFUNCTION("""COMPUTED_VALUE"""),2.1617812E7)</f>
        <v>21617812</v>
      </c>
      <c r="BI18" s="272">
        <f>IFERROR(__xludf.DUMMYFUNCTION("""COMPUTED_VALUE"""),2.079626748E7)</f>
        <v>20796267.48</v>
      </c>
      <c r="BJ18" s="273"/>
      <c r="BK18" s="274"/>
      <c r="BL18" s="319">
        <f t="shared" si="13"/>
        <v>0</v>
      </c>
      <c r="BM18" s="319">
        <f t="shared" si="14"/>
        <v>6000000</v>
      </c>
      <c r="BN18" s="274"/>
      <c r="BO18" s="311">
        <f>IFERROR(__xludf.DUMMYFUNCTION("IFERROR(ArrayFormula(SUM(VLOOKUP($C18,importrange(""1PTkkEa_ENkSqsGnpqoXy9kt0Fe1hCtlmU6kVFBNaonY"",""ORDER BOOKING REPORT 2025-26!C:CV""),{16,23,30},0))))"),5711266.0)</f>
        <v>5711266</v>
      </c>
      <c r="BP18" s="311">
        <f>IFERROR(__xludf.DUMMYFUNCTION("IFERROR(ArrayFormula(SUM(VLOOKUP($C18,importrange(""1PTkkEa_ENkSqsGnpqoXy9kt0Fe1hCtlmU6kVFBNaonY"",""ORDER BOOKING REPORT 2025-26!C:CV""),{37,44,51},0))))"),4982632.6)</f>
        <v>4982632.6</v>
      </c>
      <c r="BQ18" s="311">
        <f>IFERROR(__xludf.DUMMYFUNCTION("IFERROR(ArrayFormula(SUM(VLOOKUP($C18,importrange(""1PTkkEa_ENkSqsGnpqoXy9kt0Fe1hCtlmU6kVFBNaonY"",""ORDER BOOKING REPORT 2025-26!C:CV""),{58,65,72},0))))"),4792281.76)</f>
        <v>4792281.76</v>
      </c>
      <c r="BR18" s="311">
        <f>IFERROR(__xludf.DUMMYFUNCTION("IFERROR(ArrayFormula(SUM(VLOOKUP($C18,importrange(""1PTkkEa_ENkSqsGnpqoXy9kt0Fe1hCtlmU6kVFBNaonY"",""ORDER BOOKING REPORT 2025-26!C:CV""),{79,86,93},0))))"),5310087.119999999)</f>
        <v>5310087.12</v>
      </c>
      <c r="BS18" s="322">
        <f t="shared" si="15"/>
        <v>1.12501</v>
      </c>
      <c r="BT18" s="322">
        <f t="shared" si="16"/>
        <v>0.01981093501</v>
      </c>
      <c r="BU18" s="287">
        <f t="shared" si="17"/>
        <v>0</v>
      </c>
      <c r="BV18" s="320">
        <v>44575.0</v>
      </c>
      <c r="BW18" s="321" t="s">
        <v>526</v>
      </c>
      <c r="BX18" s="320">
        <v>371.0</v>
      </c>
      <c r="BY18" s="287">
        <f t="shared" si="18"/>
        <v>0</v>
      </c>
      <c r="BZ18" s="10"/>
      <c r="CA18" s="10"/>
      <c r="CB18" s="10"/>
      <c r="CC18" s="10"/>
      <c r="CD18" s="10"/>
      <c r="CE18" s="10"/>
      <c r="CF18" s="10"/>
      <c r="CG18" s="318" t="str">
        <f t="shared" si="21"/>
        <v> </v>
      </c>
      <c r="CH18" s="318" t="str">
        <f t="shared" si="28"/>
        <v>Not 50%</v>
      </c>
      <c r="CI18" s="322">
        <f t="shared" si="22"/>
        <v>0.4728682171</v>
      </c>
      <c r="CJ18" s="323"/>
      <c r="CK18" s="323"/>
      <c r="CL18" s="323"/>
      <c r="CM18" s="324">
        <f t="shared" si="23"/>
        <v>189</v>
      </c>
      <c r="CN18" s="325"/>
      <c r="CO18" s="6"/>
      <c r="CP18" s="307" t="s">
        <v>528</v>
      </c>
      <c r="CQ18" s="326">
        <f t="shared" si="24"/>
        <v>15</v>
      </c>
      <c r="CR18" s="326">
        <f t="shared" si="25"/>
        <v>0</v>
      </c>
      <c r="CS18" s="6"/>
      <c r="CT18" s="284">
        <f t="shared" si="26"/>
        <v>0</v>
      </c>
      <c r="CU18" s="6"/>
      <c r="CV18" s="6"/>
      <c r="CW18" s="327">
        <f t="shared" si="27"/>
        <v>0</v>
      </c>
      <c r="CX18" s="270"/>
      <c r="CY18" s="6"/>
      <c r="CZ18" s="6"/>
    </row>
    <row r="19" hidden="1">
      <c r="A19" s="307" t="s">
        <v>301</v>
      </c>
      <c r="B19" s="307" t="s">
        <v>506</v>
      </c>
      <c r="C19" s="307" t="s">
        <v>302</v>
      </c>
      <c r="D19" s="307" t="s">
        <v>531</v>
      </c>
      <c r="E19" s="307" t="s">
        <v>532</v>
      </c>
      <c r="F19" s="308">
        <v>42993.0</v>
      </c>
      <c r="G19" s="309">
        <v>0.0</v>
      </c>
      <c r="H19" s="309">
        <v>3750000.0</v>
      </c>
      <c r="I19" s="287">
        <v>3495534.0</v>
      </c>
      <c r="J19" s="287">
        <v>0.0</v>
      </c>
      <c r="K19" s="284">
        <v>105.0</v>
      </c>
      <c r="L19" s="284">
        <v>86.0</v>
      </c>
      <c r="M19" s="284">
        <v>1.0</v>
      </c>
      <c r="N19" s="284">
        <v>106.0</v>
      </c>
      <c r="O19" s="284">
        <v>20.0</v>
      </c>
      <c r="P19" s="287">
        <v>3374769.16</v>
      </c>
      <c r="Q19" s="287">
        <v>120765.0</v>
      </c>
      <c r="R19" s="284">
        <v>69.0</v>
      </c>
      <c r="S19" s="284">
        <v>1.0</v>
      </c>
      <c r="T19" s="284">
        <v>70.0</v>
      </c>
      <c r="U19" s="284">
        <v>0.0</v>
      </c>
      <c r="V19" s="284">
        <v>122.0</v>
      </c>
      <c r="W19" s="284">
        <v>142.0</v>
      </c>
      <c r="X19" s="284">
        <v>648.0</v>
      </c>
      <c r="Y19" s="284">
        <v>8.0</v>
      </c>
      <c r="Z19" s="284">
        <v>89.0</v>
      </c>
      <c r="AA19" s="284">
        <v>0.0</v>
      </c>
      <c r="AB19" s="284">
        <v>0.0</v>
      </c>
      <c r="AC19" s="284">
        <v>0.0</v>
      </c>
      <c r="AD19" s="284">
        <v>0.0</v>
      </c>
      <c r="AE19" s="284">
        <v>206.0</v>
      </c>
      <c r="AF19" s="284">
        <v>437.0</v>
      </c>
      <c r="AG19" s="284">
        <v>77.0</v>
      </c>
      <c r="AH19" s="309">
        <f t="shared" si="2"/>
        <v>45396.54545</v>
      </c>
      <c r="AI19" s="309">
        <f t="shared" si="3"/>
        <v>5.675324675</v>
      </c>
      <c r="AJ19" s="311">
        <v>51335.0</v>
      </c>
      <c r="AK19" s="309">
        <f t="shared" si="4"/>
        <v>154005</v>
      </c>
      <c r="AL19" s="312"/>
      <c r="AM19" s="313">
        <f t="shared" si="5"/>
        <v>0.04405764613</v>
      </c>
      <c r="AN19" s="309">
        <f t="shared" si="6"/>
        <v>49936.2</v>
      </c>
      <c r="AO19" s="314">
        <f t="shared" si="7"/>
        <v>0.9321424</v>
      </c>
      <c r="AP19" s="315">
        <v>0.0</v>
      </c>
      <c r="AQ19" s="284">
        <v>168.0</v>
      </c>
      <c r="AR19" s="284">
        <v>759.0</v>
      </c>
      <c r="AS19" s="284">
        <v>8609.83</v>
      </c>
      <c r="AT19" s="284">
        <v>1.0</v>
      </c>
      <c r="AU19" s="284">
        <v>100.0</v>
      </c>
      <c r="AV19" s="284">
        <v>70.0</v>
      </c>
      <c r="AW19" s="284">
        <v>22.0</v>
      </c>
      <c r="AX19" s="284">
        <v>14.0</v>
      </c>
      <c r="AY19" s="309">
        <v>3403230.0</v>
      </c>
      <c r="AZ19" s="316"/>
      <c r="BA19" s="307" t="str">
        <f t="shared" si="8"/>
        <v>Active</v>
      </c>
      <c r="BB19" s="307" t="str">
        <f t="shared" si="9"/>
        <v>Old</v>
      </c>
      <c r="BC19" s="307" t="str">
        <f t="shared" si="10"/>
        <v>90%-100%</v>
      </c>
      <c r="BD19" s="286">
        <f t="shared" si="11"/>
        <v>3</v>
      </c>
      <c r="BE19" s="328">
        <v>1250000.0</v>
      </c>
      <c r="BF19" s="284">
        <f t="shared" si="12"/>
        <v>0</v>
      </c>
      <c r="BG19" s="307" t="s">
        <v>488</v>
      </c>
      <c r="BH19" s="272">
        <f>IFERROR(__xludf.DUMMYFUNCTION("""COMPUTED_VALUE"""),1.0597925E7)</f>
        <v>10597925</v>
      </c>
      <c r="BI19" s="272">
        <f>IFERROR(__xludf.DUMMYFUNCTION("""COMPUTED_VALUE"""),1.09719998E7)</f>
        <v>10971999.8</v>
      </c>
      <c r="BJ19" s="273"/>
      <c r="BK19" s="274"/>
      <c r="BL19" s="319">
        <f t="shared" si="13"/>
        <v>0</v>
      </c>
      <c r="BM19" s="319">
        <f t="shared" si="14"/>
        <v>3750000</v>
      </c>
      <c r="BN19" s="274"/>
      <c r="BO19" s="311">
        <f>IFERROR(__xludf.DUMMYFUNCTION("IFERROR(ArrayFormula(SUM(VLOOKUP($C19,importrange(""1PTkkEa_ENkSqsGnpqoXy9kt0Fe1hCtlmU6kVFBNaonY"",""ORDER BOOKING REPORT 2025-26!C:CV""),{16,23,30},0))))"),2583368.7600000002)</f>
        <v>2583368.76</v>
      </c>
      <c r="BP19" s="311">
        <f>IFERROR(__xludf.DUMMYFUNCTION("IFERROR(ArrayFormula(SUM(VLOOKUP($C19,importrange(""1PTkkEa_ENkSqsGnpqoXy9kt0Fe1hCtlmU6kVFBNaonY"",""ORDER BOOKING REPORT 2025-26!C:CV""),{37,44,51},0))))"),2778423.86)</f>
        <v>2778423.86</v>
      </c>
      <c r="BQ19" s="311">
        <f>IFERROR(__xludf.DUMMYFUNCTION("IFERROR(ArrayFormula(SUM(VLOOKUP($C19,importrange(""1PTkkEa_ENkSqsGnpqoXy9kt0Fe1hCtlmU6kVFBNaonY"",""ORDER BOOKING REPORT 2025-26!C:CV""),{58,65,72},0))))"),3068264.98)</f>
        <v>3068264.98</v>
      </c>
      <c r="BR19" s="311">
        <f>IFERROR(__xludf.DUMMYFUNCTION("IFERROR(ArrayFormula(SUM(VLOOKUP($C19,importrange(""1PTkkEa_ENkSqsGnpqoXy9kt0Fe1hCtlmU6kVFBNaonY"",""ORDER BOOKING REPORT 2025-26!C:CV""),{79,86,93},0))))"),2541942.2)</f>
        <v>2541942.2</v>
      </c>
      <c r="BS19" s="322">
        <f t="shared" si="15"/>
        <v>0.907528</v>
      </c>
      <c r="BT19" s="322">
        <f t="shared" si="16"/>
        <v>0.04525259827</v>
      </c>
      <c r="BU19" s="287">
        <f t="shared" si="17"/>
        <v>0</v>
      </c>
      <c r="BV19" s="320">
        <v>51335.0</v>
      </c>
      <c r="BW19" s="321" t="s">
        <v>489</v>
      </c>
      <c r="BX19" s="320">
        <v>386.0</v>
      </c>
      <c r="BY19" s="287">
        <f t="shared" si="18"/>
        <v>0</v>
      </c>
      <c r="BZ19" s="10"/>
      <c r="CA19" s="10"/>
      <c r="CB19" s="10"/>
      <c r="CC19" s="10"/>
      <c r="CD19" s="10"/>
      <c r="CE19" s="10"/>
      <c r="CF19" s="10"/>
      <c r="CG19" s="318" t="str">
        <f t="shared" si="21"/>
        <v> </v>
      </c>
      <c r="CH19" s="318" t="str">
        <f t="shared" si="28"/>
        <v>Business Achieved 50%</v>
      </c>
      <c r="CI19" s="322">
        <f t="shared" si="22"/>
        <v>0.6603773585</v>
      </c>
      <c r="CJ19" s="323"/>
      <c r="CK19" s="323"/>
      <c r="CL19" s="323"/>
      <c r="CM19" s="324">
        <f t="shared" si="23"/>
        <v>206</v>
      </c>
      <c r="CN19" s="325"/>
      <c r="CO19" s="6"/>
      <c r="CP19" s="307" t="s">
        <v>533</v>
      </c>
      <c r="CQ19" s="326">
        <f t="shared" si="24"/>
        <v>3</v>
      </c>
      <c r="CR19" s="326">
        <f t="shared" si="25"/>
        <v>0</v>
      </c>
      <c r="CS19" s="6"/>
      <c r="CT19" s="284">
        <f t="shared" si="26"/>
        <v>0</v>
      </c>
      <c r="CU19" s="6"/>
      <c r="CV19" s="6"/>
      <c r="CW19" s="327">
        <f t="shared" si="27"/>
        <v>0</v>
      </c>
      <c r="CX19" s="270"/>
      <c r="CY19" s="6"/>
      <c r="CZ19" s="6"/>
    </row>
    <row r="20" hidden="1">
      <c r="A20" s="307" t="s">
        <v>160</v>
      </c>
      <c r="B20" s="307" t="s">
        <v>483</v>
      </c>
      <c r="C20" s="307" t="s">
        <v>347</v>
      </c>
      <c r="D20" s="307" t="s">
        <v>484</v>
      </c>
      <c r="E20" s="307" t="s">
        <v>195</v>
      </c>
      <c r="F20" s="329">
        <v>43009.0</v>
      </c>
      <c r="G20" s="309">
        <v>0.0</v>
      </c>
      <c r="H20" s="309" t="s">
        <v>485</v>
      </c>
      <c r="I20" s="287">
        <v>0.0</v>
      </c>
      <c r="J20" s="287">
        <v>0.0</v>
      </c>
      <c r="K20" s="284">
        <v>233.0</v>
      </c>
      <c r="L20" s="284">
        <v>94.0</v>
      </c>
      <c r="M20" s="284">
        <v>0.0</v>
      </c>
      <c r="N20" s="284">
        <v>233.0</v>
      </c>
      <c r="O20" s="284">
        <v>139.0</v>
      </c>
      <c r="P20" s="287">
        <v>0.0</v>
      </c>
      <c r="Q20" s="287">
        <v>0.0</v>
      </c>
      <c r="R20" s="284">
        <v>0.0</v>
      </c>
      <c r="S20" s="284">
        <v>0.0</v>
      </c>
      <c r="T20" s="284">
        <v>0.0</v>
      </c>
      <c r="U20" s="284">
        <v>0.0</v>
      </c>
      <c r="V20" s="284">
        <v>2.0</v>
      </c>
      <c r="W20" s="284">
        <v>2.0</v>
      </c>
      <c r="X20" s="284">
        <v>36.0</v>
      </c>
      <c r="Y20" s="284">
        <v>3.0</v>
      </c>
      <c r="Z20" s="284">
        <v>43.0</v>
      </c>
      <c r="AA20" s="284">
        <v>0.0</v>
      </c>
      <c r="AB20" s="284">
        <v>0.0</v>
      </c>
      <c r="AC20" s="284">
        <v>0.0</v>
      </c>
      <c r="AD20" s="284">
        <v>0.0</v>
      </c>
      <c r="AE20" s="284">
        <v>182.0</v>
      </c>
      <c r="AF20" s="284">
        <v>227.0</v>
      </c>
      <c r="AG20" s="284">
        <v>74.0</v>
      </c>
      <c r="AH20" s="309">
        <f t="shared" si="2"/>
        <v>0</v>
      </c>
      <c r="AI20" s="309">
        <f t="shared" si="3"/>
        <v>3.067567568</v>
      </c>
      <c r="AJ20" s="311">
        <v>54455.0</v>
      </c>
      <c r="AK20" s="309">
        <f t="shared" si="4"/>
        <v>163365</v>
      </c>
      <c r="AL20" s="312"/>
      <c r="AM20" s="313" t="str">
        <f t="shared" si="5"/>
        <v/>
      </c>
      <c r="AN20" s="309" t="str">
        <f t="shared" si="6"/>
        <v/>
      </c>
      <c r="AO20" s="314" t="str">
        <f t="shared" si="7"/>
        <v/>
      </c>
      <c r="AP20" s="315">
        <v>0.0</v>
      </c>
      <c r="AQ20" s="284">
        <v>0.0</v>
      </c>
      <c r="AR20" s="284">
        <v>795.0</v>
      </c>
      <c r="AS20" s="284">
        <v>6759.86</v>
      </c>
      <c r="AT20" s="284">
        <v>0.0</v>
      </c>
      <c r="AU20" s="284">
        <v>72.0</v>
      </c>
      <c r="AV20" s="284">
        <v>0.0</v>
      </c>
      <c r="AW20" s="284">
        <v>94.0</v>
      </c>
      <c r="AX20" s="284">
        <v>139.0</v>
      </c>
      <c r="AY20" s="309"/>
      <c r="AZ20" s="316"/>
      <c r="BA20" s="307" t="str">
        <f t="shared" si="8"/>
        <v>Active</v>
      </c>
      <c r="BB20" s="307" t="str">
        <f t="shared" si="9"/>
        <v>Old</v>
      </c>
      <c r="BC20" s="307" t="str">
        <f t="shared" si="10"/>
        <v>Below 50%</v>
      </c>
      <c r="BD20" s="286">
        <f t="shared" si="11"/>
        <v>3</v>
      </c>
      <c r="BE20" s="317"/>
      <c r="BF20" s="284">
        <f t="shared" si="12"/>
        <v>0</v>
      </c>
      <c r="BG20" s="318" t="s">
        <v>485</v>
      </c>
      <c r="BH20" s="272">
        <f>IFERROR(__xludf.DUMMYFUNCTION("""COMPUTED_VALUE"""),0.0)</f>
        <v>0</v>
      </c>
      <c r="BI20" s="272">
        <f>IFERROR(__xludf.DUMMYFUNCTION("""COMPUTED_VALUE"""),1259297.2)</f>
        <v>1259297.2</v>
      </c>
      <c r="BJ20" s="273"/>
      <c r="BK20" s="274"/>
      <c r="BL20" s="319">
        <f t="shared" si="13"/>
        <v>0</v>
      </c>
      <c r="BM20" s="319" t="str">
        <f t="shared" si="14"/>
        <v/>
      </c>
      <c r="BN20" s="274"/>
      <c r="BO20" s="311">
        <f>IFERROR(__xludf.DUMMYFUNCTION("IFERROR(ArrayFormula(SUM(VLOOKUP($C20,importrange(""1PTkkEa_ENkSqsGnpqoXy9kt0Fe1hCtlmU6kVFBNaonY"",""ORDER BOOKING REPORT 2025-26!C:CV""),{16,23,30},0))))"),1259297.2)</f>
        <v>1259297.2</v>
      </c>
      <c r="BP20" s="311">
        <f>IFERROR(__xludf.DUMMYFUNCTION("IFERROR(ArrayFormula(SUM(VLOOKUP($C20,importrange(""1PTkkEa_ENkSqsGnpqoXy9kt0Fe1hCtlmU6kVFBNaonY"",""ORDER BOOKING REPORT 2025-26!C:CV""),{37,44,51},0))))"),0.0)</f>
        <v>0</v>
      </c>
      <c r="BQ20" s="311">
        <f>IFERROR(__xludf.DUMMYFUNCTION("IFERROR(ArrayFormula(SUM(VLOOKUP($C20,importrange(""1PTkkEa_ENkSqsGnpqoXy9kt0Fe1hCtlmU6kVFBNaonY"",""ORDER BOOKING REPORT 2025-26!C:CV""),{58,65,72},0))))"),0.0)</f>
        <v>0</v>
      </c>
      <c r="BR20" s="311">
        <f>IFERROR(__xludf.DUMMYFUNCTION("IFERROR(ArrayFormula(SUM(VLOOKUP($C20,importrange(""1PTkkEa_ENkSqsGnpqoXy9kt0Fe1hCtlmU6kVFBNaonY"",""ORDER BOOKING REPORT 2025-26!C:CV""),{79,86,93},0))))"),0.0)</f>
        <v>0</v>
      </c>
      <c r="BS20" s="152" t="str">
        <f t="shared" si="15"/>
        <v/>
      </c>
      <c r="BT20" s="152" t="str">
        <f t="shared" si="16"/>
        <v/>
      </c>
      <c r="BU20" s="287">
        <f t="shared" si="17"/>
        <v>0</v>
      </c>
      <c r="BV20" s="320">
        <v>54455.0</v>
      </c>
      <c r="BW20" s="321" t="s">
        <v>489</v>
      </c>
      <c r="BX20" s="320">
        <v>439.0</v>
      </c>
      <c r="BY20" s="287">
        <f t="shared" si="18"/>
        <v>0</v>
      </c>
      <c r="BZ20" s="10"/>
      <c r="CA20" s="10"/>
      <c r="CB20" s="10"/>
      <c r="CC20" s="10"/>
      <c r="CD20" s="10"/>
      <c r="CE20" s="10"/>
      <c r="CF20" s="10"/>
      <c r="CG20" s="318" t="str">
        <f t="shared" si="21"/>
        <v> </v>
      </c>
      <c r="CH20" s="318" t="str">
        <f t="shared" si="28"/>
        <v>Not 50%</v>
      </c>
      <c r="CI20" s="322">
        <f t="shared" si="22"/>
        <v>0</v>
      </c>
      <c r="CJ20" s="323"/>
      <c r="CK20" s="323"/>
      <c r="CL20" s="323"/>
      <c r="CM20" s="324">
        <f t="shared" si="23"/>
        <v>182</v>
      </c>
      <c r="CN20" s="325"/>
      <c r="CO20" s="6"/>
      <c r="CP20" s="307" t="s">
        <v>534</v>
      </c>
      <c r="CQ20" s="326">
        <f t="shared" si="24"/>
        <v>6</v>
      </c>
      <c r="CR20" s="326">
        <f t="shared" si="25"/>
        <v>1</v>
      </c>
      <c r="CS20" s="6"/>
      <c r="CT20" s="284">
        <f t="shared" si="26"/>
        <v>0</v>
      </c>
      <c r="CU20" s="6"/>
      <c r="CV20" s="6"/>
      <c r="CW20" s="327">
        <f t="shared" si="27"/>
        <v>0</v>
      </c>
      <c r="CX20" s="270"/>
      <c r="CY20" s="6"/>
      <c r="CZ20" s="6"/>
    </row>
    <row r="21" hidden="1">
      <c r="A21" s="307" t="s">
        <v>160</v>
      </c>
      <c r="B21" s="307" t="s">
        <v>483</v>
      </c>
      <c r="C21" s="307" t="s">
        <v>172</v>
      </c>
      <c r="D21" s="307" t="s">
        <v>484</v>
      </c>
      <c r="E21" s="307" t="s">
        <v>314</v>
      </c>
      <c r="F21" s="308">
        <v>43119.0</v>
      </c>
      <c r="G21" s="309">
        <v>0.0</v>
      </c>
      <c r="H21" s="309">
        <v>1.7499999E7</v>
      </c>
      <c r="I21" s="287">
        <v>980666.0</v>
      </c>
      <c r="J21" s="287">
        <v>0.0</v>
      </c>
      <c r="K21" s="284">
        <v>49.0</v>
      </c>
      <c r="L21" s="284">
        <v>15.0</v>
      </c>
      <c r="M21" s="284">
        <v>1.0</v>
      </c>
      <c r="N21" s="284">
        <v>50.0</v>
      </c>
      <c r="O21" s="284">
        <v>35.0</v>
      </c>
      <c r="P21" s="287">
        <v>980666.0</v>
      </c>
      <c r="Q21" s="287">
        <v>0.0</v>
      </c>
      <c r="R21" s="284">
        <v>1.0</v>
      </c>
      <c r="S21" s="284">
        <v>0.0</v>
      </c>
      <c r="T21" s="284">
        <v>1.0</v>
      </c>
      <c r="U21" s="284">
        <v>0.0</v>
      </c>
      <c r="V21" s="284">
        <v>7.0</v>
      </c>
      <c r="W21" s="284">
        <v>8.0</v>
      </c>
      <c r="X21" s="284">
        <v>70.0</v>
      </c>
      <c r="Y21" s="284">
        <v>4.0</v>
      </c>
      <c r="Z21" s="284">
        <v>57.0</v>
      </c>
      <c r="AA21" s="284">
        <v>0.0</v>
      </c>
      <c r="AB21" s="284">
        <v>0.0</v>
      </c>
      <c r="AC21" s="284">
        <v>0.0</v>
      </c>
      <c r="AD21" s="284">
        <v>0.0</v>
      </c>
      <c r="AE21" s="284">
        <v>37.0</v>
      </c>
      <c r="AF21" s="284">
        <v>102.0</v>
      </c>
      <c r="AG21" s="284">
        <v>69.0</v>
      </c>
      <c r="AH21" s="309">
        <f t="shared" si="2"/>
        <v>14212.55072</v>
      </c>
      <c r="AI21" s="309">
        <f t="shared" si="3"/>
        <v>1.47826087</v>
      </c>
      <c r="AJ21" s="311">
        <v>56700.0</v>
      </c>
      <c r="AK21" s="309">
        <f t="shared" si="4"/>
        <v>170100</v>
      </c>
      <c r="AL21" s="312"/>
      <c r="AM21" s="313">
        <f t="shared" si="5"/>
        <v>0.173453551</v>
      </c>
      <c r="AN21" s="309">
        <f t="shared" si="6"/>
        <v>980666</v>
      </c>
      <c r="AO21" s="314">
        <f t="shared" si="7"/>
        <v>0.05603806035</v>
      </c>
      <c r="AP21" s="315">
        <v>0.0</v>
      </c>
      <c r="AQ21" s="284">
        <v>1.0</v>
      </c>
      <c r="AR21" s="284">
        <v>653.0</v>
      </c>
      <c r="AS21" s="284">
        <v>3889.51</v>
      </c>
      <c r="AT21" s="284">
        <v>0.0</v>
      </c>
      <c r="AU21" s="284">
        <v>259.0</v>
      </c>
      <c r="AV21" s="284">
        <v>1.0</v>
      </c>
      <c r="AW21" s="284">
        <v>14.0</v>
      </c>
      <c r="AX21" s="284">
        <v>35.0</v>
      </c>
      <c r="AY21" s="309">
        <v>3078290.0</v>
      </c>
      <c r="AZ21" s="316"/>
      <c r="BA21" s="307" t="str">
        <f t="shared" si="8"/>
        <v>Active</v>
      </c>
      <c r="BB21" s="307" t="str">
        <f t="shared" si="9"/>
        <v>Old</v>
      </c>
      <c r="BC21" s="307" t="str">
        <f t="shared" si="10"/>
        <v>Below 50%</v>
      </c>
      <c r="BD21" s="286">
        <f t="shared" si="11"/>
        <v>3</v>
      </c>
      <c r="BE21" s="328">
        <v>5833333.0</v>
      </c>
      <c r="BF21" s="284">
        <f t="shared" si="12"/>
        <v>1</v>
      </c>
      <c r="BG21" s="307" t="s">
        <v>488</v>
      </c>
      <c r="BH21" s="272">
        <f>IFERROR(__xludf.DUMMYFUNCTION("""COMPUTED_VALUE"""),4.4406509E7)</f>
        <v>44406509</v>
      </c>
      <c r="BI21" s="272">
        <f>IFERROR(__xludf.DUMMYFUNCTION("""COMPUTED_VALUE"""),2.274684639E7)</f>
        <v>22746846.39</v>
      </c>
      <c r="BJ21" s="273"/>
      <c r="BK21" s="274"/>
      <c r="BL21" s="319">
        <f t="shared" si="13"/>
        <v>0</v>
      </c>
      <c r="BM21" s="319">
        <f t="shared" si="14"/>
        <v>17499999</v>
      </c>
      <c r="BN21" s="274"/>
      <c r="BO21" s="311">
        <f>IFERROR(__xludf.DUMMYFUNCTION("IFERROR(ArrayFormula(SUM(VLOOKUP($C21,importrange(""1PTkkEa_ENkSqsGnpqoXy9kt0Fe1hCtlmU6kVFBNaonY"",""ORDER BOOKING REPORT 2025-26!C:CV""),{16,23,30},0))))"),7070347.25)</f>
        <v>7070347.25</v>
      </c>
      <c r="BP21" s="311">
        <f>IFERROR(__xludf.DUMMYFUNCTION("IFERROR(ArrayFormula(SUM(VLOOKUP($C21,importrange(""1PTkkEa_ENkSqsGnpqoXy9kt0Fe1hCtlmU6kVFBNaonY"",""ORDER BOOKING REPORT 2025-26!C:CV""),{37,44,51},0))))"),9616934.98)</f>
        <v>9616934.98</v>
      </c>
      <c r="BQ21" s="311">
        <f>IFERROR(__xludf.DUMMYFUNCTION("IFERROR(ArrayFormula(SUM(VLOOKUP($C21,importrange(""1PTkkEa_ENkSqsGnpqoXy9kt0Fe1hCtlmU6kVFBNaonY"",""ORDER BOOKING REPORT 2025-26!C:CV""),{58,65,72},0))))"),5906394.16)</f>
        <v>5906394.16</v>
      </c>
      <c r="BR21" s="311">
        <f>IFERROR(__xludf.DUMMYFUNCTION("IFERROR(ArrayFormula(SUM(VLOOKUP($C21,importrange(""1PTkkEa_ENkSqsGnpqoXy9kt0Fe1hCtlmU6kVFBNaonY"",""ORDER BOOKING REPORT 2025-26!C:CV""),{79,86,93},0))))"),153170.0)</f>
        <v>153170</v>
      </c>
      <c r="BS21" s="322">
        <f t="shared" si="15"/>
        <v>0.1759022958</v>
      </c>
      <c r="BT21" s="322">
        <f t="shared" si="16"/>
        <v>0.05525795165</v>
      </c>
      <c r="BU21" s="287">
        <f t="shared" si="17"/>
        <v>0</v>
      </c>
      <c r="BV21" s="320">
        <v>56700.0</v>
      </c>
      <c r="BW21" s="321" t="s">
        <v>489</v>
      </c>
      <c r="BX21" s="320">
        <v>437.0</v>
      </c>
      <c r="BY21" s="287">
        <f t="shared" si="18"/>
        <v>0</v>
      </c>
      <c r="BZ21" s="10"/>
      <c r="CA21" s="10"/>
      <c r="CB21" s="10"/>
      <c r="CC21" s="10"/>
      <c r="CD21" s="10"/>
      <c r="CE21" s="10"/>
      <c r="CF21" s="10"/>
      <c r="CG21" s="318" t="str">
        <f t="shared" si="21"/>
        <v>Below 60</v>
      </c>
      <c r="CH21" s="318" t="str">
        <f t="shared" si="28"/>
        <v>Not 50%</v>
      </c>
      <c r="CI21" s="322">
        <f t="shared" si="22"/>
        <v>0.02</v>
      </c>
      <c r="CJ21" s="323"/>
      <c r="CK21" s="323"/>
      <c r="CL21" s="323"/>
      <c r="CM21" s="324">
        <f t="shared" si="23"/>
        <v>37</v>
      </c>
      <c r="CN21" s="325"/>
      <c r="CO21" s="6"/>
      <c r="CP21" s="307" t="s">
        <v>499</v>
      </c>
      <c r="CQ21" s="326">
        <f t="shared" si="24"/>
        <v>7</v>
      </c>
      <c r="CR21" s="326">
        <f t="shared" si="25"/>
        <v>1</v>
      </c>
      <c r="CS21" s="6"/>
      <c r="CT21" s="284">
        <f t="shared" si="26"/>
        <v>0</v>
      </c>
      <c r="CU21" s="6"/>
      <c r="CV21" s="6"/>
      <c r="CW21" s="327">
        <f t="shared" si="27"/>
        <v>0</v>
      </c>
      <c r="CX21" s="270"/>
      <c r="CY21" s="6"/>
      <c r="CZ21" s="6"/>
    </row>
    <row r="22" hidden="1">
      <c r="A22" s="307" t="s">
        <v>160</v>
      </c>
      <c r="B22" s="307" t="s">
        <v>535</v>
      </c>
      <c r="C22" s="307" t="s">
        <v>259</v>
      </c>
      <c r="D22" s="307" t="s">
        <v>536</v>
      </c>
      <c r="E22" s="307" t="s">
        <v>537</v>
      </c>
      <c r="F22" s="308">
        <v>43185.0</v>
      </c>
      <c r="G22" s="309">
        <v>0.0</v>
      </c>
      <c r="H22" s="309">
        <v>4500000.0</v>
      </c>
      <c r="I22" s="287">
        <v>2855308.0</v>
      </c>
      <c r="J22" s="287">
        <v>0.0</v>
      </c>
      <c r="K22" s="284">
        <v>105.0</v>
      </c>
      <c r="L22" s="284">
        <v>96.0</v>
      </c>
      <c r="M22" s="284">
        <v>2.0</v>
      </c>
      <c r="N22" s="284">
        <v>107.0</v>
      </c>
      <c r="O22" s="284">
        <v>11.0</v>
      </c>
      <c r="P22" s="287">
        <v>2711745.33</v>
      </c>
      <c r="Q22" s="287">
        <v>143563.05</v>
      </c>
      <c r="R22" s="284">
        <v>47.0</v>
      </c>
      <c r="S22" s="284">
        <v>2.0</v>
      </c>
      <c r="T22" s="284">
        <v>49.0</v>
      </c>
      <c r="U22" s="284">
        <v>0.0</v>
      </c>
      <c r="V22" s="284">
        <v>13.0</v>
      </c>
      <c r="W22" s="284">
        <v>25.0</v>
      </c>
      <c r="X22" s="284">
        <v>98.0</v>
      </c>
      <c r="Y22" s="284">
        <v>1.0</v>
      </c>
      <c r="Z22" s="284">
        <v>1.0</v>
      </c>
      <c r="AA22" s="284">
        <v>0.0</v>
      </c>
      <c r="AB22" s="284">
        <v>0.0</v>
      </c>
      <c r="AC22" s="284">
        <v>0.0</v>
      </c>
      <c r="AD22" s="284">
        <v>0.0</v>
      </c>
      <c r="AE22" s="284">
        <v>265.0</v>
      </c>
      <c r="AF22" s="284">
        <v>291.0</v>
      </c>
      <c r="AG22" s="284">
        <v>53.0</v>
      </c>
      <c r="AH22" s="309">
        <f t="shared" si="2"/>
        <v>53873.73585</v>
      </c>
      <c r="AI22" s="309">
        <f t="shared" si="3"/>
        <v>5.490566038</v>
      </c>
      <c r="AJ22" s="311">
        <v>34650.0</v>
      </c>
      <c r="AK22" s="309">
        <f>AJ22*0.5</f>
        <v>17325</v>
      </c>
      <c r="AL22" s="286"/>
      <c r="AM22" s="313">
        <f t="shared" si="5"/>
        <v>0.006067646643</v>
      </c>
      <c r="AN22" s="309">
        <f t="shared" si="6"/>
        <v>58271.59184</v>
      </c>
      <c r="AO22" s="314">
        <f t="shared" si="7"/>
        <v>0.6345128889</v>
      </c>
      <c r="AP22" s="315">
        <v>0.0</v>
      </c>
      <c r="AQ22" s="284">
        <v>73.0</v>
      </c>
      <c r="AR22" s="284">
        <v>563.0</v>
      </c>
      <c r="AS22" s="284">
        <v>4117.83</v>
      </c>
      <c r="AT22" s="284">
        <v>2.0</v>
      </c>
      <c r="AU22" s="284">
        <v>43.0</v>
      </c>
      <c r="AV22" s="284">
        <v>49.0</v>
      </c>
      <c r="AW22" s="284">
        <v>49.0</v>
      </c>
      <c r="AX22" s="284">
        <v>9.0</v>
      </c>
      <c r="AY22" s="309">
        <v>895316.29</v>
      </c>
      <c r="AZ22" s="316"/>
      <c r="BA22" s="307" t="str">
        <f t="shared" si="8"/>
        <v>Active</v>
      </c>
      <c r="BB22" s="307" t="str">
        <f t="shared" si="9"/>
        <v>Old</v>
      </c>
      <c r="BC22" s="307" t="str">
        <f t="shared" si="10"/>
        <v>50%-70%</v>
      </c>
      <c r="BD22" s="286">
        <f t="shared" si="11"/>
        <v>3</v>
      </c>
      <c r="BE22" s="319">
        <v>1500000.0</v>
      </c>
      <c r="BF22" s="284">
        <f t="shared" si="12"/>
        <v>0</v>
      </c>
      <c r="BG22" s="307" t="s">
        <v>488</v>
      </c>
      <c r="BH22" s="272">
        <f>IFERROR(__xludf.DUMMYFUNCTION("""COMPUTED_VALUE"""),4796658.88)</f>
        <v>4796658.88</v>
      </c>
      <c r="BI22" s="272">
        <f>IFERROR(__xludf.DUMMYFUNCTION("""COMPUTED_VALUE"""),4732528.91)</f>
        <v>4732528.91</v>
      </c>
      <c r="BJ22" s="341">
        <f>15/30</f>
        <v>0.5</v>
      </c>
      <c r="BK22" s="319"/>
      <c r="BL22" s="319">
        <f t="shared" si="13"/>
        <v>0</v>
      </c>
      <c r="BM22" s="319">
        <f t="shared" si="14"/>
        <v>4500000</v>
      </c>
      <c r="BN22" s="342"/>
      <c r="BO22" s="311">
        <f>IFERROR(__xludf.DUMMYFUNCTION("IFERROR(ArrayFormula(SUM(VLOOKUP($C22,importrange(""1PTkkEa_ENkSqsGnpqoXy9kt0Fe1hCtlmU6kVFBNaonY"",""ORDER BOOKING REPORT 2025-26!C:CV""),{16,23,30},0))))"),108830.0)</f>
        <v>108830</v>
      </c>
      <c r="BP22" s="311">
        <f>IFERROR(__xludf.DUMMYFUNCTION("IFERROR(ArrayFormula(SUM(VLOOKUP($C22,importrange(""1PTkkEa_ENkSqsGnpqoXy9kt0Fe1hCtlmU6kVFBNaonY"",""ORDER BOOKING REPORT 2025-26!C:CV""),{37,44,51},0))))"),1165633.34)</f>
        <v>1165633.34</v>
      </c>
      <c r="BQ22" s="311">
        <f>IFERROR(__xludf.DUMMYFUNCTION("IFERROR(ArrayFormula(SUM(VLOOKUP($C22,importrange(""1PTkkEa_ENkSqsGnpqoXy9kt0Fe1hCtlmU6kVFBNaonY"",""ORDER BOOKING REPORT 2025-26!C:CV""),{58,65,72},0))))"),2098927.67)</f>
        <v>2098927.67</v>
      </c>
      <c r="BR22" s="311">
        <f>IFERROR(__xludf.DUMMYFUNCTION("IFERROR(ArrayFormula(SUM(VLOOKUP($C22,importrange(""1PTkkEa_ENkSqsGnpqoXy9kt0Fe1hCtlmU6kVFBNaonY"",""ORDER BOOKING REPORT 2025-26!C:CV""),{79,86,93},0))))"),1359137.9)</f>
        <v>1359137.9</v>
      </c>
      <c r="BS22" s="322">
        <f t="shared" si="15"/>
        <v>0.1989591756</v>
      </c>
      <c r="BT22" s="322">
        <f t="shared" si="16"/>
        <v>0.01935070343</v>
      </c>
      <c r="BU22" s="287">
        <f t="shared" si="17"/>
        <v>0</v>
      </c>
      <c r="BV22" s="320">
        <v>34650.0</v>
      </c>
      <c r="BW22" s="321" t="s">
        <v>526</v>
      </c>
      <c r="BX22" s="320">
        <v>427.0</v>
      </c>
      <c r="BY22" s="287">
        <f t="shared" si="18"/>
        <v>0</v>
      </c>
      <c r="BZ22" s="10"/>
      <c r="CA22" s="10"/>
      <c r="CB22" s="10"/>
      <c r="CC22" s="10"/>
      <c r="CD22" s="10"/>
      <c r="CE22" s="10"/>
      <c r="CF22" s="10"/>
      <c r="CG22" s="318" t="str">
        <f t="shared" si="21"/>
        <v> </v>
      </c>
      <c r="CH22" s="318" t="str">
        <f t="shared" si="28"/>
        <v>Not 50%</v>
      </c>
      <c r="CI22" s="322">
        <f t="shared" si="22"/>
        <v>0.4579439252</v>
      </c>
      <c r="CJ22" s="323"/>
      <c r="CK22" s="323"/>
      <c r="CL22" s="323"/>
      <c r="CM22" s="324">
        <f t="shared" si="23"/>
        <v>265</v>
      </c>
      <c r="CN22" s="337"/>
      <c r="CO22" s="152"/>
      <c r="CP22" s="332" t="s">
        <v>538</v>
      </c>
      <c r="CQ22" s="326">
        <f t="shared" si="24"/>
        <v>2</v>
      </c>
      <c r="CR22" s="326">
        <f t="shared" si="25"/>
        <v>1</v>
      </c>
      <c r="CS22" s="152"/>
      <c r="CT22" s="284">
        <f t="shared" si="26"/>
        <v>0</v>
      </c>
      <c r="CU22" s="152"/>
      <c r="CV22" s="152"/>
      <c r="CW22" s="327">
        <f t="shared" si="27"/>
        <v>0</v>
      </c>
      <c r="CX22" s="270"/>
      <c r="CY22" s="152"/>
      <c r="CZ22" s="152"/>
    </row>
    <row r="23" hidden="1">
      <c r="A23" s="307" t="s">
        <v>160</v>
      </c>
      <c r="B23" s="307" t="s">
        <v>483</v>
      </c>
      <c r="C23" s="307" t="s">
        <v>173</v>
      </c>
      <c r="D23" s="307" t="s">
        <v>484</v>
      </c>
      <c r="E23" s="307" t="s">
        <v>164</v>
      </c>
      <c r="F23" s="329">
        <v>43255.0</v>
      </c>
      <c r="G23" s="309">
        <v>0.0</v>
      </c>
      <c r="H23" s="309">
        <v>1.2500001E7</v>
      </c>
      <c r="I23" s="287">
        <v>2885213.0</v>
      </c>
      <c r="J23" s="287">
        <v>0.0</v>
      </c>
      <c r="K23" s="284">
        <v>151.0</v>
      </c>
      <c r="L23" s="284">
        <v>94.0</v>
      </c>
      <c r="M23" s="284">
        <v>0.0</v>
      </c>
      <c r="N23" s="284">
        <v>151.0</v>
      </c>
      <c r="O23" s="284">
        <v>57.0</v>
      </c>
      <c r="P23" s="287">
        <v>2885213.21</v>
      </c>
      <c r="Q23" s="287">
        <v>0.0</v>
      </c>
      <c r="R23" s="284">
        <v>18.0</v>
      </c>
      <c r="S23" s="284">
        <v>0.0</v>
      </c>
      <c r="T23" s="284">
        <v>18.0</v>
      </c>
      <c r="U23" s="284">
        <v>0.0</v>
      </c>
      <c r="V23" s="284">
        <v>5.0</v>
      </c>
      <c r="W23" s="284">
        <v>5.0</v>
      </c>
      <c r="X23" s="284">
        <v>45.0</v>
      </c>
      <c r="Y23" s="284">
        <v>1.0</v>
      </c>
      <c r="Z23" s="284">
        <v>12.0</v>
      </c>
      <c r="AA23" s="284">
        <v>0.0</v>
      </c>
      <c r="AB23" s="284">
        <v>0.0</v>
      </c>
      <c r="AC23" s="284">
        <v>0.0</v>
      </c>
      <c r="AD23" s="284">
        <v>0.0</v>
      </c>
      <c r="AE23" s="284">
        <v>264.0</v>
      </c>
      <c r="AF23" s="284">
        <v>281.0</v>
      </c>
      <c r="AG23" s="284">
        <v>72.0</v>
      </c>
      <c r="AH23" s="309">
        <f t="shared" si="2"/>
        <v>40072.40278</v>
      </c>
      <c r="AI23" s="309">
        <f t="shared" si="3"/>
        <v>3.902777778</v>
      </c>
      <c r="AJ23" s="311">
        <v>46670.0</v>
      </c>
      <c r="AK23" s="309">
        <f t="shared" ref="AK23:AK71" si="29">AJ23*BD23</f>
        <v>140010</v>
      </c>
      <c r="AL23" s="312"/>
      <c r="AM23" s="313">
        <f t="shared" si="5"/>
        <v>0.04852674655</v>
      </c>
      <c r="AN23" s="309">
        <f t="shared" si="6"/>
        <v>160289.6111</v>
      </c>
      <c r="AO23" s="314">
        <f t="shared" si="7"/>
        <v>0.2308170215</v>
      </c>
      <c r="AP23" s="315">
        <v>0.0</v>
      </c>
      <c r="AQ23" s="284">
        <v>24.0</v>
      </c>
      <c r="AR23" s="284">
        <v>737.0</v>
      </c>
      <c r="AS23" s="284">
        <v>3700.33</v>
      </c>
      <c r="AT23" s="284">
        <v>0.0</v>
      </c>
      <c r="AU23" s="284">
        <v>39.0</v>
      </c>
      <c r="AV23" s="284">
        <v>18.0</v>
      </c>
      <c r="AW23" s="284">
        <v>76.0</v>
      </c>
      <c r="AX23" s="284">
        <v>57.0</v>
      </c>
      <c r="AY23" s="309">
        <v>3139194.0</v>
      </c>
      <c r="AZ23" s="316"/>
      <c r="BA23" s="307" t="str">
        <f t="shared" si="8"/>
        <v>Active</v>
      </c>
      <c r="BB23" s="307" t="str">
        <f t="shared" si="9"/>
        <v>Old</v>
      </c>
      <c r="BC23" s="307" t="str">
        <f t="shared" si="10"/>
        <v>Below 50%</v>
      </c>
      <c r="BD23" s="286">
        <f t="shared" si="11"/>
        <v>3</v>
      </c>
      <c r="BE23" s="328">
        <v>4166667.0</v>
      </c>
      <c r="BF23" s="284">
        <f t="shared" si="12"/>
        <v>0</v>
      </c>
      <c r="BG23" s="307" t="s">
        <v>488</v>
      </c>
      <c r="BH23" s="272">
        <f>IFERROR(__xludf.DUMMYFUNCTION("""COMPUTED_VALUE"""),3.133523E7)</f>
        <v>31335230</v>
      </c>
      <c r="BI23" s="272">
        <f>IFERROR(__xludf.DUMMYFUNCTION("""COMPUTED_VALUE"""),3.20172739515625E7)</f>
        <v>32017273.95</v>
      </c>
      <c r="BJ23" s="273"/>
      <c r="BK23" s="274"/>
      <c r="BL23" s="319">
        <f t="shared" si="13"/>
        <v>0</v>
      </c>
      <c r="BM23" s="319">
        <f t="shared" si="14"/>
        <v>12500001</v>
      </c>
      <c r="BN23" s="274"/>
      <c r="BO23" s="311">
        <f>IFERROR(__xludf.DUMMYFUNCTION("IFERROR(ArrayFormula(SUM(VLOOKUP($C23,importrange(""1PTkkEa_ENkSqsGnpqoXy9kt0Fe1hCtlmU6kVFBNaonY"",""ORDER BOOKING REPORT 2025-26!C:CV""),{16,23,30},0))))"),7120231.331562501)</f>
        <v>7120231.332</v>
      </c>
      <c r="BP23" s="311">
        <f>IFERROR(__xludf.DUMMYFUNCTION("IFERROR(ArrayFormula(SUM(VLOOKUP($C23,importrange(""1PTkkEa_ENkSqsGnpqoXy9kt0Fe1hCtlmU6kVFBNaonY"",""ORDER BOOKING REPORT 2025-26!C:CV""),{37,44,51},0))))"),7977209.18)</f>
        <v>7977209.18</v>
      </c>
      <c r="BQ23" s="311">
        <f>IFERROR(__xludf.DUMMYFUNCTION("IFERROR(ArrayFormula(SUM(VLOOKUP($C23,importrange(""1PTkkEa_ENkSqsGnpqoXy9kt0Fe1hCtlmU6kVFBNaonY"",""ORDER BOOKING REPORT 2025-26!C:CV""),{58,65,72},0))))"),8670249.75)</f>
        <v>8670249.75</v>
      </c>
      <c r="BR23" s="311">
        <f>IFERROR(__xludf.DUMMYFUNCTION("IFERROR(ArrayFormula(SUM(VLOOKUP($C23,importrange(""1PTkkEa_ENkSqsGnpqoXy9kt0Fe1hCtlmU6kVFBNaonY"",""ORDER BOOKING REPORT 2025-26!C:CV""),{79,86,93},0))))"),8249583.690000001)</f>
        <v>8249583.69</v>
      </c>
      <c r="BS23" s="322">
        <f t="shared" si="15"/>
        <v>0.2511354999</v>
      </c>
      <c r="BT23" s="322">
        <f t="shared" si="16"/>
        <v>0.04460062041</v>
      </c>
      <c r="BU23" s="287">
        <f t="shared" si="17"/>
        <v>0</v>
      </c>
      <c r="BV23" s="320">
        <v>46670.0</v>
      </c>
      <c r="BW23" s="321" t="s">
        <v>514</v>
      </c>
      <c r="BX23" s="320">
        <v>477.0</v>
      </c>
      <c r="BY23" s="287">
        <f t="shared" si="18"/>
        <v>0</v>
      </c>
      <c r="BZ23" s="10"/>
      <c r="CA23" s="10"/>
      <c r="CB23" s="10"/>
      <c r="CC23" s="10"/>
      <c r="CD23" s="10"/>
      <c r="CE23" s="10"/>
      <c r="CF23" s="10"/>
      <c r="CG23" s="318" t="str">
        <f t="shared" si="21"/>
        <v> </v>
      </c>
      <c r="CH23" s="318" t="str">
        <f t="shared" si="28"/>
        <v>Not 50%</v>
      </c>
      <c r="CI23" s="322">
        <f t="shared" si="22"/>
        <v>0.119205298</v>
      </c>
      <c r="CJ23" s="323"/>
      <c r="CK23" s="323"/>
      <c r="CL23" s="323"/>
      <c r="CM23" s="324">
        <f t="shared" si="23"/>
        <v>264</v>
      </c>
      <c r="CN23" s="325"/>
      <c r="CO23" s="6"/>
      <c r="CP23" s="307" t="s">
        <v>539</v>
      </c>
      <c r="CQ23" s="326">
        <f t="shared" si="24"/>
        <v>4</v>
      </c>
      <c r="CR23" s="326">
        <f t="shared" si="25"/>
        <v>2</v>
      </c>
      <c r="CS23" s="6"/>
      <c r="CT23" s="284">
        <f t="shared" si="26"/>
        <v>0</v>
      </c>
      <c r="CU23" s="6"/>
      <c r="CV23" s="6"/>
      <c r="CW23" s="327">
        <f t="shared" si="27"/>
        <v>0</v>
      </c>
      <c r="CX23" s="270"/>
      <c r="CY23" s="6"/>
      <c r="CZ23" s="6"/>
    </row>
    <row r="24" hidden="1">
      <c r="A24" s="307" t="s">
        <v>103</v>
      </c>
      <c r="B24" s="307" t="s">
        <v>519</v>
      </c>
      <c r="C24" s="307" t="s">
        <v>111</v>
      </c>
      <c r="D24" s="307" t="s">
        <v>520</v>
      </c>
      <c r="E24" s="307" t="s">
        <v>112</v>
      </c>
      <c r="F24" s="329">
        <v>43315.0</v>
      </c>
      <c r="G24" s="309">
        <v>249999.0</v>
      </c>
      <c r="H24" s="309">
        <v>1.4000001E7</v>
      </c>
      <c r="I24" s="287">
        <v>1.5027629E7</v>
      </c>
      <c r="J24" s="287">
        <v>58602.73</v>
      </c>
      <c r="K24" s="284">
        <v>101.0</v>
      </c>
      <c r="L24" s="284">
        <v>100.0</v>
      </c>
      <c r="M24" s="284">
        <v>4.0</v>
      </c>
      <c r="N24" s="284">
        <v>105.0</v>
      </c>
      <c r="O24" s="284">
        <v>5.0</v>
      </c>
      <c r="P24" s="287">
        <v>1.488189881E7</v>
      </c>
      <c r="Q24" s="287">
        <v>145730.6</v>
      </c>
      <c r="R24" s="284">
        <v>81.0</v>
      </c>
      <c r="S24" s="284">
        <v>2.0</v>
      </c>
      <c r="T24" s="284">
        <v>83.0</v>
      </c>
      <c r="U24" s="284">
        <v>1.0</v>
      </c>
      <c r="V24" s="284">
        <v>3.0</v>
      </c>
      <c r="W24" s="284">
        <v>6.0</v>
      </c>
      <c r="X24" s="284">
        <v>23.0</v>
      </c>
      <c r="Y24" s="284">
        <v>7.0</v>
      </c>
      <c r="Z24" s="284">
        <v>17.0</v>
      </c>
      <c r="AA24" s="284">
        <v>0.0</v>
      </c>
      <c r="AB24" s="284">
        <v>0.0</v>
      </c>
      <c r="AC24" s="284">
        <v>1.0</v>
      </c>
      <c r="AD24" s="284">
        <v>1.0</v>
      </c>
      <c r="AE24" s="284">
        <v>280.0</v>
      </c>
      <c r="AF24" s="284">
        <v>304.0</v>
      </c>
      <c r="AG24" s="284">
        <v>73.0</v>
      </c>
      <c r="AH24" s="309">
        <f t="shared" si="2"/>
        <v>206660.7086</v>
      </c>
      <c r="AI24" s="309">
        <f t="shared" si="3"/>
        <v>4.164383562</v>
      </c>
      <c r="AJ24" s="311">
        <v>140000.0</v>
      </c>
      <c r="AK24" s="309">
        <f t="shared" si="29"/>
        <v>420000</v>
      </c>
      <c r="AL24" s="286"/>
      <c r="AM24" s="313">
        <f t="shared" si="5"/>
        <v>0.02783995417</v>
      </c>
      <c r="AN24" s="309">
        <f t="shared" si="6"/>
        <v>181055.7711</v>
      </c>
      <c r="AO24" s="314">
        <f t="shared" si="7"/>
        <v>1.058682928</v>
      </c>
      <c r="AP24" s="315">
        <v>0.23</v>
      </c>
      <c r="AQ24" s="284">
        <v>380.0</v>
      </c>
      <c r="AR24" s="284">
        <v>514.0</v>
      </c>
      <c r="AS24" s="284">
        <v>7625.87</v>
      </c>
      <c r="AT24" s="284">
        <v>2.0</v>
      </c>
      <c r="AU24" s="284">
        <v>76.0</v>
      </c>
      <c r="AV24" s="284">
        <v>83.0</v>
      </c>
      <c r="AW24" s="284">
        <v>19.0</v>
      </c>
      <c r="AX24" s="284">
        <v>3.0</v>
      </c>
      <c r="AY24" s="309">
        <v>8479126.0</v>
      </c>
      <c r="AZ24" s="316"/>
      <c r="BA24" s="307" t="str">
        <f t="shared" si="8"/>
        <v>Active</v>
      </c>
      <c r="BB24" s="307" t="str">
        <f t="shared" si="9"/>
        <v>Old</v>
      </c>
      <c r="BC24" s="307" t="str">
        <f t="shared" si="10"/>
        <v>Above 100%</v>
      </c>
      <c r="BD24" s="286">
        <f t="shared" si="11"/>
        <v>3</v>
      </c>
      <c r="BE24" s="328">
        <v>4750000.0</v>
      </c>
      <c r="BF24" s="284">
        <f t="shared" si="12"/>
        <v>2</v>
      </c>
      <c r="BG24" s="307" t="s">
        <v>488</v>
      </c>
      <c r="BH24" s="272">
        <f>IFERROR(__xludf.DUMMYFUNCTION("""COMPUTED_VALUE"""),4.6407355E7)</f>
        <v>46407355</v>
      </c>
      <c r="BI24" s="272">
        <f>IFERROR(__xludf.DUMMYFUNCTION("""COMPUTED_VALUE"""),4.731294639999999E7)</f>
        <v>47312946.4</v>
      </c>
      <c r="BJ24" s="273"/>
      <c r="BK24" s="330">
        <v>83333.0</v>
      </c>
      <c r="BL24" s="319">
        <f t="shared" si="13"/>
        <v>249999</v>
      </c>
      <c r="BM24" s="319">
        <f t="shared" si="14"/>
        <v>14250000</v>
      </c>
      <c r="BN24" s="274"/>
      <c r="BO24" s="311">
        <f>IFERROR(__xludf.DUMMYFUNCTION("IFERROR(ArrayFormula(SUM(VLOOKUP($C24,importrange(""1PTkkEa_ENkSqsGnpqoXy9kt0Fe1hCtlmU6kVFBNaonY"",""ORDER BOOKING REPORT 2025-26!C:CV""),{16,23,30},0))))"),1.1254506760000002E7)</f>
        <v>11254506.76</v>
      </c>
      <c r="BP24" s="311">
        <f>IFERROR(__xludf.DUMMYFUNCTION("IFERROR(ArrayFormula(SUM(VLOOKUP($C24,importrange(""1PTkkEa_ENkSqsGnpqoXy9kt0Fe1hCtlmU6kVFBNaonY"",""ORDER BOOKING REPORT 2025-26!C:CV""),{37,44,51},0))))"),9449830.02)</f>
        <v>9449830.02</v>
      </c>
      <c r="BQ24" s="311">
        <f>IFERROR(__xludf.DUMMYFUNCTION("IFERROR(ArrayFormula(SUM(VLOOKUP($C24,importrange(""1PTkkEa_ENkSqsGnpqoXy9kt0Fe1hCtlmU6kVFBNaonY"",""ORDER BOOKING REPORT 2025-26!C:CV""),{58,65,72},0))))"),1.1992934479999999E7)</f>
        <v>11992934.48</v>
      </c>
      <c r="BR24" s="311">
        <f>IFERROR(__xludf.DUMMYFUNCTION("IFERROR(ArrayFormula(SUM(VLOOKUP($C24,importrange(""1PTkkEa_ENkSqsGnpqoXy9kt0Fe1hCtlmU6kVFBNaonY"",""ORDER BOOKING REPORT 2025-26!C:CV""),{79,86,93},0))))"),1.461567514E7)</f>
        <v>14615675.14</v>
      </c>
      <c r="BS24" s="322">
        <f t="shared" si="15"/>
        <v>0.595026386</v>
      </c>
      <c r="BT24" s="322">
        <f t="shared" si="16"/>
        <v>0.0495334071</v>
      </c>
      <c r="BU24" s="287">
        <f t="shared" si="17"/>
        <v>0</v>
      </c>
      <c r="BV24" s="320">
        <v>140000.0</v>
      </c>
      <c r="BW24" s="321" t="s">
        <v>494</v>
      </c>
      <c r="BX24" s="320">
        <v>464.0</v>
      </c>
      <c r="BY24" s="287">
        <f t="shared" si="18"/>
        <v>0</v>
      </c>
      <c r="BZ24" s="10"/>
      <c r="CA24" s="10"/>
      <c r="CB24" s="10"/>
      <c r="CC24" s="10"/>
      <c r="CD24" s="10"/>
      <c r="CE24" s="10"/>
      <c r="CF24" s="10"/>
      <c r="CG24" s="318" t="str">
        <f t="shared" si="21"/>
        <v> </v>
      </c>
      <c r="CH24" s="318" t="str">
        <f t="shared" si="28"/>
        <v>Business Achieved 50%</v>
      </c>
      <c r="CI24" s="322">
        <f t="shared" si="22"/>
        <v>0.7904761905</v>
      </c>
      <c r="CJ24" s="323"/>
      <c r="CK24" s="323"/>
      <c r="CL24" s="323"/>
      <c r="CM24" s="324">
        <f t="shared" si="23"/>
        <v>280</v>
      </c>
      <c r="CN24" s="337"/>
      <c r="CO24" s="152"/>
      <c r="CP24" s="332" t="s">
        <v>540</v>
      </c>
      <c r="CQ24" s="326">
        <f t="shared" si="24"/>
        <v>4</v>
      </c>
      <c r="CR24" s="326">
        <f t="shared" si="25"/>
        <v>0</v>
      </c>
      <c r="CS24" s="152"/>
      <c r="CT24" s="284">
        <f t="shared" si="26"/>
        <v>0</v>
      </c>
      <c r="CU24" s="152"/>
      <c r="CV24" s="152"/>
      <c r="CW24" s="327">
        <f t="shared" si="27"/>
        <v>0</v>
      </c>
      <c r="CX24" s="270"/>
      <c r="CY24" s="152"/>
      <c r="CZ24" s="152"/>
    </row>
    <row r="25" hidden="1">
      <c r="A25" s="307" t="s">
        <v>160</v>
      </c>
      <c r="B25" s="307" t="s">
        <v>523</v>
      </c>
      <c r="C25" s="307" t="s">
        <v>541</v>
      </c>
      <c r="D25" s="307" t="s">
        <v>524</v>
      </c>
      <c r="E25" s="307" t="s">
        <v>542</v>
      </c>
      <c r="F25" s="308">
        <v>43424.0</v>
      </c>
      <c r="G25" s="309">
        <v>0.0</v>
      </c>
      <c r="H25" s="309">
        <v>7500000.0</v>
      </c>
      <c r="I25" s="287">
        <v>7538798.0</v>
      </c>
      <c r="J25" s="287">
        <v>0.0</v>
      </c>
      <c r="K25" s="284">
        <v>124.0</v>
      </c>
      <c r="L25" s="284">
        <v>69.0</v>
      </c>
      <c r="M25" s="284">
        <v>4.0</v>
      </c>
      <c r="N25" s="284">
        <v>128.0</v>
      </c>
      <c r="O25" s="284">
        <v>59.0</v>
      </c>
      <c r="P25" s="287">
        <v>7368768.48</v>
      </c>
      <c r="Q25" s="287">
        <v>170029.6</v>
      </c>
      <c r="R25" s="284">
        <v>73.0</v>
      </c>
      <c r="S25" s="284">
        <v>4.0</v>
      </c>
      <c r="T25" s="284">
        <v>77.0</v>
      </c>
      <c r="U25" s="284">
        <v>0.0</v>
      </c>
      <c r="V25" s="284">
        <v>2.0</v>
      </c>
      <c r="W25" s="284">
        <v>2.0</v>
      </c>
      <c r="X25" s="284">
        <v>18.0</v>
      </c>
      <c r="Y25" s="284">
        <v>6.0</v>
      </c>
      <c r="Z25" s="284">
        <v>59.0</v>
      </c>
      <c r="AA25" s="284">
        <v>1.0</v>
      </c>
      <c r="AB25" s="284">
        <v>2.0</v>
      </c>
      <c r="AC25" s="284">
        <v>0.0</v>
      </c>
      <c r="AD25" s="284">
        <v>0.0</v>
      </c>
      <c r="AE25" s="284">
        <v>266.0</v>
      </c>
      <c r="AF25" s="284">
        <v>329.0</v>
      </c>
      <c r="AG25" s="284">
        <v>76.0</v>
      </c>
      <c r="AH25" s="309">
        <f t="shared" si="2"/>
        <v>99194.71053</v>
      </c>
      <c r="AI25" s="309">
        <f t="shared" si="3"/>
        <v>4.328947368</v>
      </c>
      <c r="AJ25" s="311">
        <v>41430.0</v>
      </c>
      <c r="AK25" s="309">
        <f t="shared" si="29"/>
        <v>124290</v>
      </c>
      <c r="AL25" s="286"/>
      <c r="AM25" s="313">
        <f t="shared" si="5"/>
        <v>0.01648671313</v>
      </c>
      <c r="AN25" s="309">
        <f t="shared" si="6"/>
        <v>97906.46753</v>
      </c>
      <c r="AO25" s="314">
        <f t="shared" si="7"/>
        <v>1.005173067</v>
      </c>
      <c r="AP25" s="315">
        <v>0.0</v>
      </c>
      <c r="AQ25" s="284">
        <v>226.0</v>
      </c>
      <c r="AR25" s="284">
        <v>584.0</v>
      </c>
      <c r="AS25" s="284">
        <v>5839.34</v>
      </c>
      <c r="AT25" s="284">
        <v>4.0</v>
      </c>
      <c r="AU25" s="284">
        <v>85.0</v>
      </c>
      <c r="AV25" s="284">
        <v>77.0</v>
      </c>
      <c r="AW25" s="284">
        <v>18.0</v>
      </c>
      <c r="AX25" s="284">
        <v>33.0</v>
      </c>
      <c r="AY25" s="309">
        <v>6325424.4</v>
      </c>
      <c r="AZ25" s="316"/>
      <c r="BA25" s="307" t="str">
        <f t="shared" si="8"/>
        <v>Active</v>
      </c>
      <c r="BB25" s="307" t="str">
        <f t="shared" si="9"/>
        <v>Old</v>
      </c>
      <c r="BC25" s="307" t="str">
        <f t="shared" si="10"/>
        <v>Above 100%</v>
      </c>
      <c r="BD25" s="286">
        <f t="shared" si="11"/>
        <v>3</v>
      </c>
      <c r="BE25" s="328">
        <v>2500000.0</v>
      </c>
      <c r="BF25" s="284">
        <f t="shared" si="12"/>
        <v>0</v>
      </c>
      <c r="BG25" s="307" t="s">
        <v>488</v>
      </c>
      <c r="BH25" s="272">
        <f>IFERROR(__xludf.DUMMYFUNCTION("""COMPUTED_VALUE"""),1.5159872510000002E7)</f>
        <v>15159872.51</v>
      </c>
      <c r="BI25" s="272">
        <f>IFERROR(__xludf.DUMMYFUNCTION("""COMPUTED_VALUE"""),1.3289206029999997E7)</f>
        <v>13289206.03</v>
      </c>
      <c r="BJ25" s="273"/>
      <c r="BK25" s="319"/>
      <c r="BL25" s="319">
        <f t="shared" si="13"/>
        <v>0</v>
      </c>
      <c r="BM25" s="319">
        <f t="shared" si="14"/>
        <v>7500000</v>
      </c>
      <c r="BN25" s="274"/>
      <c r="BO25" s="311">
        <f>IFERROR(__xludf.DUMMYFUNCTION("IFERROR(ArrayFormula(SUM(VLOOKUP($C25,importrange(""1PTkkEa_ENkSqsGnpqoXy9kt0Fe1hCtlmU6kVFBNaonY"",""ORDER BOOKING REPORT 2025-26!C:CV""),{16,23,30},0))))"),3034393.75)</f>
        <v>3034393.75</v>
      </c>
      <c r="BP25" s="311">
        <f>IFERROR(__xludf.DUMMYFUNCTION("IFERROR(ArrayFormula(SUM(VLOOKUP($C25,importrange(""1PTkkEa_ENkSqsGnpqoXy9kt0Fe1hCtlmU6kVFBNaonY"",""ORDER BOOKING REPORT 2025-26!C:CV""),{37,44,51},0))))"),3287598.29)</f>
        <v>3287598.29</v>
      </c>
      <c r="BQ25" s="311">
        <f>IFERROR(__xludf.DUMMYFUNCTION("IFERROR(ArrayFormula(SUM(VLOOKUP($C25,importrange(""1PTkkEa_ENkSqsGnpqoXy9kt0Fe1hCtlmU6kVFBNaonY"",""ORDER BOOKING REPORT 2025-26!C:CV""),{58,65,72},0))))"),3186335.0500000007)</f>
        <v>3186335.05</v>
      </c>
      <c r="BR25" s="311">
        <f>IFERROR(__xludf.DUMMYFUNCTION("IFERROR(ArrayFormula(SUM(VLOOKUP($C25,importrange(""1PTkkEa_ENkSqsGnpqoXy9kt0Fe1hCtlmU6kVFBNaonY"",""ORDER BOOKING REPORT 2025-26!C:CV""),{79,86,93},0))))"),3780878.94)</f>
        <v>3780878.94</v>
      </c>
      <c r="BS25" s="322">
        <f t="shared" si="15"/>
        <v>0.84338992</v>
      </c>
      <c r="BT25" s="322">
        <f t="shared" si="16"/>
        <v>0.01964927444</v>
      </c>
      <c r="BU25" s="287">
        <f t="shared" si="17"/>
        <v>0</v>
      </c>
      <c r="BV25" s="320">
        <v>41430.0</v>
      </c>
      <c r="BW25" s="321" t="s">
        <v>489</v>
      </c>
      <c r="BX25" s="320">
        <v>485.0</v>
      </c>
      <c r="BY25" s="287">
        <f t="shared" si="18"/>
        <v>0</v>
      </c>
      <c r="BZ25" s="10"/>
      <c r="CA25" s="10"/>
      <c r="CB25" s="10"/>
      <c r="CC25" s="10"/>
      <c r="CD25" s="10"/>
      <c r="CE25" s="10"/>
      <c r="CF25" s="10"/>
      <c r="CG25" s="318" t="str">
        <f t="shared" si="21"/>
        <v> </v>
      </c>
      <c r="CH25" s="318" t="str">
        <f t="shared" si="28"/>
        <v>Business Achieved 50%</v>
      </c>
      <c r="CI25" s="322">
        <f t="shared" si="22"/>
        <v>0.6015625</v>
      </c>
      <c r="CJ25" s="323"/>
      <c r="CK25" s="323"/>
      <c r="CL25" s="323"/>
      <c r="CM25" s="324">
        <f t="shared" si="23"/>
        <v>266</v>
      </c>
      <c r="CN25" s="337"/>
      <c r="CO25" s="152"/>
      <c r="CP25" s="332" t="s">
        <v>535</v>
      </c>
      <c r="CQ25" s="326">
        <f t="shared" si="24"/>
        <v>3</v>
      </c>
      <c r="CR25" s="326">
        <f t="shared" si="25"/>
        <v>0</v>
      </c>
      <c r="CS25" s="152"/>
      <c r="CT25" s="284">
        <f t="shared" si="26"/>
        <v>0</v>
      </c>
      <c r="CU25" s="152"/>
      <c r="CV25" s="152"/>
      <c r="CW25" s="327">
        <f t="shared" si="27"/>
        <v>0</v>
      </c>
      <c r="CX25" s="270"/>
      <c r="CY25" s="152"/>
      <c r="CZ25" s="152"/>
    </row>
    <row r="26">
      <c r="A26" s="307" t="s">
        <v>160</v>
      </c>
      <c r="B26" s="307" t="s">
        <v>499</v>
      </c>
      <c r="C26" s="307" t="s">
        <v>174</v>
      </c>
      <c r="D26" s="307" t="s">
        <v>500</v>
      </c>
      <c r="E26" s="307" t="s">
        <v>175</v>
      </c>
      <c r="F26" s="329">
        <v>43556.0</v>
      </c>
      <c r="G26" s="309">
        <v>0.0</v>
      </c>
      <c r="H26" s="309">
        <v>0.0</v>
      </c>
      <c r="I26" s="287">
        <v>9404291.0</v>
      </c>
      <c r="J26" s="287">
        <v>0.0</v>
      </c>
      <c r="K26" s="284">
        <v>74.0</v>
      </c>
      <c r="L26" s="284">
        <v>65.0</v>
      </c>
      <c r="M26" s="284">
        <v>1.0</v>
      </c>
      <c r="N26" s="284">
        <v>75.0</v>
      </c>
      <c r="O26" s="284">
        <v>10.0</v>
      </c>
      <c r="P26" s="287">
        <v>9022788.8</v>
      </c>
      <c r="Q26" s="287">
        <v>381502.44</v>
      </c>
      <c r="R26" s="284">
        <v>42.0</v>
      </c>
      <c r="S26" s="284">
        <v>1.0</v>
      </c>
      <c r="T26" s="284">
        <v>43.0</v>
      </c>
      <c r="U26" s="284">
        <v>0.0</v>
      </c>
      <c r="V26" s="284">
        <v>0.0</v>
      </c>
      <c r="W26" s="284">
        <v>0.0</v>
      </c>
      <c r="X26" s="284">
        <v>0.0</v>
      </c>
      <c r="Y26" s="284">
        <v>2.0</v>
      </c>
      <c r="Z26" s="284">
        <v>41.0</v>
      </c>
      <c r="AA26" s="284">
        <v>0.0</v>
      </c>
      <c r="AB26" s="284">
        <v>0.0</v>
      </c>
      <c r="AC26" s="284">
        <v>0.0</v>
      </c>
      <c r="AD26" s="284">
        <v>0.0</v>
      </c>
      <c r="AE26" s="284">
        <v>295.0</v>
      </c>
      <c r="AF26" s="284">
        <v>336.0</v>
      </c>
      <c r="AG26" s="284">
        <v>75.0</v>
      </c>
      <c r="AH26" s="309">
        <f t="shared" si="2"/>
        <v>125390.5467</v>
      </c>
      <c r="AI26" s="309">
        <f t="shared" si="3"/>
        <v>4.48</v>
      </c>
      <c r="AJ26" s="311">
        <v>39070.0</v>
      </c>
      <c r="AK26" s="309">
        <f t="shared" si="29"/>
        <v>117210</v>
      </c>
      <c r="AL26" s="312"/>
      <c r="AM26" s="313">
        <f t="shared" si="5"/>
        <v>0.0124634595</v>
      </c>
      <c r="AN26" s="309">
        <f t="shared" si="6"/>
        <v>218704.4419</v>
      </c>
      <c r="AO26" s="314" t="str">
        <f t="shared" si="7"/>
        <v/>
      </c>
      <c r="AP26" s="315">
        <v>0.0</v>
      </c>
      <c r="AQ26" s="284">
        <v>93.0</v>
      </c>
      <c r="AR26" s="284">
        <v>823.0</v>
      </c>
      <c r="AS26" s="284">
        <v>4826.61</v>
      </c>
      <c r="AT26" s="284">
        <v>1.0</v>
      </c>
      <c r="AU26" s="284">
        <v>74.0</v>
      </c>
      <c r="AV26" s="284">
        <v>43.0</v>
      </c>
      <c r="AW26" s="284">
        <v>23.0</v>
      </c>
      <c r="AX26" s="284">
        <v>9.0</v>
      </c>
      <c r="AY26" s="309">
        <v>4169612.0</v>
      </c>
      <c r="AZ26" s="316"/>
      <c r="BA26" s="307" t="str">
        <f t="shared" si="8"/>
        <v>Active</v>
      </c>
      <c r="BB26" s="307" t="str">
        <f t="shared" si="9"/>
        <v>Old</v>
      </c>
      <c r="BC26" s="307" t="str">
        <f t="shared" si="10"/>
        <v>Below 50%</v>
      </c>
      <c r="BD26" s="286">
        <f t="shared" si="11"/>
        <v>3</v>
      </c>
      <c r="BE26" s="328"/>
      <c r="BF26" s="284">
        <f t="shared" si="12"/>
        <v>0</v>
      </c>
      <c r="BG26" s="307" t="s">
        <v>488</v>
      </c>
      <c r="BH26" s="272">
        <f>IFERROR(__xludf.DUMMYFUNCTION("""COMPUTED_VALUE"""),1.97633465E7)</f>
        <v>19763346.5</v>
      </c>
      <c r="BI26" s="272">
        <f>IFERROR(__xludf.DUMMYFUNCTION("""COMPUTED_VALUE"""),1.9321508900000002E7)</f>
        <v>19321508.9</v>
      </c>
      <c r="BJ26" s="273"/>
      <c r="BK26" s="274"/>
      <c r="BL26" s="319">
        <f t="shared" si="13"/>
        <v>0</v>
      </c>
      <c r="BM26" s="319">
        <f t="shared" si="14"/>
        <v>0</v>
      </c>
      <c r="BN26" s="274"/>
      <c r="BO26" s="311">
        <f>IFERROR(__xludf.DUMMYFUNCTION("IFERROR(ArrayFormula(SUM(VLOOKUP($C26,importrange(""1PTkkEa_ENkSqsGnpqoXy9kt0Fe1hCtlmU6kVFBNaonY"",""ORDER BOOKING REPORT 2025-26!C:CV""),{16,23,30},0))))"),4434309.27)</f>
        <v>4434309.27</v>
      </c>
      <c r="BP26" s="311">
        <f>IFERROR(__xludf.DUMMYFUNCTION("IFERROR(ArrayFormula(SUM(VLOOKUP($C26,importrange(""1PTkkEa_ENkSqsGnpqoXy9kt0Fe1hCtlmU6kVFBNaonY"",""ORDER BOOKING REPORT 2025-26!C:CV""),{37,44,51},0))))"),4021359.12)</f>
        <v>4021359.12</v>
      </c>
      <c r="BQ26" s="311">
        <f>IFERROR(__xludf.DUMMYFUNCTION("IFERROR(ArrayFormula(SUM(VLOOKUP($C26,importrange(""1PTkkEa_ENkSqsGnpqoXy9kt0Fe1hCtlmU6kVFBNaonY"",""ORDER BOOKING REPORT 2025-26!C:CV""),{58,65,72},0))))"),5485215.69)</f>
        <v>5485215.69</v>
      </c>
      <c r="BR26" s="311">
        <f>IFERROR(__xludf.DUMMYFUNCTION("IFERROR(ArrayFormula(SUM(VLOOKUP($C26,importrange(""1PTkkEa_ENkSqsGnpqoXy9kt0Fe1hCtlmU6kVFBNaonY"",""ORDER BOOKING REPORT 2025-26!C:CV""),{79,86,93},0))))"),5380624.82)</f>
        <v>5380624.82</v>
      </c>
      <c r="BS26" s="322" t="str">
        <f t="shared" si="15"/>
        <v/>
      </c>
      <c r="BT26" s="322">
        <f t="shared" si="16"/>
        <v>0.02811052923</v>
      </c>
      <c r="BU26" s="287">
        <f t="shared" si="17"/>
        <v>0</v>
      </c>
      <c r="BV26" s="320">
        <v>39070.0</v>
      </c>
      <c r="BW26" s="321" t="s">
        <v>502</v>
      </c>
      <c r="BX26" s="320">
        <v>518.0</v>
      </c>
      <c r="BY26" s="287">
        <f t="shared" si="18"/>
        <v>0</v>
      </c>
      <c r="BZ26" s="10"/>
      <c r="CA26" s="10"/>
      <c r="CB26" s="10"/>
      <c r="CC26" s="10"/>
      <c r="CD26" s="10"/>
      <c r="CE26" s="10"/>
      <c r="CF26" s="10"/>
      <c r="CG26" s="318" t="str">
        <f t="shared" si="21"/>
        <v> </v>
      </c>
      <c r="CH26" s="318" t="str">
        <f t="shared" si="28"/>
        <v>Business Achieved 50%</v>
      </c>
      <c r="CI26" s="322">
        <f t="shared" si="22"/>
        <v>0.5733333333</v>
      </c>
      <c r="CJ26" s="323"/>
      <c r="CK26" s="323"/>
      <c r="CL26" s="323"/>
      <c r="CM26" s="324">
        <f t="shared" si="23"/>
        <v>295</v>
      </c>
      <c r="CN26" s="325"/>
      <c r="CO26" s="6"/>
      <c r="CP26" s="307" t="s">
        <v>543</v>
      </c>
      <c r="CQ26" s="326">
        <f t="shared" si="24"/>
        <v>2</v>
      </c>
      <c r="CR26" s="326">
        <f t="shared" si="25"/>
        <v>0</v>
      </c>
      <c r="CS26" s="6"/>
      <c r="CT26" s="284">
        <f t="shared" si="26"/>
        <v>0</v>
      </c>
      <c r="CU26" s="6"/>
      <c r="CV26" s="6"/>
      <c r="CW26" s="327">
        <f t="shared" si="27"/>
        <v>0</v>
      </c>
      <c r="CX26" s="270"/>
      <c r="CY26" s="6"/>
      <c r="CZ26" s="6"/>
    </row>
    <row r="27">
      <c r="A27" s="307" t="s">
        <v>72</v>
      </c>
      <c r="B27" s="307" t="s">
        <v>540</v>
      </c>
      <c r="C27" s="307" t="s">
        <v>318</v>
      </c>
      <c r="D27" s="307" t="s">
        <v>544</v>
      </c>
      <c r="E27" s="307" t="s">
        <v>319</v>
      </c>
      <c r="F27" s="329">
        <v>43557.0</v>
      </c>
      <c r="G27" s="309">
        <v>0.0</v>
      </c>
      <c r="H27" s="309">
        <v>0.0</v>
      </c>
      <c r="I27" s="287">
        <v>299720.0</v>
      </c>
      <c r="J27" s="287">
        <v>0.0</v>
      </c>
      <c r="K27" s="284">
        <v>121.0</v>
      </c>
      <c r="L27" s="284">
        <v>59.0</v>
      </c>
      <c r="M27" s="284">
        <v>0.0</v>
      </c>
      <c r="N27" s="284">
        <v>121.0</v>
      </c>
      <c r="O27" s="284">
        <v>62.0</v>
      </c>
      <c r="P27" s="287">
        <v>299720.0</v>
      </c>
      <c r="Q27" s="287">
        <v>0.0</v>
      </c>
      <c r="R27" s="284">
        <v>9.0</v>
      </c>
      <c r="S27" s="284">
        <v>0.0</v>
      </c>
      <c r="T27" s="284">
        <v>9.0</v>
      </c>
      <c r="U27" s="284">
        <v>0.0</v>
      </c>
      <c r="V27" s="284">
        <v>7.0</v>
      </c>
      <c r="W27" s="284">
        <v>12.0</v>
      </c>
      <c r="X27" s="284">
        <v>62.0</v>
      </c>
      <c r="Y27" s="284">
        <v>1.0</v>
      </c>
      <c r="Z27" s="284">
        <v>1.0</v>
      </c>
      <c r="AA27" s="284">
        <v>0.0</v>
      </c>
      <c r="AB27" s="284">
        <v>0.0</v>
      </c>
      <c r="AC27" s="284">
        <v>0.0</v>
      </c>
      <c r="AD27" s="284">
        <v>0.0</v>
      </c>
      <c r="AE27" s="284">
        <v>118.0</v>
      </c>
      <c r="AF27" s="284">
        <v>131.0</v>
      </c>
      <c r="AG27" s="284">
        <v>29.0</v>
      </c>
      <c r="AH27" s="309">
        <f t="shared" si="2"/>
        <v>10335.17241</v>
      </c>
      <c r="AI27" s="309">
        <f t="shared" si="3"/>
        <v>4.517241379</v>
      </c>
      <c r="AJ27" s="311">
        <v>54510.0</v>
      </c>
      <c r="AK27" s="309">
        <f t="shared" si="29"/>
        <v>67047.3</v>
      </c>
      <c r="AL27" s="286"/>
      <c r="AM27" s="313">
        <f t="shared" si="5"/>
        <v>0.2236997865</v>
      </c>
      <c r="AN27" s="309">
        <f t="shared" si="6"/>
        <v>33302.22222</v>
      </c>
      <c r="AO27" s="314" t="str">
        <f t="shared" si="7"/>
        <v/>
      </c>
      <c r="AP27" s="315">
        <v>0.0</v>
      </c>
      <c r="AQ27" s="284">
        <v>15.0</v>
      </c>
      <c r="AR27" s="284">
        <v>281.0</v>
      </c>
      <c r="AS27" s="284">
        <v>2461.76</v>
      </c>
      <c r="AT27" s="284">
        <v>0.0</v>
      </c>
      <c r="AU27" s="284">
        <v>42.0</v>
      </c>
      <c r="AV27" s="284">
        <v>9.0</v>
      </c>
      <c r="AW27" s="284">
        <v>53.0</v>
      </c>
      <c r="AX27" s="284">
        <v>59.0</v>
      </c>
      <c r="AY27" s="309">
        <v>0.0</v>
      </c>
      <c r="AZ27" s="316">
        <v>46149.0</v>
      </c>
      <c r="BA27" s="307" t="str">
        <f t="shared" si="8"/>
        <v>LEFT</v>
      </c>
      <c r="BB27" s="307" t="str">
        <f t="shared" si="9"/>
        <v>Old</v>
      </c>
      <c r="BC27" s="307" t="str">
        <f t="shared" si="10"/>
        <v>Below 50%</v>
      </c>
      <c r="BD27" s="343">
        <v>1.23</v>
      </c>
      <c r="BE27" s="328"/>
      <c r="BF27" s="284">
        <f t="shared" si="12"/>
        <v>0</v>
      </c>
      <c r="BG27" s="307" t="s">
        <v>488</v>
      </c>
      <c r="BH27" s="272">
        <f>IFERROR(__xludf.DUMMYFUNCTION("""COMPUTED_VALUE"""),1.516936E7)</f>
        <v>15169360</v>
      </c>
      <c r="BI27" s="272">
        <f>IFERROR(__xludf.DUMMYFUNCTION("""COMPUTED_VALUE"""),1.311022775E7)</f>
        <v>13110227.75</v>
      </c>
      <c r="BJ27" s="273"/>
      <c r="BK27" s="274"/>
      <c r="BL27" s="319">
        <f t="shared" si="13"/>
        <v>0</v>
      </c>
      <c r="BM27" s="319">
        <f t="shared" si="14"/>
        <v>0</v>
      </c>
      <c r="BN27" s="274"/>
      <c r="BO27" s="311">
        <f>IFERROR(__xludf.DUMMYFUNCTION("IFERROR(ArrayFormula(SUM(VLOOKUP($C27,importrange(""1PTkkEa_ENkSqsGnpqoXy9kt0Fe1hCtlmU6kVFBNaonY"",""ORDER BOOKING REPORT 2025-26!C:CV""),{16,23,30},0))))"),3499949.3000000003)</f>
        <v>3499949.3</v>
      </c>
      <c r="BP27" s="311">
        <f>IFERROR(__xludf.DUMMYFUNCTION("IFERROR(ArrayFormula(SUM(VLOOKUP($C27,importrange(""1PTkkEa_ENkSqsGnpqoXy9kt0Fe1hCtlmU6kVFBNaonY"",""ORDER BOOKING REPORT 2025-26!C:CV""),{37,44,51},0))))"),3514995.72)</f>
        <v>3514995.72</v>
      </c>
      <c r="BQ27" s="311">
        <f>IFERROR(__xludf.DUMMYFUNCTION("IFERROR(ArrayFormula(SUM(VLOOKUP($C27,importrange(""1PTkkEa_ENkSqsGnpqoXy9kt0Fe1hCtlmU6kVFBNaonY"",""ORDER BOOKING REPORT 2025-26!C:CV""),{58,65,72},0))))"),2592237.6700000004)</f>
        <v>2592237.67</v>
      </c>
      <c r="BR27" s="311">
        <f>IFERROR(__xludf.DUMMYFUNCTION("IFERROR(ArrayFormula(SUM(VLOOKUP($C27,importrange(""1PTkkEa_ENkSqsGnpqoXy9kt0Fe1hCtlmU6kVFBNaonY"",""ORDER BOOKING REPORT 2025-26!C:CV""),{79,86,93},0))))"),3503045.06)</f>
        <v>3503045.06</v>
      </c>
      <c r="BS27" s="322" t="str">
        <f t="shared" si="15"/>
        <v/>
      </c>
      <c r="BT27" s="322" t="str">
        <f t="shared" si="16"/>
        <v/>
      </c>
      <c r="BU27" s="287">
        <f t="shared" si="17"/>
        <v>0</v>
      </c>
      <c r="BV27" s="320">
        <v>54510.0</v>
      </c>
      <c r="BW27" s="321" t="s">
        <v>489</v>
      </c>
      <c r="BX27" s="320">
        <v>510.0</v>
      </c>
      <c r="BY27" s="287">
        <f t="shared" si="18"/>
        <v>0</v>
      </c>
      <c r="BZ27" s="10"/>
      <c r="CA27" s="10"/>
      <c r="CB27" s="10"/>
      <c r="CC27" s="10"/>
      <c r="CD27" s="10"/>
      <c r="CE27" s="10"/>
      <c r="CF27" s="10"/>
      <c r="CG27" s="318" t="str">
        <f t="shared" si="21"/>
        <v> </v>
      </c>
      <c r="CH27" s="318" t="str">
        <f t="shared" si="28"/>
        <v>Not 50%</v>
      </c>
      <c r="CI27" s="322">
        <f t="shared" si="22"/>
        <v>0.07438016529</v>
      </c>
      <c r="CJ27" s="323"/>
      <c r="CK27" s="323"/>
      <c r="CL27" s="323"/>
      <c r="CM27" s="324">
        <f t="shared" si="23"/>
        <v>118</v>
      </c>
      <c r="CN27" s="337"/>
      <c r="CO27" s="152"/>
      <c r="CP27" s="332" t="s">
        <v>483</v>
      </c>
      <c r="CQ27" s="326">
        <f t="shared" si="24"/>
        <v>26</v>
      </c>
      <c r="CR27" s="326">
        <f t="shared" si="25"/>
        <v>4</v>
      </c>
      <c r="CS27" s="152"/>
      <c r="CT27" s="284">
        <f t="shared" si="26"/>
        <v>0</v>
      </c>
      <c r="CU27" s="152"/>
      <c r="CV27" s="152"/>
      <c r="CW27" s="327">
        <f t="shared" si="27"/>
        <v>0</v>
      </c>
      <c r="CX27" s="270"/>
      <c r="CY27" s="152"/>
      <c r="CZ27" s="152"/>
    </row>
    <row r="28" hidden="1">
      <c r="A28" s="307" t="s">
        <v>160</v>
      </c>
      <c r="B28" s="307" t="s">
        <v>491</v>
      </c>
      <c r="C28" s="307" t="s">
        <v>178</v>
      </c>
      <c r="D28" s="307" t="s">
        <v>504</v>
      </c>
      <c r="E28" s="307" t="s">
        <v>179</v>
      </c>
      <c r="F28" s="329">
        <v>43647.0</v>
      </c>
      <c r="G28" s="309">
        <v>0.0</v>
      </c>
      <c r="H28" s="309">
        <v>2.475E7</v>
      </c>
      <c r="I28" s="287">
        <v>1.2828673E7</v>
      </c>
      <c r="J28" s="287">
        <v>0.0</v>
      </c>
      <c r="K28" s="284">
        <v>78.0</v>
      </c>
      <c r="L28" s="284">
        <v>76.0</v>
      </c>
      <c r="M28" s="284">
        <v>2.0</v>
      </c>
      <c r="N28" s="284">
        <v>80.0</v>
      </c>
      <c r="O28" s="284">
        <v>4.0</v>
      </c>
      <c r="P28" s="287">
        <v>1.223362007E7</v>
      </c>
      <c r="Q28" s="287">
        <v>595053.18</v>
      </c>
      <c r="R28" s="284">
        <v>50.0</v>
      </c>
      <c r="S28" s="284">
        <v>2.0</v>
      </c>
      <c r="T28" s="284">
        <v>52.0</v>
      </c>
      <c r="U28" s="284">
        <v>0.0</v>
      </c>
      <c r="V28" s="284">
        <v>14.0</v>
      </c>
      <c r="W28" s="284">
        <v>20.0</v>
      </c>
      <c r="X28" s="284">
        <v>42.0</v>
      </c>
      <c r="Y28" s="284">
        <v>1.0</v>
      </c>
      <c r="Z28" s="284">
        <v>17.0</v>
      </c>
      <c r="AA28" s="284">
        <v>0.0</v>
      </c>
      <c r="AB28" s="284">
        <v>0.0</v>
      </c>
      <c r="AC28" s="284">
        <v>0.0</v>
      </c>
      <c r="AD28" s="284">
        <v>0.0</v>
      </c>
      <c r="AE28" s="284">
        <v>312.0</v>
      </c>
      <c r="AF28" s="284">
        <v>349.0</v>
      </c>
      <c r="AG28" s="284">
        <v>78.0</v>
      </c>
      <c r="AH28" s="309">
        <f t="shared" si="2"/>
        <v>164470.1667</v>
      </c>
      <c r="AI28" s="309">
        <f t="shared" si="3"/>
        <v>4.474358974</v>
      </c>
      <c r="AJ28" s="311">
        <v>32605.0</v>
      </c>
      <c r="AK28" s="309">
        <f t="shared" si="29"/>
        <v>97815</v>
      </c>
      <c r="AL28" s="312"/>
      <c r="AM28" s="313">
        <f t="shared" si="5"/>
        <v>0.007624716913</v>
      </c>
      <c r="AN28" s="309">
        <f t="shared" si="6"/>
        <v>246705.25</v>
      </c>
      <c r="AO28" s="314">
        <f t="shared" si="7"/>
        <v>0.5183302222</v>
      </c>
      <c r="AP28" s="315">
        <v>0.0</v>
      </c>
      <c r="AQ28" s="284">
        <v>184.0</v>
      </c>
      <c r="AR28" s="284">
        <v>858.0</v>
      </c>
      <c r="AS28" s="284">
        <v>7768.21</v>
      </c>
      <c r="AT28" s="284">
        <v>2.0</v>
      </c>
      <c r="AU28" s="284">
        <v>102.0</v>
      </c>
      <c r="AV28" s="284">
        <v>52.0</v>
      </c>
      <c r="AW28" s="284">
        <v>25.0</v>
      </c>
      <c r="AX28" s="284">
        <v>3.0</v>
      </c>
      <c r="AY28" s="309">
        <v>1.6335968E7</v>
      </c>
      <c r="AZ28" s="316"/>
      <c r="BA28" s="307" t="str">
        <f t="shared" si="8"/>
        <v>Active</v>
      </c>
      <c r="BB28" s="307" t="str">
        <f t="shared" si="9"/>
        <v>Old</v>
      </c>
      <c r="BC28" s="307" t="str">
        <f t="shared" si="10"/>
        <v>50%-70%</v>
      </c>
      <c r="BD28" s="286">
        <f t="shared" ref="BD28:BD50" si="30">Match($BD$3,{"Apr","May","Jun","Jul","Aug","Sep","Oct","Nov","Dec","Jan","Feb","Mar"},0)</f>
        <v>3</v>
      </c>
      <c r="BE28" s="328">
        <v>8250000.0</v>
      </c>
      <c r="BF28" s="284">
        <f t="shared" si="12"/>
        <v>0</v>
      </c>
      <c r="BG28" s="307" t="s">
        <v>488</v>
      </c>
      <c r="BH28" s="272">
        <f>IFERROR(__xludf.DUMMYFUNCTION("""COMPUTED_VALUE"""),7.0602696E7)</f>
        <v>70602696</v>
      </c>
      <c r="BI28" s="272">
        <f>IFERROR(__xludf.DUMMYFUNCTION("""COMPUTED_VALUE"""),6.494560242E7)</f>
        <v>64945602.42</v>
      </c>
      <c r="BJ28" s="273"/>
      <c r="BK28" s="274"/>
      <c r="BL28" s="319">
        <f t="shared" si="13"/>
        <v>0</v>
      </c>
      <c r="BM28" s="319">
        <f t="shared" si="14"/>
        <v>24750000</v>
      </c>
      <c r="BN28" s="274"/>
      <c r="BO28" s="311">
        <f>IFERROR(__xludf.DUMMYFUNCTION("IFERROR(ArrayFormula(SUM(VLOOKUP($C28,importrange(""1PTkkEa_ENkSqsGnpqoXy9kt0Fe1hCtlmU6kVFBNaonY"",""ORDER BOOKING REPORT 2025-26!C:CV""),{16,23,30},0))))"),1.17630211E7)</f>
        <v>11763021.1</v>
      </c>
      <c r="BP28" s="311">
        <f>IFERROR(__xludf.DUMMYFUNCTION("IFERROR(ArrayFormula(SUM(VLOOKUP($C28,importrange(""1PTkkEa_ENkSqsGnpqoXy9kt0Fe1hCtlmU6kVFBNaonY"",""ORDER BOOKING REPORT 2025-26!C:CV""),{37,44,51},0))))"),1.4178704940000001E7)</f>
        <v>14178704.94</v>
      </c>
      <c r="BQ28" s="311">
        <f>IFERROR(__xludf.DUMMYFUNCTION("IFERROR(ArrayFormula(SUM(VLOOKUP($C28,importrange(""1PTkkEa_ENkSqsGnpqoXy9kt0Fe1hCtlmU6kVFBNaonY"",""ORDER BOOKING REPORT 2025-26!C:CV""),{58,65,72},0))))"),1.6808827560000002E7)</f>
        <v>16808827.56</v>
      </c>
      <c r="BR28" s="311">
        <f>IFERROR(__xludf.DUMMYFUNCTION("IFERROR(ArrayFormula(SUM(VLOOKUP($C28,importrange(""1PTkkEa_ENkSqsGnpqoXy9kt0Fe1hCtlmU6kVFBNaonY"",""ORDER BOOKING REPORT 2025-26!C:CV""),{79,86,93},0))))"),2.219504882E7)</f>
        <v>22195048.82</v>
      </c>
      <c r="BS28" s="322">
        <f t="shared" si="15"/>
        <v>0.6600391111</v>
      </c>
      <c r="BT28" s="322">
        <f t="shared" si="16"/>
        <v>0.005987707615</v>
      </c>
      <c r="BU28" s="287">
        <f t="shared" si="17"/>
        <v>0</v>
      </c>
      <c r="BV28" s="320">
        <v>32605.0</v>
      </c>
      <c r="BW28" s="321" t="s">
        <v>502</v>
      </c>
      <c r="BX28" s="320">
        <v>627.0</v>
      </c>
      <c r="BY28" s="287">
        <f t="shared" si="18"/>
        <v>0</v>
      </c>
      <c r="BZ28" s="10"/>
      <c r="CA28" s="10"/>
      <c r="CB28" s="10"/>
      <c r="CC28" s="10"/>
      <c r="CD28" s="10"/>
      <c r="CE28" s="10"/>
      <c r="CF28" s="10"/>
      <c r="CG28" s="318" t="str">
        <f t="shared" si="21"/>
        <v> </v>
      </c>
      <c r="CH28" s="318" t="str">
        <f t="shared" si="28"/>
        <v>Business Achieved 50%</v>
      </c>
      <c r="CI28" s="322">
        <f t="shared" si="22"/>
        <v>0.65</v>
      </c>
      <c r="CJ28" s="323"/>
      <c r="CK28" s="323"/>
      <c r="CL28" s="323"/>
      <c r="CM28" s="324">
        <f t="shared" si="23"/>
        <v>312</v>
      </c>
      <c r="CN28" s="325"/>
      <c r="CO28" s="6"/>
      <c r="CP28" s="6" t="s">
        <v>545</v>
      </c>
      <c r="CQ28" s="327"/>
      <c r="CR28" s="327"/>
      <c r="CS28" s="6"/>
      <c r="CT28" s="284">
        <f t="shared" si="26"/>
        <v>0</v>
      </c>
      <c r="CU28" s="6"/>
      <c r="CV28" s="6"/>
      <c r="CW28" s="327">
        <f t="shared" si="27"/>
        <v>0</v>
      </c>
      <c r="CX28" s="270"/>
      <c r="CY28" s="6"/>
      <c r="CZ28" s="6"/>
    </row>
    <row r="29" hidden="1">
      <c r="A29" s="307" t="s">
        <v>160</v>
      </c>
      <c r="B29" s="307" t="s">
        <v>499</v>
      </c>
      <c r="C29" s="307" t="s">
        <v>176</v>
      </c>
      <c r="D29" s="307" t="s">
        <v>500</v>
      </c>
      <c r="E29" s="307" t="s">
        <v>546</v>
      </c>
      <c r="F29" s="329">
        <v>43710.0</v>
      </c>
      <c r="G29" s="309">
        <v>0.0</v>
      </c>
      <c r="H29" s="309">
        <v>6600000.0</v>
      </c>
      <c r="I29" s="287">
        <v>5014248.0</v>
      </c>
      <c r="J29" s="287">
        <v>140628.33</v>
      </c>
      <c r="K29" s="284">
        <v>47.0</v>
      </c>
      <c r="L29" s="284">
        <v>45.0</v>
      </c>
      <c r="M29" s="284">
        <v>0.0</v>
      </c>
      <c r="N29" s="284">
        <v>47.0</v>
      </c>
      <c r="O29" s="284">
        <v>2.0</v>
      </c>
      <c r="P29" s="287">
        <v>5014247.56</v>
      </c>
      <c r="Q29" s="287">
        <v>0.0</v>
      </c>
      <c r="R29" s="284">
        <v>43.0</v>
      </c>
      <c r="S29" s="284">
        <v>0.0</v>
      </c>
      <c r="T29" s="284">
        <v>43.0</v>
      </c>
      <c r="U29" s="284">
        <v>1.0</v>
      </c>
      <c r="V29" s="284">
        <v>0.0</v>
      </c>
      <c r="W29" s="284">
        <v>0.0</v>
      </c>
      <c r="X29" s="284">
        <v>38.0</v>
      </c>
      <c r="Y29" s="284">
        <v>0.0</v>
      </c>
      <c r="Z29" s="284">
        <v>0.0</v>
      </c>
      <c r="AA29" s="284">
        <v>2.0</v>
      </c>
      <c r="AB29" s="284">
        <v>28.0</v>
      </c>
      <c r="AC29" s="284">
        <v>0.0</v>
      </c>
      <c r="AD29" s="284">
        <v>0.0</v>
      </c>
      <c r="AE29" s="284">
        <v>263.0</v>
      </c>
      <c r="AF29" s="284">
        <v>291.0</v>
      </c>
      <c r="AG29" s="284">
        <v>73.0</v>
      </c>
      <c r="AH29" s="309">
        <f t="shared" si="2"/>
        <v>70614.74425</v>
      </c>
      <c r="AI29" s="309">
        <f t="shared" si="3"/>
        <v>3.98630137</v>
      </c>
      <c r="AJ29" s="311">
        <v>50950.0</v>
      </c>
      <c r="AK29" s="309">
        <f t="shared" si="29"/>
        <v>152850</v>
      </c>
      <c r="AL29" s="312"/>
      <c r="AM29" s="313">
        <f t="shared" si="5"/>
        <v>0.02965153579</v>
      </c>
      <c r="AN29" s="309">
        <f t="shared" si="6"/>
        <v>116610.4186</v>
      </c>
      <c r="AO29" s="314">
        <f t="shared" si="7"/>
        <v>0.7810418682</v>
      </c>
      <c r="AP29" s="315">
        <v>0.0</v>
      </c>
      <c r="AQ29" s="284">
        <v>145.0</v>
      </c>
      <c r="AR29" s="284">
        <v>792.0</v>
      </c>
      <c r="AS29" s="284">
        <v>12153.79</v>
      </c>
      <c r="AT29" s="284">
        <v>0.0</v>
      </c>
      <c r="AU29" s="284">
        <v>270.0</v>
      </c>
      <c r="AV29" s="284">
        <v>43.0</v>
      </c>
      <c r="AW29" s="284">
        <v>4.0</v>
      </c>
      <c r="AX29" s="284">
        <v>0.0</v>
      </c>
      <c r="AY29" s="309">
        <v>2594709.0</v>
      </c>
      <c r="AZ29" s="316"/>
      <c r="BA29" s="307" t="str">
        <f t="shared" si="8"/>
        <v>Active</v>
      </c>
      <c r="BB29" s="307" t="str">
        <f t="shared" si="9"/>
        <v>Old</v>
      </c>
      <c r="BC29" s="307" t="str">
        <f t="shared" si="10"/>
        <v>70%-90%</v>
      </c>
      <c r="BD29" s="286">
        <f t="shared" si="30"/>
        <v>3</v>
      </c>
      <c r="BE29" s="328">
        <v>2200000.0</v>
      </c>
      <c r="BF29" s="284">
        <f t="shared" si="12"/>
        <v>0</v>
      </c>
      <c r="BG29" s="307" t="s">
        <v>488</v>
      </c>
      <c r="BH29" s="272">
        <f>IFERROR(__xludf.DUMMYFUNCTION("""COMPUTED_VALUE"""),1.6929903E7)</f>
        <v>16929903</v>
      </c>
      <c r="BI29" s="272">
        <f>IFERROR(__xludf.DUMMYFUNCTION("""COMPUTED_VALUE"""),1.8956581160000004E7)</f>
        <v>18956581.16</v>
      </c>
      <c r="BJ29" s="273"/>
      <c r="BK29" s="274"/>
      <c r="BL29" s="319">
        <f t="shared" si="13"/>
        <v>0</v>
      </c>
      <c r="BM29" s="319">
        <f t="shared" si="14"/>
        <v>6600000</v>
      </c>
      <c r="BN29" s="274"/>
      <c r="BO29" s="311">
        <f>IFERROR(__xludf.DUMMYFUNCTION("IFERROR(ArrayFormula(SUM(VLOOKUP($C29,importrange(""1PTkkEa_ENkSqsGnpqoXy9kt0Fe1hCtlmU6kVFBNaonY"",""ORDER BOOKING REPORT 2025-26!C:CV""),{16,23,30},0))))"),4491878.399999999)</f>
        <v>4491878.4</v>
      </c>
      <c r="BP29" s="311">
        <f>IFERROR(__xludf.DUMMYFUNCTION("IFERROR(ArrayFormula(SUM(VLOOKUP($C29,importrange(""1PTkkEa_ENkSqsGnpqoXy9kt0Fe1hCtlmU6kVFBNaonY"",""ORDER BOOKING REPORT 2025-26!C:CV""),{37,44,51},0))))"),4757658.67)</f>
        <v>4757658.67</v>
      </c>
      <c r="BQ29" s="311">
        <f>IFERROR(__xludf.DUMMYFUNCTION("IFERROR(ArrayFormula(SUM(VLOOKUP($C29,importrange(""1PTkkEa_ENkSqsGnpqoXy9kt0Fe1hCtlmU6kVFBNaonY"",""ORDER BOOKING REPORT 2025-26!C:CV""),{58,65,72},0))))"),4443511.12)</f>
        <v>4443511.12</v>
      </c>
      <c r="BR29" s="311">
        <f>IFERROR(__xludf.DUMMYFUNCTION("IFERROR(ArrayFormula(SUM(VLOOKUP($C29,importrange(""1PTkkEa_ENkSqsGnpqoXy9kt0Fe1hCtlmU6kVFBNaonY"",""ORDER BOOKING REPORT 2025-26!C:CV""),{79,86,93},0))))"),5263532.97)</f>
        <v>5263532.97</v>
      </c>
      <c r="BS29" s="322">
        <f t="shared" si="15"/>
        <v>0.3931377273</v>
      </c>
      <c r="BT29" s="322">
        <f t="shared" si="16"/>
        <v>0.05890834001</v>
      </c>
      <c r="BU29" s="287">
        <f t="shared" si="17"/>
        <v>0</v>
      </c>
      <c r="BV29" s="320">
        <v>50950.0</v>
      </c>
      <c r="BW29" s="321" t="s">
        <v>489</v>
      </c>
      <c r="BX29" s="320">
        <v>555.0</v>
      </c>
      <c r="BY29" s="287">
        <f t="shared" si="18"/>
        <v>0</v>
      </c>
      <c r="BZ29" s="10"/>
      <c r="CA29" s="10"/>
      <c r="CB29" s="10"/>
      <c r="CC29" s="10"/>
      <c r="CD29" s="10"/>
      <c r="CE29" s="10"/>
      <c r="CF29" s="10"/>
      <c r="CG29" s="318" t="str">
        <f t="shared" si="21"/>
        <v>Below 60</v>
      </c>
      <c r="CH29" s="318" t="str">
        <f t="shared" si="28"/>
        <v>Business Achieved 50%</v>
      </c>
      <c r="CI29" s="322">
        <f t="shared" si="22"/>
        <v>0.914893617</v>
      </c>
      <c r="CJ29" s="323"/>
      <c r="CK29" s="323"/>
      <c r="CL29" s="323"/>
      <c r="CM29" s="324">
        <f t="shared" si="23"/>
        <v>263</v>
      </c>
      <c r="CN29" s="325"/>
      <c r="CO29" s="6"/>
      <c r="CP29" s="6"/>
      <c r="CQ29" s="327"/>
      <c r="CR29" s="327"/>
      <c r="CS29" s="6"/>
      <c r="CT29" s="284">
        <f t="shared" si="26"/>
        <v>0</v>
      </c>
      <c r="CU29" s="6"/>
      <c r="CV29" s="6"/>
      <c r="CW29" s="327">
        <f t="shared" si="27"/>
        <v>0</v>
      </c>
      <c r="CX29" s="270"/>
      <c r="CY29" s="6"/>
      <c r="CZ29" s="6"/>
    </row>
    <row r="30" hidden="1">
      <c r="A30" s="307" t="s">
        <v>160</v>
      </c>
      <c r="B30" s="307" t="s">
        <v>534</v>
      </c>
      <c r="C30" s="307" t="s">
        <v>188</v>
      </c>
      <c r="D30" s="307" t="s">
        <v>547</v>
      </c>
      <c r="E30" s="307" t="s">
        <v>189</v>
      </c>
      <c r="F30" s="329">
        <v>43710.0</v>
      </c>
      <c r="G30" s="309">
        <v>0.0</v>
      </c>
      <c r="H30" s="309">
        <v>3999999.0</v>
      </c>
      <c r="I30" s="287">
        <v>2755752.0</v>
      </c>
      <c r="J30" s="287">
        <v>0.0</v>
      </c>
      <c r="K30" s="284">
        <v>77.0</v>
      </c>
      <c r="L30" s="284">
        <v>66.0</v>
      </c>
      <c r="M30" s="284">
        <v>6.0</v>
      </c>
      <c r="N30" s="284">
        <v>83.0</v>
      </c>
      <c r="O30" s="284">
        <v>17.0</v>
      </c>
      <c r="P30" s="287">
        <v>2473799.59</v>
      </c>
      <c r="Q30" s="287">
        <v>281952.44</v>
      </c>
      <c r="R30" s="284">
        <v>31.0</v>
      </c>
      <c r="S30" s="284">
        <v>6.0</v>
      </c>
      <c r="T30" s="284">
        <v>37.0</v>
      </c>
      <c r="U30" s="284">
        <v>0.0</v>
      </c>
      <c r="V30" s="284">
        <v>13.0</v>
      </c>
      <c r="W30" s="284">
        <v>17.0</v>
      </c>
      <c r="X30" s="284">
        <v>63.0</v>
      </c>
      <c r="Y30" s="284">
        <v>2.0</v>
      </c>
      <c r="Z30" s="284">
        <v>29.0</v>
      </c>
      <c r="AA30" s="284">
        <v>0.0</v>
      </c>
      <c r="AB30" s="284">
        <v>0.0</v>
      </c>
      <c r="AC30" s="284">
        <v>0.0</v>
      </c>
      <c r="AD30" s="284">
        <v>0.0</v>
      </c>
      <c r="AE30" s="284">
        <v>203.0</v>
      </c>
      <c r="AF30" s="284">
        <v>249.0</v>
      </c>
      <c r="AG30" s="284">
        <v>75.0</v>
      </c>
      <c r="AH30" s="309">
        <f t="shared" si="2"/>
        <v>36743.36</v>
      </c>
      <c r="AI30" s="309">
        <f t="shared" si="3"/>
        <v>3.32</v>
      </c>
      <c r="AJ30" s="311">
        <v>28050.0</v>
      </c>
      <c r="AK30" s="309">
        <f t="shared" si="29"/>
        <v>84150</v>
      </c>
      <c r="AL30" s="312"/>
      <c r="AM30" s="313">
        <f t="shared" si="5"/>
        <v>0.03053612952</v>
      </c>
      <c r="AN30" s="309">
        <f t="shared" si="6"/>
        <v>74479.78378</v>
      </c>
      <c r="AO30" s="314">
        <f t="shared" si="7"/>
        <v>0.6889381722</v>
      </c>
      <c r="AP30" s="315">
        <v>0.0</v>
      </c>
      <c r="AQ30" s="284">
        <v>88.0</v>
      </c>
      <c r="AR30" s="284">
        <v>592.0</v>
      </c>
      <c r="AS30" s="284">
        <v>2733.19</v>
      </c>
      <c r="AT30" s="284">
        <v>6.0</v>
      </c>
      <c r="AU30" s="284">
        <v>41.0</v>
      </c>
      <c r="AV30" s="284">
        <v>37.0</v>
      </c>
      <c r="AW30" s="284">
        <v>31.0</v>
      </c>
      <c r="AX30" s="284">
        <v>15.0</v>
      </c>
      <c r="AY30" s="309">
        <v>1937318.0</v>
      </c>
      <c r="AZ30" s="316"/>
      <c r="BA30" s="307" t="str">
        <f t="shared" si="8"/>
        <v>Active</v>
      </c>
      <c r="BB30" s="307" t="str">
        <f t="shared" si="9"/>
        <v>Old</v>
      </c>
      <c r="BC30" s="307" t="str">
        <f t="shared" si="10"/>
        <v>50%-70%</v>
      </c>
      <c r="BD30" s="286">
        <f t="shared" si="30"/>
        <v>3</v>
      </c>
      <c r="BE30" s="328">
        <v>1333333.0</v>
      </c>
      <c r="BF30" s="284">
        <f t="shared" si="12"/>
        <v>0</v>
      </c>
      <c r="BG30" s="307" t="s">
        <v>488</v>
      </c>
      <c r="BH30" s="272">
        <f>IFERROR(__xludf.DUMMYFUNCTION("""COMPUTED_VALUE"""),1.1054935E7)</f>
        <v>11054935</v>
      </c>
      <c r="BI30" s="272">
        <f>IFERROR(__xludf.DUMMYFUNCTION("""COMPUTED_VALUE"""),1.228557987E7)</f>
        <v>12285579.87</v>
      </c>
      <c r="BJ30" s="273"/>
      <c r="BK30" s="274"/>
      <c r="BL30" s="319">
        <f t="shared" si="13"/>
        <v>0</v>
      </c>
      <c r="BM30" s="319">
        <f t="shared" si="14"/>
        <v>3999999</v>
      </c>
      <c r="BN30" s="274"/>
      <c r="BO30" s="311">
        <f>IFERROR(__xludf.DUMMYFUNCTION("IFERROR(ArrayFormula(SUM(VLOOKUP($C30,importrange(""1PTkkEa_ENkSqsGnpqoXy9kt0Fe1hCtlmU6kVFBNaonY"",""ORDER BOOKING REPORT 2025-26!C:CV""),{16,23,30},0))))"),3632109.8299999996)</f>
        <v>3632109.83</v>
      </c>
      <c r="BP30" s="311">
        <f>IFERROR(__xludf.DUMMYFUNCTION("IFERROR(ArrayFormula(SUM(VLOOKUP($C30,importrange(""1PTkkEa_ENkSqsGnpqoXy9kt0Fe1hCtlmU6kVFBNaonY"",""ORDER BOOKING REPORT 2025-26!C:CV""),{37,44,51},0))))"),3143938.9000000004)</f>
        <v>3143938.9</v>
      </c>
      <c r="BQ30" s="311">
        <f>IFERROR(__xludf.DUMMYFUNCTION("IFERROR(ArrayFormula(SUM(VLOOKUP($C30,importrange(""1PTkkEa_ENkSqsGnpqoXy9kt0Fe1hCtlmU6kVFBNaonY"",""ORDER BOOKING REPORT 2025-26!C:CV""),{58,65,72},0))))"),2537853.0999999996)</f>
        <v>2537853.1</v>
      </c>
      <c r="BR30" s="311">
        <f>IFERROR(__xludf.DUMMYFUNCTION("IFERROR(ArrayFormula(SUM(VLOOKUP($C30,importrange(""1PTkkEa_ENkSqsGnpqoXy9kt0Fe1hCtlmU6kVFBNaonY"",""ORDER BOOKING REPORT 2025-26!C:CV""),{79,86,93},0))))"),2971678.04)</f>
        <v>2971678.04</v>
      </c>
      <c r="BS30" s="322">
        <f t="shared" si="15"/>
        <v>0.4843296211</v>
      </c>
      <c r="BT30" s="322">
        <f t="shared" si="16"/>
        <v>0.04343633828</v>
      </c>
      <c r="BU30" s="287">
        <f t="shared" si="17"/>
        <v>0</v>
      </c>
      <c r="BV30" s="320">
        <v>28050.0</v>
      </c>
      <c r="BW30" s="321" t="s">
        <v>526</v>
      </c>
      <c r="BX30" s="320">
        <v>708.0</v>
      </c>
      <c r="BY30" s="287">
        <f t="shared" si="18"/>
        <v>0</v>
      </c>
      <c r="BZ30" s="10"/>
      <c r="CA30" s="10"/>
      <c r="CB30" s="10"/>
      <c r="CC30" s="10"/>
      <c r="CD30" s="10"/>
      <c r="CE30" s="10"/>
      <c r="CF30" s="10"/>
      <c r="CG30" s="318" t="str">
        <f t="shared" si="21"/>
        <v> </v>
      </c>
      <c r="CH30" s="318" t="str">
        <f t="shared" si="28"/>
        <v>Not 50%</v>
      </c>
      <c r="CI30" s="322">
        <f t="shared" si="22"/>
        <v>0.4457831325</v>
      </c>
      <c r="CJ30" s="323"/>
      <c r="CK30" s="323"/>
      <c r="CL30" s="323"/>
      <c r="CM30" s="324">
        <f t="shared" si="23"/>
        <v>203</v>
      </c>
      <c r="CN30" s="325"/>
      <c r="CO30" s="6"/>
      <c r="CP30" s="6"/>
      <c r="CQ30" s="327"/>
      <c r="CR30" s="6"/>
      <c r="CS30" s="6"/>
      <c r="CT30" s="6"/>
      <c r="CU30" s="6"/>
      <c r="CV30" s="6"/>
      <c r="CW30" s="327">
        <f t="shared" si="27"/>
        <v>0</v>
      </c>
      <c r="CX30" s="270"/>
      <c r="CY30" s="6"/>
      <c r="CZ30" s="6"/>
    </row>
    <row r="31" hidden="1">
      <c r="A31" s="307" t="s">
        <v>72</v>
      </c>
      <c r="B31" s="307" t="s">
        <v>540</v>
      </c>
      <c r="C31" s="307" t="s">
        <v>87</v>
      </c>
      <c r="D31" s="307" t="s">
        <v>548</v>
      </c>
      <c r="E31" s="307" t="s">
        <v>549</v>
      </c>
      <c r="F31" s="329">
        <v>44046.0</v>
      </c>
      <c r="G31" s="309">
        <v>0.0</v>
      </c>
      <c r="H31" s="309">
        <v>5625000.0</v>
      </c>
      <c r="I31" s="287">
        <v>4493312.0</v>
      </c>
      <c r="J31" s="287">
        <v>0.0</v>
      </c>
      <c r="K31" s="284">
        <v>106.0</v>
      </c>
      <c r="L31" s="284">
        <v>107.0</v>
      </c>
      <c r="M31" s="284">
        <v>1.0</v>
      </c>
      <c r="N31" s="284">
        <v>107.0</v>
      </c>
      <c r="O31" s="284">
        <v>0.0</v>
      </c>
      <c r="P31" s="287">
        <v>4481120.03</v>
      </c>
      <c r="Q31" s="287">
        <v>12192.4</v>
      </c>
      <c r="R31" s="284">
        <v>66.0</v>
      </c>
      <c r="S31" s="284">
        <v>1.0</v>
      </c>
      <c r="T31" s="284">
        <v>67.0</v>
      </c>
      <c r="U31" s="284">
        <v>0.0</v>
      </c>
      <c r="V31" s="284">
        <v>3.0</v>
      </c>
      <c r="W31" s="284">
        <v>13.0</v>
      </c>
      <c r="X31" s="284">
        <v>1.0</v>
      </c>
      <c r="Y31" s="284">
        <v>1.0</v>
      </c>
      <c r="Z31" s="284">
        <v>2.0</v>
      </c>
      <c r="AA31" s="284">
        <v>0.0</v>
      </c>
      <c r="AB31" s="284">
        <v>0.0</v>
      </c>
      <c r="AC31" s="284">
        <v>0.0</v>
      </c>
      <c r="AD31" s="284">
        <v>0.0</v>
      </c>
      <c r="AE31" s="284">
        <v>485.0</v>
      </c>
      <c r="AF31" s="284">
        <v>500.0</v>
      </c>
      <c r="AG31" s="284">
        <v>72.0</v>
      </c>
      <c r="AH31" s="309">
        <f t="shared" si="2"/>
        <v>62407.11111</v>
      </c>
      <c r="AI31" s="309">
        <f t="shared" si="3"/>
        <v>6.944444444</v>
      </c>
      <c r="AJ31" s="311">
        <v>40380.0</v>
      </c>
      <c r="AK31" s="309">
        <f t="shared" si="29"/>
        <v>121140</v>
      </c>
      <c r="AL31" s="286"/>
      <c r="AM31" s="313">
        <f t="shared" si="5"/>
        <v>0.02696006865</v>
      </c>
      <c r="AN31" s="309">
        <f t="shared" si="6"/>
        <v>67064.35821</v>
      </c>
      <c r="AO31" s="314">
        <f t="shared" si="7"/>
        <v>0.7988110222</v>
      </c>
      <c r="AP31" s="315">
        <v>0.0</v>
      </c>
      <c r="AQ31" s="284">
        <v>166.0</v>
      </c>
      <c r="AR31" s="284">
        <v>818.0</v>
      </c>
      <c r="AS31" s="284">
        <v>10244.81</v>
      </c>
      <c r="AT31" s="284">
        <v>1.0</v>
      </c>
      <c r="AU31" s="284">
        <v>96.0</v>
      </c>
      <c r="AV31" s="284">
        <v>67.0</v>
      </c>
      <c r="AW31" s="284">
        <v>40.0</v>
      </c>
      <c r="AX31" s="284">
        <v>0.0</v>
      </c>
      <c r="AY31" s="309">
        <v>4573655.710000001</v>
      </c>
      <c r="AZ31" s="316"/>
      <c r="BA31" s="307" t="str">
        <f t="shared" si="8"/>
        <v>Active</v>
      </c>
      <c r="BB31" s="307" t="str">
        <f t="shared" si="9"/>
        <v>Old</v>
      </c>
      <c r="BC31" s="307" t="str">
        <f t="shared" si="10"/>
        <v>70%-90%</v>
      </c>
      <c r="BD31" s="286">
        <f t="shared" si="30"/>
        <v>3</v>
      </c>
      <c r="BE31" s="328">
        <v>1875000.0</v>
      </c>
      <c r="BF31" s="284">
        <f t="shared" si="12"/>
        <v>0</v>
      </c>
      <c r="BG31" s="307" t="s">
        <v>488</v>
      </c>
      <c r="BH31" s="272">
        <f>IFERROR(__xludf.DUMMYFUNCTION("""COMPUTED_VALUE"""),1.8954658E7)</f>
        <v>18954658</v>
      </c>
      <c r="BI31" s="272">
        <f>IFERROR(__xludf.DUMMYFUNCTION("""COMPUTED_VALUE"""),1.6007147949999997E7)</f>
        <v>16007147.95</v>
      </c>
      <c r="BJ31" s="273"/>
      <c r="BK31" s="274"/>
      <c r="BL31" s="319">
        <f t="shared" si="13"/>
        <v>0</v>
      </c>
      <c r="BM31" s="319">
        <f t="shared" si="14"/>
        <v>5625000</v>
      </c>
      <c r="BN31" s="274"/>
      <c r="BO31" s="311">
        <f>IFERROR(__xludf.DUMMYFUNCTION("IFERROR(ArrayFormula(SUM(VLOOKUP($C31,importrange(""1PTkkEa_ENkSqsGnpqoXy9kt0Fe1hCtlmU6kVFBNaonY"",""ORDER BOOKING REPORT 2025-26!C:CV""),{16,23,30},0))))"),3521017.7)</f>
        <v>3521017.7</v>
      </c>
      <c r="BP31" s="311">
        <f>IFERROR(__xludf.DUMMYFUNCTION("IFERROR(ArrayFormula(SUM(VLOOKUP($C31,importrange(""1PTkkEa_ENkSqsGnpqoXy9kt0Fe1hCtlmU6kVFBNaonY"",""ORDER BOOKING REPORT 2025-26!C:CV""),{37,44,51},0))))"),4032969.5999999996)</f>
        <v>4032969.6</v>
      </c>
      <c r="BQ31" s="311">
        <f>IFERROR(__xludf.DUMMYFUNCTION("IFERROR(ArrayFormula(SUM(VLOOKUP($C31,importrange(""1PTkkEa_ENkSqsGnpqoXy9kt0Fe1hCtlmU6kVFBNaonY"",""ORDER BOOKING REPORT 2025-26!C:CV""),{58,65,72},0))))"),3906202.8499999996)</f>
        <v>3906202.85</v>
      </c>
      <c r="BR31" s="311">
        <f>IFERROR(__xludf.DUMMYFUNCTION("IFERROR(ArrayFormula(SUM(VLOOKUP($C31,importrange(""1PTkkEa_ENkSqsGnpqoXy9kt0Fe1hCtlmU6kVFBNaonY"",""ORDER BOOKING REPORT 2025-26!C:CV""),{79,86,93},0))))"),4546957.8)</f>
        <v>4546957.8</v>
      </c>
      <c r="BS31" s="322">
        <f t="shared" si="15"/>
        <v>0.8130943484</v>
      </c>
      <c r="BT31" s="322">
        <f t="shared" si="16"/>
        <v>0.02648647115</v>
      </c>
      <c r="BU31" s="287">
        <f t="shared" si="17"/>
        <v>0</v>
      </c>
      <c r="BV31" s="320">
        <v>40380.0</v>
      </c>
      <c r="BW31" s="321" t="s">
        <v>550</v>
      </c>
      <c r="BX31" s="320">
        <v>601.0</v>
      </c>
      <c r="BY31" s="287">
        <f t="shared" si="18"/>
        <v>0</v>
      </c>
      <c r="BZ31" s="10"/>
      <c r="CA31" s="10"/>
      <c r="CB31" s="10"/>
      <c r="CC31" s="10"/>
      <c r="CD31" s="10"/>
      <c r="CE31" s="10"/>
      <c r="CF31" s="10"/>
      <c r="CG31" s="318" t="str">
        <f t="shared" si="21"/>
        <v> </v>
      </c>
      <c r="CH31" s="318" t="str">
        <f t="shared" si="28"/>
        <v>Business Achieved 50%</v>
      </c>
      <c r="CI31" s="322">
        <f t="shared" si="22"/>
        <v>0.6261682243</v>
      </c>
      <c r="CJ31" s="323"/>
      <c r="CK31" s="323"/>
      <c r="CL31" s="323"/>
      <c r="CM31" s="324">
        <f t="shared" si="23"/>
        <v>485</v>
      </c>
      <c r="CN31" s="337"/>
      <c r="CO31" s="152"/>
      <c r="CP31" s="152"/>
      <c r="CQ31" s="327"/>
      <c r="CR31" s="152"/>
      <c r="CS31" s="152"/>
      <c r="CT31" s="152"/>
      <c r="CU31" s="152"/>
      <c r="CV31" s="152"/>
      <c r="CW31" s="327">
        <f t="shared" si="27"/>
        <v>0</v>
      </c>
      <c r="CX31" s="270"/>
      <c r="CY31" s="152"/>
      <c r="CZ31" s="152"/>
    </row>
    <row r="32" hidden="1">
      <c r="A32" s="307" t="s">
        <v>160</v>
      </c>
      <c r="B32" s="307" t="s">
        <v>491</v>
      </c>
      <c r="C32" s="307" t="s">
        <v>190</v>
      </c>
      <c r="D32" s="307" t="s">
        <v>504</v>
      </c>
      <c r="E32" s="307" t="s">
        <v>191</v>
      </c>
      <c r="F32" s="329">
        <v>44166.0</v>
      </c>
      <c r="G32" s="309">
        <v>0.0</v>
      </c>
      <c r="H32" s="309">
        <v>8000001.0</v>
      </c>
      <c r="I32" s="287">
        <v>2478576.0</v>
      </c>
      <c r="J32" s="287">
        <v>0.0</v>
      </c>
      <c r="K32" s="284">
        <v>39.0</v>
      </c>
      <c r="L32" s="284">
        <v>37.0</v>
      </c>
      <c r="M32" s="284">
        <v>1.0</v>
      </c>
      <c r="N32" s="284">
        <v>40.0</v>
      </c>
      <c r="O32" s="284">
        <v>3.0</v>
      </c>
      <c r="P32" s="287">
        <v>2243369.69</v>
      </c>
      <c r="Q32" s="287">
        <v>235206.0</v>
      </c>
      <c r="R32" s="284">
        <v>12.0</v>
      </c>
      <c r="S32" s="284">
        <v>1.0</v>
      </c>
      <c r="T32" s="284">
        <v>13.0</v>
      </c>
      <c r="U32" s="284">
        <v>0.0</v>
      </c>
      <c r="V32" s="284">
        <v>18.0</v>
      </c>
      <c r="W32" s="284">
        <v>27.0</v>
      </c>
      <c r="X32" s="284">
        <v>15.0</v>
      </c>
      <c r="Y32" s="284">
        <v>2.0</v>
      </c>
      <c r="Z32" s="284">
        <v>7.0</v>
      </c>
      <c r="AA32" s="284">
        <v>0.0</v>
      </c>
      <c r="AB32" s="284">
        <v>0.0</v>
      </c>
      <c r="AC32" s="284">
        <v>0.0</v>
      </c>
      <c r="AD32" s="284">
        <v>0.0</v>
      </c>
      <c r="AE32" s="284">
        <v>164.0</v>
      </c>
      <c r="AF32" s="284">
        <v>198.0</v>
      </c>
      <c r="AG32" s="284">
        <v>76.0</v>
      </c>
      <c r="AH32" s="309">
        <f t="shared" si="2"/>
        <v>32612.84211</v>
      </c>
      <c r="AI32" s="309">
        <f t="shared" si="3"/>
        <v>2.605263158</v>
      </c>
      <c r="AJ32" s="311">
        <v>27200.0</v>
      </c>
      <c r="AK32" s="309">
        <f t="shared" si="29"/>
        <v>81600</v>
      </c>
      <c r="AL32" s="312"/>
      <c r="AM32" s="313">
        <f t="shared" si="5"/>
        <v>0.03292212948</v>
      </c>
      <c r="AN32" s="309">
        <f t="shared" si="6"/>
        <v>190659.6923</v>
      </c>
      <c r="AO32" s="314">
        <f t="shared" si="7"/>
        <v>0.3098219613</v>
      </c>
      <c r="AP32" s="315">
        <v>0.0</v>
      </c>
      <c r="AQ32" s="284">
        <v>18.0</v>
      </c>
      <c r="AR32" s="284">
        <v>563.0</v>
      </c>
      <c r="AS32" s="284">
        <v>2305.87</v>
      </c>
      <c r="AT32" s="284">
        <v>1.0</v>
      </c>
      <c r="AU32" s="284">
        <v>62.0</v>
      </c>
      <c r="AV32" s="284">
        <v>13.0</v>
      </c>
      <c r="AW32" s="284">
        <v>24.0</v>
      </c>
      <c r="AX32" s="284">
        <v>3.0</v>
      </c>
      <c r="AY32" s="309">
        <v>2409818.0</v>
      </c>
      <c r="AZ32" s="316"/>
      <c r="BA32" s="307" t="str">
        <f t="shared" si="8"/>
        <v>Active</v>
      </c>
      <c r="BB32" s="307" t="str">
        <f t="shared" si="9"/>
        <v>Old</v>
      </c>
      <c r="BC32" s="307" t="str">
        <f t="shared" si="10"/>
        <v>Below 50%</v>
      </c>
      <c r="BD32" s="286">
        <f t="shared" si="30"/>
        <v>3</v>
      </c>
      <c r="BE32" s="328">
        <v>2666667.0</v>
      </c>
      <c r="BF32" s="284">
        <f t="shared" si="12"/>
        <v>0</v>
      </c>
      <c r="BG32" s="307" t="s">
        <v>488</v>
      </c>
      <c r="BH32" s="272">
        <f>IFERROR(__xludf.DUMMYFUNCTION("""COMPUTED_VALUE"""),2.2287781E7)</f>
        <v>22287781</v>
      </c>
      <c r="BI32" s="272">
        <f>IFERROR(__xludf.DUMMYFUNCTION("""COMPUTED_VALUE"""),9992477.38)</f>
        <v>9992477.38</v>
      </c>
      <c r="BJ32" s="273"/>
      <c r="BK32" s="274"/>
      <c r="BL32" s="319">
        <f t="shared" si="13"/>
        <v>0</v>
      </c>
      <c r="BM32" s="319">
        <f t="shared" si="14"/>
        <v>8000001</v>
      </c>
      <c r="BN32" s="274"/>
      <c r="BO32" s="311">
        <f>IFERROR(__xludf.DUMMYFUNCTION("IFERROR(ArrayFormula(SUM(VLOOKUP($C32,importrange(""1PTkkEa_ENkSqsGnpqoXy9kt0Fe1hCtlmU6kVFBNaonY"",""ORDER BOOKING REPORT 2025-26!C:CV""),{16,23,30},0))))"),3098487.2)</f>
        <v>3098487.2</v>
      </c>
      <c r="BP32" s="311">
        <f>IFERROR(__xludf.DUMMYFUNCTION("IFERROR(ArrayFormula(SUM(VLOOKUP($C32,importrange(""1PTkkEa_ENkSqsGnpqoXy9kt0Fe1hCtlmU6kVFBNaonY"",""ORDER BOOKING REPORT 2025-26!C:CV""),{37,44,51},0))))"),2174534.7)</f>
        <v>2174534.7</v>
      </c>
      <c r="BQ32" s="311">
        <f>IFERROR(__xludf.DUMMYFUNCTION("IFERROR(ArrayFormula(SUM(VLOOKUP($C32,importrange(""1PTkkEa_ENkSqsGnpqoXy9kt0Fe1hCtlmU6kVFBNaonY"",""ORDER BOOKING REPORT 2025-26!C:CV""),{58,65,72},0))))"),2660740.03)</f>
        <v>2660740.03</v>
      </c>
      <c r="BR32" s="311">
        <f>IFERROR(__xludf.DUMMYFUNCTION("IFERROR(ArrayFormula(SUM(VLOOKUP($C32,importrange(""1PTkkEa_ENkSqsGnpqoXy9kt0Fe1hCtlmU6kVFBNaonY"",""ORDER BOOKING REPORT 2025-26!C:CV""),{79,86,93},0))))"),2058715.45)</f>
        <v>2058715.45</v>
      </c>
      <c r="BS32" s="322">
        <f t="shared" si="15"/>
        <v>0.3012272123</v>
      </c>
      <c r="BT32" s="322">
        <f t="shared" si="16"/>
        <v>0.03386147834</v>
      </c>
      <c r="BU32" s="287">
        <f t="shared" si="17"/>
        <v>0</v>
      </c>
      <c r="BV32" s="320">
        <v>27200.0</v>
      </c>
      <c r="BW32" s="321" t="s">
        <v>526</v>
      </c>
      <c r="BX32" s="320">
        <v>719.0</v>
      </c>
      <c r="BY32" s="287">
        <f t="shared" si="18"/>
        <v>0</v>
      </c>
      <c r="BZ32" s="10"/>
      <c r="CA32" s="10"/>
      <c r="CB32" s="10"/>
      <c r="CC32" s="10"/>
      <c r="CD32" s="10"/>
      <c r="CE32" s="10"/>
      <c r="CF32" s="10"/>
      <c r="CG32" s="318" t="str">
        <f t="shared" si="21"/>
        <v>Below 60</v>
      </c>
      <c r="CH32" s="318" t="str">
        <f t="shared" si="28"/>
        <v>Not 50%</v>
      </c>
      <c r="CI32" s="322">
        <f t="shared" si="22"/>
        <v>0.325</v>
      </c>
      <c r="CJ32" s="323"/>
      <c r="CK32" s="323"/>
      <c r="CL32" s="323"/>
      <c r="CM32" s="324">
        <f t="shared" si="23"/>
        <v>164</v>
      </c>
      <c r="CN32" s="325"/>
      <c r="CO32" s="6"/>
      <c r="CP32" s="6"/>
      <c r="CQ32" s="327"/>
      <c r="CR32" s="6"/>
      <c r="CS32" s="6"/>
      <c r="CT32" s="6"/>
      <c r="CU32" s="6"/>
      <c r="CV32" s="6"/>
      <c r="CW32" s="327">
        <f t="shared" si="27"/>
        <v>0</v>
      </c>
      <c r="CX32" s="270"/>
      <c r="CY32" s="6"/>
      <c r="CZ32" s="6"/>
    </row>
    <row r="33" hidden="1">
      <c r="A33" s="307" t="s">
        <v>160</v>
      </c>
      <c r="B33" s="307" t="s">
        <v>518</v>
      </c>
      <c r="C33" s="307" t="s">
        <v>180</v>
      </c>
      <c r="D33" s="307" t="s">
        <v>551</v>
      </c>
      <c r="E33" s="307" t="s">
        <v>181</v>
      </c>
      <c r="F33" s="329">
        <v>44228.0</v>
      </c>
      <c r="G33" s="309">
        <v>0.0</v>
      </c>
      <c r="H33" s="309">
        <v>1.05E7</v>
      </c>
      <c r="I33" s="287">
        <v>4361159.0</v>
      </c>
      <c r="J33" s="287">
        <v>0.0</v>
      </c>
      <c r="K33" s="284">
        <v>61.0</v>
      </c>
      <c r="L33" s="284">
        <v>58.0</v>
      </c>
      <c r="M33" s="284">
        <v>4.0</v>
      </c>
      <c r="N33" s="284">
        <v>65.0</v>
      </c>
      <c r="O33" s="284">
        <v>7.0</v>
      </c>
      <c r="P33" s="287">
        <v>3982558.43</v>
      </c>
      <c r="Q33" s="287">
        <v>378600.82</v>
      </c>
      <c r="R33" s="284">
        <v>37.0</v>
      </c>
      <c r="S33" s="284">
        <v>4.0</v>
      </c>
      <c r="T33" s="284">
        <v>41.0</v>
      </c>
      <c r="U33" s="284">
        <v>0.0</v>
      </c>
      <c r="V33" s="284">
        <v>25.0</v>
      </c>
      <c r="W33" s="284">
        <v>27.0</v>
      </c>
      <c r="X33" s="284">
        <v>128.0</v>
      </c>
      <c r="Y33" s="284">
        <v>1.0</v>
      </c>
      <c r="Z33" s="284">
        <v>60.0</v>
      </c>
      <c r="AA33" s="284">
        <v>0.0</v>
      </c>
      <c r="AB33" s="284">
        <v>0.0</v>
      </c>
      <c r="AC33" s="284">
        <v>1.0</v>
      </c>
      <c r="AD33" s="284">
        <v>1.0</v>
      </c>
      <c r="AE33" s="284">
        <v>134.0</v>
      </c>
      <c r="AF33" s="284">
        <v>222.0</v>
      </c>
      <c r="AG33" s="284">
        <v>78.0</v>
      </c>
      <c r="AH33" s="309">
        <f t="shared" si="2"/>
        <v>55912.29487</v>
      </c>
      <c r="AI33" s="309">
        <f t="shared" si="3"/>
        <v>2.846153846</v>
      </c>
      <c r="AJ33" s="311">
        <v>40500.0</v>
      </c>
      <c r="AK33" s="309">
        <f t="shared" si="29"/>
        <v>121500</v>
      </c>
      <c r="AL33" s="312"/>
      <c r="AM33" s="313">
        <f t="shared" si="5"/>
        <v>0.02785956669</v>
      </c>
      <c r="AN33" s="309">
        <f t="shared" si="6"/>
        <v>106369.7317</v>
      </c>
      <c r="AO33" s="314">
        <f t="shared" si="7"/>
        <v>0.4153484762</v>
      </c>
      <c r="AP33" s="315">
        <v>0.0</v>
      </c>
      <c r="AQ33" s="284">
        <v>78.0</v>
      </c>
      <c r="AR33" s="284">
        <v>819.0</v>
      </c>
      <c r="AS33" s="284">
        <v>5030.83</v>
      </c>
      <c r="AT33" s="284">
        <v>4.0</v>
      </c>
      <c r="AU33" s="284">
        <v>87.0</v>
      </c>
      <c r="AV33" s="284">
        <v>41.0</v>
      </c>
      <c r="AW33" s="284">
        <v>21.0</v>
      </c>
      <c r="AX33" s="284">
        <v>3.0</v>
      </c>
      <c r="AY33" s="309">
        <v>5979073.0</v>
      </c>
      <c r="AZ33" s="316"/>
      <c r="BA33" s="307" t="str">
        <f t="shared" si="8"/>
        <v>Active</v>
      </c>
      <c r="BB33" s="307" t="str">
        <f t="shared" si="9"/>
        <v>Old</v>
      </c>
      <c r="BC33" s="307" t="str">
        <f t="shared" si="10"/>
        <v>Below 50%</v>
      </c>
      <c r="BD33" s="286">
        <f t="shared" si="30"/>
        <v>3</v>
      </c>
      <c r="BE33" s="328">
        <v>3500000.0</v>
      </c>
      <c r="BF33" s="284">
        <f t="shared" si="12"/>
        <v>0</v>
      </c>
      <c r="BG33" s="307" t="s">
        <v>488</v>
      </c>
      <c r="BH33" s="272">
        <f>IFERROR(__xludf.DUMMYFUNCTION("""COMPUTED_VALUE"""),2.9463262E7)</f>
        <v>29463262</v>
      </c>
      <c r="BI33" s="272">
        <f>IFERROR(__xludf.DUMMYFUNCTION("""COMPUTED_VALUE"""),1.7398691019999996E7)</f>
        <v>17398691.02</v>
      </c>
      <c r="BJ33" s="273"/>
      <c r="BK33" s="274"/>
      <c r="BL33" s="319">
        <f t="shared" si="13"/>
        <v>0</v>
      </c>
      <c r="BM33" s="319">
        <f t="shared" si="14"/>
        <v>10500000</v>
      </c>
      <c r="BN33" s="274"/>
      <c r="BO33" s="311">
        <f>IFERROR(__xludf.DUMMYFUNCTION("IFERROR(ArrayFormula(SUM(VLOOKUP($C33,importrange(""1PTkkEa_ENkSqsGnpqoXy9kt0Fe1hCtlmU6kVFBNaonY"",""ORDER BOOKING REPORT 2025-26!C:CV""),{16,23,30},0))))"),3878092.04)</f>
        <v>3878092.04</v>
      </c>
      <c r="BP33" s="311">
        <f>IFERROR(__xludf.DUMMYFUNCTION("IFERROR(ArrayFormula(SUM(VLOOKUP($C33,importrange(""1PTkkEa_ENkSqsGnpqoXy9kt0Fe1hCtlmU6kVFBNaonY"",""ORDER BOOKING REPORT 2025-26!C:CV""),{37,44,51},0))))"),4751368.9799999995)</f>
        <v>4751368.98</v>
      </c>
      <c r="BQ33" s="311">
        <f>IFERROR(__xludf.DUMMYFUNCTION("IFERROR(ArrayFormula(SUM(VLOOKUP($C33,importrange(""1PTkkEa_ENkSqsGnpqoXy9kt0Fe1hCtlmU6kVFBNaonY"",""ORDER BOOKING REPORT 2025-26!C:CV""),{58,65,72},0))))"),4656551.46)</f>
        <v>4656551.46</v>
      </c>
      <c r="BR33" s="311">
        <f>IFERROR(__xludf.DUMMYFUNCTION("IFERROR(ArrayFormula(SUM(VLOOKUP($C33,importrange(""1PTkkEa_ENkSqsGnpqoXy9kt0Fe1hCtlmU6kVFBNaonY"",""ORDER BOOKING REPORT 2025-26!C:CV""),{79,86,93},0))))"),4112678.54)</f>
        <v>4112678.54</v>
      </c>
      <c r="BS33" s="322">
        <f t="shared" si="15"/>
        <v>0.5694355238</v>
      </c>
      <c r="BT33" s="322">
        <f t="shared" si="16"/>
        <v>0.02032087583</v>
      </c>
      <c r="BU33" s="287">
        <f t="shared" si="17"/>
        <v>0</v>
      </c>
      <c r="BV33" s="320">
        <v>40500.0</v>
      </c>
      <c r="BW33" s="321" t="s">
        <v>502</v>
      </c>
      <c r="BX33" s="320">
        <v>639.0</v>
      </c>
      <c r="BY33" s="287">
        <f t="shared" si="18"/>
        <v>0</v>
      </c>
      <c r="BZ33" s="10"/>
      <c r="CA33" s="10"/>
      <c r="CB33" s="10"/>
      <c r="CC33" s="10"/>
      <c r="CD33" s="10"/>
      <c r="CE33" s="10"/>
      <c r="CF33" s="10"/>
      <c r="CG33" s="318" t="str">
        <f t="shared" si="21"/>
        <v> </v>
      </c>
      <c r="CH33" s="318" t="str">
        <f t="shared" si="28"/>
        <v>Business Achieved 50%</v>
      </c>
      <c r="CI33" s="322">
        <f t="shared" si="22"/>
        <v>0.6307692308</v>
      </c>
      <c r="CJ33" s="323"/>
      <c r="CK33" s="323"/>
      <c r="CL33" s="323"/>
      <c r="CM33" s="324">
        <f t="shared" si="23"/>
        <v>134</v>
      </c>
      <c r="CN33" s="325"/>
      <c r="CO33" s="6"/>
      <c r="CP33" s="6"/>
      <c r="CQ33" s="327"/>
      <c r="CR33" s="6"/>
      <c r="CS33" s="6"/>
      <c r="CT33" s="6"/>
      <c r="CU33" s="6"/>
      <c r="CV33" s="6"/>
      <c r="CW33" s="327">
        <f t="shared" si="27"/>
        <v>0</v>
      </c>
      <c r="CX33" s="270"/>
      <c r="CY33" s="6"/>
      <c r="CZ33" s="6"/>
    </row>
    <row r="34" hidden="1">
      <c r="A34" s="307" t="s">
        <v>103</v>
      </c>
      <c r="B34" s="307" t="s">
        <v>495</v>
      </c>
      <c r="C34" s="307" t="s">
        <v>552</v>
      </c>
      <c r="D34" s="307" t="s">
        <v>553</v>
      </c>
      <c r="E34" s="307" t="s">
        <v>114</v>
      </c>
      <c r="F34" s="308">
        <v>44245.0</v>
      </c>
      <c r="G34" s="309">
        <v>0.0</v>
      </c>
      <c r="H34" s="309">
        <v>8400000.0</v>
      </c>
      <c r="I34" s="287">
        <v>4632220.0</v>
      </c>
      <c r="J34" s="287">
        <v>0.0</v>
      </c>
      <c r="K34" s="284">
        <v>109.0</v>
      </c>
      <c r="L34" s="284">
        <v>91.0</v>
      </c>
      <c r="M34" s="284">
        <v>1.0</v>
      </c>
      <c r="N34" s="284">
        <v>110.0</v>
      </c>
      <c r="O34" s="284">
        <v>19.0</v>
      </c>
      <c r="P34" s="287">
        <v>4473041.02</v>
      </c>
      <c r="Q34" s="287">
        <v>159178.56</v>
      </c>
      <c r="R34" s="284">
        <v>41.0</v>
      </c>
      <c r="S34" s="284">
        <v>1.0</v>
      </c>
      <c r="T34" s="284">
        <v>42.0</v>
      </c>
      <c r="U34" s="284">
        <v>0.0</v>
      </c>
      <c r="V34" s="284">
        <v>14.0</v>
      </c>
      <c r="W34" s="284">
        <v>22.0</v>
      </c>
      <c r="X34" s="284">
        <v>126.0</v>
      </c>
      <c r="Y34" s="284">
        <v>1.0</v>
      </c>
      <c r="Z34" s="284">
        <v>7.0</v>
      </c>
      <c r="AA34" s="284">
        <v>0.0</v>
      </c>
      <c r="AB34" s="284">
        <v>0.0</v>
      </c>
      <c r="AC34" s="284">
        <v>0.0</v>
      </c>
      <c r="AD34" s="284">
        <v>0.0</v>
      </c>
      <c r="AE34" s="284">
        <v>290.0</v>
      </c>
      <c r="AF34" s="284">
        <v>319.0</v>
      </c>
      <c r="AG34" s="284">
        <v>75.0</v>
      </c>
      <c r="AH34" s="309">
        <f t="shared" si="2"/>
        <v>61762.93333</v>
      </c>
      <c r="AI34" s="309">
        <f t="shared" si="3"/>
        <v>4.253333333</v>
      </c>
      <c r="AJ34" s="311">
        <v>41690.0</v>
      </c>
      <c r="AK34" s="309">
        <f t="shared" si="29"/>
        <v>125070</v>
      </c>
      <c r="AL34" s="286"/>
      <c r="AM34" s="313">
        <f t="shared" si="5"/>
        <v>0.02700001295</v>
      </c>
      <c r="AN34" s="309">
        <f t="shared" si="6"/>
        <v>110290.9524</v>
      </c>
      <c r="AO34" s="314">
        <f t="shared" si="7"/>
        <v>0.5514547619</v>
      </c>
      <c r="AP34" s="315">
        <v>0.0</v>
      </c>
      <c r="AQ34" s="284">
        <v>106.0</v>
      </c>
      <c r="AR34" s="284">
        <v>774.0</v>
      </c>
      <c r="AS34" s="284">
        <v>7389.98</v>
      </c>
      <c r="AT34" s="284">
        <v>1.0</v>
      </c>
      <c r="AU34" s="284">
        <v>81.0</v>
      </c>
      <c r="AV34" s="284">
        <v>42.0</v>
      </c>
      <c r="AW34" s="284">
        <v>51.0</v>
      </c>
      <c r="AX34" s="284">
        <v>17.0</v>
      </c>
      <c r="AY34" s="309">
        <v>3105475.0</v>
      </c>
      <c r="AZ34" s="316"/>
      <c r="BA34" s="307" t="str">
        <f t="shared" si="8"/>
        <v>Active</v>
      </c>
      <c r="BB34" s="307" t="str">
        <f t="shared" si="9"/>
        <v>Old</v>
      </c>
      <c r="BC34" s="307" t="str">
        <f t="shared" si="10"/>
        <v>50%-70%</v>
      </c>
      <c r="BD34" s="286">
        <f t="shared" si="30"/>
        <v>3</v>
      </c>
      <c r="BE34" s="328">
        <v>2800000.0</v>
      </c>
      <c r="BF34" s="284">
        <f t="shared" si="12"/>
        <v>0</v>
      </c>
      <c r="BG34" s="307" t="s">
        <v>488</v>
      </c>
      <c r="BH34" s="272">
        <f>IFERROR(__xludf.DUMMYFUNCTION("""COMPUTED_VALUE"""),1.6891187E7)</f>
        <v>16891187</v>
      </c>
      <c r="BI34" s="272">
        <f>IFERROR(__xludf.DUMMYFUNCTION("""COMPUTED_VALUE"""),1.419252961E7)</f>
        <v>14192529.61</v>
      </c>
      <c r="BJ34" s="273"/>
      <c r="BK34" s="274"/>
      <c r="BL34" s="319">
        <f t="shared" si="13"/>
        <v>0</v>
      </c>
      <c r="BM34" s="319">
        <f t="shared" si="14"/>
        <v>8400000</v>
      </c>
      <c r="BN34" s="274"/>
      <c r="BO34" s="311">
        <f>IFERROR(__xludf.DUMMYFUNCTION("IFERROR(ArrayFormula(SUM(VLOOKUP($C34,importrange(""1PTkkEa_ENkSqsGnpqoXy9kt0Fe1hCtlmU6kVFBNaonY"",""ORDER BOOKING REPORT 2025-26!C:CV""),{16,23,30},0))))"),3281936.6000000006)</f>
        <v>3281936.6</v>
      </c>
      <c r="BP34" s="311">
        <f>IFERROR(__xludf.DUMMYFUNCTION("IFERROR(ArrayFormula(SUM(VLOOKUP($C34,importrange(""1PTkkEa_ENkSqsGnpqoXy9kt0Fe1hCtlmU6kVFBNaonY"",""ORDER BOOKING REPORT 2025-26!C:CV""),{37,44,51},0))))"),3162208.6000000006)</f>
        <v>3162208.6</v>
      </c>
      <c r="BQ34" s="311">
        <f>IFERROR(__xludf.DUMMYFUNCTION("IFERROR(ArrayFormula(SUM(VLOOKUP($C34,importrange(""1PTkkEa_ENkSqsGnpqoXy9kt0Fe1hCtlmU6kVFBNaonY"",""ORDER BOOKING REPORT 2025-26!C:CV""),{58,65,72},0))))"),3634711.4799999995)</f>
        <v>3634711.48</v>
      </c>
      <c r="BR34" s="311">
        <f>IFERROR(__xludf.DUMMYFUNCTION("IFERROR(ArrayFormula(SUM(VLOOKUP($C34,importrange(""1PTkkEa_ENkSqsGnpqoXy9kt0Fe1hCtlmU6kVFBNaonY"",""ORDER BOOKING REPORT 2025-26!C:CV""),{79,86,93},0))))"),4113672.93)</f>
        <v>4113672.93</v>
      </c>
      <c r="BS34" s="322">
        <f t="shared" si="15"/>
        <v>0.3696994048</v>
      </c>
      <c r="BT34" s="322">
        <f t="shared" si="16"/>
        <v>0.04027403215</v>
      </c>
      <c r="BU34" s="287">
        <f t="shared" si="17"/>
        <v>0</v>
      </c>
      <c r="BV34" s="320">
        <v>41690.0</v>
      </c>
      <c r="BW34" s="321" t="s">
        <v>502</v>
      </c>
      <c r="BX34" s="320">
        <v>644.0</v>
      </c>
      <c r="BY34" s="287">
        <f t="shared" si="18"/>
        <v>0</v>
      </c>
      <c r="BZ34" s="10"/>
      <c r="CA34" s="10"/>
      <c r="CB34" s="10"/>
      <c r="CC34" s="10"/>
      <c r="CD34" s="10"/>
      <c r="CE34" s="10"/>
      <c r="CF34" s="10"/>
      <c r="CG34" s="318" t="str">
        <f t="shared" si="21"/>
        <v> </v>
      </c>
      <c r="CH34" s="318" t="str">
        <f t="shared" si="28"/>
        <v>Not 50%</v>
      </c>
      <c r="CI34" s="322">
        <f t="shared" si="22"/>
        <v>0.3818181818</v>
      </c>
      <c r="CJ34" s="323"/>
      <c r="CK34" s="323"/>
      <c r="CL34" s="323"/>
      <c r="CM34" s="324">
        <f t="shared" si="23"/>
        <v>290</v>
      </c>
      <c r="CN34" s="337"/>
      <c r="CO34" s="152"/>
      <c r="CP34" s="152"/>
      <c r="CQ34" s="327"/>
      <c r="CR34" s="152"/>
      <c r="CS34" s="152"/>
      <c r="CT34" s="152"/>
      <c r="CU34" s="152"/>
      <c r="CV34" s="152"/>
      <c r="CW34" s="327">
        <f t="shared" si="27"/>
        <v>0</v>
      </c>
      <c r="CX34" s="270"/>
      <c r="CY34" s="152"/>
      <c r="CZ34" s="152"/>
    </row>
    <row r="35" hidden="1">
      <c r="A35" s="307" t="s">
        <v>103</v>
      </c>
      <c r="B35" s="307" t="s">
        <v>492</v>
      </c>
      <c r="C35" s="307" t="s">
        <v>115</v>
      </c>
      <c r="D35" s="307" t="s">
        <v>492</v>
      </c>
      <c r="E35" s="307" t="s">
        <v>116</v>
      </c>
      <c r="F35" s="308">
        <v>44247.0</v>
      </c>
      <c r="G35" s="309">
        <v>750000.0</v>
      </c>
      <c r="H35" s="309">
        <v>1.065E7</v>
      </c>
      <c r="I35" s="287">
        <v>5984671.0</v>
      </c>
      <c r="J35" s="287">
        <v>0.0</v>
      </c>
      <c r="K35" s="284">
        <v>110.0</v>
      </c>
      <c r="L35" s="284">
        <v>57.0</v>
      </c>
      <c r="M35" s="284">
        <v>5.0</v>
      </c>
      <c r="N35" s="284">
        <v>115.0</v>
      </c>
      <c r="O35" s="284">
        <v>58.0</v>
      </c>
      <c r="P35" s="287">
        <v>5894905.98</v>
      </c>
      <c r="Q35" s="287">
        <v>89764.59</v>
      </c>
      <c r="R35" s="284">
        <v>49.0</v>
      </c>
      <c r="S35" s="284">
        <v>2.0</v>
      </c>
      <c r="T35" s="284">
        <v>51.0</v>
      </c>
      <c r="U35" s="284">
        <v>0.0</v>
      </c>
      <c r="V35" s="284">
        <v>5.0</v>
      </c>
      <c r="W35" s="284">
        <v>8.0</v>
      </c>
      <c r="X35" s="284">
        <v>45.0</v>
      </c>
      <c r="Y35" s="284">
        <v>3.0</v>
      </c>
      <c r="Z35" s="284">
        <v>60.0</v>
      </c>
      <c r="AA35" s="284">
        <v>0.0</v>
      </c>
      <c r="AB35" s="284">
        <v>0.0</v>
      </c>
      <c r="AC35" s="284">
        <v>2.0</v>
      </c>
      <c r="AD35" s="284">
        <v>4.0</v>
      </c>
      <c r="AE35" s="284">
        <v>219.0</v>
      </c>
      <c r="AF35" s="284">
        <v>291.0</v>
      </c>
      <c r="AG35" s="284">
        <v>71.0</v>
      </c>
      <c r="AH35" s="309">
        <f t="shared" si="2"/>
        <v>84291.14085</v>
      </c>
      <c r="AI35" s="309">
        <f t="shared" si="3"/>
        <v>4.098591549</v>
      </c>
      <c r="AJ35" s="311">
        <v>45515.0</v>
      </c>
      <c r="AK35" s="309">
        <f t="shared" si="29"/>
        <v>136545</v>
      </c>
      <c r="AL35" s="286"/>
      <c r="AM35" s="313">
        <f t="shared" si="5"/>
        <v>0.02281579054</v>
      </c>
      <c r="AN35" s="309">
        <f t="shared" si="6"/>
        <v>117346.4902</v>
      </c>
      <c r="AO35" s="314">
        <f t="shared" si="7"/>
        <v>0.5249711404</v>
      </c>
      <c r="AP35" s="315">
        <v>0.0</v>
      </c>
      <c r="AQ35" s="284">
        <v>198.0</v>
      </c>
      <c r="AR35" s="284">
        <v>770.0</v>
      </c>
      <c r="AS35" s="284">
        <v>6744.46</v>
      </c>
      <c r="AT35" s="284">
        <v>2.0</v>
      </c>
      <c r="AU35" s="284">
        <v>118.0</v>
      </c>
      <c r="AV35" s="284">
        <v>51.0</v>
      </c>
      <c r="AW35" s="284">
        <v>13.0</v>
      </c>
      <c r="AX35" s="284">
        <v>51.0</v>
      </c>
      <c r="AY35" s="309">
        <v>2711532.0</v>
      </c>
      <c r="AZ35" s="316"/>
      <c r="BA35" s="307" t="str">
        <f t="shared" si="8"/>
        <v>Active</v>
      </c>
      <c r="BB35" s="307" t="str">
        <f t="shared" si="9"/>
        <v>Old</v>
      </c>
      <c r="BC35" s="307" t="str">
        <f t="shared" si="10"/>
        <v>50%-70%</v>
      </c>
      <c r="BD35" s="286">
        <f t="shared" si="30"/>
        <v>3</v>
      </c>
      <c r="BE35" s="328">
        <v>3800000.0</v>
      </c>
      <c r="BF35" s="284">
        <f t="shared" si="12"/>
        <v>3</v>
      </c>
      <c r="BG35" s="307" t="s">
        <v>488</v>
      </c>
      <c r="BH35" s="272">
        <f>IFERROR(__xludf.DUMMYFUNCTION("""COMPUTED_VALUE"""),1.7231444336E7)</f>
        <v>17231444.34</v>
      </c>
      <c r="BI35" s="272">
        <f>IFERROR(__xludf.DUMMYFUNCTION("""COMPUTED_VALUE"""),2.8197453032999996E7)</f>
        <v>28197453.03</v>
      </c>
      <c r="BJ35" s="273"/>
      <c r="BK35" s="344">
        <v>250000.0</v>
      </c>
      <c r="BL35" s="319">
        <f t="shared" si="13"/>
        <v>750000</v>
      </c>
      <c r="BM35" s="319">
        <f t="shared" si="14"/>
        <v>11400000</v>
      </c>
      <c r="BN35" s="274"/>
      <c r="BO35" s="311">
        <f>IFERROR(__xludf.DUMMYFUNCTION("IFERROR(ArrayFormula(SUM(VLOOKUP($C35,importrange(""1PTkkEa_ENkSqsGnpqoXy9kt0Fe1hCtlmU6kVFBNaonY"",""ORDER BOOKING REPORT 2025-26!C:CV""),{16,23,30},0))))"),6370622.972999997)</f>
        <v>6370622.973</v>
      </c>
      <c r="BP35" s="311">
        <f>IFERROR(__xludf.DUMMYFUNCTION("IFERROR(ArrayFormula(SUM(VLOOKUP($C35,importrange(""1PTkkEa_ENkSqsGnpqoXy9kt0Fe1hCtlmU6kVFBNaonY"",""ORDER BOOKING REPORT 2025-26!C:CV""),{37,44,51},0))))"),7348317.96)</f>
        <v>7348317.96</v>
      </c>
      <c r="BQ35" s="311">
        <f>IFERROR(__xludf.DUMMYFUNCTION("IFERROR(ArrayFormula(SUM(VLOOKUP($C35,importrange(""1PTkkEa_ENkSqsGnpqoXy9kt0Fe1hCtlmU6kVFBNaonY"",""ORDER BOOKING REPORT 2025-26!C:CV""),{58,65,72},0))))"),7247298.049999998)</f>
        <v>7247298.05</v>
      </c>
      <c r="BR35" s="311">
        <f>IFERROR(__xludf.DUMMYFUNCTION("IFERROR(ArrayFormula(SUM(VLOOKUP($C35,importrange(""1PTkkEa_ENkSqsGnpqoXy9kt0Fe1hCtlmU6kVFBNaonY"",""ORDER BOOKING REPORT 2025-26!C:CV""),{79,86,93},0))))"),7231214.05)</f>
        <v>7231214.05</v>
      </c>
      <c r="BS35" s="322">
        <f t="shared" si="15"/>
        <v>0.2378536842</v>
      </c>
      <c r="BT35" s="322">
        <f t="shared" si="16"/>
        <v>0.05035714128</v>
      </c>
      <c r="BU35" s="287">
        <f t="shared" si="17"/>
        <v>0</v>
      </c>
      <c r="BV35" s="320">
        <v>45515.0</v>
      </c>
      <c r="BW35" s="321" t="s">
        <v>514</v>
      </c>
      <c r="BX35" s="320">
        <v>642.0</v>
      </c>
      <c r="BY35" s="287">
        <f t="shared" si="18"/>
        <v>0</v>
      </c>
      <c r="BZ35" s="10"/>
      <c r="CA35" s="10"/>
      <c r="CB35" s="10"/>
      <c r="CC35" s="10"/>
      <c r="CD35" s="10"/>
      <c r="CE35" s="10"/>
      <c r="CF35" s="10"/>
      <c r="CG35" s="318" t="str">
        <f t="shared" si="21"/>
        <v> </v>
      </c>
      <c r="CH35" s="318" t="str">
        <f t="shared" si="28"/>
        <v>Not 50%</v>
      </c>
      <c r="CI35" s="322">
        <f t="shared" si="22"/>
        <v>0.4434782609</v>
      </c>
      <c r="CJ35" s="323"/>
      <c r="CK35" s="323"/>
      <c r="CL35" s="323"/>
      <c r="CM35" s="324">
        <f t="shared" si="23"/>
        <v>219</v>
      </c>
      <c r="CN35" s="337"/>
      <c r="CO35" s="152"/>
      <c r="CP35" s="152"/>
      <c r="CQ35" s="327"/>
      <c r="CR35" s="152"/>
      <c r="CS35" s="152"/>
      <c r="CT35" s="152"/>
      <c r="CU35" s="152"/>
      <c r="CV35" s="152"/>
      <c r="CW35" s="327">
        <f t="shared" si="27"/>
        <v>0</v>
      </c>
      <c r="CX35" s="270"/>
      <c r="CY35" s="152"/>
      <c r="CZ35" s="152"/>
    </row>
    <row r="36" hidden="1">
      <c r="A36" s="307" t="s">
        <v>160</v>
      </c>
      <c r="B36" s="307" t="s">
        <v>491</v>
      </c>
      <c r="C36" s="307" t="s">
        <v>184</v>
      </c>
      <c r="D36" s="307" t="s">
        <v>504</v>
      </c>
      <c r="E36" s="307" t="s">
        <v>185</v>
      </c>
      <c r="F36" s="308">
        <v>44396.0</v>
      </c>
      <c r="G36" s="309">
        <v>0.0</v>
      </c>
      <c r="H36" s="309">
        <v>1.7750001E7</v>
      </c>
      <c r="I36" s="287">
        <v>1.0623118E7</v>
      </c>
      <c r="J36" s="287">
        <v>0.0</v>
      </c>
      <c r="K36" s="284">
        <v>214.0</v>
      </c>
      <c r="L36" s="284">
        <v>99.0</v>
      </c>
      <c r="M36" s="284">
        <v>2.0</v>
      </c>
      <c r="N36" s="284">
        <v>216.0</v>
      </c>
      <c r="O36" s="284">
        <v>117.0</v>
      </c>
      <c r="P36" s="287">
        <v>1.040243083E7</v>
      </c>
      <c r="Q36" s="287">
        <v>220687.64</v>
      </c>
      <c r="R36" s="284">
        <v>60.0</v>
      </c>
      <c r="S36" s="284">
        <v>2.0</v>
      </c>
      <c r="T36" s="284">
        <v>62.0</v>
      </c>
      <c r="U36" s="284">
        <v>0.0</v>
      </c>
      <c r="V36" s="284">
        <v>29.0</v>
      </c>
      <c r="W36" s="284">
        <v>32.0</v>
      </c>
      <c r="X36" s="284">
        <v>507.0</v>
      </c>
      <c r="Y36" s="284">
        <v>4.0</v>
      </c>
      <c r="Z36" s="284">
        <v>22.0</v>
      </c>
      <c r="AA36" s="284">
        <v>0.0</v>
      </c>
      <c r="AB36" s="284">
        <v>0.0</v>
      </c>
      <c r="AC36" s="284">
        <v>1.0</v>
      </c>
      <c r="AD36" s="284">
        <v>1.0</v>
      </c>
      <c r="AE36" s="284">
        <v>185.0</v>
      </c>
      <c r="AF36" s="284">
        <v>240.0</v>
      </c>
      <c r="AG36" s="284">
        <v>58.0</v>
      </c>
      <c r="AH36" s="309">
        <f t="shared" si="2"/>
        <v>183157.2069</v>
      </c>
      <c r="AI36" s="309">
        <f t="shared" si="3"/>
        <v>4.137931034</v>
      </c>
      <c r="AJ36" s="311">
        <v>49690.0</v>
      </c>
      <c r="AK36" s="309">
        <f t="shared" si="29"/>
        <v>149070</v>
      </c>
      <c r="AL36" s="312"/>
      <c r="AM36" s="313">
        <f t="shared" si="5"/>
        <v>0.01403260323</v>
      </c>
      <c r="AN36" s="309">
        <f t="shared" si="6"/>
        <v>171340.6129</v>
      </c>
      <c r="AO36" s="314">
        <f t="shared" si="7"/>
        <v>0.5984854874</v>
      </c>
      <c r="AP36" s="315">
        <v>0.0</v>
      </c>
      <c r="AQ36" s="284">
        <v>105.0</v>
      </c>
      <c r="AR36" s="284">
        <v>580.0</v>
      </c>
      <c r="AS36" s="284">
        <v>5579.9</v>
      </c>
      <c r="AT36" s="284">
        <v>2.0</v>
      </c>
      <c r="AU36" s="284">
        <v>56.0</v>
      </c>
      <c r="AV36" s="284">
        <v>62.0</v>
      </c>
      <c r="AW36" s="284">
        <v>41.0</v>
      </c>
      <c r="AX36" s="284">
        <v>113.0</v>
      </c>
      <c r="AY36" s="309">
        <v>9818672.0</v>
      </c>
      <c r="AZ36" s="316"/>
      <c r="BA36" s="307" t="str">
        <f t="shared" si="8"/>
        <v>Active</v>
      </c>
      <c r="BB36" s="307" t="str">
        <f t="shared" si="9"/>
        <v>Old</v>
      </c>
      <c r="BC36" s="307" t="str">
        <f t="shared" si="10"/>
        <v>50%-70%</v>
      </c>
      <c r="BD36" s="286">
        <f t="shared" si="30"/>
        <v>3</v>
      </c>
      <c r="BE36" s="328">
        <v>5916667.0</v>
      </c>
      <c r="BF36" s="284">
        <f t="shared" si="12"/>
        <v>0</v>
      </c>
      <c r="BG36" s="307" t="s">
        <v>488</v>
      </c>
      <c r="BH36" s="272">
        <f>IFERROR(__xludf.DUMMYFUNCTION("""COMPUTED_VALUE"""),5.002761368E7)</f>
        <v>50027613.68</v>
      </c>
      <c r="BI36" s="272">
        <f>IFERROR(__xludf.DUMMYFUNCTION("""COMPUTED_VALUE"""),3.476221499999999E7)</f>
        <v>34762215</v>
      </c>
      <c r="BJ36" s="273"/>
      <c r="BK36" s="274"/>
      <c r="BL36" s="319">
        <f t="shared" si="13"/>
        <v>0</v>
      </c>
      <c r="BM36" s="319">
        <f t="shared" si="14"/>
        <v>17750001</v>
      </c>
      <c r="BN36" s="274"/>
      <c r="BO36" s="311">
        <f>IFERROR(__xludf.DUMMYFUNCTION("IFERROR(ArrayFormula(SUM(VLOOKUP($C36,importrange(""1PTkkEa_ENkSqsGnpqoXy9kt0Fe1hCtlmU6kVFBNaonY"",""ORDER BOOKING REPORT 2025-26!C:CV""),{16,23,30},0))))"),7253033.1)</f>
        <v>7253033.1</v>
      </c>
      <c r="BP36" s="311">
        <f>IFERROR(__xludf.DUMMYFUNCTION("IFERROR(ArrayFormula(SUM(VLOOKUP($C36,importrange(""1PTkkEa_ENkSqsGnpqoXy9kt0Fe1hCtlmU6kVFBNaonY"",""ORDER BOOKING REPORT 2025-26!C:CV""),{37,44,51},0))))"),7826523.339999998)</f>
        <v>7826523.34</v>
      </c>
      <c r="BQ36" s="311">
        <f>IFERROR(__xludf.DUMMYFUNCTION("IFERROR(ArrayFormula(SUM(VLOOKUP($C36,importrange(""1PTkkEa_ENkSqsGnpqoXy9kt0Fe1hCtlmU6kVFBNaonY"",""ORDER BOOKING REPORT 2025-26!C:CV""),{58,65,72},0))))"),9048097.16)</f>
        <v>9048097.16</v>
      </c>
      <c r="BR36" s="311">
        <f>IFERROR(__xludf.DUMMYFUNCTION("IFERROR(ArrayFormula(SUM(VLOOKUP($C36,importrange(""1PTkkEa_ENkSqsGnpqoXy9kt0Fe1hCtlmU6kVFBNaonY"",""ORDER BOOKING REPORT 2025-26!C:CV""),{79,86,93},0))))"),1.0634561399999999E7)</f>
        <v>10634561.4</v>
      </c>
      <c r="BS36" s="322">
        <f t="shared" si="15"/>
        <v>0.5531645886</v>
      </c>
      <c r="BT36" s="322">
        <f t="shared" si="16"/>
        <v>0.01518229757</v>
      </c>
      <c r="BU36" s="287">
        <f t="shared" si="17"/>
        <v>0</v>
      </c>
      <c r="BV36" s="320">
        <v>49690.0</v>
      </c>
      <c r="BW36" s="321" t="s">
        <v>489</v>
      </c>
      <c r="BX36" s="320">
        <v>666.0</v>
      </c>
      <c r="BY36" s="287">
        <f t="shared" si="18"/>
        <v>0</v>
      </c>
      <c r="BZ36" s="10"/>
      <c r="CA36" s="10"/>
      <c r="CB36" s="10"/>
      <c r="CC36" s="10"/>
      <c r="CD36" s="10"/>
      <c r="CE36" s="10"/>
      <c r="CF36" s="10"/>
      <c r="CG36" s="318" t="str">
        <f t="shared" si="21"/>
        <v> </v>
      </c>
      <c r="CH36" s="318" t="str">
        <f t="shared" si="28"/>
        <v>Not 50%</v>
      </c>
      <c r="CI36" s="322">
        <f t="shared" si="22"/>
        <v>0.287037037</v>
      </c>
      <c r="CJ36" s="323"/>
      <c r="CK36" s="323"/>
      <c r="CL36" s="323"/>
      <c r="CM36" s="324">
        <f t="shared" si="23"/>
        <v>185</v>
      </c>
      <c r="CN36" s="325"/>
      <c r="CO36" s="6"/>
      <c r="CP36" s="6"/>
      <c r="CQ36" s="327"/>
      <c r="CR36" s="6"/>
      <c r="CS36" s="6"/>
      <c r="CT36" s="6"/>
      <c r="CU36" s="6"/>
      <c r="CV36" s="6"/>
      <c r="CW36" s="327">
        <f t="shared" si="27"/>
        <v>0</v>
      </c>
      <c r="CX36" s="270"/>
      <c r="CY36" s="6"/>
      <c r="CZ36" s="6"/>
    </row>
    <row r="37" hidden="1">
      <c r="A37" s="307" t="s">
        <v>160</v>
      </c>
      <c r="B37" s="307" t="s">
        <v>518</v>
      </c>
      <c r="C37" s="307" t="s">
        <v>182</v>
      </c>
      <c r="D37" s="307" t="s">
        <v>554</v>
      </c>
      <c r="E37" s="307" t="s">
        <v>183</v>
      </c>
      <c r="F37" s="308">
        <v>44424.0</v>
      </c>
      <c r="G37" s="309">
        <v>0.0</v>
      </c>
      <c r="H37" s="309">
        <v>2.5250001E7</v>
      </c>
      <c r="I37" s="287">
        <v>1.3364566E7</v>
      </c>
      <c r="J37" s="287">
        <v>0.0</v>
      </c>
      <c r="K37" s="284">
        <v>67.0</v>
      </c>
      <c r="L37" s="284">
        <v>68.0</v>
      </c>
      <c r="M37" s="284">
        <v>2.0</v>
      </c>
      <c r="N37" s="284">
        <v>69.0</v>
      </c>
      <c r="O37" s="284">
        <v>1.0</v>
      </c>
      <c r="P37" s="287">
        <v>1.288900703E7</v>
      </c>
      <c r="Q37" s="287">
        <v>475559.25</v>
      </c>
      <c r="R37" s="284">
        <v>55.0</v>
      </c>
      <c r="S37" s="284">
        <v>1.0</v>
      </c>
      <c r="T37" s="284">
        <v>56.0</v>
      </c>
      <c r="U37" s="284">
        <v>0.0</v>
      </c>
      <c r="V37" s="284">
        <v>0.0</v>
      </c>
      <c r="W37" s="284">
        <v>0.0</v>
      </c>
      <c r="X37" s="284">
        <v>51.0</v>
      </c>
      <c r="Y37" s="284">
        <v>1.0</v>
      </c>
      <c r="Z37" s="284">
        <v>32.0</v>
      </c>
      <c r="AA37" s="284">
        <v>0.0</v>
      </c>
      <c r="AB37" s="284">
        <v>0.0</v>
      </c>
      <c r="AC37" s="284">
        <v>0.0</v>
      </c>
      <c r="AD37" s="284">
        <v>0.0</v>
      </c>
      <c r="AE37" s="284">
        <v>243.0</v>
      </c>
      <c r="AF37" s="284">
        <v>275.0</v>
      </c>
      <c r="AG37" s="284">
        <v>62.0</v>
      </c>
      <c r="AH37" s="309">
        <f t="shared" si="2"/>
        <v>215557.5161</v>
      </c>
      <c r="AI37" s="309">
        <f t="shared" si="3"/>
        <v>4.435483871</v>
      </c>
      <c r="AJ37" s="311">
        <v>51393.0</v>
      </c>
      <c r="AK37" s="309">
        <f t="shared" si="29"/>
        <v>154179</v>
      </c>
      <c r="AL37" s="312"/>
      <c r="AM37" s="313">
        <f t="shared" si="5"/>
        <v>0.01153640156</v>
      </c>
      <c r="AN37" s="309">
        <f t="shared" si="6"/>
        <v>238652.9643</v>
      </c>
      <c r="AO37" s="314">
        <f t="shared" si="7"/>
        <v>0.5292897216</v>
      </c>
      <c r="AP37" s="315">
        <v>0.0</v>
      </c>
      <c r="AQ37" s="284">
        <v>148.0</v>
      </c>
      <c r="AR37" s="284">
        <v>684.0</v>
      </c>
      <c r="AS37" s="284">
        <v>7415.05</v>
      </c>
      <c r="AT37" s="284">
        <v>1.0</v>
      </c>
      <c r="AU37" s="284">
        <v>109.0</v>
      </c>
      <c r="AV37" s="284">
        <v>56.0</v>
      </c>
      <c r="AW37" s="284">
        <v>12.0</v>
      </c>
      <c r="AX37" s="284">
        <v>1.0</v>
      </c>
      <c r="AY37" s="309">
        <v>1.1572478E7</v>
      </c>
      <c r="AZ37" s="316"/>
      <c r="BA37" s="307" t="str">
        <f t="shared" si="8"/>
        <v>Active</v>
      </c>
      <c r="BB37" s="307" t="str">
        <f t="shared" si="9"/>
        <v>Old</v>
      </c>
      <c r="BC37" s="307" t="str">
        <f t="shared" si="10"/>
        <v>50%-70%</v>
      </c>
      <c r="BD37" s="286">
        <f t="shared" si="30"/>
        <v>3</v>
      </c>
      <c r="BE37" s="328">
        <v>8416667.0</v>
      </c>
      <c r="BF37" s="284">
        <f t="shared" si="12"/>
        <v>1</v>
      </c>
      <c r="BG37" s="307" t="s">
        <v>488</v>
      </c>
      <c r="BH37" s="272">
        <f>IFERROR(__xludf.DUMMYFUNCTION("""COMPUTED_VALUE"""),7.16878E7)</f>
        <v>71687800</v>
      </c>
      <c r="BI37" s="272">
        <f>IFERROR(__xludf.DUMMYFUNCTION("""COMPUTED_VALUE"""),5.261190539E7)</f>
        <v>52611905.39</v>
      </c>
      <c r="BJ37" s="273"/>
      <c r="BK37" s="274"/>
      <c r="BL37" s="319">
        <f t="shared" si="13"/>
        <v>0</v>
      </c>
      <c r="BM37" s="319">
        <f t="shared" si="14"/>
        <v>25250001</v>
      </c>
      <c r="BN37" s="274"/>
      <c r="BO37" s="311">
        <f>IFERROR(__xludf.DUMMYFUNCTION("IFERROR(ArrayFormula(SUM(VLOOKUP($C37,importrange(""1PTkkEa_ENkSqsGnpqoXy9kt0Fe1hCtlmU6kVFBNaonY"",""ORDER BOOKING REPORT 2025-26!C:CV""),{16,23,30},0))))"),5959701.6)</f>
        <v>5959701.6</v>
      </c>
      <c r="BP37" s="311">
        <f>IFERROR(__xludf.DUMMYFUNCTION("IFERROR(ArrayFormula(SUM(VLOOKUP($C37,importrange(""1PTkkEa_ENkSqsGnpqoXy9kt0Fe1hCtlmU6kVFBNaonY"",""ORDER BOOKING REPORT 2025-26!C:CV""),{37,44,51},0))))"),1.6480285479999999E7)</f>
        <v>16480285.48</v>
      </c>
      <c r="BQ37" s="311">
        <f>IFERROR(__xludf.DUMMYFUNCTION("IFERROR(ArrayFormula(SUM(VLOOKUP($C37,importrange(""1PTkkEa_ENkSqsGnpqoXy9kt0Fe1hCtlmU6kVFBNaonY"",""ORDER BOOKING REPORT 2025-26!C:CV""),{58,65,72},0))))"),1.3718433559999999E7)</f>
        <v>13718433.56</v>
      </c>
      <c r="BR37" s="311">
        <f>IFERROR(__xludf.DUMMYFUNCTION("IFERROR(ArrayFormula(SUM(VLOOKUP($C37,importrange(""1PTkkEa_ENkSqsGnpqoXy9kt0Fe1hCtlmU6kVFBNaonY"",""ORDER BOOKING REPORT 2025-26!C:CV""),{79,86,93},0))))"),1.645348475E7)</f>
        <v>16453484.75</v>
      </c>
      <c r="BS37" s="322">
        <f t="shared" si="15"/>
        <v>0.4583159422</v>
      </c>
      <c r="BT37" s="322">
        <f t="shared" si="16"/>
        <v>0.01332290284</v>
      </c>
      <c r="BU37" s="287">
        <f t="shared" si="17"/>
        <v>0</v>
      </c>
      <c r="BV37" s="320">
        <v>51393.0</v>
      </c>
      <c r="BW37" s="321" t="s">
        <v>489</v>
      </c>
      <c r="BX37" s="320">
        <v>671.0</v>
      </c>
      <c r="BY37" s="287">
        <f t="shared" si="18"/>
        <v>0</v>
      </c>
      <c r="BZ37" s="10"/>
      <c r="CA37" s="10"/>
      <c r="CB37" s="10"/>
      <c r="CC37" s="10"/>
      <c r="CD37" s="10"/>
      <c r="CE37" s="10"/>
      <c r="CF37" s="10"/>
      <c r="CG37" s="318" t="str">
        <f t="shared" si="21"/>
        <v> </v>
      </c>
      <c r="CH37" s="318" t="str">
        <f t="shared" si="28"/>
        <v>Business Achieved 50%</v>
      </c>
      <c r="CI37" s="322">
        <f t="shared" si="22"/>
        <v>0.8115942029</v>
      </c>
      <c r="CJ37" s="323"/>
      <c r="CK37" s="323"/>
      <c r="CL37" s="323"/>
      <c r="CM37" s="324">
        <f t="shared" si="23"/>
        <v>243</v>
      </c>
      <c r="CN37" s="325"/>
      <c r="CO37" s="6"/>
      <c r="CP37" s="6"/>
      <c r="CQ37" s="327"/>
      <c r="CR37" s="6"/>
      <c r="CS37" s="6"/>
      <c r="CT37" s="6"/>
      <c r="CU37" s="6"/>
      <c r="CV37" s="6"/>
      <c r="CW37" s="327">
        <f t="shared" si="27"/>
        <v>0</v>
      </c>
      <c r="CX37" s="270"/>
      <c r="CY37" s="6"/>
      <c r="CZ37" s="6"/>
    </row>
    <row r="38" hidden="1">
      <c r="A38" s="307" t="s">
        <v>273</v>
      </c>
      <c r="B38" s="307" t="s">
        <v>528</v>
      </c>
      <c r="C38" s="307" t="s">
        <v>276</v>
      </c>
      <c r="D38" s="307" t="s">
        <v>555</v>
      </c>
      <c r="E38" s="307" t="s">
        <v>277</v>
      </c>
      <c r="F38" s="308">
        <v>44459.0</v>
      </c>
      <c r="G38" s="309">
        <v>0.0</v>
      </c>
      <c r="H38" s="309">
        <v>6000000.0</v>
      </c>
      <c r="I38" s="287">
        <v>2982647.0</v>
      </c>
      <c r="J38" s="287">
        <v>0.0</v>
      </c>
      <c r="K38" s="284">
        <v>67.0</v>
      </c>
      <c r="L38" s="284">
        <v>35.0</v>
      </c>
      <c r="M38" s="284">
        <v>0.0</v>
      </c>
      <c r="N38" s="284">
        <v>67.0</v>
      </c>
      <c r="O38" s="284">
        <v>32.0</v>
      </c>
      <c r="P38" s="287">
        <v>2982646.83</v>
      </c>
      <c r="Q38" s="287">
        <v>0.0</v>
      </c>
      <c r="R38" s="284">
        <v>28.0</v>
      </c>
      <c r="S38" s="284">
        <v>0.0</v>
      </c>
      <c r="T38" s="284">
        <v>28.0</v>
      </c>
      <c r="U38" s="284">
        <v>0.0</v>
      </c>
      <c r="V38" s="284">
        <v>2.0</v>
      </c>
      <c r="W38" s="284">
        <v>2.0</v>
      </c>
      <c r="X38" s="284">
        <v>74.0</v>
      </c>
      <c r="Y38" s="284">
        <v>5.0</v>
      </c>
      <c r="Z38" s="284">
        <v>65.0</v>
      </c>
      <c r="AA38" s="284">
        <v>0.0</v>
      </c>
      <c r="AB38" s="284">
        <v>0.0</v>
      </c>
      <c r="AC38" s="284">
        <v>1.0</v>
      </c>
      <c r="AD38" s="284">
        <v>1.0</v>
      </c>
      <c r="AE38" s="284">
        <v>74.0</v>
      </c>
      <c r="AF38" s="284">
        <v>142.0</v>
      </c>
      <c r="AG38" s="284">
        <v>71.0</v>
      </c>
      <c r="AH38" s="309">
        <f t="shared" si="2"/>
        <v>42009.11268</v>
      </c>
      <c r="AI38" s="309">
        <f t="shared" si="3"/>
        <v>2</v>
      </c>
      <c r="AJ38" s="345">
        <v>49585.0</v>
      </c>
      <c r="AK38" s="309">
        <f t="shared" si="29"/>
        <v>148755</v>
      </c>
      <c r="AL38" s="312"/>
      <c r="AM38" s="313">
        <f t="shared" si="5"/>
        <v>0.04987348486</v>
      </c>
      <c r="AN38" s="309">
        <f t="shared" si="6"/>
        <v>106523.1071</v>
      </c>
      <c r="AO38" s="314">
        <f t="shared" si="7"/>
        <v>0.4971078333</v>
      </c>
      <c r="AP38" s="315">
        <v>0.0</v>
      </c>
      <c r="AQ38" s="284">
        <v>67.0</v>
      </c>
      <c r="AR38" s="284">
        <v>646.0</v>
      </c>
      <c r="AS38" s="284">
        <v>2853.82</v>
      </c>
      <c r="AT38" s="284">
        <v>0.0</v>
      </c>
      <c r="AU38" s="284">
        <v>82.0</v>
      </c>
      <c r="AV38" s="284">
        <v>28.0</v>
      </c>
      <c r="AW38" s="284">
        <v>16.0</v>
      </c>
      <c r="AX38" s="284">
        <v>23.0</v>
      </c>
      <c r="AY38" s="309">
        <v>1716225.6599999997</v>
      </c>
      <c r="AZ38" s="316"/>
      <c r="BA38" s="307" t="str">
        <f t="shared" si="8"/>
        <v>Active</v>
      </c>
      <c r="BB38" s="307" t="str">
        <f t="shared" si="9"/>
        <v>Old</v>
      </c>
      <c r="BC38" s="307" t="str">
        <f t="shared" si="10"/>
        <v>Below 50%</v>
      </c>
      <c r="BD38" s="286">
        <f t="shared" si="30"/>
        <v>3</v>
      </c>
      <c r="BE38" s="328">
        <v>2000000.0</v>
      </c>
      <c r="BF38" s="284">
        <f t="shared" si="12"/>
        <v>0</v>
      </c>
      <c r="BG38" s="307" t="s">
        <v>488</v>
      </c>
      <c r="BH38" s="272">
        <f>IFERROR(__xludf.DUMMYFUNCTION("""COMPUTED_VALUE"""),2.8229618E7)</f>
        <v>28229618</v>
      </c>
      <c r="BI38" s="272">
        <f>IFERROR(__xludf.DUMMYFUNCTION("""COMPUTED_VALUE"""),1.8278833789999995E7)</f>
        <v>18278833.79</v>
      </c>
      <c r="BJ38" s="273"/>
      <c r="BK38" s="274"/>
      <c r="BL38" s="319">
        <f t="shared" si="13"/>
        <v>0</v>
      </c>
      <c r="BM38" s="319">
        <f t="shared" si="14"/>
        <v>6000000</v>
      </c>
      <c r="BN38" s="274"/>
      <c r="BO38" s="311">
        <f>IFERROR(__xludf.DUMMYFUNCTION("IFERROR(ArrayFormula(SUM(VLOOKUP($C38,importrange(""1PTkkEa_ENkSqsGnpqoXy9kt0Fe1hCtlmU6kVFBNaonY"",""ORDER BOOKING REPORT 2025-26!C:CV""),{16,23,30},0))))"),3034883.7399999998)</f>
        <v>3034883.74</v>
      </c>
      <c r="BP38" s="311">
        <f>IFERROR(__xludf.DUMMYFUNCTION("IFERROR(ArrayFormula(SUM(VLOOKUP($C38,importrange(""1PTkkEa_ENkSqsGnpqoXy9kt0Fe1hCtlmU6kVFBNaonY"",""ORDER BOOKING REPORT 2025-26!C:CV""),{37,44,51},0))))"),4690113.929999999)</f>
        <v>4690113.93</v>
      </c>
      <c r="BQ38" s="311">
        <f>IFERROR(__xludf.DUMMYFUNCTION("IFERROR(ArrayFormula(SUM(VLOOKUP($C38,importrange(""1PTkkEa_ENkSqsGnpqoXy9kt0Fe1hCtlmU6kVFBNaonY"",""ORDER BOOKING REPORT 2025-26!C:CV""),{58,65,72},0))))"),455636.08)</f>
        <v>455636.08</v>
      </c>
      <c r="BR38" s="311">
        <f>IFERROR(__xludf.DUMMYFUNCTION("IFERROR(ArrayFormula(SUM(VLOOKUP($C38,importrange(""1PTkkEa_ENkSqsGnpqoXy9kt0Fe1hCtlmU6kVFBNaonY"",""ORDER BOOKING REPORT 2025-26!C:CV""),{79,86,93},0))))"),1.0098200039999997E7)</f>
        <v>10098200.04</v>
      </c>
      <c r="BS38" s="322">
        <f t="shared" si="15"/>
        <v>0.28603761</v>
      </c>
      <c r="BT38" s="322">
        <f t="shared" si="16"/>
        <v>0.08667566478</v>
      </c>
      <c r="BU38" s="287">
        <f t="shared" si="17"/>
        <v>0</v>
      </c>
      <c r="BV38" s="320">
        <v>49585.0</v>
      </c>
      <c r="BW38" s="321" t="s">
        <v>489</v>
      </c>
      <c r="BX38" s="320">
        <v>678.0</v>
      </c>
      <c r="BY38" s="287">
        <f t="shared" si="18"/>
        <v>0</v>
      </c>
      <c r="BZ38" s="10"/>
      <c r="CA38" s="10"/>
      <c r="CB38" s="10"/>
      <c r="CC38" s="10"/>
      <c r="CD38" s="10"/>
      <c r="CE38" s="10"/>
      <c r="CF38" s="10"/>
      <c r="CG38" s="318" t="str">
        <f t="shared" si="21"/>
        <v> </v>
      </c>
      <c r="CH38" s="318" t="str">
        <f t="shared" si="28"/>
        <v>Not 50%</v>
      </c>
      <c r="CI38" s="322">
        <f t="shared" si="22"/>
        <v>0.4179104478</v>
      </c>
      <c r="CJ38" s="323"/>
      <c r="CK38" s="323"/>
      <c r="CL38" s="323"/>
      <c r="CM38" s="324">
        <f t="shared" si="23"/>
        <v>74</v>
      </c>
      <c r="CN38" s="325"/>
      <c r="CO38" s="6"/>
      <c r="CP38" s="6"/>
      <c r="CQ38" s="327"/>
      <c r="CR38" s="6"/>
      <c r="CS38" s="6"/>
      <c r="CT38" s="6"/>
      <c r="CU38" s="6"/>
      <c r="CV38" s="6"/>
      <c r="CW38" s="327">
        <f t="shared" si="27"/>
        <v>0</v>
      </c>
      <c r="CX38" s="270"/>
      <c r="CY38" s="6"/>
      <c r="CZ38" s="6"/>
    </row>
    <row r="39" hidden="1">
      <c r="A39" s="307" t="s">
        <v>160</v>
      </c>
      <c r="B39" s="307" t="s">
        <v>534</v>
      </c>
      <c r="C39" s="307" t="s">
        <v>186</v>
      </c>
      <c r="D39" s="307" t="s">
        <v>547</v>
      </c>
      <c r="E39" s="307" t="s">
        <v>187</v>
      </c>
      <c r="F39" s="329">
        <v>44501.0</v>
      </c>
      <c r="G39" s="309">
        <v>0.0</v>
      </c>
      <c r="H39" s="309">
        <v>1.4499999E7</v>
      </c>
      <c r="I39" s="287">
        <v>1.0661815E7</v>
      </c>
      <c r="J39" s="287">
        <v>0.0</v>
      </c>
      <c r="K39" s="284">
        <v>111.0</v>
      </c>
      <c r="L39" s="284">
        <v>88.0</v>
      </c>
      <c r="M39" s="284">
        <v>4.0</v>
      </c>
      <c r="N39" s="284">
        <v>115.0</v>
      </c>
      <c r="O39" s="284">
        <v>27.0</v>
      </c>
      <c r="P39" s="287">
        <v>1.066181455E7</v>
      </c>
      <c r="Q39" s="287">
        <v>0.0</v>
      </c>
      <c r="R39" s="284">
        <v>30.0</v>
      </c>
      <c r="S39" s="284">
        <v>0.0</v>
      </c>
      <c r="T39" s="284">
        <v>30.0</v>
      </c>
      <c r="U39" s="284">
        <v>0.0</v>
      </c>
      <c r="V39" s="284">
        <v>73.0</v>
      </c>
      <c r="W39" s="284">
        <v>108.0</v>
      </c>
      <c r="X39" s="284">
        <v>77.0</v>
      </c>
      <c r="Y39" s="284">
        <v>2.0</v>
      </c>
      <c r="Z39" s="284">
        <v>4.0</v>
      </c>
      <c r="AA39" s="284">
        <v>0.0</v>
      </c>
      <c r="AB39" s="284">
        <v>0.0</v>
      </c>
      <c r="AC39" s="284">
        <v>0.0</v>
      </c>
      <c r="AD39" s="284">
        <v>0.0</v>
      </c>
      <c r="AE39" s="284">
        <v>368.0</v>
      </c>
      <c r="AF39" s="284">
        <v>480.0</v>
      </c>
      <c r="AG39" s="284">
        <v>76.0</v>
      </c>
      <c r="AH39" s="309">
        <f t="shared" si="2"/>
        <v>140287.0395</v>
      </c>
      <c r="AI39" s="309">
        <f t="shared" si="3"/>
        <v>6.315789474</v>
      </c>
      <c r="AJ39" s="311">
        <v>58700.0</v>
      </c>
      <c r="AK39" s="309">
        <f t="shared" si="29"/>
        <v>176100</v>
      </c>
      <c r="AL39" s="312"/>
      <c r="AM39" s="313">
        <f t="shared" si="5"/>
        <v>0.0165168876</v>
      </c>
      <c r="AN39" s="309">
        <f t="shared" si="6"/>
        <v>355393.8333</v>
      </c>
      <c r="AO39" s="314">
        <f t="shared" si="7"/>
        <v>0.7352976369</v>
      </c>
      <c r="AP39" s="315">
        <v>0.0</v>
      </c>
      <c r="AQ39" s="284">
        <v>67.0</v>
      </c>
      <c r="AR39" s="284">
        <v>691.0</v>
      </c>
      <c r="AS39" s="284">
        <v>7505.15</v>
      </c>
      <c r="AT39" s="284">
        <v>0.0</v>
      </c>
      <c r="AU39" s="284">
        <v>85.0</v>
      </c>
      <c r="AV39" s="284">
        <v>30.0</v>
      </c>
      <c r="AW39" s="284">
        <v>59.0</v>
      </c>
      <c r="AX39" s="284">
        <v>26.0</v>
      </c>
      <c r="AY39" s="309">
        <v>1.064813E7</v>
      </c>
      <c r="AZ39" s="316"/>
      <c r="BA39" s="307" t="str">
        <f t="shared" si="8"/>
        <v>Active</v>
      </c>
      <c r="BB39" s="307" t="str">
        <f t="shared" si="9"/>
        <v>Old</v>
      </c>
      <c r="BC39" s="307" t="str">
        <f t="shared" si="10"/>
        <v>70%-90%</v>
      </c>
      <c r="BD39" s="286">
        <f t="shared" si="30"/>
        <v>3</v>
      </c>
      <c r="BE39" s="328">
        <v>4833333.0</v>
      </c>
      <c r="BF39" s="284">
        <f t="shared" si="12"/>
        <v>4</v>
      </c>
      <c r="BG39" s="307" t="s">
        <v>488</v>
      </c>
      <c r="BH39" s="272">
        <f>IFERROR(__xludf.DUMMYFUNCTION("""COMPUTED_VALUE"""),4.0877028E7)</f>
        <v>40877028</v>
      </c>
      <c r="BI39" s="272">
        <f>IFERROR(__xludf.DUMMYFUNCTION("""COMPUTED_VALUE"""),4.090203499999999E7)</f>
        <v>40902035</v>
      </c>
      <c r="BJ39" s="273"/>
      <c r="BK39" s="274"/>
      <c r="BL39" s="319">
        <f t="shared" si="13"/>
        <v>0</v>
      </c>
      <c r="BM39" s="319">
        <f t="shared" si="14"/>
        <v>14499999</v>
      </c>
      <c r="BN39" s="274"/>
      <c r="BO39" s="311">
        <f>IFERROR(__xludf.DUMMYFUNCTION("IFERROR(ArrayFormula(SUM(VLOOKUP($C39,importrange(""1PTkkEa_ENkSqsGnpqoXy9kt0Fe1hCtlmU6kVFBNaonY"",""ORDER BOOKING REPORT 2025-26!C:CV""),{16,23,30},0))))"),1.10770522E7)</f>
        <v>11077052.2</v>
      </c>
      <c r="BP39" s="311">
        <f>IFERROR(__xludf.DUMMYFUNCTION("IFERROR(ArrayFormula(SUM(VLOOKUP($C39,importrange(""1PTkkEa_ENkSqsGnpqoXy9kt0Fe1hCtlmU6kVFBNaonY"",""ORDER BOOKING REPORT 2025-26!C:CV""),{37,44,51},0))))"),1.0133355469999999E7)</f>
        <v>10133355.47</v>
      </c>
      <c r="BQ39" s="311">
        <f>IFERROR(__xludf.DUMMYFUNCTION("IFERROR(ArrayFormula(SUM(VLOOKUP($C39,importrange(""1PTkkEa_ENkSqsGnpqoXy9kt0Fe1hCtlmU6kVFBNaonY"",""ORDER BOOKING REPORT 2025-26!C:CV""),{58,65,72},0))))"),1.0179767549999999E7)</f>
        <v>10179767.55</v>
      </c>
      <c r="BR39" s="311">
        <f>IFERROR(__xludf.DUMMYFUNCTION("IFERROR(ArrayFormula(SUM(VLOOKUP($C39,importrange(""1PTkkEa_ENkSqsGnpqoXy9kt0Fe1hCtlmU6kVFBNaonY"",""ORDER BOOKING REPORT 2025-26!C:CV""),{79,86,93},0))))"),9511859.779999997)</f>
        <v>9511859.78</v>
      </c>
      <c r="BS39" s="322">
        <f t="shared" si="15"/>
        <v>0.7343538437</v>
      </c>
      <c r="BT39" s="322">
        <f t="shared" si="16"/>
        <v>0.01653811514</v>
      </c>
      <c r="BU39" s="287">
        <f t="shared" si="17"/>
        <v>0</v>
      </c>
      <c r="BV39" s="320">
        <v>58700.0</v>
      </c>
      <c r="BW39" s="321" t="s">
        <v>489</v>
      </c>
      <c r="BX39" s="320">
        <v>697.0</v>
      </c>
      <c r="BY39" s="287">
        <f t="shared" si="18"/>
        <v>0</v>
      </c>
      <c r="BZ39" s="10"/>
      <c r="CA39" s="10"/>
      <c r="CB39" s="10"/>
      <c r="CC39" s="10"/>
      <c r="CD39" s="10"/>
      <c r="CE39" s="10"/>
      <c r="CF39" s="10"/>
      <c r="CG39" s="318" t="str">
        <f t="shared" si="21"/>
        <v> </v>
      </c>
      <c r="CH39" s="318" t="str">
        <f t="shared" si="28"/>
        <v>Not 50%</v>
      </c>
      <c r="CI39" s="322">
        <f t="shared" si="22"/>
        <v>0.2608695652</v>
      </c>
      <c r="CJ39" s="323"/>
      <c r="CK39" s="323"/>
      <c r="CL39" s="323"/>
      <c r="CM39" s="324">
        <f t="shared" si="23"/>
        <v>368</v>
      </c>
      <c r="CN39" s="325"/>
      <c r="CO39" s="6"/>
      <c r="CP39" s="6"/>
      <c r="CQ39" s="327"/>
      <c r="CR39" s="6"/>
      <c r="CS39" s="6"/>
      <c r="CT39" s="6"/>
      <c r="CU39" s="6"/>
      <c r="CV39" s="6"/>
      <c r="CW39" s="327">
        <f t="shared" si="27"/>
        <v>0</v>
      </c>
      <c r="CX39" s="270"/>
      <c r="CY39" s="6"/>
      <c r="CZ39" s="6"/>
    </row>
    <row r="40" hidden="1">
      <c r="A40" s="307" t="s">
        <v>103</v>
      </c>
      <c r="B40" s="307" t="s">
        <v>533</v>
      </c>
      <c r="C40" s="307" t="s">
        <v>117</v>
      </c>
      <c r="D40" s="307" t="s">
        <v>555</v>
      </c>
      <c r="E40" s="307" t="s">
        <v>556</v>
      </c>
      <c r="F40" s="329">
        <v>44501.0</v>
      </c>
      <c r="G40" s="309">
        <v>0.0</v>
      </c>
      <c r="H40" s="309">
        <v>5913600.0</v>
      </c>
      <c r="I40" s="287">
        <v>3126987.0</v>
      </c>
      <c r="J40" s="287">
        <v>0.0</v>
      </c>
      <c r="K40" s="284">
        <v>72.0</v>
      </c>
      <c r="L40" s="284">
        <v>54.0</v>
      </c>
      <c r="M40" s="284">
        <v>0.0</v>
      </c>
      <c r="N40" s="284">
        <v>72.0</v>
      </c>
      <c r="O40" s="284">
        <v>18.0</v>
      </c>
      <c r="P40" s="287">
        <v>3126987.47</v>
      </c>
      <c r="Q40" s="287">
        <v>0.0</v>
      </c>
      <c r="R40" s="284">
        <v>28.0</v>
      </c>
      <c r="S40" s="284">
        <v>0.0</v>
      </c>
      <c r="T40" s="284">
        <v>28.0</v>
      </c>
      <c r="U40" s="284">
        <v>0.0</v>
      </c>
      <c r="V40" s="284">
        <v>38.0</v>
      </c>
      <c r="W40" s="284">
        <v>44.0</v>
      </c>
      <c r="X40" s="284">
        <v>273.0</v>
      </c>
      <c r="Y40" s="284">
        <v>1.0</v>
      </c>
      <c r="Z40" s="284">
        <v>1.0</v>
      </c>
      <c r="AA40" s="284">
        <v>0.0</v>
      </c>
      <c r="AB40" s="284">
        <v>0.0</v>
      </c>
      <c r="AC40" s="284">
        <v>0.0</v>
      </c>
      <c r="AD40" s="284">
        <v>0.0</v>
      </c>
      <c r="AE40" s="284">
        <v>215.0</v>
      </c>
      <c r="AF40" s="284">
        <v>260.0</v>
      </c>
      <c r="AG40" s="284">
        <v>73.0</v>
      </c>
      <c r="AH40" s="309">
        <f t="shared" si="2"/>
        <v>42835.43836</v>
      </c>
      <c r="AI40" s="309">
        <f t="shared" si="3"/>
        <v>3.561643836</v>
      </c>
      <c r="AJ40" s="311">
        <v>28500.0</v>
      </c>
      <c r="AK40" s="309">
        <f t="shared" si="29"/>
        <v>85500</v>
      </c>
      <c r="AL40" s="312"/>
      <c r="AM40" s="313">
        <f t="shared" si="5"/>
        <v>0.02734261447</v>
      </c>
      <c r="AN40" s="309">
        <f t="shared" si="6"/>
        <v>111678.1071</v>
      </c>
      <c r="AO40" s="314">
        <f t="shared" si="7"/>
        <v>0.5287789164</v>
      </c>
      <c r="AP40" s="315">
        <v>0.0</v>
      </c>
      <c r="AQ40" s="284">
        <v>91.0</v>
      </c>
      <c r="AR40" s="284">
        <v>845.0</v>
      </c>
      <c r="AS40" s="284">
        <v>5164.72</v>
      </c>
      <c r="AT40" s="284">
        <v>0.0</v>
      </c>
      <c r="AU40" s="284">
        <v>96.0</v>
      </c>
      <c r="AV40" s="284">
        <v>28.0</v>
      </c>
      <c r="AW40" s="284">
        <v>31.0</v>
      </c>
      <c r="AX40" s="284">
        <v>13.0</v>
      </c>
      <c r="AY40" s="309">
        <v>656702.21</v>
      </c>
      <c r="AZ40" s="316"/>
      <c r="BA40" s="307" t="str">
        <f t="shared" si="8"/>
        <v>Active</v>
      </c>
      <c r="BB40" s="307" t="str">
        <f t="shared" si="9"/>
        <v>Old</v>
      </c>
      <c r="BC40" s="307" t="str">
        <f t="shared" si="10"/>
        <v>50%-70%</v>
      </c>
      <c r="BD40" s="286">
        <f t="shared" si="30"/>
        <v>3</v>
      </c>
      <c r="BE40" s="328">
        <v>1971200.0</v>
      </c>
      <c r="BF40" s="284">
        <f t="shared" si="12"/>
        <v>0</v>
      </c>
      <c r="BG40" s="307" t="s">
        <v>488</v>
      </c>
      <c r="BH40" s="272">
        <f>IFERROR(__xludf.DUMMYFUNCTION("""COMPUTED_VALUE"""),8111959.82)</f>
        <v>8111959.82</v>
      </c>
      <c r="BI40" s="272">
        <f>IFERROR(__xludf.DUMMYFUNCTION("""COMPUTED_VALUE"""),9779119.53)</f>
        <v>9779119.53</v>
      </c>
      <c r="BJ40" s="273"/>
      <c r="BK40" s="274"/>
      <c r="BL40" s="319">
        <f t="shared" si="13"/>
        <v>0</v>
      </c>
      <c r="BM40" s="319">
        <f t="shared" si="14"/>
        <v>5913600</v>
      </c>
      <c r="BN40" s="274"/>
      <c r="BO40" s="311">
        <f>IFERROR(__xludf.DUMMYFUNCTION("IFERROR(ArrayFormula(SUM(VLOOKUP($C40,importrange(""1PTkkEa_ENkSqsGnpqoXy9kt0Fe1hCtlmU6kVFBNaonY"",""ORDER BOOKING REPORT 2025-26!C:CV""),{16,23,30},0))))"),1980099.98)</f>
        <v>1980099.98</v>
      </c>
      <c r="BP40" s="311">
        <f>IFERROR(__xludf.DUMMYFUNCTION("IFERROR(ArrayFormula(SUM(VLOOKUP($C40,importrange(""1PTkkEa_ENkSqsGnpqoXy9kt0Fe1hCtlmU6kVFBNaonY"",""ORDER BOOKING REPORT 2025-26!C:CV""),{37,44,51},0))))"),2712224.29)</f>
        <v>2712224.29</v>
      </c>
      <c r="BQ40" s="311">
        <f>IFERROR(__xludf.DUMMYFUNCTION("IFERROR(ArrayFormula(SUM(VLOOKUP($C40,importrange(""1PTkkEa_ENkSqsGnpqoXy9kt0Fe1hCtlmU6kVFBNaonY"",""ORDER BOOKING REPORT 2025-26!C:CV""),{58,65,72},0))))"),2411377.38)</f>
        <v>2411377.38</v>
      </c>
      <c r="BR40" s="311">
        <f>IFERROR(__xludf.DUMMYFUNCTION("IFERROR(ArrayFormula(SUM(VLOOKUP($C40,importrange(""1PTkkEa_ENkSqsGnpqoXy9kt0Fe1hCtlmU6kVFBNaonY"",""ORDER BOOKING REPORT 2025-26!C:CV""),{79,86,93},0))))"),2675417.8800000004)</f>
        <v>2675417.88</v>
      </c>
      <c r="BS40" s="322">
        <f t="shared" si="15"/>
        <v>0.1110494809</v>
      </c>
      <c r="BT40" s="322">
        <f t="shared" si="16"/>
        <v>0.1301959986</v>
      </c>
      <c r="BU40" s="287">
        <f t="shared" si="17"/>
        <v>0</v>
      </c>
      <c r="BV40" s="320">
        <v>28500.0</v>
      </c>
      <c r="BW40" s="321" t="s">
        <v>502</v>
      </c>
      <c r="BX40" s="320">
        <v>696.0</v>
      </c>
      <c r="BY40" s="287">
        <f t="shared" si="18"/>
        <v>0</v>
      </c>
      <c r="BZ40" s="10"/>
      <c r="CA40" s="10"/>
      <c r="CB40" s="10"/>
      <c r="CC40" s="10"/>
      <c r="CD40" s="10"/>
      <c r="CE40" s="10"/>
      <c r="CF40" s="10"/>
      <c r="CG40" s="318" t="str">
        <f t="shared" si="21"/>
        <v> </v>
      </c>
      <c r="CH40" s="318" t="str">
        <f t="shared" si="28"/>
        <v>Not 50%</v>
      </c>
      <c r="CI40" s="322">
        <f t="shared" si="22"/>
        <v>0.3888888889</v>
      </c>
      <c r="CJ40" s="323"/>
      <c r="CK40" s="323"/>
      <c r="CL40" s="323"/>
      <c r="CM40" s="324">
        <f t="shared" si="23"/>
        <v>215</v>
      </c>
      <c r="CN40" s="325"/>
      <c r="CO40" s="6"/>
      <c r="CP40" s="6"/>
      <c r="CQ40" s="327"/>
      <c r="CR40" s="6"/>
      <c r="CS40" s="6"/>
      <c r="CT40" s="6"/>
      <c r="CU40" s="6"/>
      <c r="CV40" s="6"/>
      <c r="CW40" s="327">
        <f t="shared" si="27"/>
        <v>0</v>
      </c>
      <c r="CX40" s="270"/>
      <c r="CY40" s="6"/>
      <c r="CZ40" s="6"/>
    </row>
    <row r="41" hidden="1">
      <c r="A41" s="307" t="s">
        <v>103</v>
      </c>
      <c r="B41" s="307" t="s">
        <v>492</v>
      </c>
      <c r="C41" s="307" t="s">
        <v>119</v>
      </c>
      <c r="D41" s="307" t="s">
        <v>492</v>
      </c>
      <c r="E41" s="307" t="s">
        <v>557</v>
      </c>
      <c r="F41" s="308">
        <v>44511.0</v>
      </c>
      <c r="G41" s="309">
        <v>1500000.0</v>
      </c>
      <c r="H41" s="309">
        <v>5975001.0</v>
      </c>
      <c r="I41" s="287">
        <v>2078731.0</v>
      </c>
      <c r="J41" s="287">
        <v>2301681.05</v>
      </c>
      <c r="K41" s="284">
        <v>68.0</v>
      </c>
      <c r="L41" s="284">
        <v>56.0</v>
      </c>
      <c r="M41" s="284">
        <v>3.0</v>
      </c>
      <c r="N41" s="284">
        <v>71.0</v>
      </c>
      <c r="O41" s="284">
        <v>15.0</v>
      </c>
      <c r="P41" s="287">
        <v>1958996.18</v>
      </c>
      <c r="Q41" s="287">
        <v>119735.28</v>
      </c>
      <c r="R41" s="284">
        <v>18.0</v>
      </c>
      <c r="S41" s="284">
        <v>3.0</v>
      </c>
      <c r="T41" s="284">
        <v>21.0</v>
      </c>
      <c r="U41" s="284">
        <v>11.0</v>
      </c>
      <c r="V41" s="284">
        <v>2.0</v>
      </c>
      <c r="W41" s="284">
        <v>3.0</v>
      </c>
      <c r="X41" s="284">
        <v>69.0</v>
      </c>
      <c r="Y41" s="284">
        <v>3.0</v>
      </c>
      <c r="Z41" s="284">
        <v>13.0</v>
      </c>
      <c r="AA41" s="284">
        <v>12.0</v>
      </c>
      <c r="AB41" s="284">
        <v>66.0</v>
      </c>
      <c r="AC41" s="284">
        <v>1.0</v>
      </c>
      <c r="AD41" s="284">
        <v>1.0</v>
      </c>
      <c r="AE41" s="284">
        <v>210.0</v>
      </c>
      <c r="AF41" s="284">
        <v>293.0</v>
      </c>
      <c r="AG41" s="284">
        <v>76.0</v>
      </c>
      <c r="AH41" s="309">
        <f t="shared" si="2"/>
        <v>57637.00066</v>
      </c>
      <c r="AI41" s="309">
        <f t="shared" si="3"/>
        <v>3.855263158</v>
      </c>
      <c r="AJ41" s="311">
        <v>44000.0</v>
      </c>
      <c r="AK41" s="309">
        <f t="shared" si="29"/>
        <v>132000</v>
      </c>
      <c r="AL41" s="286"/>
      <c r="AM41" s="313">
        <f t="shared" si="5"/>
        <v>0.03013415142</v>
      </c>
      <c r="AN41" s="309">
        <f t="shared" si="6"/>
        <v>98987.19048</v>
      </c>
      <c r="AO41" s="314">
        <f t="shared" si="7"/>
        <v>0.5860082226</v>
      </c>
      <c r="AP41" s="315">
        <v>1.53</v>
      </c>
      <c r="AQ41" s="284">
        <v>46.0</v>
      </c>
      <c r="AR41" s="284">
        <v>642.0</v>
      </c>
      <c r="AS41" s="284">
        <v>4742.03</v>
      </c>
      <c r="AT41" s="284">
        <v>3.0</v>
      </c>
      <c r="AU41" s="284">
        <v>85.0</v>
      </c>
      <c r="AV41" s="284">
        <v>21.0</v>
      </c>
      <c r="AW41" s="284">
        <v>35.0</v>
      </c>
      <c r="AX41" s="284">
        <v>15.0</v>
      </c>
      <c r="AY41" s="309">
        <v>3084904.0</v>
      </c>
      <c r="AZ41" s="316"/>
      <c r="BA41" s="307" t="str">
        <f t="shared" si="8"/>
        <v>Active</v>
      </c>
      <c r="BB41" s="307" t="str">
        <f t="shared" si="9"/>
        <v>Old</v>
      </c>
      <c r="BC41" s="307" t="str">
        <f t="shared" si="10"/>
        <v>50%-70%</v>
      </c>
      <c r="BD41" s="286">
        <f t="shared" si="30"/>
        <v>3</v>
      </c>
      <c r="BE41" s="328">
        <v>2491667.0</v>
      </c>
      <c r="BF41" s="284">
        <f t="shared" si="12"/>
        <v>0</v>
      </c>
      <c r="BG41" s="307" t="s">
        <v>488</v>
      </c>
      <c r="BH41" s="272">
        <f>IFERROR(__xludf.DUMMYFUNCTION("""COMPUTED_VALUE"""),1.5945425E7)</f>
        <v>15945425</v>
      </c>
      <c r="BI41" s="272">
        <f>IFERROR(__xludf.DUMMYFUNCTION("""COMPUTED_VALUE"""),1.7110473698437497E7)</f>
        <v>17110473.7</v>
      </c>
      <c r="BJ41" s="273"/>
      <c r="BK41" s="330">
        <v>500000.0</v>
      </c>
      <c r="BL41" s="319">
        <f t="shared" si="13"/>
        <v>1500000</v>
      </c>
      <c r="BM41" s="319">
        <f t="shared" si="14"/>
        <v>7475001</v>
      </c>
      <c r="BN41" s="274"/>
      <c r="BO41" s="311">
        <f>IFERROR(__xludf.DUMMYFUNCTION("IFERROR(ArrayFormula(SUM(VLOOKUP($C41,importrange(""1PTkkEa_ENkSqsGnpqoXy9kt0Fe1hCtlmU6kVFBNaonY"",""ORDER BOOKING REPORT 2025-26!C:CV""),{16,23,30},0))))"),4946076.1384375)</f>
        <v>4946076.138</v>
      </c>
      <c r="BP41" s="311">
        <f>IFERROR(__xludf.DUMMYFUNCTION("IFERROR(ArrayFormula(SUM(VLOOKUP($C41,importrange(""1PTkkEa_ENkSqsGnpqoXy9kt0Fe1hCtlmU6kVFBNaonY"",""ORDER BOOKING REPORT 2025-26!C:CV""),{37,44,51},0))))"),3205697.54)</f>
        <v>3205697.54</v>
      </c>
      <c r="BQ41" s="311">
        <f>IFERROR(__xludf.DUMMYFUNCTION("IFERROR(ArrayFormula(SUM(VLOOKUP($C41,importrange(""1PTkkEa_ENkSqsGnpqoXy9kt0Fe1hCtlmU6kVFBNaonY"",""ORDER BOOKING REPORT 2025-26!C:CV""),{58,65,72},0))))"),4259742.06)</f>
        <v>4259742.06</v>
      </c>
      <c r="BR41" s="311">
        <f>IFERROR(__xludf.DUMMYFUNCTION("IFERROR(ArrayFormula(SUM(VLOOKUP($C41,importrange(""1PTkkEa_ENkSqsGnpqoXy9kt0Fe1hCtlmU6kVFBNaonY"",""ORDER BOOKING REPORT 2025-26!C:CV""),{79,86,93},0))))"),4698957.96)</f>
        <v>4698957.96</v>
      </c>
      <c r="BS41" s="322">
        <f t="shared" si="15"/>
        <v>0.4126961321</v>
      </c>
      <c r="BT41" s="322">
        <f t="shared" si="16"/>
        <v>0.04278901386</v>
      </c>
      <c r="BU41" s="287">
        <f t="shared" si="17"/>
        <v>0</v>
      </c>
      <c r="BV41" s="320">
        <v>44000.0</v>
      </c>
      <c r="BW41" s="321" t="s">
        <v>502</v>
      </c>
      <c r="BX41" s="320">
        <v>700.0</v>
      </c>
      <c r="BY41" s="287">
        <f t="shared" si="18"/>
        <v>0</v>
      </c>
      <c r="BZ41" s="10"/>
      <c r="CA41" s="10"/>
      <c r="CB41" s="10"/>
      <c r="CC41" s="10"/>
      <c r="CD41" s="10"/>
      <c r="CE41" s="10"/>
      <c r="CF41" s="10"/>
      <c r="CG41" s="318" t="str">
        <f t="shared" si="21"/>
        <v> </v>
      </c>
      <c r="CH41" s="318" t="str">
        <f t="shared" si="28"/>
        <v>Not 50%</v>
      </c>
      <c r="CI41" s="322">
        <f t="shared" si="22"/>
        <v>0.2957746479</v>
      </c>
      <c r="CJ41" s="323"/>
      <c r="CK41" s="323"/>
      <c r="CL41" s="323"/>
      <c r="CM41" s="324">
        <f t="shared" si="23"/>
        <v>210</v>
      </c>
      <c r="CN41" s="337"/>
      <c r="CO41" s="152"/>
      <c r="CP41" s="152"/>
      <c r="CQ41" s="327"/>
      <c r="CR41" s="152"/>
      <c r="CS41" s="152"/>
      <c r="CT41" s="152"/>
      <c r="CU41" s="152"/>
      <c r="CV41" s="152"/>
      <c r="CW41" s="327">
        <f t="shared" si="27"/>
        <v>0</v>
      </c>
      <c r="CX41" s="270"/>
      <c r="CY41" s="152"/>
      <c r="CZ41" s="152"/>
    </row>
    <row r="42" hidden="1">
      <c r="A42" s="307" t="s">
        <v>103</v>
      </c>
      <c r="B42" s="307" t="s">
        <v>519</v>
      </c>
      <c r="C42" s="307" t="s">
        <v>121</v>
      </c>
      <c r="D42" s="307" t="s">
        <v>520</v>
      </c>
      <c r="E42" s="307" t="s">
        <v>122</v>
      </c>
      <c r="F42" s="308">
        <v>44662.0</v>
      </c>
      <c r="G42" s="309">
        <v>300000.0</v>
      </c>
      <c r="H42" s="309">
        <v>6043998.0</v>
      </c>
      <c r="I42" s="287">
        <v>539552.0</v>
      </c>
      <c r="J42" s="287">
        <v>0.0</v>
      </c>
      <c r="K42" s="284">
        <v>58.0</v>
      </c>
      <c r="L42" s="284">
        <v>43.0</v>
      </c>
      <c r="M42" s="284">
        <v>2.0</v>
      </c>
      <c r="N42" s="284">
        <v>60.0</v>
      </c>
      <c r="O42" s="284">
        <v>17.0</v>
      </c>
      <c r="P42" s="287">
        <v>539551.9</v>
      </c>
      <c r="Q42" s="287">
        <v>0.0</v>
      </c>
      <c r="R42" s="284">
        <v>6.0</v>
      </c>
      <c r="S42" s="284">
        <v>0.0</v>
      </c>
      <c r="T42" s="284">
        <v>6.0</v>
      </c>
      <c r="U42" s="284">
        <v>0.0</v>
      </c>
      <c r="V42" s="284">
        <v>81.0</v>
      </c>
      <c r="W42" s="284">
        <v>116.0</v>
      </c>
      <c r="X42" s="284">
        <v>422.0</v>
      </c>
      <c r="Y42" s="284">
        <v>3.0</v>
      </c>
      <c r="Z42" s="284">
        <v>21.0</v>
      </c>
      <c r="AA42" s="284">
        <v>0.0</v>
      </c>
      <c r="AB42" s="284">
        <v>0.0</v>
      </c>
      <c r="AC42" s="284">
        <v>0.0</v>
      </c>
      <c r="AD42" s="284">
        <v>0.0</v>
      </c>
      <c r="AE42" s="284">
        <v>185.0</v>
      </c>
      <c r="AF42" s="284">
        <v>322.0</v>
      </c>
      <c r="AG42" s="284">
        <v>65.0</v>
      </c>
      <c r="AH42" s="309">
        <f t="shared" si="2"/>
        <v>8300.8</v>
      </c>
      <c r="AI42" s="309">
        <f t="shared" si="3"/>
        <v>4.953846154</v>
      </c>
      <c r="AJ42" s="311">
        <v>51950.0</v>
      </c>
      <c r="AK42" s="309">
        <f t="shared" si="29"/>
        <v>155850</v>
      </c>
      <c r="AL42" s="286"/>
      <c r="AM42" s="313">
        <f t="shared" si="5"/>
        <v>0.2888507503</v>
      </c>
      <c r="AN42" s="309">
        <f t="shared" si="6"/>
        <v>89925.33333</v>
      </c>
      <c r="AO42" s="314">
        <f t="shared" si="7"/>
        <v>0.08504920714</v>
      </c>
      <c r="AP42" s="315">
        <v>0.0</v>
      </c>
      <c r="AQ42" s="284">
        <v>7.0</v>
      </c>
      <c r="AR42" s="284">
        <v>564.0</v>
      </c>
      <c r="AS42" s="284">
        <v>5522.77</v>
      </c>
      <c r="AT42" s="284">
        <v>0.0</v>
      </c>
      <c r="AU42" s="284">
        <v>128.0</v>
      </c>
      <c r="AV42" s="284">
        <v>6.0</v>
      </c>
      <c r="AW42" s="284">
        <v>37.0</v>
      </c>
      <c r="AX42" s="284">
        <v>17.0</v>
      </c>
      <c r="AY42" s="309">
        <v>351921.0</v>
      </c>
      <c r="AZ42" s="316"/>
      <c r="BA42" s="307" t="str">
        <f t="shared" si="8"/>
        <v>Active</v>
      </c>
      <c r="BB42" s="307" t="str">
        <f t="shared" si="9"/>
        <v>Old</v>
      </c>
      <c r="BC42" s="307" t="str">
        <f t="shared" si="10"/>
        <v>Below 50%</v>
      </c>
      <c r="BD42" s="286">
        <f t="shared" si="30"/>
        <v>3</v>
      </c>
      <c r="BE42" s="328">
        <v>2114666.0</v>
      </c>
      <c r="BF42" s="284">
        <f t="shared" si="12"/>
        <v>2</v>
      </c>
      <c r="BG42" s="307" t="s">
        <v>488</v>
      </c>
      <c r="BH42" s="272">
        <f>IFERROR(__xludf.DUMMYFUNCTION("""COMPUTED_VALUE"""),1.1184983379999999E7)</f>
        <v>11184983.38</v>
      </c>
      <c r="BI42" s="272">
        <f>IFERROR(__xludf.DUMMYFUNCTION("""COMPUTED_VALUE"""),1.0642240200000001E7)</f>
        <v>10642240.2</v>
      </c>
      <c r="BJ42" s="273"/>
      <c r="BK42" s="330">
        <v>100000.0</v>
      </c>
      <c r="BL42" s="319">
        <f t="shared" si="13"/>
        <v>300000</v>
      </c>
      <c r="BM42" s="319">
        <f t="shared" si="14"/>
        <v>6343998</v>
      </c>
      <c r="BN42" s="274"/>
      <c r="BO42" s="311">
        <f>IFERROR(__xludf.DUMMYFUNCTION("IFERROR(ArrayFormula(SUM(VLOOKUP($C42,importrange(""1PTkkEa_ENkSqsGnpqoXy9kt0Fe1hCtlmU6kVFBNaonY"",""ORDER BOOKING REPORT 2025-26!C:CV""),{16,23,30},0))))"),1638063.1)</f>
        <v>1638063.1</v>
      </c>
      <c r="BP42" s="311">
        <f>IFERROR(__xludf.DUMMYFUNCTION("IFERROR(ArrayFormula(SUM(VLOOKUP($C42,importrange(""1PTkkEa_ENkSqsGnpqoXy9kt0Fe1hCtlmU6kVFBNaonY"",""ORDER BOOKING REPORT 2025-26!C:CV""),{37,44,51},0))))"),2126722.3099999996)</f>
        <v>2126722.31</v>
      </c>
      <c r="BQ42" s="311">
        <f>IFERROR(__xludf.DUMMYFUNCTION("IFERROR(ArrayFormula(SUM(VLOOKUP($C42,importrange(""1PTkkEa_ENkSqsGnpqoXy9kt0Fe1hCtlmU6kVFBNaonY"",""ORDER BOOKING REPORT 2025-26!C:CV""),{58,65,72},0))))"),3193258.99)</f>
        <v>3193258.99</v>
      </c>
      <c r="BR42" s="311">
        <f>IFERROR(__xludf.DUMMYFUNCTION("IFERROR(ArrayFormula(SUM(VLOOKUP($C42,importrange(""1PTkkEa_ENkSqsGnpqoXy9kt0Fe1hCtlmU6kVFBNaonY"",""ORDER BOOKING REPORT 2025-26!C:CV""),{79,86,93},0))))"),3684195.8)</f>
        <v>3684195.8</v>
      </c>
      <c r="BS42" s="322">
        <f t="shared" si="15"/>
        <v>0.05547306289</v>
      </c>
      <c r="BT42" s="322">
        <f t="shared" si="16"/>
        <v>0.4428550726</v>
      </c>
      <c r="BU42" s="287">
        <f t="shared" si="17"/>
        <v>0</v>
      </c>
      <c r="BV42" s="320">
        <v>51950.0</v>
      </c>
      <c r="BW42" s="321" t="s">
        <v>489</v>
      </c>
      <c r="BX42" s="320">
        <v>752.0</v>
      </c>
      <c r="BY42" s="287">
        <f t="shared" si="18"/>
        <v>0</v>
      </c>
      <c r="BZ42" s="10"/>
      <c r="CA42" s="10"/>
      <c r="CB42" s="10"/>
      <c r="CC42" s="10"/>
      <c r="CD42" s="10"/>
      <c r="CE42" s="10"/>
      <c r="CF42" s="10"/>
      <c r="CG42" s="318" t="str">
        <f t="shared" si="21"/>
        <v> </v>
      </c>
      <c r="CH42" s="318" t="str">
        <f t="shared" si="28"/>
        <v>Not 50%</v>
      </c>
      <c r="CI42" s="322">
        <f t="shared" si="22"/>
        <v>0.1</v>
      </c>
      <c r="CJ42" s="323"/>
      <c r="CK42" s="323"/>
      <c r="CL42" s="323"/>
      <c r="CM42" s="324">
        <f t="shared" si="23"/>
        <v>185</v>
      </c>
      <c r="CN42" s="337"/>
      <c r="CO42" s="152"/>
      <c r="CP42" s="152"/>
      <c r="CQ42" s="327"/>
      <c r="CR42" s="152"/>
      <c r="CS42" s="152"/>
      <c r="CT42" s="152"/>
      <c r="CU42" s="152"/>
      <c r="CV42" s="152"/>
      <c r="CW42" s="327">
        <f t="shared" si="27"/>
        <v>0</v>
      </c>
      <c r="CX42" s="270"/>
      <c r="CY42" s="152"/>
      <c r="CZ42" s="152"/>
    </row>
    <row r="43" hidden="1">
      <c r="A43" s="307" t="s">
        <v>62</v>
      </c>
      <c r="B43" s="307" t="s">
        <v>516</v>
      </c>
      <c r="C43" s="307" t="s">
        <v>63</v>
      </c>
      <c r="D43" s="307" t="s">
        <v>516</v>
      </c>
      <c r="E43" s="307" t="s">
        <v>558</v>
      </c>
      <c r="F43" s="333">
        <v>44684.0</v>
      </c>
      <c r="G43" s="309">
        <v>750000.0</v>
      </c>
      <c r="H43" s="309">
        <v>3750000.0</v>
      </c>
      <c r="I43" s="287">
        <v>3265851.0</v>
      </c>
      <c r="J43" s="287">
        <v>0.0</v>
      </c>
      <c r="K43" s="284">
        <v>30.0</v>
      </c>
      <c r="L43" s="284">
        <v>23.0</v>
      </c>
      <c r="M43" s="284">
        <v>1.0</v>
      </c>
      <c r="N43" s="284">
        <v>31.0</v>
      </c>
      <c r="O43" s="284">
        <v>8.0</v>
      </c>
      <c r="P43" s="287">
        <v>1266762.78</v>
      </c>
      <c r="Q43" s="287">
        <v>1999087.75</v>
      </c>
      <c r="R43" s="284">
        <v>7.0</v>
      </c>
      <c r="S43" s="284">
        <v>1.0</v>
      </c>
      <c r="T43" s="284">
        <v>8.0</v>
      </c>
      <c r="U43" s="284">
        <v>0.0</v>
      </c>
      <c r="V43" s="284">
        <v>0.0</v>
      </c>
      <c r="W43" s="284">
        <v>0.0</v>
      </c>
      <c r="X43" s="284">
        <v>107.0</v>
      </c>
      <c r="Y43" s="284">
        <v>3.0</v>
      </c>
      <c r="Z43" s="284">
        <v>30.0</v>
      </c>
      <c r="AA43" s="284">
        <v>1.0</v>
      </c>
      <c r="AB43" s="284">
        <v>11.0</v>
      </c>
      <c r="AC43" s="284">
        <v>0.0</v>
      </c>
      <c r="AD43" s="284">
        <v>0.0</v>
      </c>
      <c r="AE43" s="284">
        <v>233.0</v>
      </c>
      <c r="AF43" s="284">
        <v>274.0</v>
      </c>
      <c r="AG43" s="284">
        <v>68.0</v>
      </c>
      <c r="AH43" s="309">
        <f t="shared" si="2"/>
        <v>48027.22059</v>
      </c>
      <c r="AI43" s="309">
        <f t="shared" si="3"/>
        <v>4.029411765</v>
      </c>
      <c r="AJ43" s="311">
        <v>43505.0</v>
      </c>
      <c r="AK43" s="309">
        <f t="shared" si="29"/>
        <v>130515</v>
      </c>
      <c r="AL43" s="286"/>
      <c r="AM43" s="313">
        <f t="shared" si="5"/>
        <v>0.03996355008</v>
      </c>
      <c r="AN43" s="309">
        <f t="shared" si="6"/>
        <v>408231.375</v>
      </c>
      <c r="AO43" s="314">
        <f t="shared" si="7"/>
        <v>0.7257446667</v>
      </c>
      <c r="AP43" s="315">
        <v>0.0</v>
      </c>
      <c r="AQ43" s="284">
        <v>9.0</v>
      </c>
      <c r="AR43" s="284">
        <v>0.0</v>
      </c>
      <c r="AS43" s="284">
        <v>0.0</v>
      </c>
      <c r="AT43" s="284">
        <v>1.0</v>
      </c>
      <c r="AU43" s="284">
        <v>0.0</v>
      </c>
      <c r="AV43" s="284">
        <v>8.0</v>
      </c>
      <c r="AW43" s="284">
        <v>0.0</v>
      </c>
      <c r="AX43" s="284">
        <v>23.0</v>
      </c>
      <c r="AY43" s="309">
        <v>2170806.0</v>
      </c>
      <c r="AZ43" s="316"/>
      <c r="BA43" s="307" t="str">
        <f t="shared" si="8"/>
        <v>Active</v>
      </c>
      <c r="BB43" s="307" t="str">
        <f t="shared" si="9"/>
        <v>Old</v>
      </c>
      <c r="BC43" s="307" t="str">
        <f t="shared" si="10"/>
        <v>70%-90%</v>
      </c>
      <c r="BD43" s="286">
        <f t="shared" si="30"/>
        <v>3</v>
      </c>
      <c r="BE43" s="328">
        <v>1500000.0</v>
      </c>
      <c r="BF43" s="284">
        <f t="shared" si="12"/>
        <v>0</v>
      </c>
      <c r="BG43" s="307" t="s">
        <v>488</v>
      </c>
      <c r="BH43" s="272">
        <f>IFERROR(__xludf.DUMMYFUNCTION("""COMPUTED_VALUE"""),1.2136994E7)</f>
        <v>12136994</v>
      </c>
      <c r="BI43" s="272">
        <f>IFERROR(__xludf.DUMMYFUNCTION("""COMPUTED_VALUE"""),1.2982378210156249E7)</f>
        <v>12982378.21</v>
      </c>
      <c r="BJ43" s="273"/>
      <c r="BK43" s="330">
        <v>250000.0</v>
      </c>
      <c r="BL43" s="319">
        <f t="shared" si="13"/>
        <v>750000</v>
      </c>
      <c r="BM43" s="319">
        <f t="shared" si="14"/>
        <v>4500000</v>
      </c>
      <c r="BN43" s="274"/>
      <c r="BO43" s="311">
        <f>IFERROR(__xludf.DUMMYFUNCTION("IFERROR(ArrayFormula(SUM(VLOOKUP($C43,importrange(""1PTkkEa_ENkSqsGnpqoXy9kt0Fe1hCtlmU6kVFBNaonY"",""ORDER BOOKING REPORT 2025-26!C:CV""),{16,23,30},0))))"),2348715.71015625)</f>
        <v>2348715.71</v>
      </c>
      <c r="BP43" s="311">
        <f>IFERROR(__xludf.DUMMYFUNCTION("IFERROR(ArrayFormula(SUM(VLOOKUP($C43,importrange(""1PTkkEa_ENkSqsGnpqoXy9kt0Fe1hCtlmU6kVFBNaonY"",""ORDER BOOKING REPORT 2025-26!C:CV""),{37,44,51},0))))"),3141289.95)</f>
        <v>3141289.95</v>
      </c>
      <c r="BQ43" s="311">
        <f>IFERROR(__xludf.DUMMYFUNCTION("IFERROR(ArrayFormula(SUM(VLOOKUP($C43,importrange(""1PTkkEa_ENkSqsGnpqoXy9kt0Fe1hCtlmU6kVFBNaonY"",""ORDER BOOKING REPORT 2025-26!C:CV""),{58,65,72},0))))"),3834135.87)</f>
        <v>3834135.87</v>
      </c>
      <c r="BR43" s="311">
        <f>IFERROR(__xludf.DUMMYFUNCTION("IFERROR(ArrayFormula(SUM(VLOOKUP($C43,importrange(""1PTkkEa_ENkSqsGnpqoXy9kt0Fe1hCtlmU6kVFBNaonY"",""ORDER BOOKING REPORT 2025-26!C:CV""),{79,86,93},0))))"),3658236.6799999997)</f>
        <v>3658236.68</v>
      </c>
      <c r="BS43" s="322">
        <f t="shared" si="15"/>
        <v>0.4824013333</v>
      </c>
      <c r="BT43" s="322">
        <f t="shared" si="16"/>
        <v>0.06012282995</v>
      </c>
      <c r="BU43" s="287">
        <f t="shared" si="17"/>
        <v>0</v>
      </c>
      <c r="BV43" s="320">
        <v>43505.0</v>
      </c>
      <c r="BW43" s="321" t="s">
        <v>489</v>
      </c>
      <c r="BX43" s="320">
        <v>761.0</v>
      </c>
      <c r="BY43" s="287">
        <f t="shared" si="18"/>
        <v>0</v>
      </c>
      <c r="BZ43" s="10"/>
      <c r="CA43" s="10"/>
      <c r="CB43" s="10"/>
      <c r="CC43" s="10"/>
      <c r="CD43" s="10"/>
      <c r="CE43" s="10"/>
      <c r="CF43" s="10"/>
      <c r="CG43" s="318" t="str">
        <f t="shared" si="21"/>
        <v>Below 60</v>
      </c>
      <c r="CH43" s="318" t="str">
        <f t="shared" si="28"/>
        <v>Not 50%</v>
      </c>
      <c r="CI43" s="322">
        <f t="shared" si="22"/>
        <v>0.2580645161</v>
      </c>
      <c r="CJ43" s="323"/>
      <c r="CK43" s="323"/>
      <c r="CL43" s="323"/>
      <c r="CM43" s="324">
        <f t="shared" si="23"/>
        <v>233</v>
      </c>
      <c r="CN43" s="337"/>
      <c r="CO43" s="152"/>
      <c r="CP43" s="152"/>
      <c r="CQ43" s="327"/>
      <c r="CR43" s="152"/>
      <c r="CS43" s="152"/>
      <c r="CT43" s="152"/>
      <c r="CU43" s="152"/>
      <c r="CV43" s="152"/>
      <c r="CW43" s="327">
        <f t="shared" si="27"/>
        <v>0</v>
      </c>
      <c r="CX43" s="270"/>
      <c r="CY43" s="152"/>
      <c r="CZ43" s="152"/>
    </row>
    <row r="44" hidden="1">
      <c r="A44" s="307" t="s">
        <v>72</v>
      </c>
      <c r="B44" s="307" t="s">
        <v>527</v>
      </c>
      <c r="C44" s="307" t="s">
        <v>74</v>
      </c>
      <c r="D44" s="307" t="s">
        <v>559</v>
      </c>
      <c r="E44" s="307" t="s">
        <v>75</v>
      </c>
      <c r="F44" s="346">
        <v>44693.0</v>
      </c>
      <c r="G44" s="309">
        <v>0.0</v>
      </c>
      <c r="H44" s="309">
        <v>4008000.0</v>
      </c>
      <c r="I44" s="287">
        <v>3486751.0</v>
      </c>
      <c r="J44" s="287">
        <v>0.0</v>
      </c>
      <c r="K44" s="284">
        <v>60.0</v>
      </c>
      <c r="L44" s="284">
        <v>51.0</v>
      </c>
      <c r="M44" s="284">
        <v>2.0</v>
      </c>
      <c r="N44" s="284">
        <v>62.0</v>
      </c>
      <c r="O44" s="284">
        <v>11.0</v>
      </c>
      <c r="P44" s="287">
        <v>3361321.2</v>
      </c>
      <c r="Q44" s="287">
        <v>125430.0</v>
      </c>
      <c r="R44" s="284">
        <v>23.0</v>
      </c>
      <c r="S44" s="284">
        <v>2.0</v>
      </c>
      <c r="T44" s="284">
        <v>25.0</v>
      </c>
      <c r="U44" s="284">
        <v>0.0</v>
      </c>
      <c r="V44" s="284">
        <v>26.0</v>
      </c>
      <c r="W44" s="284">
        <v>65.0</v>
      </c>
      <c r="X44" s="284">
        <v>39.0</v>
      </c>
      <c r="Y44" s="284">
        <v>1.0</v>
      </c>
      <c r="Z44" s="284">
        <v>8.0</v>
      </c>
      <c r="AA44" s="284">
        <v>0.0</v>
      </c>
      <c r="AB44" s="284">
        <v>0.0</v>
      </c>
      <c r="AC44" s="284">
        <v>0.0</v>
      </c>
      <c r="AD44" s="284">
        <v>0.0</v>
      </c>
      <c r="AE44" s="284">
        <v>301.0</v>
      </c>
      <c r="AF44" s="284">
        <v>374.0</v>
      </c>
      <c r="AG44" s="284">
        <v>69.0</v>
      </c>
      <c r="AH44" s="309">
        <f t="shared" si="2"/>
        <v>50532.62319</v>
      </c>
      <c r="AI44" s="309">
        <f t="shared" si="3"/>
        <v>5.420289855</v>
      </c>
      <c r="AJ44" s="311">
        <v>32890.0</v>
      </c>
      <c r="AK44" s="309">
        <f t="shared" si="29"/>
        <v>98670</v>
      </c>
      <c r="AL44" s="286"/>
      <c r="AM44" s="313">
        <f t="shared" si="5"/>
        <v>0.02829855071</v>
      </c>
      <c r="AN44" s="309">
        <f t="shared" si="6"/>
        <v>139470.04</v>
      </c>
      <c r="AO44" s="314">
        <f t="shared" si="7"/>
        <v>0.8699478543</v>
      </c>
      <c r="AP44" s="315">
        <v>0.0</v>
      </c>
      <c r="AQ44" s="284">
        <v>56.0</v>
      </c>
      <c r="AR44" s="284">
        <v>693.0</v>
      </c>
      <c r="AS44" s="284">
        <v>4244.06</v>
      </c>
      <c r="AT44" s="284">
        <v>2.0</v>
      </c>
      <c r="AU44" s="284">
        <v>83.0</v>
      </c>
      <c r="AV44" s="284">
        <v>25.0</v>
      </c>
      <c r="AW44" s="284">
        <v>26.0</v>
      </c>
      <c r="AX44" s="284">
        <v>11.0</v>
      </c>
      <c r="AY44" s="309">
        <v>1769856.0</v>
      </c>
      <c r="AZ44" s="316"/>
      <c r="BA44" s="307" t="str">
        <f t="shared" si="8"/>
        <v>Active</v>
      </c>
      <c r="BB44" s="307" t="str">
        <f t="shared" si="9"/>
        <v>Old</v>
      </c>
      <c r="BC44" s="307" t="str">
        <f t="shared" si="10"/>
        <v>70%-90%</v>
      </c>
      <c r="BD44" s="286">
        <f t="shared" si="30"/>
        <v>3</v>
      </c>
      <c r="BE44" s="319">
        <v>918500.0</v>
      </c>
      <c r="BF44" s="284">
        <f t="shared" si="12"/>
        <v>0</v>
      </c>
      <c r="BG44" s="307" t="s">
        <v>488</v>
      </c>
      <c r="BH44" s="272">
        <f>IFERROR(__xludf.DUMMYFUNCTION("""COMPUTED_VALUE"""),1.1356336E7)</f>
        <v>11356336</v>
      </c>
      <c r="BI44" s="272">
        <f>IFERROR(__xludf.DUMMYFUNCTION("""COMPUTED_VALUE"""),1.1934784130000003E7)</f>
        <v>11934784.13</v>
      </c>
      <c r="BJ44" s="273"/>
      <c r="BK44" s="274"/>
      <c r="BL44" s="319">
        <f t="shared" si="13"/>
        <v>0</v>
      </c>
      <c r="BM44" s="319">
        <f t="shared" si="14"/>
        <v>4008000</v>
      </c>
      <c r="BN44" s="274"/>
      <c r="BO44" s="311">
        <f>IFERROR(__xludf.DUMMYFUNCTION("IFERROR(ArrayFormula(SUM(VLOOKUP($C44,importrange(""1PTkkEa_ENkSqsGnpqoXy9kt0Fe1hCtlmU6kVFBNaonY"",""ORDER BOOKING REPORT 2025-26!C:CV""),{16,23,30},0))))"),2711762.33)</f>
        <v>2711762.33</v>
      </c>
      <c r="BP44" s="311">
        <f>IFERROR(__xludf.DUMMYFUNCTION("IFERROR(ArrayFormula(SUM(VLOOKUP($C44,importrange(""1PTkkEa_ENkSqsGnpqoXy9kt0Fe1hCtlmU6kVFBNaonY"",""ORDER BOOKING REPORT 2025-26!C:CV""),{37,44,51},0))))"),2722232.41)</f>
        <v>2722232.41</v>
      </c>
      <c r="BQ44" s="311">
        <f>IFERROR(__xludf.DUMMYFUNCTION("IFERROR(ArrayFormula(SUM(VLOOKUP($C44,importrange(""1PTkkEa_ENkSqsGnpqoXy9kt0Fe1hCtlmU6kVFBNaonY"",""ORDER BOOKING REPORT 2025-26!C:CV""),{58,65,72},0))))"),3116045.99)</f>
        <v>3116045.99</v>
      </c>
      <c r="BR44" s="311">
        <f>IFERROR(__xludf.DUMMYFUNCTION("IFERROR(ArrayFormula(SUM(VLOOKUP($C44,importrange(""1PTkkEa_ENkSqsGnpqoXy9kt0Fe1hCtlmU6kVFBNaonY"",""ORDER BOOKING REPORT 2025-26!C:CV""),{79,86,93},0))))"),3384743.4000000004)</f>
        <v>3384743.4</v>
      </c>
      <c r="BS44" s="322">
        <f t="shared" si="15"/>
        <v>0.4415808383</v>
      </c>
      <c r="BT44" s="322">
        <f t="shared" si="16"/>
        <v>0.05575029833</v>
      </c>
      <c r="BU44" s="287">
        <f t="shared" si="17"/>
        <v>0</v>
      </c>
      <c r="BV44" s="320">
        <v>32890.0</v>
      </c>
      <c r="BW44" s="321" t="s">
        <v>526</v>
      </c>
      <c r="BX44" s="320">
        <v>880.0</v>
      </c>
      <c r="BY44" s="287">
        <f t="shared" si="18"/>
        <v>0</v>
      </c>
      <c r="BZ44" s="10"/>
      <c r="CA44" s="10"/>
      <c r="CB44" s="10"/>
      <c r="CC44" s="10"/>
      <c r="CD44" s="10"/>
      <c r="CE44" s="10"/>
      <c r="CF44" s="10"/>
      <c r="CG44" s="318" t="str">
        <f t="shared" si="21"/>
        <v> </v>
      </c>
      <c r="CH44" s="318" t="str">
        <f t="shared" si="28"/>
        <v>Not 50%</v>
      </c>
      <c r="CI44" s="322">
        <f t="shared" si="22"/>
        <v>0.4032258065</v>
      </c>
      <c r="CJ44" s="323"/>
      <c r="CK44" s="323"/>
      <c r="CL44" s="323"/>
      <c r="CM44" s="324">
        <f t="shared" si="23"/>
        <v>301</v>
      </c>
      <c r="CN44" s="337"/>
      <c r="CO44" s="152"/>
      <c r="CP44" s="152"/>
      <c r="CQ44" s="327"/>
      <c r="CR44" s="152"/>
      <c r="CS44" s="152"/>
      <c r="CT44" s="152"/>
      <c r="CU44" s="152"/>
      <c r="CV44" s="152"/>
      <c r="CW44" s="327">
        <f t="shared" si="27"/>
        <v>0</v>
      </c>
      <c r="CX44" s="270"/>
      <c r="CY44" s="152"/>
      <c r="CZ44" s="152"/>
    </row>
    <row r="45" hidden="1">
      <c r="A45" s="307" t="s">
        <v>273</v>
      </c>
      <c r="B45" s="307" t="s">
        <v>528</v>
      </c>
      <c r="C45" s="307" t="s">
        <v>278</v>
      </c>
      <c r="D45" s="307" t="s">
        <v>555</v>
      </c>
      <c r="E45" s="307" t="s">
        <v>279</v>
      </c>
      <c r="F45" s="346">
        <v>44697.0</v>
      </c>
      <c r="G45" s="309">
        <v>0.0</v>
      </c>
      <c r="H45" s="309">
        <v>4200000.0</v>
      </c>
      <c r="I45" s="287">
        <v>2227667.0</v>
      </c>
      <c r="J45" s="287">
        <v>0.0</v>
      </c>
      <c r="K45" s="284">
        <v>66.0</v>
      </c>
      <c r="L45" s="284">
        <v>52.0</v>
      </c>
      <c r="M45" s="284">
        <v>2.0</v>
      </c>
      <c r="N45" s="284">
        <v>68.0</v>
      </c>
      <c r="O45" s="284">
        <v>16.0</v>
      </c>
      <c r="P45" s="287">
        <v>2192555.47</v>
      </c>
      <c r="Q45" s="287">
        <v>35112.0</v>
      </c>
      <c r="R45" s="284">
        <v>29.0</v>
      </c>
      <c r="S45" s="284">
        <v>1.0</v>
      </c>
      <c r="T45" s="284">
        <v>30.0</v>
      </c>
      <c r="U45" s="284">
        <v>0.0</v>
      </c>
      <c r="V45" s="284">
        <v>14.0</v>
      </c>
      <c r="W45" s="284">
        <v>16.0</v>
      </c>
      <c r="X45" s="284">
        <v>280.0</v>
      </c>
      <c r="Y45" s="284">
        <v>1.0</v>
      </c>
      <c r="Z45" s="284">
        <v>1.0</v>
      </c>
      <c r="AA45" s="284">
        <v>0.0</v>
      </c>
      <c r="AB45" s="284">
        <v>0.0</v>
      </c>
      <c r="AC45" s="284">
        <v>0.0</v>
      </c>
      <c r="AD45" s="284">
        <v>0.0</v>
      </c>
      <c r="AE45" s="284">
        <v>259.0</v>
      </c>
      <c r="AF45" s="284">
        <v>276.0</v>
      </c>
      <c r="AG45" s="284">
        <v>75.0</v>
      </c>
      <c r="AH45" s="309">
        <f t="shared" si="2"/>
        <v>29702.22667</v>
      </c>
      <c r="AI45" s="309">
        <f t="shared" si="3"/>
        <v>3.68</v>
      </c>
      <c r="AJ45" s="311">
        <v>36720.0</v>
      </c>
      <c r="AK45" s="309">
        <f t="shared" si="29"/>
        <v>110160</v>
      </c>
      <c r="AL45" s="312"/>
      <c r="AM45" s="313">
        <f t="shared" si="5"/>
        <v>0.04945083803</v>
      </c>
      <c r="AN45" s="309">
        <f t="shared" si="6"/>
        <v>74255.56667</v>
      </c>
      <c r="AO45" s="314">
        <f t="shared" si="7"/>
        <v>0.5303969048</v>
      </c>
      <c r="AP45" s="315">
        <v>0.0</v>
      </c>
      <c r="AQ45" s="284">
        <v>67.0</v>
      </c>
      <c r="AR45" s="284">
        <v>674.0</v>
      </c>
      <c r="AS45" s="284">
        <v>7182.02</v>
      </c>
      <c r="AT45" s="284">
        <v>1.0</v>
      </c>
      <c r="AU45" s="284">
        <v>138.0</v>
      </c>
      <c r="AV45" s="284">
        <v>30.0</v>
      </c>
      <c r="AW45" s="284">
        <v>22.0</v>
      </c>
      <c r="AX45" s="284">
        <v>16.0</v>
      </c>
      <c r="AY45" s="309">
        <v>2205983.0</v>
      </c>
      <c r="AZ45" s="316"/>
      <c r="BA45" s="307" t="str">
        <f t="shared" si="8"/>
        <v>Active</v>
      </c>
      <c r="BB45" s="307" t="str">
        <f t="shared" si="9"/>
        <v>Old</v>
      </c>
      <c r="BC45" s="307" t="str">
        <f t="shared" si="10"/>
        <v>50%-70%</v>
      </c>
      <c r="BD45" s="286">
        <f t="shared" si="30"/>
        <v>3</v>
      </c>
      <c r="BE45" s="328">
        <v>1400000.0</v>
      </c>
      <c r="BF45" s="284">
        <f t="shared" si="12"/>
        <v>1</v>
      </c>
      <c r="BG45" s="307" t="s">
        <v>488</v>
      </c>
      <c r="BH45" s="272">
        <f>IFERROR(__xludf.DUMMYFUNCTION("""COMPUTED_VALUE"""),9208485.0)</f>
        <v>9208485</v>
      </c>
      <c r="BI45" s="272">
        <f>IFERROR(__xludf.DUMMYFUNCTION("""COMPUTED_VALUE"""),9167160.270000001)</f>
        <v>9167160.27</v>
      </c>
      <c r="BJ45" s="273"/>
      <c r="BK45" s="274"/>
      <c r="BL45" s="319">
        <f t="shared" si="13"/>
        <v>0</v>
      </c>
      <c r="BM45" s="319">
        <f t="shared" si="14"/>
        <v>4200000</v>
      </c>
      <c r="BN45" s="274"/>
      <c r="BO45" s="311">
        <f>IFERROR(__xludf.DUMMYFUNCTION("IFERROR(ArrayFormula(SUM(VLOOKUP($C45,importrange(""1PTkkEa_ENkSqsGnpqoXy9kt0Fe1hCtlmU6kVFBNaonY"",""ORDER BOOKING REPORT 2025-26!C:CV""),{16,23,30},0))))"),1401253.23)</f>
        <v>1401253.23</v>
      </c>
      <c r="BP45" s="311">
        <f>IFERROR(__xludf.DUMMYFUNCTION("IFERROR(ArrayFormula(SUM(VLOOKUP($C45,importrange(""1PTkkEa_ENkSqsGnpqoXy9kt0Fe1hCtlmU6kVFBNaonY"",""ORDER BOOKING REPORT 2025-26!C:CV""),{37,44,51},0))))"),2745833.3999999994)</f>
        <v>2745833.4</v>
      </c>
      <c r="BQ45" s="311">
        <f>IFERROR(__xludf.DUMMYFUNCTION("IFERROR(ArrayFormula(SUM(VLOOKUP($C45,importrange(""1PTkkEa_ENkSqsGnpqoXy9kt0Fe1hCtlmU6kVFBNaonY"",""ORDER BOOKING REPORT 2025-26!C:CV""),{58,65,72},0))))"),1927790.6900000002)</f>
        <v>1927790.69</v>
      </c>
      <c r="BR45" s="311">
        <f>IFERROR(__xludf.DUMMYFUNCTION("IFERROR(ArrayFormula(SUM(VLOOKUP($C45,importrange(""1PTkkEa_ENkSqsGnpqoXy9kt0Fe1hCtlmU6kVFBNaonY"",""ORDER BOOKING REPORT 2025-26!C:CV""),{79,86,93},0))))"),3092282.95)</f>
        <v>3092282.95</v>
      </c>
      <c r="BS45" s="322">
        <f t="shared" si="15"/>
        <v>0.5252340476</v>
      </c>
      <c r="BT45" s="322">
        <f t="shared" si="16"/>
        <v>0.04993692154</v>
      </c>
      <c r="BU45" s="287">
        <f t="shared" si="17"/>
        <v>0</v>
      </c>
      <c r="BV45" s="320">
        <v>36720.0</v>
      </c>
      <c r="BW45" s="321" t="s">
        <v>526</v>
      </c>
      <c r="BX45" s="320">
        <v>770.0</v>
      </c>
      <c r="BY45" s="287">
        <f t="shared" si="18"/>
        <v>0</v>
      </c>
      <c r="BZ45" s="10"/>
      <c r="CA45" s="10"/>
      <c r="CB45" s="10"/>
      <c r="CC45" s="10"/>
      <c r="CD45" s="10"/>
      <c r="CE45" s="10"/>
      <c r="CF45" s="10"/>
      <c r="CG45" s="318" t="str">
        <f t="shared" si="21"/>
        <v> </v>
      </c>
      <c r="CH45" s="318" t="str">
        <f t="shared" si="28"/>
        <v>Not 50%</v>
      </c>
      <c r="CI45" s="322">
        <f t="shared" si="22"/>
        <v>0.4411764706</v>
      </c>
      <c r="CJ45" s="323"/>
      <c r="CK45" s="323"/>
      <c r="CL45" s="323"/>
      <c r="CM45" s="324">
        <f t="shared" si="23"/>
        <v>259</v>
      </c>
      <c r="CN45" s="325"/>
      <c r="CO45" s="6"/>
      <c r="CP45" s="6"/>
      <c r="CQ45" s="327"/>
      <c r="CR45" s="6"/>
      <c r="CS45" s="6"/>
      <c r="CT45" s="6"/>
      <c r="CU45" s="6"/>
      <c r="CV45" s="6"/>
      <c r="CW45" s="327">
        <f t="shared" si="27"/>
        <v>0</v>
      </c>
      <c r="CX45" s="270"/>
      <c r="CY45" s="6"/>
      <c r="CZ45" s="6"/>
    </row>
    <row r="46" hidden="1">
      <c r="A46" s="307" t="s">
        <v>160</v>
      </c>
      <c r="B46" s="307" t="s">
        <v>523</v>
      </c>
      <c r="C46" s="307" t="s">
        <v>263</v>
      </c>
      <c r="D46" s="307" t="s">
        <v>524</v>
      </c>
      <c r="E46" s="307" t="s">
        <v>264</v>
      </c>
      <c r="F46" s="329">
        <v>44743.0</v>
      </c>
      <c r="G46" s="309">
        <v>0.0</v>
      </c>
      <c r="H46" s="309">
        <v>4500000.0</v>
      </c>
      <c r="I46" s="287">
        <v>1202891.0</v>
      </c>
      <c r="J46" s="287">
        <v>0.0</v>
      </c>
      <c r="K46" s="284">
        <v>74.0</v>
      </c>
      <c r="L46" s="284">
        <v>66.0</v>
      </c>
      <c r="M46" s="284">
        <v>1.0</v>
      </c>
      <c r="N46" s="284">
        <v>75.0</v>
      </c>
      <c r="O46" s="284">
        <v>9.0</v>
      </c>
      <c r="P46" s="287">
        <v>1197082.69</v>
      </c>
      <c r="Q46" s="287">
        <v>5808.0</v>
      </c>
      <c r="R46" s="284">
        <v>22.0</v>
      </c>
      <c r="S46" s="284">
        <v>1.0</v>
      </c>
      <c r="T46" s="284">
        <v>23.0</v>
      </c>
      <c r="U46" s="284">
        <v>0.0</v>
      </c>
      <c r="V46" s="284">
        <v>7.0</v>
      </c>
      <c r="W46" s="284">
        <v>7.0</v>
      </c>
      <c r="X46" s="284">
        <v>166.0</v>
      </c>
      <c r="Y46" s="284">
        <v>4.0</v>
      </c>
      <c r="Z46" s="284">
        <v>8.0</v>
      </c>
      <c r="AA46" s="284">
        <v>0.0</v>
      </c>
      <c r="AB46" s="284">
        <v>0.0</v>
      </c>
      <c r="AC46" s="284">
        <v>0.0</v>
      </c>
      <c r="AD46" s="284">
        <v>0.0</v>
      </c>
      <c r="AE46" s="284">
        <v>265.0</v>
      </c>
      <c r="AF46" s="284">
        <v>280.0</v>
      </c>
      <c r="AG46" s="284">
        <v>76.0</v>
      </c>
      <c r="AH46" s="309">
        <f t="shared" si="2"/>
        <v>15827.51316</v>
      </c>
      <c r="AI46" s="309">
        <f t="shared" si="3"/>
        <v>3.684210526</v>
      </c>
      <c r="AJ46" s="311">
        <v>24445.0</v>
      </c>
      <c r="AK46" s="309">
        <f t="shared" si="29"/>
        <v>73335</v>
      </c>
      <c r="AL46" s="286"/>
      <c r="AM46" s="313">
        <f t="shared" si="5"/>
        <v>0.06096562365</v>
      </c>
      <c r="AN46" s="309">
        <f t="shared" si="6"/>
        <v>52299.6087</v>
      </c>
      <c r="AO46" s="314">
        <f t="shared" si="7"/>
        <v>0.2673091111</v>
      </c>
      <c r="AP46" s="315">
        <v>0.0</v>
      </c>
      <c r="AQ46" s="284">
        <v>50.0</v>
      </c>
      <c r="AR46" s="284">
        <v>910.0</v>
      </c>
      <c r="AS46" s="284">
        <v>7146.5</v>
      </c>
      <c r="AT46" s="284">
        <v>1.0</v>
      </c>
      <c r="AU46" s="284">
        <v>108.0</v>
      </c>
      <c r="AV46" s="284">
        <v>23.0</v>
      </c>
      <c r="AW46" s="284">
        <v>43.0</v>
      </c>
      <c r="AX46" s="284">
        <v>9.0</v>
      </c>
      <c r="AY46" s="309">
        <v>1178944.0</v>
      </c>
      <c r="AZ46" s="316"/>
      <c r="BA46" s="307" t="str">
        <f t="shared" si="8"/>
        <v>Active</v>
      </c>
      <c r="BB46" s="307" t="str">
        <f t="shared" si="9"/>
        <v>Old</v>
      </c>
      <c r="BC46" s="307" t="str">
        <f t="shared" si="10"/>
        <v>Below 50%</v>
      </c>
      <c r="BD46" s="286">
        <f t="shared" si="30"/>
        <v>3</v>
      </c>
      <c r="BE46" s="328">
        <v>1500000.0</v>
      </c>
      <c r="BF46" s="284">
        <f t="shared" si="12"/>
        <v>0</v>
      </c>
      <c r="BG46" s="307" t="s">
        <v>488</v>
      </c>
      <c r="BH46" s="272">
        <f>IFERROR(__xludf.DUMMYFUNCTION("""COMPUTED_VALUE"""),3902042.0)</f>
        <v>3902042</v>
      </c>
      <c r="BI46" s="272">
        <f>IFERROR(__xludf.DUMMYFUNCTION("""COMPUTED_VALUE"""),3864459.8499999996)</f>
        <v>3864459.85</v>
      </c>
      <c r="BJ46" s="273"/>
      <c r="BK46" s="274"/>
      <c r="BL46" s="319">
        <f t="shared" si="13"/>
        <v>0</v>
      </c>
      <c r="BM46" s="319">
        <f t="shared" si="14"/>
        <v>4500000</v>
      </c>
      <c r="BN46" s="274"/>
      <c r="BO46" s="311">
        <f>IFERROR(__xludf.DUMMYFUNCTION("IFERROR(ArrayFormula(SUM(VLOOKUP($C46,importrange(""1PTkkEa_ENkSqsGnpqoXy9kt0Fe1hCtlmU6kVFBNaonY"",""ORDER BOOKING REPORT 2025-26!C:CV""),{16,23,30},0))))"),1121515.9999999998)</f>
        <v>1121516</v>
      </c>
      <c r="BP46" s="311">
        <f>IFERROR(__xludf.DUMMYFUNCTION("IFERROR(ArrayFormula(SUM(VLOOKUP($C46,importrange(""1PTkkEa_ENkSqsGnpqoXy9kt0Fe1hCtlmU6kVFBNaonY"",""ORDER BOOKING REPORT 2025-26!C:CV""),{37,44,51},0))))"),1139571.34)</f>
        <v>1139571.34</v>
      </c>
      <c r="BQ46" s="311">
        <f>IFERROR(__xludf.DUMMYFUNCTION("IFERROR(ArrayFormula(SUM(VLOOKUP($C46,importrange(""1PTkkEa_ENkSqsGnpqoXy9kt0Fe1hCtlmU6kVFBNaonY"",""ORDER BOOKING REPORT 2025-26!C:CV""),{58,65,72},0))))"),913340.6299999999)</f>
        <v>913340.63</v>
      </c>
      <c r="BR46" s="311">
        <f>IFERROR(__xludf.DUMMYFUNCTION("IFERROR(ArrayFormula(SUM(VLOOKUP($C46,importrange(""1PTkkEa_ENkSqsGnpqoXy9kt0Fe1hCtlmU6kVFBNaonY"",""ORDER BOOKING REPORT 2025-26!C:CV""),{79,86,93},0))))"),690031.88)</f>
        <v>690031.88</v>
      </c>
      <c r="BS46" s="322">
        <f t="shared" si="15"/>
        <v>0.2619875556</v>
      </c>
      <c r="BT46" s="322">
        <f t="shared" si="16"/>
        <v>0.06220397237</v>
      </c>
      <c r="BU46" s="287">
        <f t="shared" si="17"/>
        <v>0</v>
      </c>
      <c r="BV46" s="320">
        <v>24445.0</v>
      </c>
      <c r="BW46" s="321" t="s">
        <v>526</v>
      </c>
      <c r="BX46" s="320">
        <v>784.0</v>
      </c>
      <c r="BY46" s="287">
        <f t="shared" si="18"/>
        <v>0</v>
      </c>
      <c r="BZ46" s="10"/>
      <c r="CA46" s="10"/>
      <c r="CB46" s="10"/>
      <c r="CC46" s="10"/>
      <c r="CD46" s="10"/>
      <c r="CE46" s="10"/>
      <c r="CF46" s="10"/>
      <c r="CG46" s="318" t="str">
        <f t="shared" si="21"/>
        <v> </v>
      </c>
      <c r="CH46" s="318" t="str">
        <f t="shared" si="28"/>
        <v>Not 50%</v>
      </c>
      <c r="CI46" s="322">
        <f t="shared" si="22"/>
        <v>0.3066666667</v>
      </c>
      <c r="CJ46" s="323"/>
      <c r="CK46" s="323"/>
      <c r="CL46" s="323"/>
      <c r="CM46" s="324">
        <f t="shared" si="23"/>
        <v>265</v>
      </c>
      <c r="CN46" s="337"/>
      <c r="CO46" s="152"/>
      <c r="CP46" s="152"/>
      <c r="CQ46" s="327"/>
      <c r="CR46" s="152"/>
      <c r="CS46" s="152"/>
      <c r="CT46" s="152"/>
      <c r="CU46" s="152"/>
      <c r="CV46" s="152"/>
      <c r="CW46" s="327">
        <f t="shared" si="27"/>
        <v>0</v>
      </c>
      <c r="CX46" s="270"/>
      <c r="CY46" s="152"/>
      <c r="CZ46" s="152"/>
    </row>
    <row r="47" hidden="1">
      <c r="A47" s="307" t="s">
        <v>23</v>
      </c>
      <c r="B47" s="307" t="s">
        <v>545</v>
      </c>
      <c r="C47" s="307" t="s">
        <v>24</v>
      </c>
      <c r="D47" s="307" t="s">
        <v>545</v>
      </c>
      <c r="E47" s="307" t="s">
        <v>25</v>
      </c>
      <c r="F47" s="329">
        <v>44809.0</v>
      </c>
      <c r="G47" s="309">
        <v>0.0</v>
      </c>
      <c r="H47" s="309">
        <v>5940000.0</v>
      </c>
      <c r="I47" s="287">
        <v>5225399.0</v>
      </c>
      <c r="J47" s="287">
        <v>0.0</v>
      </c>
      <c r="K47" s="284">
        <v>93.0</v>
      </c>
      <c r="L47" s="284">
        <v>83.0</v>
      </c>
      <c r="M47" s="284">
        <v>2.0</v>
      </c>
      <c r="N47" s="284">
        <v>95.0</v>
      </c>
      <c r="O47" s="284">
        <v>12.0</v>
      </c>
      <c r="P47" s="287">
        <v>5152773.92</v>
      </c>
      <c r="Q47" s="287">
        <v>72625.24</v>
      </c>
      <c r="R47" s="284">
        <v>67.0</v>
      </c>
      <c r="S47" s="284">
        <v>2.0</v>
      </c>
      <c r="T47" s="284">
        <v>69.0</v>
      </c>
      <c r="U47" s="284">
        <v>0.0</v>
      </c>
      <c r="V47" s="284">
        <v>25.0</v>
      </c>
      <c r="W47" s="284">
        <v>45.0</v>
      </c>
      <c r="X47" s="284">
        <v>196.0</v>
      </c>
      <c r="Y47" s="284">
        <v>6.0</v>
      </c>
      <c r="Z47" s="284">
        <v>67.0</v>
      </c>
      <c r="AA47" s="284">
        <v>0.0</v>
      </c>
      <c r="AB47" s="284">
        <v>0.0</v>
      </c>
      <c r="AC47" s="284">
        <v>0.0</v>
      </c>
      <c r="AD47" s="284">
        <v>0.0</v>
      </c>
      <c r="AE47" s="284">
        <v>417.0</v>
      </c>
      <c r="AF47" s="284">
        <v>529.0</v>
      </c>
      <c r="AG47" s="284">
        <v>72.0</v>
      </c>
      <c r="AH47" s="309">
        <f t="shared" si="2"/>
        <v>72574.98611</v>
      </c>
      <c r="AI47" s="309">
        <f t="shared" si="3"/>
        <v>7.347222222</v>
      </c>
      <c r="AJ47" s="311">
        <v>32910.0</v>
      </c>
      <c r="AK47" s="309">
        <f t="shared" si="29"/>
        <v>98730</v>
      </c>
      <c r="AL47" s="286"/>
      <c r="AM47" s="313">
        <f t="shared" si="5"/>
        <v>0.01889425095</v>
      </c>
      <c r="AN47" s="309">
        <f t="shared" si="6"/>
        <v>75730.42029</v>
      </c>
      <c r="AO47" s="314">
        <f t="shared" si="7"/>
        <v>0.8796968013</v>
      </c>
      <c r="AP47" s="315">
        <v>0.0</v>
      </c>
      <c r="AQ47" s="284">
        <v>280.0</v>
      </c>
      <c r="AR47" s="284">
        <v>699.0</v>
      </c>
      <c r="AS47" s="284">
        <v>4416.39</v>
      </c>
      <c r="AT47" s="284">
        <v>2.0</v>
      </c>
      <c r="AU47" s="284">
        <v>53.0</v>
      </c>
      <c r="AV47" s="284">
        <v>69.0</v>
      </c>
      <c r="AW47" s="284">
        <v>17.0</v>
      </c>
      <c r="AX47" s="284">
        <v>9.0</v>
      </c>
      <c r="AY47" s="309">
        <v>5620061.0</v>
      </c>
      <c r="AZ47" s="316"/>
      <c r="BA47" s="307" t="str">
        <f t="shared" si="8"/>
        <v>Active</v>
      </c>
      <c r="BB47" s="307" t="str">
        <f t="shared" si="9"/>
        <v>Old</v>
      </c>
      <c r="BC47" s="307" t="str">
        <f t="shared" si="10"/>
        <v>70%-90%</v>
      </c>
      <c r="BD47" s="286">
        <f t="shared" si="30"/>
        <v>3</v>
      </c>
      <c r="BE47" s="328">
        <v>1980000.0</v>
      </c>
      <c r="BF47" s="284">
        <f t="shared" si="12"/>
        <v>0</v>
      </c>
      <c r="BG47" s="307" t="s">
        <v>488</v>
      </c>
      <c r="BH47" s="272">
        <f>IFERROR(__xludf.DUMMYFUNCTION("""COMPUTED_VALUE"""),2.2426186E7)</f>
        <v>22426186</v>
      </c>
      <c r="BI47" s="272">
        <f>IFERROR(__xludf.DUMMYFUNCTION("""COMPUTED_VALUE"""),2.0551333419999998E7)</f>
        <v>20551333.42</v>
      </c>
      <c r="BJ47" s="273"/>
      <c r="BK47" s="274"/>
      <c r="BL47" s="319">
        <f t="shared" si="13"/>
        <v>0</v>
      </c>
      <c r="BM47" s="319">
        <f t="shared" si="14"/>
        <v>5940000</v>
      </c>
      <c r="BN47" s="274"/>
      <c r="BO47" s="311">
        <f>IFERROR(__xludf.DUMMYFUNCTION("IFERROR(ArrayFormula(SUM(VLOOKUP($C47,importrange(""1PTkkEa_ENkSqsGnpqoXy9kt0Fe1hCtlmU6kVFBNaonY"",""ORDER BOOKING REPORT 2025-26!C:CV""),{16,23,30},0))))"),5096545.17)</f>
        <v>5096545.17</v>
      </c>
      <c r="BP47" s="311">
        <f>IFERROR(__xludf.DUMMYFUNCTION("IFERROR(ArrayFormula(SUM(VLOOKUP($C47,importrange(""1PTkkEa_ENkSqsGnpqoXy9kt0Fe1hCtlmU6kVFBNaonY"",""ORDER BOOKING REPORT 2025-26!C:CV""),{37,44,51},0))))"),4817196.1899999995)</f>
        <v>4817196.19</v>
      </c>
      <c r="BQ47" s="311">
        <f>IFERROR(__xludf.DUMMYFUNCTION("IFERROR(ArrayFormula(SUM(VLOOKUP($C47,importrange(""1PTkkEa_ENkSqsGnpqoXy9kt0Fe1hCtlmU6kVFBNaonY"",""ORDER BOOKING REPORT 2025-26!C:CV""),{58,65,72},0))))"),5127304.6)</f>
        <v>5127304.6</v>
      </c>
      <c r="BR47" s="311">
        <f>IFERROR(__xludf.DUMMYFUNCTION("IFERROR(ArrayFormula(SUM(VLOOKUP($C47,importrange(""1PTkkEa_ENkSqsGnpqoXy9kt0Fe1hCtlmU6kVFBNaonY"",""ORDER BOOKING REPORT 2025-26!C:CV""),{79,86,93},0))))"),5510287.459999999)</f>
        <v>5510287.46</v>
      </c>
      <c r="BS47" s="322">
        <f t="shared" si="15"/>
        <v>0.9461382155</v>
      </c>
      <c r="BT47" s="322">
        <f t="shared" si="16"/>
        <v>0.01756742498</v>
      </c>
      <c r="BU47" s="287">
        <f t="shared" si="17"/>
        <v>0</v>
      </c>
      <c r="BV47" s="320">
        <v>32910.0</v>
      </c>
      <c r="BW47" s="321" t="s">
        <v>526</v>
      </c>
      <c r="BX47" s="320">
        <v>806.0</v>
      </c>
      <c r="BY47" s="287">
        <f t="shared" si="18"/>
        <v>0</v>
      </c>
      <c r="BZ47" s="10"/>
      <c r="CA47" s="10"/>
      <c r="CB47" s="10"/>
      <c r="CC47" s="10"/>
      <c r="CD47" s="10"/>
      <c r="CE47" s="10"/>
      <c r="CF47" s="10"/>
      <c r="CG47" s="318" t="str">
        <f t="shared" si="21"/>
        <v> </v>
      </c>
      <c r="CH47" s="318" t="str">
        <f t="shared" si="28"/>
        <v>Business Achieved 50%</v>
      </c>
      <c r="CI47" s="322">
        <f t="shared" si="22"/>
        <v>0.7263157895</v>
      </c>
      <c r="CJ47" s="323"/>
      <c r="CK47" s="323"/>
      <c r="CL47" s="323"/>
      <c r="CM47" s="324">
        <f t="shared" si="23"/>
        <v>417</v>
      </c>
      <c r="CN47" s="337"/>
      <c r="CO47" s="152"/>
      <c r="CP47" s="152"/>
      <c r="CQ47" s="327"/>
      <c r="CR47" s="152"/>
      <c r="CS47" s="152"/>
      <c r="CT47" s="152"/>
      <c r="CU47" s="152"/>
      <c r="CV47" s="152"/>
      <c r="CW47" s="327">
        <f t="shared" si="27"/>
        <v>0</v>
      </c>
      <c r="CX47" s="270"/>
      <c r="CY47" s="152"/>
      <c r="CZ47" s="152"/>
    </row>
    <row r="48" hidden="1">
      <c r="A48" s="307" t="s">
        <v>273</v>
      </c>
      <c r="B48" s="307" t="s">
        <v>528</v>
      </c>
      <c r="C48" s="307" t="s">
        <v>280</v>
      </c>
      <c r="D48" s="307" t="s">
        <v>555</v>
      </c>
      <c r="E48" s="307" t="s">
        <v>191</v>
      </c>
      <c r="F48" s="308">
        <v>44825.0</v>
      </c>
      <c r="G48" s="309">
        <v>0.0</v>
      </c>
      <c r="H48" s="309">
        <v>5400000.0</v>
      </c>
      <c r="I48" s="287">
        <v>2433829.0</v>
      </c>
      <c r="J48" s="287">
        <v>0.0</v>
      </c>
      <c r="K48" s="284">
        <v>86.0</v>
      </c>
      <c r="L48" s="284">
        <v>74.0</v>
      </c>
      <c r="M48" s="284">
        <v>4.0</v>
      </c>
      <c r="N48" s="284">
        <v>90.0</v>
      </c>
      <c r="O48" s="284">
        <v>16.0</v>
      </c>
      <c r="P48" s="287">
        <v>2146813.48</v>
      </c>
      <c r="Q48" s="287">
        <v>287015.49</v>
      </c>
      <c r="R48" s="284">
        <v>39.0</v>
      </c>
      <c r="S48" s="284">
        <v>2.0</v>
      </c>
      <c r="T48" s="284">
        <v>41.0</v>
      </c>
      <c r="U48" s="284">
        <v>0.0</v>
      </c>
      <c r="V48" s="284">
        <v>35.0</v>
      </c>
      <c r="W48" s="284">
        <v>49.0</v>
      </c>
      <c r="X48" s="284">
        <v>150.0</v>
      </c>
      <c r="Y48" s="284">
        <v>1.0</v>
      </c>
      <c r="Z48" s="284">
        <v>21.0</v>
      </c>
      <c r="AA48" s="284">
        <v>0.0</v>
      </c>
      <c r="AB48" s="284">
        <v>0.0</v>
      </c>
      <c r="AC48" s="284">
        <v>0.0</v>
      </c>
      <c r="AD48" s="284">
        <v>0.0</v>
      </c>
      <c r="AE48" s="284">
        <v>317.0</v>
      </c>
      <c r="AF48" s="284">
        <v>387.0</v>
      </c>
      <c r="AG48" s="284">
        <v>76.0</v>
      </c>
      <c r="AH48" s="309">
        <f t="shared" si="2"/>
        <v>32024.06579</v>
      </c>
      <c r="AI48" s="309">
        <f t="shared" si="3"/>
        <v>5.092105263</v>
      </c>
      <c r="AJ48" s="311">
        <v>45000.0</v>
      </c>
      <c r="AK48" s="309">
        <f t="shared" si="29"/>
        <v>135000</v>
      </c>
      <c r="AL48" s="312"/>
      <c r="AM48" s="313">
        <f t="shared" si="5"/>
        <v>0.05546815327</v>
      </c>
      <c r="AN48" s="309">
        <f t="shared" si="6"/>
        <v>59361.68293</v>
      </c>
      <c r="AO48" s="314">
        <f t="shared" si="7"/>
        <v>0.4507090741</v>
      </c>
      <c r="AP48" s="315">
        <v>0.0</v>
      </c>
      <c r="AQ48" s="284">
        <v>86.0</v>
      </c>
      <c r="AR48" s="284">
        <v>803.0</v>
      </c>
      <c r="AS48" s="284">
        <v>5849.51</v>
      </c>
      <c r="AT48" s="284">
        <v>2.0</v>
      </c>
      <c r="AU48" s="284">
        <v>79.0</v>
      </c>
      <c r="AV48" s="284">
        <v>41.0</v>
      </c>
      <c r="AW48" s="284">
        <v>34.0</v>
      </c>
      <c r="AX48" s="284">
        <v>15.0</v>
      </c>
      <c r="AY48" s="309">
        <v>2488791.0</v>
      </c>
      <c r="AZ48" s="316"/>
      <c r="BA48" s="307" t="str">
        <f t="shared" si="8"/>
        <v>Active</v>
      </c>
      <c r="BB48" s="307" t="str">
        <f t="shared" si="9"/>
        <v>Old</v>
      </c>
      <c r="BC48" s="307" t="str">
        <f t="shared" si="10"/>
        <v>Below 50%</v>
      </c>
      <c r="BD48" s="286">
        <f t="shared" si="30"/>
        <v>3</v>
      </c>
      <c r="BE48" s="328">
        <v>1800000.0</v>
      </c>
      <c r="BF48" s="284">
        <f t="shared" si="12"/>
        <v>2</v>
      </c>
      <c r="BG48" s="307" t="s">
        <v>488</v>
      </c>
      <c r="BH48" s="272">
        <f>IFERROR(__xludf.DUMMYFUNCTION("""COMPUTED_VALUE"""),1.24686E7)</f>
        <v>12468600</v>
      </c>
      <c r="BI48" s="272">
        <f>IFERROR(__xludf.DUMMYFUNCTION("""COMPUTED_VALUE"""),1.2341859279999997E7)</f>
        <v>12341859.28</v>
      </c>
      <c r="BJ48" s="273"/>
      <c r="BK48" s="274"/>
      <c r="BL48" s="319">
        <f t="shared" si="13"/>
        <v>0</v>
      </c>
      <c r="BM48" s="319">
        <f t="shared" si="14"/>
        <v>5400000</v>
      </c>
      <c r="BN48" s="274"/>
      <c r="BO48" s="311">
        <f>IFERROR(__xludf.DUMMYFUNCTION("IFERROR(ArrayFormula(SUM(VLOOKUP($C48,importrange(""1PTkkEa_ENkSqsGnpqoXy9kt0Fe1hCtlmU6kVFBNaonY"",""ORDER BOOKING REPORT 2025-26!C:CV""),{16,23,30},0))))"),2506694.8200000003)</f>
        <v>2506694.82</v>
      </c>
      <c r="BP48" s="311">
        <f>IFERROR(__xludf.DUMMYFUNCTION("IFERROR(ArrayFormula(SUM(VLOOKUP($C48,importrange(""1PTkkEa_ENkSqsGnpqoXy9kt0Fe1hCtlmU6kVFBNaonY"",""ORDER BOOKING REPORT 2025-26!C:CV""),{37,44,51},0))))"),2452000.8)</f>
        <v>2452000.8</v>
      </c>
      <c r="BQ48" s="311">
        <f>IFERROR(__xludf.DUMMYFUNCTION("IFERROR(ArrayFormula(SUM(VLOOKUP($C48,importrange(""1PTkkEa_ENkSqsGnpqoXy9kt0Fe1hCtlmU6kVFBNaonY"",""ORDER BOOKING REPORT 2025-26!C:CV""),{58,65,72},0))))"),3573922.1599999997)</f>
        <v>3573922.16</v>
      </c>
      <c r="BR48" s="311">
        <f>IFERROR(__xludf.DUMMYFUNCTION("IFERROR(ArrayFormula(SUM(VLOOKUP($C48,importrange(""1PTkkEa_ENkSqsGnpqoXy9kt0Fe1hCtlmU6kVFBNaonY"",""ORDER BOOKING REPORT 2025-26!C:CV""),{79,86,93},0))))"),3809241.5)</f>
        <v>3809241.5</v>
      </c>
      <c r="BS48" s="322">
        <f t="shared" si="15"/>
        <v>0.4608872222</v>
      </c>
      <c r="BT48" s="322">
        <f t="shared" si="16"/>
        <v>0.05424320483</v>
      </c>
      <c r="BU48" s="287">
        <f t="shared" si="17"/>
        <v>0</v>
      </c>
      <c r="BV48" s="320">
        <v>45000.0</v>
      </c>
      <c r="BW48" s="321" t="s">
        <v>502</v>
      </c>
      <c r="BX48" s="320">
        <v>809.0</v>
      </c>
      <c r="BY48" s="287">
        <f t="shared" si="18"/>
        <v>0</v>
      </c>
      <c r="BZ48" s="10"/>
      <c r="CA48" s="10"/>
      <c r="CB48" s="10"/>
      <c r="CC48" s="10"/>
      <c r="CD48" s="10"/>
      <c r="CE48" s="10"/>
      <c r="CF48" s="10"/>
      <c r="CG48" s="318" t="str">
        <f t="shared" si="21"/>
        <v> </v>
      </c>
      <c r="CH48" s="318" t="str">
        <f t="shared" si="28"/>
        <v>Not 50%</v>
      </c>
      <c r="CI48" s="322">
        <f t="shared" si="22"/>
        <v>0.4555555556</v>
      </c>
      <c r="CJ48" s="323"/>
      <c r="CK48" s="323"/>
      <c r="CL48" s="323"/>
      <c r="CM48" s="324">
        <f t="shared" si="23"/>
        <v>317</v>
      </c>
      <c r="CN48" s="325"/>
      <c r="CO48" s="6"/>
      <c r="CP48" s="6"/>
      <c r="CQ48" s="327"/>
      <c r="CR48" s="6"/>
      <c r="CS48" s="6"/>
      <c r="CT48" s="6"/>
      <c r="CU48" s="6"/>
      <c r="CV48" s="6"/>
      <c r="CW48" s="327">
        <f t="shared" si="27"/>
        <v>0</v>
      </c>
      <c r="CX48" s="270"/>
      <c r="CY48" s="6"/>
      <c r="CZ48" s="6"/>
    </row>
    <row r="49" hidden="1">
      <c r="A49" s="307" t="s">
        <v>160</v>
      </c>
      <c r="B49" s="307" t="s">
        <v>534</v>
      </c>
      <c r="C49" s="307" t="s">
        <v>192</v>
      </c>
      <c r="D49" s="307" t="s">
        <v>560</v>
      </c>
      <c r="E49" s="307" t="s">
        <v>193</v>
      </c>
      <c r="F49" s="329">
        <v>44868.0</v>
      </c>
      <c r="G49" s="309">
        <v>0.0</v>
      </c>
      <c r="H49" s="309">
        <v>3750000.0</v>
      </c>
      <c r="I49" s="287">
        <v>577225.0</v>
      </c>
      <c r="J49" s="287">
        <v>0.0</v>
      </c>
      <c r="K49" s="284">
        <v>72.0</v>
      </c>
      <c r="L49" s="284">
        <v>41.0</v>
      </c>
      <c r="M49" s="284">
        <v>0.0</v>
      </c>
      <c r="N49" s="284">
        <v>72.0</v>
      </c>
      <c r="O49" s="284">
        <v>31.0</v>
      </c>
      <c r="P49" s="287">
        <v>577225.17</v>
      </c>
      <c r="Q49" s="287">
        <v>0.0</v>
      </c>
      <c r="R49" s="284">
        <v>8.0</v>
      </c>
      <c r="S49" s="284">
        <v>0.0</v>
      </c>
      <c r="T49" s="284">
        <v>8.0</v>
      </c>
      <c r="U49" s="284">
        <v>0.0</v>
      </c>
      <c r="V49" s="284">
        <v>3.0</v>
      </c>
      <c r="W49" s="284">
        <v>8.0</v>
      </c>
      <c r="X49" s="284">
        <v>49.0</v>
      </c>
      <c r="Y49" s="284">
        <v>1.0</v>
      </c>
      <c r="Z49" s="284">
        <v>13.0</v>
      </c>
      <c r="AA49" s="284">
        <v>0.0</v>
      </c>
      <c r="AB49" s="284">
        <v>0.0</v>
      </c>
      <c r="AC49" s="284">
        <v>0.0</v>
      </c>
      <c r="AD49" s="284">
        <v>0.0</v>
      </c>
      <c r="AE49" s="284">
        <v>131.0</v>
      </c>
      <c r="AF49" s="284">
        <v>152.0</v>
      </c>
      <c r="AG49" s="284">
        <v>63.0</v>
      </c>
      <c r="AH49" s="309">
        <f t="shared" si="2"/>
        <v>9162.301587</v>
      </c>
      <c r="AI49" s="309">
        <f t="shared" si="3"/>
        <v>2.412698413</v>
      </c>
      <c r="AJ49" s="311">
        <v>31625.0</v>
      </c>
      <c r="AK49" s="309">
        <f t="shared" si="29"/>
        <v>94875</v>
      </c>
      <c r="AL49" s="312"/>
      <c r="AM49" s="313">
        <f t="shared" si="5"/>
        <v>0.1643639828</v>
      </c>
      <c r="AN49" s="309">
        <f t="shared" si="6"/>
        <v>72153.125</v>
      </c>
      <c r="AO49" s="314">
        <f t="shared" si="7"/>
        <v>0.1539266667</v>
      </c>
      <c r="AP49" s="315">
        <v>0.0</v>
      </c>
      <c r="AQ49" s="284">
        <v>10.0</v>
      </c>
      <c r="AR49" s="284">
        <v>526.0</v>
      </c>
      <c r="AS49" s="284">
        <v>1988.15</v>
      </c>
      <c r="AT49" s="284">
        <v>0.0</v>
      </c>
      <c r="AU49" s="284">
        <v>48.0</v>
      </c>
      <c r="AV49" s="284">
        <v>8.0</v>
      </c>
      <c r="AW49" s="284">
        <v>35.0</v>
      </c>
      <c r="AX49" s="284">
        <v>29.0</v>
      </c>
      <c r="AY49" s="309">
        <v>1829499.59</v>
      </c>
      <c r="AZ49" s="316"/>
      <c r="BA49" s="307" t="str">
        <f t="shared" si="8"/>
        <v>Active</v>
      </c>
      <c r="BB49" s="307" t="str">
        <f t="shared" si="9"/>
        <v>Old</v>
      </c>
      <c r="BC49" s="307" t="str">
        <f t="shared" si="10"/>
        <v>Below 50%</v>
      </c>
      <c r="BD49" s="286">
        <f t="shared" si="30"/>
        <v>3</v>
      </c>
      <c r="BE49" s="328">
        <v>1250000.0</v>
      </c>
      <c r="BF49" s="284">
        <f t="shared" si="12"/>
        <v>0</v>
      </c>
      <c r="BG49" s="307" t="s">
        <v>488</v>
      </c>
      <c r="BH49" s="272">
        <f>IFERROR(__xludf.DUMMYFUNCTION("""COMPUTED_VALUE"""),1.054171306E7)</f>
        <v>10541713.06</v>
      </c>
      <c r="BI49" s="272">
        <f>IFERROR(__xludf.DUMMYFUNCTION("""COMPUTED_VALUE"""),9855471.23)</f>
        <v>9855471.23</v>
      </c>
      <c r="BJ49" s="273"/>
      <c r="BK49" s="274"/>
      <c r="BL49" s="319">
        <f t="shared" si="13"/>
        <v>0</v>
      </c>
      <c r="BM49" s="319">
        <f t="shared" si="14"/>
        <v>3750000</v>
      </c>
      <c r="BN49" s="274"/>
      <c r="BO49" s="311">
        <f>IFERROR(__xludf.DUMMYFUNCTION("IFERROR(ArrayFormula(SUM(VLOOKUP($C49,importrange(""1PTkkEa_ENkSqsGnpqoXy9kt0Fe1hCtlmU6kVFBNaonY"",""ORDER BOOKING REPORT 2025-26!C:CV""),{16,23,30},0))))"),2060801.3)</f>
        <v>2060801.3</v>
      </c>
      <c r="BP49" s="311">
        <f>IFERROR(__xludf.DUMMYFUNCTION("IFERROR(ArrayFormula(SUM(VLOOKUP($C49,importrange(""1PTkkEa_ENkSqsGnpqoXy9kt0Fe1hCtlmU6kVFBNaonY"",""ORDER BOOKING REPORT 2025-26!C:CV""),{37,44,51},0))))"),3042182.97)</f>
        <v>3042182.97</v>
      </c>
      <c r="BQ49" s="311">
        <f>IFERROR(__xludf.DUMMYFUNCTION("IFERROR(ArrayFormula(SUM(VLOOKUP($C49,importrange(""1PTkkEa_ENkSqsGnpqoXy9kt0Fe1hCtlmU6kVFBNaonY"",""ORDER BOOKING REPORT 2025-26!C:CV""),{58,65,72},0))))"),2370898.45)</f>
        <v>2370898.45</v>
      </c>
      <c r="BR49" s="311">
        <f>IFERROR(__xludf.DUMMYFUNCTION("IFERROR(ArrayFormula(SUM(VLOOKUP($C49,importrange(""1PTkkEa_ENkSqsGnpqoXy9kt0Fe1hCtlmU6kVFBNaonY"",""ORDER BOOKING REPORT 2025-26!C:CV""),{79,86,93},0))))"),2381588.51)</f>
        <v>2381588.51</v>
      </c>
      <c r="BS49" s="322">
        <f t="shared" si="15"/>
        <v>0.4878665573</v>
      </c>
      <c r="BT49" s="322">
        <f t="shared" si="16"/>
        <v>0.05185844289</v>
      </c>
      <c r="BU49" s="287">
        <f t="shared" si="17"/>
        <v>0</v>
      </c>
      <c r="BV49" s="320">
        <v>31625.0</v>
      </c>
      <c r="BW49" s="321" t="s">
        <v>502</v>
      </c>
      <c r="BX49" s="320">
        <v>826.0</v>
      </c>
      <c r="BY49" s="287">
        <f t="shared" si="18"/>
        <v>0</v>
      </c>
      <c r="BZ49" s="10"/>
      <c r="CA49" s="10"/>
      <c r="CB49" s="10"/>
      <c r="CC49" s="10"/>
      <c r="CD49" s="10"/>
      <c r="CE49" s="10"/>
      <c r="CF49" s="10"/>
      <c r="CG49" s="318" t="str">
        <f t="shared" si="21"/>
        <v> </v>
      </c>
      <c r="CH49" s="318" t="str">
        <f t="shared" si="28"/>
        <v>Not 50%</v>
      </c>
      <c r="CI49" s="322">
        <f t="shared" si="22"/>
        <v>0.1111111111</v>
      </c>
      <c r="CJ49" s="323"/>
      <c r="CK49" s="323"/>
      <c r="CL49" s="323"/>
      <c r="CM49" s="324">
        <f t="shared" si="23"/>
        <v>131</v>
      </c>
      <c r="CN49" s="325"/>
      <c r="CO49" s="6"/>
      <c r="CP49" s="6"/>
      <c r="CQ49" s="327"/>
      <c r="CR49" s="6"/>
      <c r="CS49" s="6"/>
      <c r="CT49" s="6"/>
      <c r="CU49" s="6"/>
      <c r="CV49" s="6"/>
      <c r="CW49" s="327">
        <f t="shared" si="27"/>
        <v>0</v>
      </c>
      <c r="CX49" s="270"/>
      <c r="CY49" s="6"/>
      <c r="CZ49" s="6"/>
    </row>
    <row r="50" hidden="1">
      <c r="A50" s="307" t="s">
        <v>103</v>
      </c>
      <c r="B50" s="307" t="s">
        <v>492</v>
      </c>
      <c r="C50" s="307" t="s">
        <v>123</v>
      </c>
      <c r="D50" s="307" t="s">
        <v>492</v>
      </c>
      <c r="E50" s="307" t="s">
        <v>124</v>
      </c>
      <c r="F50" s="308">
        <v>44911.0</v>
      </c>
      <c r="G50" s="309">
        <v>375000.0</v>
      </c>
      <c r="H50" s="309">
        <v>7125000.0</v>
      </c>
      <c r="I50" s="287">
        <v>5698299.0</v>
      </c>
      <c r="J50" s="287">
        <v>116897.45</v>
      </c>
      <c r="K50" s="284">
        <v>229.0</v>
      </c>
      <c r="L50" s="284">
        <v>149.0</v>
      </c>
      <c r="M50" s="284">
        <v>9.0</v>
      </c>
      <c r="N50" s="284">
        <v>238.0</v>
      </c>
      <c r="O50" s="284">
        <v>89.0</v>
      </c>
      <c r="P50" s="287">
        <v>5212975.9</v>
      </c>
      <c r="Q50" s="287">
        <v>485323.04</v>
      </c>
      <c r="R50" s="284">
        <v>132.0</v>
      </c>
      <c r="S50" s="284">
        <v>9.0</v>
      </c>
      <c r="T50" s="284">
        <v>141.0</v>
      </c>
      <c r="U50" s="284">
        <v>1.0</v>
      </c>
      <c r="V50" s="284">
        <v>10.0</v>
      </c>
      <c r="W50" s="284">
        <v>12.0</v>
      </c>
      <c r="X50" s="284">
        <v>164.0</v>
      </c>
      <c r="Y50" s="284">
        <v>2.0</v>
      </c>
      <c r="Z50" s="284">
        <v>48.0</v>
      </c>
      <c r="AA50" s="284">
        <v>1.0</v>
      </c>
      <c r="AB50" s="284">
        <v>2.0</v>
      </c>
      <c r="AC50" s="284">
        <v>0.0</v>
      </c>
      <c r="AD50" s="284">
        <v>0.0</v>
      </c>
      <c r="AE50" s="284">
        <v>394.0</v>
      </c>
      <c r="AF50" s="284">
        <v>456.0</v>
      </c>
      <c r="AG50" s="284">
        <v>78.0</v>
      </c>
      <c r="AH50" s="309">
        <f t="shared" si="2"/>
        <v>74553.80064</v>
      </c>
      <c r="AI50" s="309">
        <f t="shared" si="3"/>
        <v>5.846153846</v>
      </c>
      <c r="AJ50" s="311">
        <v>45935.0</v>
      </c>
      <c r="AK50" s="309">
        <f t="shared" si="29"/>
        <v>137805</v>
      </c>
      <c r="AL50" s="286"/>
      <c r="AM50" s="313">
        <f t="shared" si="5"/>
        <v>0.02369739375</v>
      </c>
      <c r="AN50" s="309">
        <f t="shared" si="6"/>
        <v>40413.46809</v>
      </c>
      <c r="AO50" s="314">
        <f t="shared" si="7"/>
        <v>0.7753595267</v>
      </c>
      <c r="AP50" s="315">
        <v>0.31</v>
      </c>
      <c r="AQ50" s="284">
        <v>309.0</v>
      </c>
      <c r="AR50" s="284">
        <v>543.0</v>
      </c>
      <c r="AS50" s="284">
        <v>4792.12</v>
      </c>
      <c r="AT50" s="284">
        <v>9.0</v>
      </c>
      <c r="AU50" s="284">
        <v>32.0</v>
      </c>
      <c r="AV50" s="284">
        <v>141.0</v>
      </c>
      <c r="AW50" s="284">
        <v>36.0</v>
      </c>
      <c r="AX50" s="284">
        <v>61.0</v>
      </c>
      <c r="AY50" s="309">
        <v>5091340.0</v>
      </c>
      <c r="AZ50" s="316"/>
      <c r="BA50" s="307" t="str">
        <f t="shared" si="8"/>
        <v>Active</v>
      </c>
      <c r="BB50" s="307" t="str">
        <f t="shared" si="9"/>
        <v>Old</v>
      </c>
      <c r="BC50" s="307" t="str">
        <f t="shared" si="10"/>
        <v>70%-90%</v>
      </c>
      <c r="BD50" s="286">
        <f t="shared" si="30"/>
        <v>3</v>
      </c>
      <c r="BE50" s="328">
        <v>2500000.0</v>
      </c>
      <c r="BF50" s="284">
        <f t="shared" si="12"/>
        <v>0</v>
      </c>
      <c r="BG50" s="307" t="s">
        <v>488</v>
      </c>
      <c r="BH50" s="272">
        <f>IFERROR(__xludf.DUMMYFUNCTION("""COMPUTED_VALUE"""),2.1749941E7)</f>
        <v>21749941</v>
      </c>
      <c r="BI50" s="272">
        <f>IFERROR(__xludf.DUMMYFUNCTION("""COMPUTED_VALUE"""),2.103803880051758E7)</f>
        <v>21038038.8</v>
      </c>
      <c r="BJ50" s="273"/>
      <c r="BK50" s="344">
        <v>125000.0</v>
      </c>
      <c r="BL50" s="319">
        <f t="shared" si="13"/>
        <v>375000</v>
      </c>
      <c r="BM50" s="319">
        <f t="shared" si="14"/>
        <v>7500000</v>
      </c>
      <c r="BN50" s="274"/>
      <c r="BO50" s="311">
        <f>IFERROR(__xludf.DUMMYFUNCTION("IFERROR(ArrayFormula(SUM(VLOOKUP($C50,importrange(""1PTkkEa_ENkSqsGnpqoXy9kt0Fe1hCtlmU6kVFBNaonY"",""ORDER BOOKING REPORT 2025-26!C:CV""),{16,23,30},0))))"),5112427.440517578)</f>
        <v>5112427.441</v>
      </c>
      <c r="BP50" s="311">
        <f>IFERROR(__xludf.DUMMYFUNCTION("IFERROR(ArrayFormula(SUM(VLOOKUP($C50,importrange(""1PTkkEa_ENkSqsGnpqoXy9kt0Fe1hCtlmU6kVFBNaonY"",""ORDER BOOKING REPORT 2025-26!C:CV""),{37,44,51},0))))"),4527814.699999999)</f>
        <v>4527814.7</v>
      </c>
      <c r="BQ50" s="311">
        <f>IFERROR(__xludf.DUMMYFUNCTION("IFERROR(ArrayFormula(SUM(VLOOKUP($C50,importrange(""1PTkkEa_ENkSqsGnpqoXy9kt0Fe1hCtlmU6kVFBNaonY"",""ORDER BOOKING REPORT 2025-26!C:CV""),{58,65,72},0))))"),5488494.76)</f>
        <v>5488494.76</v>
      </c>
      <c r="BR50" s="311">
        <f>IFERROR(__xludf.DUMMYFUNCTION("IFERROR(ArrayFormula(SUM(VLOOKUP($C50,importrange(""1PTkkEa_ENkSqsGnpqoXy9kt0Fe1hCtlmU6kVFBNaonY"",""ORDER BOOKING REPORT 2025-26!C:CV""),{79,86,93},0))))"),5909301.900000001)</f>
        <v>5909301.9</v>
      </c>
      <c r="BS50" s="322">
        <f t="shared" si="15"/>
        <v>0.6788453333</v>
      </c>
      <c r="BT50" s="322">
        <f t="shared" si="16"/>
        <v>0.0270665483</v>
      </c>
      <c r="BU50" s="287">
        <f t="shared" si="17"/>
        <v>0</v>
      </c>
      <c r="BV50" s="320">
        <v>45935.0</v>
      </c>
      <c r="BW50" s="321" t="s">
        <v>489</v>
      </c>
      <c r="BX50" s="320">
        <v>832.0</v>
      </c>
      <c r="BY50" s="287">
        <f t="shared" si="18"/>
        <v>0</v>
      </c>
      <c r="BZ50" s="10"/>
      <c r="CA50" s="10"/>
      <c r="CB50" s="10"/>
      <c r="CC50" s="10"/>
      <c r="CD50" s="10"/>
      <c r="CE50" s="10"/>
      <c r="CF50" s="10"/>
      <c r="CG50" s="318" t="str">
        <f t="shared" si="21"/>
        <v> </v>
      </c>
      <c r="CH50" s="318" t="str">
        <f t="shared" si="28"/>
        <v>Business Achieved 50%</v>
      </c>
      <c r="CI50" s="322">
        <f t="shared" si="22"/>
        <v>0.5924369748</v>
      </c>
      <c r="CJ50" s="323"/>
      <c r="CK50" s="323"/>
      <c r="CL50" s="323"/>
      <c r="CM50" s="324">
        <f t="shared" si="23"/>
        <v>394</v>
      </c>
      <c r="CN50" s="337"/>
      <c r="CO50" s="152"/>
      <c r="CP50" s="152"/>
      <c r="CQ50" s="327"/>
      <c r="CR50" s="152"/>
      <c r="CS50" s="152"/>
      <c r="CT50" s="152"/>
      <c r="CU50" s="152"/>
      <c r="CV50" s="152"/>
      <c r="CW50" s="327">
        <f t="shared" si="27"/>
        <v>0</v>
      </c>
      <c r="CX50" s="270"/>
      <c r="CY50" s="152"/>
      <c r="CZ50" s="152"/>
    </row>
    <row r="51" hidden="1">
      <c r="A51" s="307" t="s">
        <v>160</v>
      </c>
      <c r="B51" s="307" t="s">
        <v>523</v>
      </c>
      <c r="C51" s="307" t="s">
        <v>265</v>
      </c>
      <c r="D51" s="307" t="s">
        <v>524</v>
      </c>
      <c r="E51" s="307" t="s">
        <v>266</v>
      </c>
      <c r="F51" s="308">
        <v>44953.0</v>
      </c>
      <c r="G51" s="309">
        <v>0.0</v>
      </c>
      <c r="H51" s="309">
        <v>4500000.0</v>
      </c>
      <c r="I51" s="287">
        <v>1742482.0</v>
      </c>
      <c r="J51" s="287">
        <v>0.0</v>
      </c>
      <c r="K51" s="284">
        <v>130.0</v>
      </c>
      <c r="L51" s="284">
        <v>121.0</v>
      </c>
      <c r="M51" s="284">
        <v>0.0</v>
      </c>
      <c r="N51" s="284">
        <v>130.0</v>
      </c>
      <c r="O51" s="284">
        <v>9.0</v>
      </c>
      <c r="P51" s="287">
        <v>1742481.71</v>
      </c>
      <c r="Q51" s="287">
        <v>0.0</v>
      </c>
      <c r="R51" s="284">
        <v>79.0</v>
      </c>
      <c r="S51" s="284">
        <v>0.0</v>
      </c>
      <c r="T51" s="284">
        <v>79.0</v>
      </c>
      <c r="U51" s="284">
        <v>0.0</v>
      </c>
      <c r="V51" s="284">
        <v>1.0</v>
      </c>
      <c r="W51" s="284">
        <v>2.0</v>
      </c>
      <c r="X51" s="284">
        <v>45.0</v>
      </c>
      <c r="Y51" s="284">
        <v>1.0</v>
      </c>
      <c r="Z51" s="284">
        <v>1.0</v>
      </c>
      <c r="AA51" s="284">
        <v>0.0</v>
      </c>
      <c r="AB51" s="284">
        <v>0.0</v>
      </c>
      <c r="AC51" s="284">
        <v>0.0</v>
      </c>
      <c r="AD51" s="284">
        <v>0.0</v>
      </c>
      <c r="AE51" s="284">
        <v>340.0</v>
      </c>
      <c r="AF51" s="284">
        <v>343.0</v>
      </c>
      <c r="AG51" s="284">
        <v>51.0</v>
      </c>
      <c r="AH51" s="309">
        <f t="shared" si="2"/>
        <v>34166.31373</v>
      </c>
      <c r="AI51" s="309">
        <f t="shared" si="3"/>
        <v>6.725490196</v>
      </c>
      <c r="AJ51" s="311">
        <v>34920.0</v>
      </c>
      <c r="AK51" s="309">
        <f t="shared" si="29"/>
        <v>69089.03226</v>
      </c>
      <c r="AL51" s="286"/>
      <c r="AM51" s="313">
        <f t="shared" si="5"/>
        <v>0.03964978247</v>
      </c>
      <c r="AN51" s="309">
        <f t="shared" si="6"/>
        <v>22056.73418</v>
      </c>
      <c r="AO51" s="314">
        <f t="shared" si="7"/>
        <v>0.3872182222</v>
      </c>
      <c r="AP51" s="315">
        <v>0.0</v>
      </c>
      <c r="AQ51" s="284">
        <v>152.0</v>
      </c>
      <c r="AR51" s="284">
        <v>568.0</v>
      </c>
      <c r="AS51" s="284">
        <v>3686.81</v>
      </c>
      <c r="AT51" s="284">
        <v>0.0</v>
      </c>
      <c r="AU51" s="284">
        <v>30.0</v>
      </c>
      <c r="AV51" s="284">
        <v>79.0</v>
      </c>
      <c r="AW51" s="284">
        <v>45.0</v>
      </c>
      <c r="AX51" s="284">
        <v>6.0</v>
      </c>
      <c r="AY51" s="309">
        <v>2040448.0</v>
      </c>
      <c r="AZ51" s="316"/>
      <c r="BA51" s="307" t="str">
        <f t="shared" si="8"/>
        <v>Active</v>
      </c>
      <c r="BB51" s="307" t="str">
        <f t="shared" si="9"/>
        <v>Old</v>
      </c>
      <c r="BC51" s="307" t="str">
        <f t="shared" si="10"/>
        <v>Below 50%</v>
      </c>
      <c r="BD51" s="347">
        <f>(10/30)+(20/31)+1</f>
        <v>1.978494624</v>
      </c>
      <c r="BE51" s="328">
        <v>1500000.0</v>
      </c>
      <c r="BF51" s="284">
        <f t="shared" si="12"/>
        <v>0</v>
      </c>
      <c r="BG51" s="307" t="s">
        <v>488</v>
      </c>
      <c r="BH51" s="272">
        <f>IFERROR(__xludf.DUMMYFUNCTION("""COMPUTED_VALUE"""),8727947.0)</f>
        <v>8727947</v>
      </c>
      <c r="BI51" s="272">
        <f>IFERROR(__xludf.DUMMYFUNCTION("""COMPUTED_VALUE"""),7713644.540000001)</f>
        <v>7713644.54</v>
      </c>
      <c r="BJ51" s="273"/>
      <c r="BK51" s="274"/>
      <c r="BL51" s="319">
        <f t="shared" si="13"/>
        <v>0</v>
      </c>
      <c r="BM51" s="319">
        <f t="shared" si="14"/>
        <v>4500000</v>
      </c>
      <c r="BN51" s="274"/>
      <c r="BO51" s="311">
        <f>IFERROR(__xludf.DUMMYFUNCTION("IFERROR(ArrayFormula(SUM(VLOOKUP($C51,importrange(""1PTkkEa_ENkSqsGnpqoXy9kt0Fe1hCtlmU6kVFBNaonY"",""ORDER BOOKING REPORT 2025-26!C:CV""),{16,23,30},0))))"),1929822.6800000002)</f>
        <v>1929822.68</v>
      </c>
      <c r="BP51" s="311">
        <f>IFERROR(__xludf.DUMMYFUNCTION("IFERROR(ArrayFormula(SUM(VLOOKUP($C51,importrange(""1PTkkEa_ENkSqsGnpqoXy9kt0Fe1hCtlmU6kVFBNaonY"",""ORDER BOOKING REPORT 2025-26!C:CV""),{37,44,51},0))))"),2313650.7800000003)</f>
        <v>2313650.78</v>
      </c>
      <c r="BQ51" s="311">
        <f>IFERROR(__xludf.DUMMYFUNCTION("IFERROR(ArrayFormula(SUM(VLOOKUP($C51,importrange(""1PTkkEa_ENkSqsGnpqoXy9kt0Fe1hCtlmU6kVFBNaonY"",""ORDER BOOKING REPORT 2025-26!C:CV""),{58,65,72},0))))"),1782978.1)</f>
        <v>1782978.1</v>
      </c>
      <c r="BR51" s="311">
        <f>IFERROR(__xludf.DUMMYFUNCTION("IFERROR(ArrayFormula(SUM(VLOOKUP($C51,importrange(""1PTkkEa_ENkSqsGnpqoXy9kt0Fe1hCtlmU6kVFBNaonY"",""ORDER BOOKING REPORT 2025-26!C:CV""),{79,86,93},0))))"),1687192.9799999997)</f>
        <v>1687192.98</v>
      </c>
      <c r="BS51" s="322">
        <f t="shared" si="15"/>
        <v>0.4534328889</v>
      </c>
      <c r="BT51" s="322">
        <f t="shared" si="16"/>
        <v>0.03385973681</v>
      </c>
      <c r="BU51" s="287">
        <f t="shared" si="17"/>
        <v>0</v>
      </c>
      <c r="BV51" s="320">
        <v>34920.0</v>
      </c>
      <c r="BW51" s="321" t="s">
        <v>502</v>
      </c>
      <c r="BX51" s="320">
        <v>849.0</v>
      </c>
      <c r="BY51" s="287">
        <f t="shared" si="18"/>
        <v>0</v>
      </c>
      <c r="BZ51" s="10"/>
      <c r="CA51" s="10"/>
      <c r="CB51" s="10"/>
      <c r="CC51" s="10"/>
      <c r="CD51" s="10"/>
      <c r="CE51" s="10"/>
      <c r="CF51" s="10"/>
      <c r="CG51" s="318" t="str">
        <f t="shared" si="21"/>
        <v> </v>
      </c>
      <c r="CH51" s="318" t="str">
        <f t="shared" si="28"/>
        <v>Business Achieved 50%</v>
      </c>
      <c r="CI51" s="322">
        <f t="shared" si="22"/>
        <v>0.6076923077</v>
      </c>
      <c r="CJ51" s="323"/>
      <c r="CK51" s="323"/>
      <c r="CL51" s="323"/>
      <c r="CM51" s="324">
        <f t="shared" si="23"/>
        <v>340</v>
      </c>
      <c r="CN51" s="337"/>
      <c r="CO51" s="152"/>
      <c r="CP51" s="152"/>
      <c r="CQ51" s="327"/>
      <c r="CR51" s="152"/>
      <c r="CS51" s="152"/>
      <c r="CT51" s="152"/>
      <c r="CU51" s="152"/>
      <c r="CV51" s="152"/>
      <c r="CW51" s="327">
        <f t="shared" si="27"/>
        <v>0</v>
      </c>
      <c r="CX51" s="270"/>
      <c r="CY51" s="152"/>
      <c r="CZ51" s="152"/>
    </row>
    <row r="52" hidden="1">
      <c r="A52" s="307" t="s">
        <v>160</v>
      </c>
      <c r="B52" s="307" t="s">
        <v>483</v>
      </c>
      <c r="C52" s="307" t="s">
        <v>561</v>
      </c>
      <c r="D52" s="307" t="s">
        <v>484</v>
      </c>
      <c r="E52" s="307" t="s">
        <v>562</v>
      </c>
      <c r="F52" s="329">
        <v>44958.0</v>
      </c>
      <c r="G52" s="309">
        <v>0.0</v>
      </c>
      <c r="H52" s="309">
        <v>1.7499999E7</v>
      </c>
      <c r="I52" s="287">
        <v>1.043194E7</v>
      </c>
      <c r="J52" s="287">
        <v>0.0</v>
      </c>
      <c r="K52" s="284">
        <v>56.0</v>
      </c>
      <c r="L52" s="284">
        <v>54.0</v>
      </c>
      <c r="M52" s="284">
        <v>0.0</v>
      </c>
      <c r="N52" s="284">
        <v>56.0</v>
      </c>
      <c r="O52" s="284">
        <v>2.0</v>
      </c>
      <c r="P52" s="287">
        <v>1.043194029E7</v>
      </c>
      <c r="Q52" s="287">
        <v>0.0</v>
      </c>
      <c r="R52" s="284">
        <v>37.0</v>
      </c>
      <c r="S52" s="284">
        <v>0.0</v>
      </c>
      <c r="T52" s="284">
        <v>37.0</v>
      </c>
      <c r="U52" s="284">
        <v>0.0</v>
      </c>
      <c r="V52" s="284">
        <v>0.0</v>
      </c>
      <c r="W52" s="284">
        <v>0.0</v>
      </c>
      <c r="X52" s="284">
        <v>61.0</v>
      </c>
      <c r="Y52" s="284">
        <v>1.0</v>
      </c>
      <c r="Z52" s="284">
        <v>5.0</v>
      </c>
      <c r="AA52" s="284">
        <v>0.0</v>
      </c>
      <c r="AB52" s="284">
        <v>0.0</v>
      </c>
      <c r="AC52" s="284">
        <v>0.0</v>
      </c>
      <c r="AD52" s="284">
        <v>0.0</v>
      </c>
      <c r="AE52" s="284">
        <v>281.0</v>
      </c>
      <c r="AF52" s="284">
        <v>286.0</v>
      </c>
      <c r="AG52" s="284">
        <v>76.0</v>
      </c>
      <c r="AH52" s="309">
        <f t="shared" si="2"/>
        <v>137262.3684</v>
      </c>
      <c r="AI52" s="309">
        <f t="shared" si="3"/>
        <v>3.763157895</v>
      </c>
      <c r="AJ52" s="311">
        <v>24116.0</v>
      </c>
      <c r="AK52" s="309">
        <f t="shared" si="29"/>
        <v>72348</v>
      </c>
      <c r="AL52" s="312"/>
      <c r="AM52" s="313">
        <f t="shared" si="5"/>
        <v>0.006935239275</v>
      </c>
      <c r="AN52" s="309">
        <f t="shared" si="6"/>
        <v>281944.3243</v>
      </c>
      <c r="AO52" s="314">
        <f t="shared" si="7"/>
        <v>0.5961108912</v>
      </c>
      <c r="AP52" s="315">
        <v>0.0</v>
      </c>
      <c r="AQ52" s="284">
        <v>77.0</v>
      </c>
      <c r="AR52" s="284">
        <v>887.0</v>
      </c>
      <c r="AS52" s="284">
        <v>4443.59</v>
      </c>
      <c r="AT52" s="284">
        <v>0.0</v>
      </c>
      <c r="AU52" s="284">
        <v>82.0</v>
      </c>
      <c r="AV52" s="284">
        <v>37.0</v>
      </c>
      <c r="AW52" s="284">
        <v>17.0</v>
      </c>
      <c r="AX52" s="284">
        <v>2.0</v>
      </c>
      <c r="AY52" s="309">
        <v>1.196984E7</v>
      </c>
      <c r="AZ52" s="316"/>
      <c r="BA52" s="307" t="str">
        <f t="shared" si="8"/>
        <v>Active</v>
      </c>
      <c r="BB52" s="307" t="str">
        <f t="shared" si="9"/>
        <v>Old</v>
      </c>
      <c r="BC52" s="307" t="str">
        <f t="shared" si="10"/>
        <v>50%-70%</v>
      </c>
      <c r="BD52" s="286">
        <f t="shared" ref="BD52:BD61" si="31">Match($BD$3,{"Apr","May","Jun","Jul","Aug","Sep","Oct","Nov","Dec","Jan","Feb","Mar"},0)</f>
        <v>3</v>
      </c>
      <c r="BE52" s="328">
        <v>5833333.0</v>
      </c>
      <c r="BF52" s="284">
        <f t="shared" si="12"/>
        <v>0</v>
      </c>
      <c r="BG52" s="307" t="s">
        <v>488</v>
      </c>
      <c r="BH52" s="272">
        <f>IFERROR(__xludf.DUMMYFUNCTION("""COMPUTED_VALUE"""),5.034773E7)</f>
        <v>50347730</v>
      </c>
      <c r="BI52" s="272">
        <f>IFERROR(__xludf.DUMMYFUNCTION("""COMPUTED_VALUE"""),4.612985337E7)</f>
        <v>46129853.37</v>
      </c>
      <c r="BJ52" s="273"/>
      <c r="BK52" s="274"/>
      <c r="BL52" s="319">
        <f t="shared" si="13"/>
        <v>0</v>
      </c>
      <c r="BM52" s="319">
        <f t="shared" si="14"/>
        <v>17499999</v>
      </c>
      <c r="BN52" s="274"/>
      <c r="BO52" s="311">
        <f>IFERROR(__xludf.DUMMYFUNCTION("IFERROR(ArrayFormula(SUM(VLOOKUP($C52,importrange(""1PTkkEa_ENkSqsGnpqoXy9kt0Fe1hCtlmU6kVFBNaonY"",""ORDER BOOKING REPORT 2025-26!C:CV""),{16,23,30},0))))"),7983792.2)</f>
        <v>7983792.2</v>
      </c>
      <c r="BP52" s="311">
        <f>IFERROR(__xludf.DUMMYFUNCTION("IFERROR(ArrayFormula(SUM(VLOOKUP($C52,importrange(""1PTkkEa_ENkSqsGnpqoXy9kt0Fe1hCtlmU6kVFBNaonY"",""ORDER BOOKING REPORT 2025-26!C:CV""),{37,44,51},0))))"),1.0378110670000002E7)</f>
        <v>10378110.67</v>
      </c>
      <c r="BQ52" s="311">
        <f>IFERROR(__xludf.DUMMYFUNCTION("IFERROR(ArrayFormula(SUM(VLOOKUP($C52,importrange(""1PTkkEa_ENkSqsGnpqoXy9kt0Fe1hCtlmU6kVFBNaonY"",""ORDER BOOKING REPORT 2025-26!C:CV""),{58,65,72},0))))"),1.099556235E7)</f>
        <v>10995562.35</v>
      </c>
      <c r="BR52" s="311">
        <f>IFERROR(__xludf.DUMMYFUNCTION("IFERROR(ArrayFormula(SUM(VLOOKUP($C52,importrange(""1PTkkEa_ENkSqsGnpqoXy9kt0Fe1hCtlmU6kVFBNaonY"",""ORDER BOOKING REPORT 2025-26!C:CV""),{79,86,93},0))))"),1.6772388150000002E7)</f>
        <v>16772388.15</v>
      </c>
      <c r="BS52" s="322">
        <f t="shared" si="15"/>
        <v>0.6839908962</v>
      </c>
      <c r="BT52" s="322">
        <f t="shared" si="16"/>
        <v>0.006044191067</v>
      </c>
      <c r="BU52" s="287">
        <f t="shared" si="17"/>
        <v>0</v>
      </c>
      <c r="BV52" s="320">
        <v>24116.0</v>
      </c>
      <c r="BW52" s="321" t="s">
        <v>526</v>
      </c>
      <c r="BX52" s="320">
        <v>853.0</v>
      </c>
      <c r="BY52" s="287">
        <f t="shared" si="18"/>
        <v>0</v>
      </c>
      <c r="BZ52" s="10"/>
      <c r="CA52" s="10"/>
      <c r="CB52" s="10"/>
      <c r="CC52" s="10"/>
      <c r="CD52" s="10"/>
      <c r="CE52" s="10"/>
      <c r="CF52" s="10"/>
      <c r="CG52" s="318" t="str">
        <f t="shared" si="21"/>
        <v>Below 60</v>
      </c>
      <c r="CH52" s="318" t="str">
        <f t="shared" si="28"/>
        <v>Business Achieved 50%</v>
      </c>
      <c r="CI52" s="322">
        <f t="shared" si="22"/>
        <v>0.6607142857</v>
      </c>
      <c r="CJ52" s="323"/>
      <c r="CK52" s="323"/>
      <c r="CL52" s="323"/>
      <c r="CM52" s="324">
        <f t="shared" si="23"/>
        <v>281</v>
      </c>
      <c r="CN52" s="325"/>
      <c r="CO52" s="6"/>
      <c r="CP52" s="6"/>
      <c r="CQ52" s="327"/>
      <c r="CR52" s="6"/>
      <c r="CS52" s="6"/>
      <c r="CT52" s="6"/>
      <c r="CU52" s="6"/>
      <c r="CV52" s="6"/>
      <c r="CW52" s="327">
        <f t="shared" si="27"/>
        <v>0</v>
      </c>
      <c r="CX52" s="270"/>
      <c r="CY52" s="6"/>
      <c r="CZ52" s="6"/>
    </row>
    <row r="53" hidden="1">
      <c r="A53" s="307" t="s">
        <v>23</v>
      </c>
      <c r="B53" s="307" t="s">
        <v>27</v>
      </c>
      <c r="C53" s="307" t="s">
        <v>563</v>
      </c>
      <c r="D53" s="307" t="s">
        <v>564</v>
      </c>
      <c r="E53" s="307" t="s">
        <v>27</v>
      </c>
      <c r="F53" s="329">
        <v>44994.0</v>
      </c>
      <c r="G53" s="309">
        <v>300000.0</v>
      </c>
      <c r="H53" s="309">
        <v>5100000.0</v>
      </c>
      <c r="I53" s="287">
        <v>1834504.0</v>
      </c>
      <c r="J53" s="287">
        <v>786604.98</v>
      </c>
      <c r="K53" s="284">
        <v>61.0</v>
      </c>
      <c r="L53" s="284">
        <v>54.0</v>
      </c>
      <c r="M53" s="284">
        <v>1.0</v>
      </c>
      <c r="N53" s="284">
        <v>62.0</v>
      </c>
      <c r="O53" s="284">
        <v>8.0</v>
      </c>
      <c r="P53" s="287">
        <v>1834503.57</v>
      </c>
      <c r="Q53" s="287">
        <v>0.0</v>
      </c>
      <c r="R53" s="284">
        <v>31.0</v>
      </c>
      <c r="S53" s="284">
        <v>0.0</v>
      </c>
      <c r="T53" s="284">
        <v>31.0</v>
      </c>
      <c r="U53" s="284">
        <v>3.0</v>
      </c>
      <c r="V53" s="284">
        <v>30.0</v>
      </c>
      <c r="W53" s="284">
        <v>68.0</v>
      </c>
      <c r="X53" s="284">
        <v>110.0</v>
      </c>
      <c r="Y53" s="284">
        <v>3.0</v>
      </c>
      <c r="Z53" s="284">
        <v>41.0</v>
      </c>
      <c r="AA53" s="284">
        <v>8.0</v>
      </c>
      <c r="AB53" s="284">
        <v>85.0</v>
      </c>
      <c r="AC53" s="284">
        <v>2.0</v>
      </c>
      <c r="AD53" s="284">
        <v>21.0</v>
      </c>
      <c r="AE53" s="284">
        <v>317.0</v>
      </c>
      <c r="AF53" s="284">
        <v>532.0</v>
      </c>
      <c r="AG53" s="284">
        <v>72.0</v>
      </c>
      <c r="AH53" s="309">
        <f t="shared" si="2"/>
        <v>36404.29139</v>
      </c>
      <c r="AI53" s="309">
        <f t="shared" si="3"/>
        <v>7.388888889</v>
      </c>
      <c r="AJ53" s="311">
        <v>46390.0</v>
      </c>
      <c r="AK53" s="309">
        <f t="shared" si="29"/>
        <v>139170</v>
      </c>
      <c r="AL53" s="286"/>
      <c r="AM53" s="313">
        <f t="shared" si="5"/>
        <v>0.05309584648</v>
      </c>
      <c r="AN53" s="309">
        <f t="shared" si="6"/>
        <v>59177.54839</v>
      </c>
      <c r="AO53" s="314">
        <f t="shared" si="7"/>
        <v>0.4853905519</v>
      </c>
      <c r="AP53" s="315">
        <v>2.62</v>
      </c>
      <c r="AQ53" s="284">
        <v>56.0</v>
      </c>
      <c r="AR53" s="284">
        <v>808.0</v>
      </c>
      <c r="AS53" s="284">
        <v>4159.08</v>
      </c>
      <c r="AT53" s="284">
        <v>0.0</v>
      </c>
      <c r="AU53" s="284">
        <v>77.0</v>
      </c>
      <c r="AV53" s="284">
        <v>31.0</v>
      </c>
      <c r="AW53" s="284">
        <v>24.0</v>
      </c>
      <c r="AX53" s="284">
        <v>7.0</v>
      </c>
      <c r="AY53" s="309">
        <v>1425767.0</v>
      </c>
      <c r="AZ53" s="316"/>
      <c r="BA53" s="307" t="str">
        <f t="shared" si="8"/>
        <v>Active</v>
      </c>
      <c r="BB53" s="307" t="str">
        <f t="shared" si="9"/>
        <v>Old</v>
      </c>
      <c r="BC53" s="307" t="str">
        <f t="shared" si="10"/>
        <v>Below 50%</v>
      </c>
      <c r="BD53" s="286">
        <f t="shared" si="31"/>
        <v>3</v>
      </c>
      <c r="BE53" s="328">
        <v>1800000.0</v>
      </c>
      <c r="BF53" s="284">
        <f t="shared" si="12"/>
        <v>1</v>
      </c>
      <c r="BG53" s="307" t="s">
        <v>488</v>
      </c>
      <c r="BH53" s="272">
        <f>IFERROR(__xludf.DUMMYFUNCTION("""COMPUTED_VALUE"""),9249137.0)</f>
        <v>9249137</v>
      </c>
      <c r="BI53" s="272">
        <f>IFERROR(__xludf.DUMMYFUNCTION("""COMPUTED_VALUE"""),9670433.23)</f>
        <v>9670433.23</v>
      </c>
      <c r="BJ53" s="273"/>
      <c r="BK53" s="330">
        <v>100000.0</v>
      </c>
      <c r="BL53" s="319">
        <f t="shared" si="13"/>
        <v>300000</v>
      </c>
      <c r="BM53" s="319">
        <f t="shared" si="14"/>
        <v>5400000</v>
      </c>
      <c r="BN53" s="274"/>
      <c r="BO53" s="311">
        <f>IFERROR(__xludf.DUMMYFUNCTION("IFERROR(ArrayFormula(SUM(VLOOKUP($C53,importrange(""1PTkkEa_ENkSqsGnpqoXy9kt0Fe1hCtlmU6kVFBNaonY"",""ORDER BOOKING REPORT 2025-26!C:CV""),{16,23,30},0))))"),3426074.4)</f>
        <v>3426074.4</v>
      </c>
      <c r="BP53" s="311">
        <f>IFERROR(__xludf.DUMMYFUNCTION("IFERROR(ArrayFormula(SUM(VLOOKUP($C53,importrange(""1PTkkEa_ENkSqsGnpqoXy9kt0Fe1hCtlmU6kVFBNaonY"",""ORDER BOOKING REPORT 2025-26!C:CV""),{37,44,51},0))))"),2798982.5300000003)</f>
        <v>2798982.53</v>
      </c>
      <c r="BQ53" s="311">
        <f>IFERROR(__xludf.DUMMYFUNCTION("IFERROR(ArrayFormula(SUM(VLOOKUP($C53,importrange(""1PTkkEa_ENkSqsGnpqoXy9kt0Fe1hCtlmU6kVFBNaonY"",""ORDER BOOKING REPORT 2025-26!C:CV""),{58,65,72},0))))"),1704339.35)</f>
        <v>1704339.35</v>
      </c>
      <c r="BR53" s="311">
        <f>IFERROR(__xludf.DUMMYFUNCTION("IFERROR(ArrayFormula(SUM(VLOOKUP($C53,importrange(""1PTkkEa_ENkSqsGnpqoXy9kt0Fe1hCtlmU6kVFBNaonY"",""ORDER BOOKING REPORT 2025-26!C:CV""),{79,86,93},0))))"),1741036.95)</f>
        <v>1741036.95</v>
      </c>
      <c r="BS53" s="322">
        <f t="shared" si="15"/>
        <v>0.2640309259</v>
      </c>
      <c r="BT53" s="322">
        <f t="shared" si="16"/>
        <v>0.09761061941</v>
      </c>
      <c r="BU53" s="287">
        <f t="shared" si="17"/>
        <v>0</v>
      </c>
      <c r="BV53" s="320">
        <v>46390.0</v>
      </c>
      <c r="BW53" s="321" t="s">
        <v>489</v>
      </c>
      <c r="BX53" s="320">
        <v>861.0</v>
      </c>
      <c r="BY53" s="287">
        <f t="shared" si="18"/>
        <v>0</v>
      </c>
      <c r="BZ53" s="10"/>
      <c r="CA53" s="10"/>
      <c r="CB53" s="10"/>
      <c r="CC53" s="10"/>
      <c r="CD53" s="10"/>
      <c r="CE53" s="10"/>
      <c r="CF53" s="10"/>
      <c r="CG53" s="318" t="str">
        <f t="shared" si="21"/>
        <v> </v>
      </c>
      <c r="CH53" s="318" t="str">
        <f t="shared" si="28"/>
        <v>Business Achieved 50%</v>
      </c>
      <c r="CI53" s="322">
        <f t="shared" si="22"/>
        <v>0.5</v>
      </c>
      <c r="CJ53" s="323"/>
      <c r="CK53" s="323"/>
      <c r="CL53" s="323"/>
      <c r="CM53" s="324">
        <f t="shared" si="23"/>
        <v>317</v>
      </c>
      <c r="CN53" s="337"/>
      <c r="CO53" s="152"/>
      <c r="CP53" s="152"/>
      <c r="CQ53" s="327"/>
      <c r="CR53" s="152"/>
      <c r="CS53" s="152"/>
      <c r="CT53" s="152"/>
      <c r="CU53" s="152"/>
      <c r="CV53" s="152"/>
      <c r="CW53" s="327">
        <f t="shared" si="27"/>
        <v>0</v>
      </c>
      <c r="CX53" s="270"/>
      <c r="CY53" s="152"/>
      <c r="CZ53" s="152"/>
    </row>
    <row r="54" hidden="1">
      <c r="A54" s="307" t="s">
        <v>160</v>
      </c>
      <c r="B54" s="307" t="s">
        <v>518</v>
      </c>
      <c r="C54" s="307" t="s">
        <v>565</v>
      </c>
      <c r="D54" s="307" t="s">
        <v>551</v>
      </c>
      <c r="E54" s="307" t="s">
        <v>566</v>
      </c>
      <c r="F54" s="308">
        <v>45040.0</v>
      </c>
      <c r="G54" s="309">
        <v>0.0</v>
      </c>
      <c r="H54" s="309">
        <v>3999999.0</v>
      </c>
      <c r="I54" s="287">
        <v>3573681.0</v>
      </c>
      <c r="J54" s="287">
        <v>0.0</v>
      </c>
      <c r="K54" s="284">
        <v>41.0</v>
      </c>
      <c r="L54" s="284">
        <v>31.0</v>
      </c>
      <c r="M54" s="284">
        <v>0.0</v>
      </c>
      <c r="N54" s="284">
        <v>41.0</v>
      </c>
      <c r="O54" s="284">
        <v>10.0</v>
      </c>
      <c r="P54" s="287">
        <v>3573680.59</v>
      </c>
      <c r="Q54" s="287">
        <v>0.0</v>
      </c>
      <c r="R54" s="284">
        <v>15.0</v>
      </c>
      <c r="S54" s="284">
        <v>0.0</v>
      </c>
      <c r="T54" s="284">
        <v>15.0</v>
      </c>
      <c r="U54" s="284">
        <v>0.0</v>
      </c>
      <c r="V54" s="284">
        <v>39.0</v>
      </c>
      <c r="W54" s="284">
        <v>66.0</v>
      </c>
      <c r="X54" s="284">
        <v>84.0</v>
      </c>
      <c r="Y54" s="284">
        <v>1.0</v>
      </c>
      <c r="Z54" s="284">
        <v>3.0</v>
      </c>
      <c r="AA54" s="284">
        <v>0.0</v>
      </c>
      <c r="AB54" s="284">
        <v>0.0</v>
      </c>
      <c r="AC54" s="284">
        <v>0.0</v>
      </c>
      <c r="AD54" s="284">
        <v>0.0</v>
      </c>
      <c r="AE54" s="284">
        <v>373.0</v>
      </c>
      <c r="AF54" s="284">
        <v>442.0</v>
      </c>
      <c r="AG54" s="284">
        <v>72.0</v>
      </c>
      <c r="AH54" s="309">
        <f t="shared" si="2"/>
        <v>49634.45833</v>
      </c>
      <c r="AI54" s="309">
        <f t="shared" si="3"/>
        <v>6.138888889</v>
      </c>
      <c r="AJ54" s="311">
        <v>36400.0</v>
      </c>
      <c r="AK54" s="309">
        <f t="shared" si="29"/>
        <v>109200</v>
      </c>
      <c r="AL54" s="312"/>
      <c r="AM54" s="313">
        <f t="shared" si="5"/>
        <v>0.03055672848</v>
      </c>
      <c r="AN54" s="309">
        <f t="shared" si="6"/>
        <v>238245.4</v>
      </c>
      <c r="AO54" s="314">
        <f t="shared" si="7"/>
        <v>0.8934204734</v>
      </c>
      <c r="AP54" s="315">
        <v>0.0</v>
      </c>
      <c r="AQ54" s="284">
        <v>32.0</v>
      </c>
      <c r="AR54" s="284">
        <v>586.0</v>
      </c>
      <c r="AS54" s="284">
        <v>5198.15</v>
      </c>
      <c r="AT54" s="284">
        <v>0.0</v>
      </c>
      <c r="AU54" s="284">
        <v>168.0</v>
      </c>
      <c r="AV54" s="284">
        <v>15.0</v>
      </c>
      <c r="AW54" s="284">
        <v>16.0</v>
      </c>
      <c r="AX54" s="284">
        <v>10.0</v>
      </c>
      <c r="AY54" s="309">
        <v>1504377.3199999998</v>
      </c>
      <c r="AZ54" s="316"/>
      <c r="BA54" s="307" t="str">
        <f t="shared" si="8"/>
        <v>Active</v>
      </c>
      <c r="BB54" s="307" t="str">
        <f t="shared" si="9"/>
        <v>Old</v>
      </c>
      <c r="BC54" s="307" t="str">
        <f t="shared" si="10"/>
        <v>70%-90%</v>
      </c>
      <c r="BD54" s="286">
        <f t="shared" si="31"/>
        <v>3</v>
      </c>
      <c r="BE54" s="328">
        <v>1333333.0</v>
      </c>
      <c r="BF54" s="284">
        <f t="shared" si="12"/>
        <v>0</v>
      </c>
      <c r="BG54" s="307" t="s">
        <v>488</v>
      </c>
      <c r="BH54" s="272">
        <f>IFERROR(__xludf.DUMMYFUNCTION("""COMPUTED_VALUE"""),1.0960525E7)</f>
        <v>10960525</v>
      </c>
      <c r="BI54" s="272">
        <f>IFERROR(__xludf.DUMMYFUNCTION("""COMPUTED_VALUE"""),1.3289262860000001E7)</f>
        <v>13289262.86</v>
      </c>
      <c r="BJ54" s="273"/>
      <c r="BK54" s="274"/>
      <c r="BL54" s="319">
        <f t="shared" si="13"/>
        <v>0</v>
      </c>
      <c r="BM54" s="319">
        <f t="shared" si="14"/>
        <v>3999999</v>
      </c>
      <c r="BN54" s="274"/>
      <c r="BO54" s="311">
        <f>IFERROR(__xludf.DUMMYFUNCTION("IFERROR(ArrayFormula(SUM(VLOOKUP($C54,importrange(""1PTkkEa_ENkSqsGnpqoXy9kt0Fe1hCtlmU6kVFBNaonY"",""ORDER BOOKING REPORT 2025-26!C:CV""),{16,23,30},0))))"),2102048.8600000003)</f>
        <v>2102048.86</v>
      </c>
      <c r="BP54" s="311">
        <f>IFERROR(__xludf.DUMMYFUNCTION("IFERROR(ArrayFormula(SUM(VLOOKUP($C54,importrange(""1PTkkEa_ENkSqsGnpqoXy9kt0Fe1hCtlmU6kVFBNaonY"",""ORDER BOOKING REPORT 2025-26!C:CV""),{37,44,51},0))))"),3876151.58)</f>
        <v>3876151.58</v>
      </c>
      <c r="BQ54" s="311">
        <f>IFERROR(__xludf.DUMMYFUNCTION("IFERROR(ArrayFormula(SUM(VLOOKUP($C54,importrange(""1PTkkEa_ENkSqsGnpqoXy9kt0Fe1hCtlmU6kVFBNaonY"",""ORDER BOOKING REPORT 2025-26!C:CV""),{58,65,72},0))))"),3107969.6)</f>
        <v>3107969.6</v>
      </c>
      <c r="BR54" s="311">
        <f>IFERROR(__xludf.DUMMYFUNCTION("IFERROR(ArrayFormula(SUM(VLOOKUP($C54,importrange(""1PTkkEa_ENkSqsGnpqoXy9kt0Fe1hCtlmU6kVFBNaonY"",""ORDER BOOKING REPORT 2025-26!C:CV""),{79,86,93},0))))"),4203092.819999999)</f>
        <v>4203092.82</v>
      </c>
      <c r="BS54" s="322">
        <f t="shared" si="15"/>
        <v>0.376094424</v>
      </c>
      <c r="BT54" s="322">
        <f t="shared" si="16"/>
        <v>0.07258817223</v>
      </c>
      <c r="BU54" s="287">
        <f t="shared" si="17"/>
        <v>0</v>
      </c>
      <c r="BV54" s="320">
        <v>36400.0</v>
      </c>
      <c r="BW54" s="321" t="s">
        <v>526</v>
      </c>
      <c r="BX54" s="320">
        <v>886.0</v>
      </c>
      <c r="BY54" s="287">
        <f t="shared" si="18"/>
        <v>0</v>
      </c>
      <c r="BZ54" s="10"/>
      <c r="CA54" s="10"/>
      <c r="CB54" s="10"/>
      <c r="CC54" s="10"/>
      <c r="CD54" s="10"/>
      <c r="CE54" s="10"/>
      <c r="CF54" s="10"/>
      <c r="CG54" s="318" t="str">
        <f t="shared" si="21"/>
        <v>Below 60</v>
      </c>
      <c r="CH54" s="318" t="str">
        <f t="shared" si="28"/>
        <v>Not 50%</v>
      </c>
      <c r="CI54" s="322">
        <f t="shared" si="22"/>
        <v>0.3658536585</v>
      </c>
      <c r="CJ54" s="323"/>
      <c r="CK54" s="323"/>
      <c r="CL54" s="323"/>
      <c r="CM54" s="324">
        <f t="shared" si="23"/>
        <v>373</v>
      </c>
      <c r="CN54" s="325"/>
      <c r="CO54" s="6"/>
      <c r="CP54" s="6"/>
      <c r="CQ54" s="327"/>
      <c r="CR54" s="6"/>
      <c r="CS54" s="6"/>
      <c r="CT54" s="6"/>
      <c r="CU54" s="6"/>
      <c r="CV54" s="6"/>
      <c r="CW54" s="327">
        <f t="shared" si="27"/>
        <v>0</v>
      </c>
      <c r="CX54" s="270"/>
      <c r="CY54" s="6"/>
      <c r="CZ54" s="6"/>
    </row>
    <row r="55" hidden="1">
      <c r="A55" s="307" t="s">
        <v>273</v>
      </c>
      <c r="B55" s="307" t="s">
        <v>528</v>
      </c>
      <c r="C55" s="307" t="s">
        <v>567</v>
      </c>
      <c r="D55" s="307" t="s">
        <v>555</v>
      </c>
      <c r="E55" s="307" t="s">
        <v>277</v>
      </c>
      <c r="F55" s="333">
        <v>45047.0</v>
      </c>
      <c r="G55" s="309">
        <v>0.0</v>
      </c>
      <c r="H55" s="309">
        <v>3900000.0</v>
      </c>
      <c r="I55" s="287">
        <v>1779591.0</v>
      </c>
      <c r="J55" s="287">
        <v>0.0</v>
      </c>
      <c r="K55" s="284">
        <v>88.0</v>
      </c>
      <c r="L55" s="284">
        <v>77.0</v>
      </c>
      <c r="M55" s="284">
        <v>1.0</v>
      </c>
      <c r="N55" s="284">
        <v>89.0</v>
      </c>
      <c r="O55" s="284">
        <v>12.0</v>
      </c>
      <c r="P55" s="287">
        <v>1763793.81</v>
      </c>
      <c r="Q55" s="287">
        <v>15796.88</v>
      </c>
      <c r="R55" s="284">
        <v>64.0</v>
      </c>
      <c r="S55" s="284">
        <v>1.0</v>
      </c>
      <c r="T55" s="284">
        <v>65.0</v>
      </c>
      <c r="U55" s="284">
        <v>0.0</v>
      </c>
      <c r="V55" s="284">
        <v>1.0</v>
      </c>
      <c r="W55" s="284">
        <v>1.0</v>
      </c>
      <c r="X55" s="284">
        <v>166.0</v>
      </c>
      <c r="Y55" s="284">
        <v>2.0</v>
      </c>
      <c r="Z55" s="284">
        <v>17.0</v>
      </c>
      <c r="AA55" s="284">
        <v>0.0</v>
      </c>
      <c r="AB55" s="284">
        <v>0.0</v>
      </c>
      <c r="AC55" s="284">
        <v>0.0</v>
      </c>
      <c r="AD55" s="284">
        <v>0.0</v>
      </c>
      <c r="AE55" s="284">
        <v>325.0</v>
      </c>
      <c r="AF55" s="284">
        <v>343.0</v>
      </c>
      <c r="AG55" s="284">
        <v>74.0</v>
      </c>
      <c r="AH55" s="309">
        <f t="shared" si="2"/>
        <v>24048.52703</v>
      </c>
      <c r="AI55" s="309">
        <f t="shared" si="3"/>
        <v>4.635135135</v>
      </c>
      <c r="AJ55" s="345">
        <v>37990.0</v>
      </c>
      <c r="AK55" s="309">
        <f t="shared" si="29"/>
        <v>113970</v>
      </c>
      <c r="AL55" s="312"/>
      <c r="AM55" s="313">
        <f t="shared" si="5"/>
        <v>0.06404280534</v>
      </c>
      <c r="AN55" s="309">
        <f t="shared" si="6"/>
        <v>27378.32308</v>
      </c>
      <c r="AO55" s="314">
        <f t="shared" si="7"/>
        <v>0.4563053846</v>
      </c>
      <c r="AP55" s="315">
        <v>0.0</v>
      </c>
      <c r="AQ55" s="284">
        <v>138.0</v>
      </c>
      <c r="AR55" s="284">
        <v>745.0</v>
      </c>
      <c r="AS55" s="284">
        <v>4535.66</v>
      </c>
      <c r="AT55" s="284">
        <v>1.0</v>
      </c>
      <c r="AU55" s="284">
        <v>59.0</v>
      </c>
      <c r="AV55" s="284">
        <v>65.0</v>
      </c>
      <c r="AW55" s="284">
        <v>15.0</v>
      </c>
      <c r="AX55" s="284">
        <v>9.0</v>
      </c>
      <c r="AY55" s="309">
        <v>1790792.0</v>
      </c>
      <c r="AZ55" s="316"/>
      <c r="BA55" s="307" t="str">
        <f t="shared" si="8"/>
        <v>Active</v>
      </c>
      <c r="BB55" s="307" t="str">
        <f t="shared" si="9"/>
        <v>Old</v>
      </c>
      <c r="BC55" s="307" t="str">
        <f t="shared" si="10"/>
        <v>Below 50%</v>
      </c>
      <c r="BD55" s="286">
        <f t="shared" si="31"/>
        <v>3</v>
      </c>
      <c r="BE55" s="328">
        <v>1300000.0</v>
      </c>
      <c r="BF55" s="284">
        <f t="shared" si="12"/>
        <v>0</v>
      </c>
      <c r="BG55" s="307" t="s">
        <v>488</v>
      </c>
      <c r="BH55" s="272">
        <f>IFERROR(__xludf.DUMMYFUNCTION("""COMPUTED_VALUE"""),7943279.0)</f>
        <v>7943279</v>
      </c>
      <c r="BI55" s="272">
        <f>IFERROR(__xludf.DUMMYFUNCTION("""COMPUTED_VALUE"""),7163532.35)</f>
        <v>7163532.35</v>
      </c>
      <c r="BJ55" s="273"/>
      <c r="BK55" s="274"/>
      <c r="BL55" s="319">
        <f t="shared" si="13"/>
        <v>0</v>
      </c>
      <c r="BM55" s="319">
        <f t="shared" si="14"/>
        <v>3900000</v>
      </c>
      <c r="BN55" s="274"/>
      <c r="BO55" s="311">
        <f>IFERROR(__xludf.DUMMYFUNCTION("IFERROR(ArrayFormula(SUM(VLOOKUP($C55,importrange(""1PTkkEa_ENkSqsGnpqoXy9kt0Fe1hCtlmU6kVFBNaonY"",""ORDER BOOKING REPORT 2025-26!C:CV""),{16,23,30},0))))"),689409.44)</f>
        <v>689409.44</v>
      </c>
      <c r="BP55" s="311">
        <f>IFERROR(__xludf.DUMMYFUNCTION("IFERROR(ArrayFormula(SUM(VLOOKUP($C55,importrange(""1PTkkEa_ENkSqsGnpqoXy9kt0Fe1hCtlmU6kVFBNaonY"",""ORDER BOOKING REPORT 2025-26!C:CV""),{37,44,51},0))))"),1945977.12)</f>
        <v>1945977.12</v>
      </c>
      <c r="BQ55" s="311">
        <f>IFERROR(__xludf.DUMMYFUNCTION("IFERROR(ArrayFormula(SUM(VLOOKUP($C55,importrange(""1PTkkEa_ENkSqsGnpqoXy9kt0Fe1hCtlmU6kVFBNaonY"",""ORDER BOOKING REPORT 2025-26!C:CV""),{58,65,72},0))))"),1427990.0500000003)</f>
        <v>1427990.05</v>
      </c>
      <c r="BR55" s="311">
        <f>IFERROR(__xludf.DUMMYFUNCTION("IFERROR(ArrayFormula(SUM(VLOOKUP($C55,importrange(""1PTkkEa_ENkSqsGnpqoXy9kt0Fe1hCtlmU6kVFBNaonY"",""ORDER BOOKING REPORT 2025-26!C:CV""),{79,86,93},0))))"),3100155.7399999998)</f>
        <v>3100155.74</v>
      </c>
      <c r="BS55" s="322">
        <f t="shared" si="15"/>
        <v>0.4591774359</v>
      </c>
      <c r="BT55" s="322">
        <f t="shared" si="16"/>
        <v>0.06364223204</v>
      </c>
      <c r="BU55" s="287">
        <f t="shared" si="17"/>
        <v>0</v>
      </c>
      <c r="BV55" s="320">
        <v>37990.0</v>
      </c>
      <c r="BW55" s="321" t="s">
        <v>502</v>
      </c>
      <c r="BX55" s="320">
        <v>896.0</v>
      </c>
      <c r="BY55" s="287">
        <f t="shared" si="18"/>
        <v>0</v>
      </c>
      <c r="BZ55" s="10"/>
      <c r="CA55" s="10"/>
      <c r="CB55" s="10"/>
      <c r="CC55" s="10"/>
      <c r="CD55" s="10"/>
      <c r="CE55" s="10"/>
      <c r="CF55" s="10"/>
      <c r="CG55" s="318" t="str">
        <f t="shared" si="21"/>
        <v> </v>
      </c>
      <c r="CH55" s="318" t="str">
        <f t="shared" si="28"/>
        <v>Business Achieved 50%</v>
      </c>
      <c r="CI55" s="322">
        <f t="shared" si="22"/>
        <v>0.7303370787</v>
      </c>
      <c r="CJ55" s="323"/>
      <c r="CK55" s="323"/>
      <c r="CL55" s="323"/>
      <c r="CM55" s="324">
        <f t="shared" si="23"/>
        <v>325</v>
      </c>
      <c r="CN55" s="325"/>
      <c r="CO55" s="6"/>
      <c r="CP55" s="6"/>
      <c r="CQ55" s="327"/>
      <c r="CR55" s="6"/>
      <c r="CS55" s="6"/>
      <c r="CT55" s="6"/>
      <c r="CU55" s="6"/>
      <c r="CV55" s="6"/>
      <c r="CW55" s="327">
        <f t="shared" si="27"/>
        <v>0</v>
      </c>
      <c r="CX55" s="270"/>
      <c r="CY55" s="6"/>
      <c r="CZ55" s="6"/>
    </row>
    <row r="56" hidden="1">
      <c r="A56" s="307" t="s">
        <v>160</v>
      </c>
      <c r="B56" s="307" t="s">
        <v>483</v>
      </c>
      <c r="C56" s="307" t="s">
        <v>568</v>
      </c>
      <c r="D56" s="307" t="s">
        <v>484</v>
      </c>
      <c r="E56" s="307" t="s">
        <v>569</v>
      </c>
      <c r="F56" s="333">
        <v>45047.0</v>
      </c>
      <c r="G56" s="309">
        <v>0.0</v>
      </c>
      <c r="H56" s="309">
        <v>7500000.0</v>
      </c>
      <c r="I56" s="287">
        <v>5818911.0</v>
      </c>
      <c r="J56" s="287">
        <v>0.0</v>
      </c>
      <c r="K56" s="284">
        <v>38.0</v>
      </c>
      <c r="L56" s="284">
        <v>40.0</v>
      </c>
      <c r="M56" s="284">
        <v>3.0</v>
      </c>
      <c r="N56" s="284">
        <v>41.0</v>
      </c>
      <c r="O56" s="284">
        <v>1.0</v>
      </c>
      <c r="P56" s="287">
        <v>4974740.92</v>
      </c>
      <c r="Q56" s="287">
        <v>844170.03</v>
      </c>
      <c r="R56" s="284">
        <v>8.0</v>
      </c>
      <c r="S56" s="284">
        <v>3.0</v>
      </c>
      <c r="T56" s="284">
        <v>11.0</v>
      </c>
      <c r="U56" s="284">
        <v>0.0</v>
      </c>
      <c r="V56" s="284">
        <v>22.0</v>
      </c>
      <c r="W56" s="284">
        <v>47.0</v>
      </c>
      <c r="X56" s="284">
        <v>199.0</v>
      </c>
      <c r="Y56" s="284">
        <v>1.0</v>
      </c>
      <c r="Z56" s="284">
        <v>2.0</v>
      </c>
      <c r="AA56" s="284">
        <v>0.0</v>
      </c>
      <c r="AB56" s="284">
        <v>0.0</v>
      </c>
      <c r="AC56" s="284">
        <v>0.0</v>
      </c>
      <c r="AD56" s="284">
        <v>0.0</v>
      </c>
      <c r="AE56" s="284">
        <v>371.0</v>
      </c>
      <c r="AF56" s="284">
        <v>420.0</v>
      </c>
      <c r="AG56" s="284">
        <v>74.0</v>
      </c>
      <c r="AH56" s="309">
        <f t="shared" si="2"/>
        <v>78633.93243</v>
      </c>
      <c r="AI56" s="309">
        <f t="shared" si="3"/>
        <v>5.675675676</v>
      </c>
      <c r="AJ56" s="311">
        <v>31500.0</v>
      </c>
      <c r="AK56" s="309">
        <f t="shared" si="29"/>
        <v>94500</v>
      </c>
      <c r="AL56" s="312"/>
      <c r="AM56" s="313">
        <f t="shared" si="5"/>
        <v>0.01624015215</v>
      </c>
      <c r="AN56" s="309">
        <f t="shared" si="6"/>
        <v>528991.9091</v>
      </c>
      <c r="AO56" s="314">
        <f t="shared" si="7"/>
        <v>0.7758548</v>
      </c>
      <c r="AP56" s="315">
        <v>0.0</v>
      </c>
      <c r="AQ56" s="284">
        <v>29.0</v>
      </c>
      <c r="AR56" s="284">
        <v>724.0</v>
      </c>
      <c r="AS56" s="284">
        <v>7566.41</v>
      </c>
      <c r="AT56" s="284">
        <v>3.0</v>
      </c>
      <c r="AU56" s="284">
        <v>189.0</v>
      </c>
      <c r="AV56" s="284">
        <v>11.0</v>
      </c>
      <c r="AW56" s="284">
        <v>29.0</v>
      </c>
      <c r="AX56" s="284">
        <v>1.0</v>
      </c>
      <c r="AY56" s="309">
        <v>2095833.0</v>
      </c>
      <c r="AZ56" s="316"/>
      <c r="BA56" s="307" t="str">
        <f t="shared" si="8"/>
        <v>Active</v>
      </c>
      <c r="BB56" s="307" t="str">
        <f t="shared" si="9"/>
        <v>Old</v>
      </c>
      <c r="BC56" s="307" t="str">
        <f t="shared" si="10"/>
        <v>70%-90%</v>
      </c>
      <c r="BD56" s="286">
        <f t="shared" si="31"/>
        <v>3</v>
      </c>
      <c r="BE56" s="328">
        <v>2500000.0</v>
      </c>
      <c r="BF56" s="284">
        <f t="shared" si="12"/>
        <v>0</v>
      </c>
      <c r="BG56" s="307" t="s">
        <v>488</v>
      </c>
      <c r="BH56" s="272">
        <f>IFERROR(__xludf.DUMMYFUNCTION("""COMPUTED_VALUE"""),1.2307164E7)</f>
        <v>12307164</v>
      </c>
      <c r="BI56" s="272">
        <f>IFERROR(__xludf.DUMMYFUNCTION("""COMPUTED_VALUE"""),1.4450868010000002E7)</f>
        <v>14450868.01</v>
      </c>
      <c r="BJ56" s="273"/>
      <c r="BK56" s="274"/>
      <c r="BL56" s="319">
        <f t="shared" si="13"/>
        <v>0</v>
      </c>
      <c r="BM56" s="319">
        <f t="shared" si="14"/>
        <v>7500000</v>
      </c>
      <c r="BN56" s="274"/>
      <c r="BO56" s="311">
        <f>IFERROR(__xludf.DUMMYFUNCTION("IFERROR(ArrayFormula(SUM(VLOOKUP($C56,importrange(""1PTkkEa_ENkSqsGnpqoXy9kt0Fe1hCtlmU6kVFBNaonY"",""ORDER BOOKING REPORT 2025-26!C:CV""),{16,23,30},0))))"),2559368.02)</f>
        <v>2559368.02</v>
      </c>
      <c r="BP56" s="311">
        <f>IFERROR(__xludf.DUMMYFUNCTION("IFERROR(ArrayFormula(SUM(VLOOKUP($C56,importrange(""1PTkkEa_ENkSqsGnpqoXy9kt0Fe1hCtlmU6kVFBNaonY"",""ORDER BOOKING REPORT 2025-26!C:CV""),{37,44,51},0))))"),4201356.41)</f>
        <v>4201356.41</v>
      </c>
      <c r="BQ56" s="311">
        <f>IFERROR(__xludf.DUMMYFUNCTION("IFERROR(ArrayFormula(SUM(VLOOKUP($C56,importrange(""1PTkkEa_ENkSqsGnpqoXy9kt0Fe1hCtlmU6kVFBNaonY"",""ORDER BOOKING REPORT 2025-26!C:CV""),{58,65,72},0))))"),3265536.6)</f>
        <v>3265536.6</v>
      </c>
      <c r="BR56" s="311">
        <f>IFERROR(__xludf.DUMMYFUNCTION("IFERROR(ArrayFormula(SUM(VLOOKUP($C56,importrange(""1PTkkEa_ENkSqsGnpqoXy9kt0Fe1hCtlmU6kVFBNaonY"",""ORDER BOOKING REPORT 2025-26!C:CV""),{79,86,93},0))))"),4424606.98)</f>
        <v>4424606.98</v>
      </c>
      <c r="BS56" s="322">
        <f t="shared" si="15"/>
        <v>0.2794444</v>
      </c>
      <c r="BT56" s="322">
        <f t="shared" si="16"/>
        <v>0.04508947039</v>
      </c>
      <c r="BU56" s="287">
        <f t="shared" si="17"/>
        <v>0</v>
      </c>
      <c r="BV56" s="320">
        <v>31500.0</v>
      </c>
      <c r="BW56" s="321" t="s">
        <v>526</v>
      </c>
      <c r="BX56" s="320">
        <v>899.0</v>
      </c>
      <c r="BY56" s="287">
        <f t="shared" si="18"/>
        <v>0</v>
      </c>
      <c r="BZ56" s="10"/>
      <c r="CA56" s="10"/>
      <c r="CB56" s="10"/>
      <c r="CC56" s="10"/>
      <c r="CD56" s="10"/>
      <c r="CE56" s="10"/>
      <c r="CF56" s="10"/>
      <c r="CG56" s="318" t="str">
        <f t="shared" si="21"/>
        <v>Below 60</v>
      </c>
      <c r="CH56" s="318" t="str">
        <f t="shared" si="28"/>
        <v>Not 50%</v>
      </c>
      <c r="CI56" s="322">
        <f t="shared" si="22"/>
        <v>0.2682926829</v>
      </c>
      <c r="CJ56" s="323"/>
      <c r="CK56" s="323"/>
      <c r="CL56" s="323"/>
      <c r="CM56" s="324">
        <f t="shared" si="23"/>
        <v>371</v>
      </c>
      <c r="CN56" s="325"/>
      <c r="CO56" s="6"/>
      <c r="CP56" s="6"/>
      <c r="CQ56" s="327"/>
      <c r="CR56" s="6"/>
      <c r="CS56" s="6"/>
      <c r="CT56" s="6"/>
      <c r="CU56" s="6"/>
      <c r="CV56" s="6"/>
      <c r="CW56" s="327">
        <f t="shared" si="27"/>
        <v>0</v>
      </c>
      <c r="CX56" s="270"/>
      <c r="CY56" s="6"/>
      <c r="CZ56" s="6"/>
    </row>
    <row r="57" hidden="1">
      <c r="A57" s="307" t="s">
        <v>160</v>
      </c>
      <c r="B57" s="307" t="s">
        <v>483</v>
      </c>
      <c r="C57" s="307" t="s">
        <v>570</v>
      </c>
      <c r="D57" s="307" t="s">
        <v>484</v>
      </c>
      <c r="E57" s="307" t="s">
        <v>569</v>
      </c>
      <c r="F57" s="333">
        <v>45047.0</v>
      </c>
      <c r="G57" s="309">
        <v>0.0</v>
      </c>
      <c r="H57" s="309">
        <v>7500000.0</v>
      </c>
      <c r="I57" s="287">
        <v>8881930.0</v>
      </c>
      <c r="J57" s="287">
        <v>0.0</v>
      </c>
      <c r="K57" s="284">
        <v>64.0</v>
      </c>
      <c r="L57" s="284">
        <v>48.0</v>
      </c>
      <c r="M57" s="284">
        <v>7.0</v>
      </c>
      <c r="N57" s="284">
        <v>71.0</v>
      </c>
      <c r="O57" s="284">
        <v>23.0</v>
      </c>
      <c r="P57" s="287">
        <v>7781006.68</v>
      </c>
      <c r="Q57" s="287">
        <v>1100923.21</v>
      </c>
      <c r="R57" s="284">
        <v>16.0</v>
      </c>
      <c r="S57" s="284">
        <v>6.0</v>
      </c>
      <c r="T57" s="284">
        <v>22.0</v>
      </c>
      <c r="U57" s="284">
        <v>0.0</v>
      </c>
      <c r="V57" s="284">
        <v>24.0</v>
      </c>
      <c r="W57" s="284">
        <v>33.0</v>
      </c>
      <c r="X57" s="284">
        <v>258.0</v>
      </c>
      <c r="Y57" s="284">
        <v>2.0</v>
      </c>
      <c r="Z57" s="284">
        <v>6.0</v>
      </c>
      <c r="AA57" s="284">
        <v>0.0</v>
      </c>
      <c r="AB57" s="284">
        <v>0.0</v>
      </c>
      <c r="AC57" s="284">
        <v>0.0</v>
      </c>
      <c r="AD57" s="284">
        <v>0.0</v>
      </c>
      <c r="AE57" s="284">
        <v>292.0</v>
      </c>
      <c r="AF57" s="284">
        <v>331.0</v>
      </c>
      <c r="AG57" s="284">
        <v>76.0</v>
      </c>
      <c r="AH57" s="309">
        <f t="shared" si="2"/>
        <v>116867.5</v>
      </c>
      <c r="AI57" s="309">
        <f t="shared" si="3"/>
        <v>4.355263158</v>
      </c>
      <c r="AJ57" s="311">
        <v>26000.0</v>
      </c>
      <c r="AK57" s="309">
        <f t="shared" si="29"/>
        <v>78000</v>
      </c>
      <c r="AL57" s="312"/>
      <c r="AM57" s="313">
        <f t="shared" si="5"/>
        <v>0.00878187511</v>
      </c>
      <c r="AN57" s="309">
        <f t="shared" si="6"/>
        <v>403724.0909</v>
      </c>
      <c r="AO57" s="314">
        <f t="shared" si="7"/>
        <v>1.184257333</v>
      </c>
      <c r="AP57" s="315">
        <v>0.0</v>
      </c>
      <c r="AQ57" s="284">
        <v>68.0</v>
      </c>
      <c r="AR57" s="284">
        <v>552.0</v>
      </c>
      <c r="AS57" s="284">
        <v>4228.49</v>
      </c>
      <c r="AT57" s="284">
        <v>6.0</v>
      </c>
      <c r="AU57" s="284">
        <v>88.0</v>
      </c>
      <c r="AV57" s="284">
        <v>22.0</v>
      </c>
      <c r="AW57" s="284">
        <v>26.0</v>
      </c>
      <c r="AX57" s="284">
        <v>23.0</v>
      </c>
      <c r="AY57" s="309">
        <v>8795616.0</v>
      </c>
      <c r="AZ57" s="316"/>
      <c r="BA57" s="307" t="str">
        <f t="shared" si="8"/>
        <v>Active</v>
      </c>
      <c r="BB57" s="307" t="str">
        <f t="shared" si="9"/>
        <v>Old</v>
      </c>
      <c r="BC57" s="307" t="str">
        <f t="shared" si="10"/>
        <v>Above 100%</v>
      </c>
      <c r="BD57" s="286">
        <f t="shared" si="31"/>
        <v>3</v>
      </c>
      <c r="BE57" s="328">
        <v>2500000.0</v>
      </c>
      <c r="BF57" s="284">
        <f t="shared" si="12"/>
        <v>1</v>
      </c>
      <c r="BG57" s="307" t="s">
        <v>488</v>
      </c>
      <c r="BH57" s="272">
        <f>IFERROR(__xludf.DUMMYFUNCTION("""COMPUTED_VALUE"""),1.5710535E7)</f>
        <v>15710535</v>
      </c>
      <c r="BI57" s="272">
        <f>IFERROR(__xludf.DUMMYFUNCTION("""COMPUTED_VALUE"""),1.516149198E7)</f>
        <v>15161491.98</v>
      </c>
      <c r="BJ57" s="273"/>
      <c r="BK57" s="274"/>
      <c r="BL57" s="319">
        <f t="shared" si="13"/>
        <v>0</v>
      </c>
      <c r="BM57" s="319">
        <f t="shared" si="14"/>
        <v>7500000</v>
      </c>
      <c r="BN57" s="274"/>
      <c r="BO57" s="311">
        <f>IFERROR(__xludf.DUMMYFUNCTION("IFERROR(ArrayFormula(SUM(VLOOKUP($C57,importrange(""1PTkkEa_ENkSqsGnpqoXy9kt0Fe1hCtlmU6kVFBNaonY"",""ORDER BOOKING REPORT 2025-26!C:CV""),{16,23,30},0))))"),2785325.7)</f>
        <v>2785325.7</v>
      </c>
      <c r="BP57" s="311">
        <f>IFERROR(__xludf.DUMMYFUNCTION("IFERROR(ArrayFormula(SUM(VLOOKUP($C57,importrange(""1PTkkEa_ENkSqsGnpqoXy9kt0Fe1hCtlmU6kVFBNaonY"",""ORDER BOOKING REPORT 2025-26!C:CV""),{37,44,51},0))))"),3998785.52)</f>
        <v>3998785.52</v>
      </c>
      <c r="BQ57" s="311">
        <f>IFERROR(__xludf.DUMMYFUNCTION("IFERROR(ArrayFormula(SUM(VLOOKUP($C57,importrange(""1PTkkEa_ENkSqsGnpqoXy9kt0Fe1hCtlmU6kVFBNaonY"",""ORDER BOOKING REPORT 2025-26!C:CV""),{58,65,72},0))))"),2527203.35)</f>
        <v>2527203.35</v>
      </c>
      <c r="BR57" s="311">
        <f>IFERROR(__xludf.DUMMYFUNCTION("IFERROR(ArrayFormula(SUM(VLOOKUP($C57,importrange(""1PTkkEa_ENkSqsGnpqoXy9kt0Fe1hCtlmU6kVFBNaonY"",""ORDER BOOKING REPORT 2025-26!C:CV""),{79,86,93},0))))"),5850177.41)</f>
        <v>5850177.41</v>
      </c>
      <c r="BS57" s="322">
        <f t="shared" si="15"/>
        <v>1.1727488</v>
      </c>
      <c r="BT57" s="322">
        <f t="shared" si="16"/>
        <v>0.008868054267</v>
      </c>
      <c r="BU57" s="287">
        <f t="shared" si="17"/>
        <v>0</v>
      </c>
      <c r="BV57" s="320">
        <v>26000.0</v>
      </c>
      <c r="BW57" s="321" t="s">
        <v>526</v>
      </c>
      <c r="BX57" s="320">
        <v>904.0</v>
      </c>
      <c r="BY57" s="287">
        <f t="shared" si="18"/>
        <v>0</v>
      </c>
      <c r="BZ57" s="10"/>
      <c r="CA57" s="10"/>
      <c r="CB57" s="10"/>
      <c r="CC57" s="10"/>
      <c r="CD57" s="10"/>
      <c r="CE57" s="10"/>
      <c r="CF57" s="10"/>
      <c r="CG57" s="318" t="str">
        <f t="shared" si="21"/>
        <v> </v>
      </c>
      <c r="CH57" s="318" t="str">
        <f t="shared" si="28"/>
        <v>Not 50%</v>
      </c>
      <c r="CI57" s="322">
        <f t="shared" si="22"/>
        <v>0.3098591549</v>
      </c>
      <c r="CJ57" s="323"/>
      <c r="CK57" s="323"/>
      <c r="CL57" s="323"/>
      <c r="CM57" s="324">
        <f t="shared" si="23"/>
        <v>292</v>
      </c>
      <c r="CN57" s="325"/>
      <c r="CO57" s="6"/>
      <c r="CP57" s="6"/>
      <c r="CQ57" s="327"/>
      <c r="CR57" s="6"/>
      <c r="CS57" s="6"/>
      <c r="CT57" s="6"/>
      <c r="CU57" s="6"/>
      <c r="CV57" s="6"/>
      <c r="CW57" s="327">
        <f t="shared" si="27"/>
        <v>0</v>
      </c>
      <c r="CX57" s="270"/>
      <c r="CY57" s="6"/>
      <c r="CZ57" s="6"/>
    </row>
    <row r="58" hidden="1">
      <c r="A58" s="307" t="s">
        <v>160</v>
      </c>
      <c r="B58" s="307" t="s">
        <v>483</v>
      </c>
      <c r="C58" s="307" t="s">
        <v>202</v>
      </c>
      <c r="D58" s="307" t="s">
        <v>484</v>
      </c>
      <c r="E58" s="307" t="s">
        <v>571</v>
      </c>
      <c r="F58" s="333">
        <v>45048.0</v>
      </c>
      <c r="G58" s="309">
        <v>0.0</v>
      </c>
      <c r="H58" s="309">
        <v>7500000.0</v>
      </c>
      <c r="I58" s="287">
        <v>3954678.0</v>
      </c>
      <c r="J58" s="287">
        <v>0.0</v>
      </c>
      <c r="K58" s="284">
        <v>53.0</v>
      </c>
      <c r="L58" s="284">
        <v>51.0</v>
      </c>
      <c r="M58" s="284">
        <v>1.0</v>
      </c>
      <c r="N58" s="284">
        <v>54.0</v>
      </c>
      <c r="O58" s="284">
        <v>3.0</v>
      </c>
      <c r="P58" s="287">
        <v>3880900.76</v>
      </c>
      <c r="Q58" s="287">
        <v>73777.44</v>
      </c>
      <c r="R58" s="284">
        <v>42.0</v>
      </c>
      <c r="S58" s="284">
        <v>1.0</v>
      </c>
      <c r="T58" s="284">
        <v>43.0</v>
      </c>
      <c r="U58" s="284">
        <v>0.0</v>
      </c>
      <c r="V58" s="284">
        <v>0.0</v>
      </c>
      <c r="W58" s="284">
        <v>0.0</v>
      </c>
      <c r="X58" s="284">
        <v>1.0</v>
      </c>
      <c r="Y58" s="284">
        <v>3.0</v>
      </c>
      <c r="Z58" s="284">
        <v>64.0</v>
      </c>
      <c r="AA58" s="284">
        <v>0.0</v>
      </c>
      <c r="AB58" s="284">
        <v>0.0</v>
      </c>
      <c r="AC58" s="284">
        <v>0.0</v>
      </c>
      <c r="AD58" s="284">
        <v>0.0</v>
      </c>
      <c r="AE58" s="284">
        <v>269.0</v>
      </c>
      <c r="AF58" s="284">
        <v>333.0</v>
      </c>
      <c r="AG58" s="284">
        <v>70.0</v>
      </c>
      <c r="AH58" s="309">
        <f t="shared" si="2"/>
        <v>56495.4</v>
      </c>
      <c r="AI58" s="309">
        <f t="shared" si="3"/>
        <v>4.757142857</v>
      </c>
      <c r="AJ58" s="311">
        <v>26000.0</v>
      </c>
      <c r="AK58" s="309">
        <f t="shared" si="29"/>
        <v>78000</v>
      </c>
      <c r="AL58" s="312"/>
      <c r="AM58" s="313">
        <f t="shared" si="5"/>
        <v>0.01972347685</v>
      </c>
      <c r="AN58" s="309">
        <f t="shared" si="6"/>
        <v>91969.25581</v>
      </c>
      <c r="AO58" s="314">
        <f t="shared" si="7"/>
        <v>0.5272904</v>
      </c>
      <c r="AP58" s="315">
        <v>0.0</v>
      </c>
      <c r="AQ58" s="284">
        <v>71.0</v>
      </c>
      <c r="AR58" s="284">
        <v>611.0</v>
      </c>
      <c r="AS58" s="284">
        <v>18151.67</v>
      </c>
      <c r="AT58" s="284">
        <v>1.0</v>
      </c>
      <c r="AU58" s="284">
        <v>356.0</v>
      </c>
      <c r="AV58" s="284">
        <v>43.0</v>
      </c>
      <c r="AW58" s="284">
        <v>10.0</v>
      </c>
      <c r="AX58" s="284">
        <v>1.0</v>
      </c>
      <c r="AY58" s="309">
        <v>2471698.0</v>
      </c>
      <c r="AZ58" s="316"/>
      <c r="BA58" s="307" t="str">
        <f t="shared" si="8"/>
        <v>Active</v>
      </c>
      <c r="BB58" s="307" t="str">
        <f t="shared" si="9"/>
        <v>Old</v>
      </c>
      <c r="BC58" s="307" t="str">
        <f t="shared" si="10"/>
        <v>50%-70%</v>
      </c>
      <c r="BD58" s="286">
        <f t="shared" si="31"/>
        <v>3</v>
      </c>
      <c r="BE58" s="328">
        <v>2500000.0</v>
      </c>
      <c r="BF58" s="284">
        <f t="shared" si="12"/>
        <v>0</v>
      </c>
      <c r="BG58" s="307" t="s">
        <v>488</v>
      </c>
      <c r="BH58" s="272">
        <f>IFERROR(__xludf.DUMMYFUNCTION("""COMPUTED_VALUE"""),1.722511E7)</f>
        <v>17225110</v>
      </c>
      <c r="BI58" s="272">
        <f>IFERROR(__xludf.DUMMYFUNCTION("""COMPUTED_VALUE"""),1.4058907709999999E7)</f>
        <v>14058907.71</v>
      </c>
      <c r="BJ58" s="273"/>
      <c r="BK58" s="274"/>
      <c r="BL58" s="319">
        <f t="shared" si="13"/>
        <v>0</v>
      </c>
      <c r="BM58" s="319">
        <f t="shared" si="14"/>
        <v>7500000</v>
      </c>
      <c r="BN58" s="274"/>
      <c r="BO58" s="311">
        <f>IFERROR(__xludf.DUMMYFUNCTION("IFERROR(ArrayFormula(SUM(VLOOKUP($C58,importrange(""1PTkkEa_ENkSqsGnpqoXy9kt0Fe1hCtlmU6kVFBNaonY"",""ORDER BOOKING REPORT 2025-26!C:CV""),{16,23,30},0))))"),3398893.6999999997)</f>
        <v>3398893.7</v>
      </c>
      <c r="BP58" s="311">
        <f>IFERROR(__xludf.DUMMYFUNCTION("IFERROR(ArrayFormula(SUM(VLOOKUP($C58,importrange(""1PTkkEa_ENkSqsGnpqoXy9kt0Fe1hCtlmU6kVFBNaonY"",""ORDER BOOKING REPORT 2025-26!C:CV""),{37,44,51},0))))"),4186795.6499999994)</f>
        <v>4186795.65</v>
      </c>
      <c r="BQ58" s="311">
        <f>IFERROR(__xludf.DUMMYFUNCTION("IFERROR(ArrayFormula(SUM(VLOOKUP($C58,importrange(""1PTkkEa_ENkSqsGnpqoXy9kt0Fe1hCtlmU6kVFBNaonY"",""ORDER BOOKING REPORT 2025-26!C:CV""),{58,65,72},0))))"),2910884.54)</f>
        <v>2910884.54</v>
      </c>
      <c r="BR58" s="311">
        <f>IFERROR(__xludf.DUMMYFUNCTION("IFERROR(ArrayFormula(SUM(VLOOKUP($C58,importrange(""1PTkkEa_ENkSqsGnpqoXy9kt0Fe1hCtlmU6kVFBNaonY"",""ORDER BOOKING REPORT 2025-26!C:CV""),{79,86,93},0))))"),3562333.8200000003)</f>
        <v>3562333.82</v>
      </c>
      <c r="BS58" s="322">
        <f t="shared" si="15"/>
        <v>0.3295597333</v>
      </c>
      <c r="BT58" s="322">
        <f t="shared" si="16"/>
        <v>0.03155725335</v>
      </c>
      <c r="BU58" s="287">
        <f t="shared" si="17"/>
        <v>0</v>
      </c>
      <c r="BV58" s="320">
        <v>26000.0</v>
      </c>
      <c r="BW58" s="321" t="s">
        <v>526</v>
      </c>
      <c r="BX58" s="320">
        <v>908.0</v>
      </c>
      <c r="BY58" s="287">
        <f t="shared" si="18"/>
        <v>0</v>
      </c>
      <c r="BZ58" s="10"/>
      <c r="CA58" s="10"/>
      <c r="CB58" s="10"/>
      <c r="CC58" s="10"/>
      <c r="CD58" s="10"/>
      <c r="CE58" s="10"/>
      <c r="CF58" s="10"/>
      <c r="CG58" s="318" t="str">
        <f t="shared" si="21"/>
        <v>Below 60</v>
      </c>
      <c r="CH58" s="318" t="str">
        <f t="shared" si="28"/>
        <v>Business Achieved 50%</v>
      </c>
      <c r="CI58" s="322">
        <f t="shared" si="22"/>
        <v>0.7962962963</v>
      </c>
      <c r="CJ58" s="323"/>
      <c r="CK58" s="323"/>
      <c r="CL58" s="323"/>
      <c r="CM58" s="324">
        <f t="shared" si="23"/>
        <v>269</v>
      </c>
      <c r="CN58" s="325"/>
      <c r="CO58" s="6"/>
      <c r="CP58" s="6"/>
      <c r="CQ58" s="327"/>
      <c r="CR58" s="6"/>
      <c r="CS58" s="6"/>
      <c r="CT58" s="6"/>
      <c r="CU58" s="6"/>
      <c r="CV58" s="6"/>
      <c r="CW58" s="327">
        <f t="shared" si="27"/>
        <v>0</v>
      </c>
      <c r="CX58" s="270"/>
      <c r="CY58" s="6"/>
      <c r="CZ58" s="6"/>
    </row>
    <row r="59" hidden="1">
      <c r="A59" s="307" t="s">
        <v>160</v>
      </c>
      <c r="B59" s="307" t="s">
        <v>483</v>
      </c>
      <c r="C59" s="307" t="s">
        <v>572</v>
      </c>
      <c r="D59" s="307" t="s">
        <v>484</v>
      </c>
      <c r="E59" s="307" t="s">
        <v>569</v>
      </c>
      <c r="F59" s="346">
        <v>45056.0</v>
      </c>
      <c r="G59" s="309">
        <v>0.0</v>
      </c>
      <c r="H59" s="309">
        <v>7500000.0</v>
      </c>
      <c r="I59" s="287">
        <v>6443252.0</v>
      </c>
      <c r="J59" s="287">
        <v>0.0</v>
      </c>
      <c r="K59" s="284">
        <v>54.0</v>
      </c>
      <c r="L59" s="284">
        <v>45.0</v>
      </c>
      <c r="M59" s="284">
        <v>2.0</v>
      </c>
      <c r="N59" s="284">
        <v>56.0</v>
      </c>
      <c r="O59" s="284">
        <v>11.0</v>
      </c>
      <c r="P59" s="287">
        <v>6116503.53</v>
      </c>
      <c r="Q59" s="287">
        <v>326748.43</v>
      </c>
      <c r="R59" s="284">
        <v>14.0</v>
      </c>
      <c r="S59" s="284">
        <v>2.0</v>
      </c>
      <c r="T59" s="284">
        <v>16.0</v>
      </c>
      <c r="U59" s="284">
        <v>0.0</v>
      </c>
      <c r="V59" s="284">
        <v>74.0</v>
      </c>
      <c r="W59" s="284">
        <v>126.0</v>
      </c>
      <c r="X59" s="284">
        <v>242.0</v>
      </c>
      <c r="Y59" s="284">
        <v>1.0</v>
      </c>
      <c r="Z59" s="284">
        <v>2.0</v>
      </c>
      <c r="AA59" s="284">
        <v>0.0</v>
      </c>
      <c r="AB59" s="284">
        <v>0.0</v>
      </c>
      <c r="AC59" s="284">
        <v>0.0</v>
      </c>
      <c r="AD59" s="284">
        <v>0.0</v>
      </c>
      <c r="AE59" s="284">
        <v>306.0</v>
      </c>
      <c r="AF59" s="284">
        <v>434.0</v>
      </c>
      <c r="AG59" s="284">
        <v>75.0</v>
      </c>
      <c r="AH59" s="309">
        <f t="shared" si="2"/>
        <v>85910.02667</v>
      </c>
      <c r="AI59" s="309">
        <f t="shared" si="3"/>
        <v>5.786666667</v>
      </c>
      <c r="AJ59" s="311">
        <v>24850.0</v>
      </c>
      <c r="AK59" s="309">
        <f t="shared" si="29"/>
        <v>74550</v>
      </c>
      <c r="AL59" s="312"/>
      <c r="AM59" s="313">
        <f t="shared" si="5"/>
        <v>0.01157024434</v>
      </c>
      <c r="AN59" s="309">
        <f t="shared" si="6"/>
        <v>402703.25</v>
      </c>
      <c r="AO59" s="314">
        <f t="shared" si="7"/>
        <v>0.8591002667</v>
      </c>
      <c r="AP59" s="315">
        <v>0.0</v>
      </c>
      <c r="AQ59" s="284">
        <v>35.0</v>
      </c>
      <c r="AR59" s="284">
        <v>845.0</v>
      </c>
      <c r="AS59" s="284">
        <v>4878.64</v>
      </c>
      <c r="AT59" s="284">
        <v>2.0</v>
      </c>
      <c r="AU59" s="284">
        <v>108.0</v>
      </c>
      <c r="AV59" s="284">
        <v>16.0</v>
      </c>
      <c r="AW59" s="284">
        <v>29.0</v>
      </c>
      <c r="AX59" s="284">
        <v>11.0</v>
      </c>
      <c r="AY59" s="309">
        <v>3383183.0</v>
      </c>
      <c r="AZ59" s="316"/>
      <c r="BA59" s="307" t="str">
        <f t="shared" si="8"/>
        <v>Active</v>
      </c>
      <c r="BB59" s="307" t="str">
        <f t="shared" si="9"/>
        <v>Old</v>
      </c>
      <c r="BC59" s="307" t="str">
        <f t="shared" si="10"/>
        <v>70%-90%</v>
      </c>
      <c r="BD59" s="286">
        <f t="shared" si="31"/>
        <v>3</v>
      </c>
      <c r="BE59" s="328">
        <v>2500000.0</v>
      </c>
      <c r="BF59" s="284">
        <f t="shared" si="12"/>
        <v>0</v>
      </c>
      <c r="BG59" s="307" t="s">
        <v>488</v>
      </c>
      <c r="BH59" s="272">
        <f>IFERROR(__xludf.DUMMYFUNCTION("""COMPUTED_VALUE"""),1.5607744E7)</f>
        <v>15607744</v>
      </c>
      <c r="BI59" s="272">
        <f>IFERROR(__xludf.DUMMYFUNCTION("""COMPUTED_VALUE"""),1.7661120849999998E7)</f>
        <v>17661120.85</v>
      </c>
      <c r="BJ59" s="273"/>
      <c r="BK59" s="274"/>
      <c r="BL59" s="319">
        <f t="shared" si="13"/>
        <v>0</v>
      </c>
      <c r="BM59" s="319">
        <f t="shared" si="14"/>
        <v>7500000</v>
      </c>
      <c r="BN59" s="274"/>
      <c r="BO59" s="311">
        <f>IFERROR(__xludf.DUMMYFUNCTION("IFERROR(ArrayFormula(SUM(VLOOKUP($C59,importrange(""1PTkkEa_ENkSqsGnpqoXy9kt0Fe1hCtlmU6kVFBNaonY"",""ORDER BOOKING REPORT 2025-26!C:CV""),{16,23,30},0))))"),3530551.3999999994)</f>
        <v>3530551.4</v>
      </c>
      <c r="BP59" s="311">
        <f>IFERROR(__xludf.DUMMYFUNCTION("IFERROR(ArrayFormula(SUM(VLOOKUP($C59,importrange(""1PTkkEa_ENkSqsGnpqoXy9kt0Fe1hCtlmU6kVFBNaonY"",""ORDER BOOKING REPORT 2025-26!C:CV""),{37,44,51},0))))"),4632086.25)</f>
        <v>4632086.25</v>
      </c>
      <c r="BQ59" s="311">
        <f>IFERROR(__xludf.DUMMYFUNCTION("IFERROR(ArrayFormula(SUM(VLOOKUP($C59,importrange(""1PTkkEa_ENkSqsGnpqoXy9kt0Fe1hCtlmU6kVFBNaonY"",""ORDER BOOKING REPORT 2025-26!C:CV""),{58,65,72},0))))"),3988920.5400000005)</f>
        <v>3988920.54</v>
      </c>
      <c r="BR59" s="311">
        <f>IFERROR(__xludf.DUMMYFUNCTION("IFERROR(ArrayFormula(SUM(VLOOKUP($C59,importrange(""1PTkkEa_ENkSqsGnpqoXy9kt0Fe1hCtlmU6kVFBNaonY"",""ORDER BOOKING REPORT 2025-26!C:CV""),{79,86,93},0))))"),5509562.66)</f>
        <v>5509562.66</v>
      </c>
      <c r="BS59" s="322">
        <f t="shared" si="15"/>
        <v>0.4510910667</v>
      </c>
      <c r="BT59" s="322">
        <f t="shared" si="16"/>
        <v>0.02203546187</v>
      </c>
      <c r="BU59" s="287">
        <f t="shared" si="17"/>
        <v>0</v>
      </c>
      <c r="BV59" s="320">
        <v>24850.0</v>
      </c>
      <c r="BW59" s="321" t="s">
        <v>526</v>
      </c>
      <c r="BX59" s="320">
        <v>907.0</v>
      </c>
      <c r="BY59" s="287">
        <f t="shared" si="18"/>
        <v>0</v>
      </c>
      <c r="BZ59" s="10"/>
      <c r="CA59" s="10"/>
      <c r="CB59" s="10"/>
      <c r="CC59" s="10"/>
      <c r="CD59" s="10"/>
      <c r="CE59" s="10"/>
      <c r="CF59" s="10"/>
      <c r="CG59" s="318" t="str">
        <f t="shared" si="21"/>
        <v>Below 60</v>
      </c>
      <c r="CH59" s="318" t="str">
        <f t="shared" si="28"/>
        <v>Not 50%</v>
      </c>
      <c r="CI59" s="322">
        <f t="shared" si="22"/>
        <v>0.2857142857</v>
      </c>
      <c r="CJ59" s="323"/>
      <c r="CK59" s="323"/>
      <c r="CL59" s="323"/>
      <c r="CM59" s="324">
        <f t="shared" si="23"/>
        <v>306</v>
      </c>
      <c r="CN59" s="325"/>
      <c r="CO59" s="6"/>
      <c r="CP59" s="6"/>
      <c r="CQ59" s="327"/>
      <c r="CR59" s="6"/>
      <c r="CS59" s="6"/>
      <c r="CT59" s="6"/>
      <c r="CU59" s="6"/>
      <c r="CV59" s="6"/>
      <c r="CW59" s="327">
        <f t="shared" si="27"/>
        <v>0</v>
      </c>
      <c r="CX59" s="270"/>
      <c r="CY59" s="6"/>
      <c r="CZ59" s="6"/>
    </row>
    <row r="60" hidden="1">
      <c r="A60" s="307" t="s">
        <v>48</v>
      </c>
      <c r="B60" s="307" t="s">
        <v>509</v>
      </c>
      <c r="C60" s="307" t="s">
        <v>573</v>
      </c>
      <c r="D60" s="307" t="s">
        <v>574</v>
      </c>
      <c r="E60" s="307" t="s">
        <v>54</v>
      </c>
      <c r="F60" s="346">
        <v>45061.0</v>
      </c>
      <c r="G60" s="309">
        <v>0.0</v>
      </c>
      <c r="H60" s="309">
        <v>4500000.0</v>
      </c>
      <c r="I60" s="287">
        <v>2959841.0</v>
      </c>
      <c r="J60" s="287">
        <v>0.0</v>
      </c>
      <c r="K60" s="284">
        <v>90.0</v>
      </c>
      <c r="L60" s="284">
        <v>77.0</v>
      </c>
      <c r="M60" s="284">
        <v>0.0</v>
      </c>
      <c r="N60" s="284">
        <v>90.0</v>
      </c>
      <c r="O60" s="284">
        <v>13.0</v>
      </c>
      <c r="P60" s="287">
        <v>2959841.19</v>
      </c>
      <c r="Q60" s="287">
        <v>0.0</v>
      </c>
      <c r="R60" s="284">
        <v>33.0</v>
      </c>
      <c r="S60" s="284">
        <v>0.0</v>
      </c>
      <c r="T60" s="284">
        <v>33.0</v>
      </c>
      <c r="U60" s="284">
        <v>0.0</v>
      </c>
      <c r="V60" s="284">
        <v>29.0</v>
      </c>
      <c r="W60" s="284">
        <v>36.0</v>
      </c>
      <c r="X60" s="284">
        <v>481.0</v>
      </c>
      <c r="Y60" s="284">
        <v>3.0</v>
      </c>
      <c r="Z60" s="284">
        <v>21.0</v>
      </c>
      <c r="AA60" s="284">
        <v>0.0</v>
      </c>
      <c r="AB60" s="284">
        <v>0.0</v>
      </c>
      <c r="AC60" s="284">
        <v>2.0</v>
      </c>
      <c r="AD60" s="284">
        <v>3.0</v>
      </c>
      <c r="AE60" s="284">
        <v>302.0</v>
      </c>
      <c r="AF60" s="284">
        <v>362.0</v>
      </c>
      <c r="AG60" s="284">
        <v>70.0</v>
      </c>
      <c r="AH60" s="309">
        <f t="shared" si="2"/>
        <v>42283.44286</v>
      </c>
      <c r="AI60" s="309">
        <f t="shared" si="3"/>
        <v>5.171428571</v>
      </c>
      <c r="AJ60" s="311">
        <v>40590.0</v>
      </c>
      <c r="AK60" s="309">
        <f t="shared" si="29"/>
        <v>121770</v>
      </c>
      <c r="AL60" s="286"/>
      <c r="AM60" s="313">
        <f t="shared" si="5"/>
        <v>0.04114072344</v>
      </c>
      <c r="AN60" s="309">
        <f t="shared" si="6"/>
        <v>89692.15152</v>
      </c>
      <c r="AO60" s="314">
        <f t="shared" si="7"/>
        <v>0.6577424444</v>
      </c>
      <c r="AP60" s="315">
        <v>0.0</v>
      </c>
      <c r="AQ60" s="284">
        <v>54.0</v>
      </c>
      <c r="AR60" s="284">
        <v>730.0</v>
      </c>
      <c r="AS60" s="284">
        <v>7626.95</v>
      </c>
      <c r="AT60" s="284">
        <v>0.0</v>
      </c>
      <c r="AU60" s="284">
        <v>99.0</v>
      </c>
      <c r="AV60" s="284">
        <v>33.0</v>
      </c>
      <c r="AW60" s="284">
        <v>44.0</v>
      </c>
      <c r="AX60" s="284">
        <v>13.0</v>
      </c>
      <c r="AY60" s="309">
        <v>3136260.0</v>
      </c>
      <c r="AZ60" s="316"/>
      <c r="BA60" s="307" t="str">
        <f t="shared" si="8"/>
        <v>Active</v>
      </c>
      <c r="BB60" s="307" t="str">
        <f t="shared" si="9"/>
        <v>Old</v>
      </c>
      <c r="BC60" s="307" t="str">
        <f t="shared" si="10"/>
        <v>50%-70%</v>
      </c>
      <c r="BD60" s="286">
        <f t="shared" si="31"/>
        <v>3</v>
      </c>
      <c r="BE60" s="319">
        <v>1500000.0</v>
      </c>
      <c r="BF60" s="284">
        <f t="shared" si="12"/>
        <v>0</v>
      </c>
      <c r="BG60" s="307" t="s">
        <v>488</v>
      </c>
      <c r="BH60" s="272">
        <f>IFERROR(__xludf.DUMMYFUNCTION("""COMPUTED_VALUE"""),1.3679177E7)</f>
        <v>13679177</v>
      </c>
      <c r="BI60" s="272">
        <f>IFERROR(__xludf.DUMMYFUNCTION("""COMPUTED_VALUE"""),1.235476881E7)</f>
        <v>12354768.81</v>
      </c>
      <c r="BJ60" s="273"/>
      <c r="BK60" s="274"/>
      <c r="BL60" s="319">
        <f t="shared" si="13"/>
        <v>0</v>
      </c>
      <c r="BM60" s="319">
        <f t="shared" si="14"/>
        <v>4500000</v>
      </c>
      <c r="BN60" s="274"/>
      <c r="BO60" s="311">
        <f>IFERROR(__xludf.DUMMYFUNCTION("IFERROR(ArrayFormula(SUM(VLOOKUP($C60,importrange(""1PTkkEa_ENkSqsGnpqoXy9kt0Fe1hCtlmU6kVFBNaonY"",""ORDER BOOKING REPORT 2025-26!C:CV""),{16,23,30},0))))"),3819522.1999999993)</f>
        <v>3819522.2</v>
      </c>
      <c r="BP60" s="311">
        <f>IFERROR(__xludf.DUMMYFUNCTION("IFERROR(ArrayFormula(SUM(VLOOKUP($C60,importrange(""1PTkkEa_ENkSqsGnpqoXy9kt0Fe1hCtlmU6kVFBNaonY"",""ORDER BOOKING REPORT 2025-26!C:CV""),{37,44,51},0))))"),3504803.1500000004)</f>
        <v>3504803.15</v>
      </c>
      <c r="BQ60" s="311">
        <f>IFERROR(__xludf.DUMMYFUNCTION("IFERROR(ArrayFormula(SUM(VLOOKUP($C60,importrange(""1PTkkEa_ENkSqsGnpqoXy9kt0Fe1hCtlmU6kVFBNaonY"",""ORDER BOOKING REPORT 2025-26!C:CV""),{58,65,72},0))))"),2932646.57)</f>
        <v>2932646.57</v>
      </c>
      <c r="BR60" s="311">
        <f>IFERROR(__xludf.DUMMYFUNCTION("IFERROR(ArrayFormula(SUM(VLOOKUP($C60,importrange(""1PTkkEa_ENkSqsGnpqoXy9kt0Fe1hCtlmU6kVFBNaonY"",""ORDER BOOKING REPORT 2025-26!C:CV""),{79,86,93},0))))"),2097796.89)</f>
        <v>2097796.89</v>
      </c>
      <c r="BS60" s="322">
        <f t="shared" si="15"/>
        <v>0.6969466667</v>
      </c>
      <c r="BT60" s="322">
        <f t="shared" si="16"/>
        <v>0.03882650035</v>
      </c>
      <c r="BU60" s="287">
        <f t="shared" si="17"/>
        <v>0</v>
      </c>
      <c r="BV60" s="320">
        <v>40590.0</v>
      </c>
      <c r="BW60" s="321" t="s">
        <v>502</v>
      </c>
      <c r="BX60" s="320">
        <v>918.0</v>
      </c>
      <c r="BY60" s="287">
        <f t="shared" si="18"/>
        <v>0</v>
      </c>
      <c r="BZ60" s="10"/>
      <c r="CA60" s="10"/>
      <c r="CB60" s="10"/>
      <c r="CC60" s="10"/>
      <c r="CD60" s="10"/>
      <c r="CE60" s="10"/>
      <c r="CF60" s="10"/>
      <c r="CG60" s="318" t="str">
        <f t="shared" si="21"/>
        <v> </v>
      </c>
      <c r="CH60" s="318" t="str">
        <f t="shared" si="28"/>
        <v>Not 50%</v>
      </c>
      <c r="CI60" s="322">
        <f t="shared" si="22"/>
        <v>0.3666666667</v>
      </c>
      <c r="CJ60" s="323"/>
      <c r="CK60" s="323"/>
      <c r="CL60" s="323"/>
      <c r="CM60" s="324">
        <f t="shared" si="23"/>
        <v>302</v>
      </c>
      <c r="CN60" s="337"/>
      <c r="CO60" s="152"/>
      <c r="CP60" s="152"/>
      <c r="CQ60" s="327"/>
      <c r="CR60" s="152"/>
      <c r="CS60" s="152"/>
      <c r="CT60" s="152"/>
      <c r="CU60" s="152"/>
      <c r="CV60" s="152"/>
      <c r="CW60" s="327">
        <f t="shared" si="27"/>
        <v>0</v>
      </c>
      <c r="CX60" s="270"/>
      <c r="CY60" s="152"/>
      <c r="CZ60" s="152"/>
    </row>
    <row r="61" hidden="1">
      <c r="A61" s="307" t="s">
        <v>62</v>
      </c>
      <c r="B61" s="307" t="s">
        <v>516</v>
      </c>
      <c r="C61" s="307" t="s">
        <v>65</v>
      </c>
      <c r="D61" s="307" t="s">
        <v>516</v>
      </c>
      <c r="E61" s="307" t="s">
        <v>66</v>
      </c>
      <c r="F61" s="346">
        <v>45068.0</v>
      </c>
      <c r="G61" s="309">
        <v>3500001.0</v>
      </c>
      <c r="H61" s="309">
        <v>999999.0</v>
      </c>
      <c r="I61" s="287">
        <v>423012.0</v>
      </c>
      <c r="J61" s="287">
        <v>3517578.23</v>
      </c>
      <c r="K61" s="284">
        <v>26.0</v>
      </c>
      <c r="L61" s="284">
        <v>14.0</v>
      </c>
      <c r="M61" s="284">
        <v>0.0</v>
      </c>
      <c r="N61" s="284">
        <v>26.0</v>
      </c>
      <c r="O61" s="284">
        <v>12.0</v>
      </c>
      <c r="P61" s="287">
        <v>423011.6</v>
      </c>
      <c r="Q61" s="287">
        <v>0.0</v>
      </c>
      <c r="R61" s="284">
        <v>6.0</v>
      </c>
      <c r="S61" s="284">
        <v>0.0</v>
      </c>
      <c r="T61" s="284">
        <v>6.0</v>
      </c>
      <c r="U61" s="284">
        <v>7.0</v>
      </c>
      <c r="V61" s="284">
        <v>0.0</v>
      </c>
      <c r="W61" s="284">
        <v>0.0</v>
      </c>
      <c r="X61" s="284">
        <v>155.0</v>
      </c>
      <c r="Y61" s="284">
        <v>7.0</v>
      </c>
      <c r="Z61" s="284">
        <v>24.0</v>
      </c>
      <c r="AA61" s="284">
        <v>12.0</v>
      </c>
      <c r="AB61" s="284">
        <v>131.0</v>
      </c>
      <c r="AC61" s="284">
        <v>4.0</v>
      </c>
      <c r="AD61" s="284">
        <v>14.0</v>
      </c>
      <c r="AE61" s="284">
        <v>42.0</v>
      </c>
      <c r="AF61" s="284">
        <v>211.0</v>
      </c>
      <c r="AG61" s="284">
        <v>76.0</v>
      </c>
      <c r="AH61" s="309">
        <f t="shared" si="2"/>
        <v>51849.87145</v>
      </c>
      <c r="AI61" s="309">
        <f t="shared" si="3"/>
        <v>2.776315789</v>
      </c>
      <c r="AJ61" s="311">
        <v>31660.0</v>
      </c>
      <c r="AK61" s="309">
        <f t="shared" si="29"/>
        <v>94980</v>
      </c>
      <c r="AL61" s="286"/>
      <c r="AM61" s="313">
        <f t="shared" si="5"/>
        <v>0.02410298825</v>
      </c>
      <c r="AN61" s="309">
        <f t="shared" si="6"/>
        <v>70502</v>
      </c>
      <c r="AO61" s="314">
        <f t="shared" si="7"/>
        <v>0.8756867178</v>
      </c>
      <c r="AP61" s="315">
        <v>1.0</v>
      </c>
      <c r="AQ61" s="284">
        <v>10.0</v>
      </c>
      <c r="AR61" s="284">
        <v>627.0</v>
      </c>
      <c r="AS61" s="284">
        <v>2991.04</v>
      </c>
      <c r="AT61" s="284">
        <v>0.0</v>
      </c>
      <c r="AU61" s="284">
        <v>214.0</v>
      </c>
      <c r="AV61" s="284">
        <v>6.0</v>
      </c>
      <c r="AW61" s="284">
        <v>9.0</v>
      </c>
      <c r="AX61" s="284">
        <v>11.0</v>
      </c>
      <c r="AY61" s="309">
        <v>3911880.0</v>
      </c>
      <c r="AZ61" s="316"/>
      <c r="BA61" s="307" t="str">
        <f t="shared" si="8"/>
        <v>Active</v>
      </c>
      <c r="BB61" s="307" t="str">
        <f t="shared" si="9"/>
        <v>Old</v>
      </c>
      <c r="BC61" s="307" t="str">
        <f t="shared" si="10"/>
        <v>70%-90%</v>
      </c>
      <c r="BD61" s="286">
        <f t="shared" si="31"/>
        <v>3</v>
      </c>
      <c r="BE61" s="328">
        <v>1500000.0</v>
      </c>
      <c r="BF61" s="284">
        <f t="shared" si="12"/>
        <v>0</v>
      </c>
      <c r="BG61" s="307" t="s">
        <v>488</v>
      </c>
      <c r="BH61" s="272">
        <f>IFERROR(__xludf.DUMMYFUNCTION("""COMPUTED_VALUE"""),1.0777559E7)</f>
        <v>10777559</v>
      </c>
      <c r="BI61" s="272">
        <f>IFERROR(__xludf.DUMMYFUNCTION("""COMPUTED_VALUE"""),1.1134309132343745E7)</f>
        <v>11134309.13</v>
      </c>
      <c r="BJ61" s="273"/>
      <c r="BK61" s="330">
        <v>1166667.0</v>
      </c>
      <c r="BL61" s="319">
        <f t="shared" si="13"/>
        <v>3500001</v>
      </c>
      <c r="BM61" s="319">
        <f t="shared" si="14"/>
        <v>4500000</v>
      </c>
      <c r="BN61" s="274"/>
      <c r="BO61" s="311">
        <f>IFERROR(__xludf.DUMMYFUNCTION("IFERROR(ArrayFormula(SUM(VLOOKUP($C61,importrange(""1PTkkEa_ENkSqsGnpqoXy9kt0Fe1hCtlmU6kVFBNaonY"",""ORDER BOOKING REPORT 2025-26!C:CV""),{16,23,30},0))))"),3334234.8023437494)</f>
        <v>3334234.802</v>
      </c>
      <c r="BP61" s="311">
        <f>IFERROR(__xludf.DUMMYFUNCTION("IFERROR(ArrayFormula(SUM(VLOOKUP($C61,importrange(""1PTkkEa_ENkSqsGnpqoXy9kt0Fe1hCtlmU6kVFBNaonY"",""ORDER BOOKING REPORT 2025-26!C:CV""),{37,44,51},0))))"),3837700.5499999993)</f>
        <v>3837700.55</v>
      </c>
      <c r="BQ61" s="311">
        <f>IFERROR(__xludf.DUMMYFUNCTION("IFERROR(ArrayFormula(SUM(VLOOKUP($C61,importrange(""1PTkkEa_ENkSqsGnpqoXy9kt0Fe1hCtlmU6kVFBNaonY"",""ORDER BOOKING REPORT 2025-26!C:CV""),{58,65,72},0))))"),2660040.5599999987)</f>
        <v>2660040.56</v>
      </c>
      <c r="BR61" s="311">
        <f>IFERROR(__xludf.DUMMYFUNCTION("IFERROR(ArrayFormula(SUM(VLOOKUP($C61,importrange(""1PTkkEa_ENkSqsGnpqoXy9kt0Fe1hCtlmU6kVFBNaonY"",""ORDER BOOKING REPORT 2025-26!C:CV""),{79,86,93},0))))"),1302333.2200000002)</f>
        <v>1302333.22</v>
      </c>
      <c r="BS61" s="322">
        <f t="shared" si="15"/>
        <v>0.8693066667</v>
      </c>
      <c r="BT61" s="322">
        <f t="shared" si="16"/>
        <v>0.02427988589</v>
      </c>
      <c r="BU61" s="287">
        <f t="shared" si="17"/>
        <v>0</v>
      </c>
      <c r="BV61" s="320">
        <v>31660.0</v>
      </c>
      <c r="BW61" s="321" t="s">
        <v>489</v>
      </c>
      <c r="BX61" s="320">
        <v>914.0</v>
      </c>
      <c r="BY61" s="287">
        <f t="shared" si="18"/>
        <v>0</v>
      </c>
      <c r="BZ61" s="10"/>
      <c r="CA61" s="10"/>
      <c r="CB61" s="10"/>
      <c r="CC61" s="10"/>
      <c r="CD61" s="10"/>
      <c r="CE61" s="10"/>
      <c r="CF61" s="10"/>
      <c r="CG61" s="318" t="str">
        <f t="shared" si="21"/>
        <v>Below 60</v>
      </c>
      <c r="CH61" s="318" t="str">
        <f t="shared" si="28"/>
        <v>Not 50%</v>
      </c>
      <c r="CI61" s="322">
        <f t="shared" si="22"/>
        <v>0.2307692308</v>
      </c>
      <c r="CJ61" s="323"/>
      <c r="CK61" s="323"/>
      <c r="CL61" s="323"/>
      <c r="CM61" s="324">
        <f t="shared" si="23"/>
        <v>42</v>
      </c>
      <c r="CN61" s="337"/>
      <c r="CO61" s="152"/>
      <c r="CP61" s="152"/>
      <c r="CQ61" s="327"/>
      <c r="CR61" s="152"/>
      <c r="CS61" s="152"/>
      <c r="CT61" s="152"/>
      <c r="CU61" s="152"/>
      <c r="CV61" s="152"/>
      <c r="CW61" s="327">
        <f t="shared" si="27"/>
        <v>0</v>
      </c>
      <c r="CX61" s="270"/>
      <c r="CY61" s="152"/>
      <c r="CZ61" s="152"/>
    </row>
    <row r="62">
      <c r="A62" s="307" t="s">
        <v>160</v>
      </c>
      <c r="B62" s="307" t="s">
        <v>483</v>
      </c>
      <c r="C62" s="307" t="s">
        <v>575</v>
      </c>
      <c r="D62" s="307" t="s">
        <v>484</v>
      </c>
      <c r="E62" s="307" t="s">
        <v>576</v>
      </c>
      <c r="F62" s="346">
        <v>45069.0</v>
      </c>
      <c r="G62" s="309">
        <v>0.0</v>
      </c>
      <c r="H62" s="309">
        <v>0.0</v>
      </c>
      <c r="I62" s="287">
        <v>164799.0</v>
      </c>
      <c r="J62" s="287">
        <v>0.0</v>
      </c>
      <c r="K62" s="284">
        <v>48.0</v>
      </c>
      <c r="L62" s="284">
        <v>25.0</v>
      </c>
      <c r="M62" s="284">
        <v>1.0</v>
      </c>
      <c r="N62" s="284">
        <v>49.0</v>
      </c>
      <c r="O62" s="284">
        <v>24.0</v>
      </c>
      <c r="P62" s="287">
        <v>164798.72</v>
      </c>
      <c r="Q62" s="287">
        <v>0.0</v>
      </c>
      <c r="R62" s="284">
        <v>3.0</v>
      </c>
      <c r="S62" s="284">
        <v>0.0</v>
      </c>
      <c r="T62" s="284">
        <v>3.0</v>
      </c>
      <c r="U62" s="284">
        <v>0.0</v>
      </c>
      <c r="V62" s="284">
        <v>0.0</v>
      </c>
      <c r="W62" s="284">
        <v>0.0</v>
      </c>
      <c r="X62" s="284">
        <v>94.0</v>
      </c>
      <c r="Y62" s="284">
        <v>1.0</v>
      </c>
      <c r="Z62" s="284">
        <v>2.0</v>
      </c>
      <c r="AA62" s="284">
        <v>0.0</v>
      </c>
      <c r="AB62" s="284">
        <v>0.0</v>
      </c>
      <c r="AC62" s="284">
        <v>0.0</v>
      </c>
      <c r="AD62" s="284">
        <v>0.0</v>
      </c>
      <c r="AE62" s="284">
        <v>49.0</v>
      </c>
      <c r="AF62" s="284">
        <v>51.0</v>
      </c>
      <c r="AG62" s="284">
        <v>16.0</v>
      </c>
      <c r="AH62" s="309">
        <f t="shared" si="2"/>
        <v>10299.9375</v>
      </c>
      <c r="AI62" s="309">
        <f t="shared" si="3"/>
        <v>3.1875</v>
      </c>
      <c r="AJ62" s="311">
        <v>29042.0</v>
      </c>
      <c r="AK62" s="309">
        <f t="shared" si="29"/>
        <v>17425.2</v>
      </c>
      <c r="AL62" s="312"/>
      <c r="AM62" s="313">
        <f t="shared" si="5"/>
        <v>0.1057360785</v>
      </c>
      <c r="AN62" s="309">
        <f t="shared" si="6"/>
        <v>54933</v>
      </c>
      <c r="AO62" s="314" t="str">
        <f t="shared" si="7"/>
        <v/>
      </c>
      <c r="AP62" s="315">
        <v>0.0</v>
      </c>
      <c r="AQ62" s="284">
        <v>3.0</v>
      </c>
      <c r="AR62" s="284">
        <v>177.0</v>
      </c>
      <c r="AS62" s="284">
        <v>986.61</v>
      </c>
      <c r="AT62" s="284">
        <v>0.0</v>
      </c>
      <c r="AU62" s="284">
        <v>39.0</v>
      </c>
      <c r="AV62" s="284">
        <v>3.0</v>
      </c>
      <c r="AW62" s="284">
        <v>22.0</v>
      </c>
      <c r="AX62" s="284">
        <v>24.0</v>
      </c>
      <c r="AY62" s="309">
        <v>0.0</v>
      </c>
      <c r="AZ62" s="316">
        <v>46130.0</v>
      </c>
      <c r="BA62" s="307" t="str">
        <f t="shared" si="8"/>
        <v>LEFT</v>
      </c>
      <c r="BB62" s="307" t="str">
        <f t="shared" si="9"/>
        <v>Old</v>
      </c>
      <c r="BC62" s="307" t="str">
        <f t="shared" si="10"/>
        <v>Below 50%</v>
      </c>
      <c r="BD62" s="286">
        <f>18/30</f>
        <v>0.6</v>
      </c>
      <c r="BE62" s="328"/>
      <c r="BF62" s="284">
        <f t="shared" si="12"/>
        <v>1</v>
      </c>
      <c r="BG62" s="307" t="s">
        <v>488</v>
      </c>
      <c r="BH62" s="272">
        <f>IFERROR(__xludf.DUMMYFUNCTION("""COMPUTED_VALUE"""),8904175.0)</f>
        <v>8904175</v>
      </c>
      <c r="BI62" s="272">
        <f>IFERROR(__xludf.DUMMYFUNCTION("""COMPUTED_VALUE"""),9637243.18)</f>
        <v>9637243.18</v>
      </c>
      <c r="BJ62" s="273"/>
      <c r="BK62" s="274"/>
      <c r="BL62" s="319">
        <f t="shared" si="13"/>
        <v>0</v>
      </c>
      <c r="BM62" s="319">
        <f t="shared" si="14"/>
        <v>0</v>
      </c>
      <c r="BN62" s="274"/>
      <c r="BO62" s="311">
        <f>IFERROR(__xludf.DUMMYFUNCTION("IFERROR(ArrayFormula(SUM(VLOOKUP($C62,importrange(""1PTkkEa_ENkSqsGnpqoXy9kt0Fe1hCtlmU6kVFBNaonY"",""ORDER BOOKING REPORT 2025-26!C:CV""),{16,23,30},0))))"),1856754.25)</f>
        <v>1856754.25</v>
      </c>
      <c r="BP62" s="311">
        <f>IFERROR(__xludf.DUMMYFUNCTION("IFERROR(ArrayFormula(SUM(VLOOKUP($C62,importrange(""1PTkkEa_ENkSqsGnpqoXy9kt0Fe1hCtlmU6kVFBNaonY"",""ORDER BOOKING REPORT 2025-26!C:CV""),{37,44,51},0))))"),3432294.47)</f>
        <v>3432294.47</v>
      </c>
      <c r="BQ62" s="311">
        <f>IFERROR(__xludf.DUMMYFUNCTION("IFERROR(ArrayFormula(SUM(VLOOKUP($C62,importrange(""1PTkkEa_ENkSqsGnpqoXy9kt0Fe1hCtlmU6kVFBNaonY"",""ORDER BOOKING REPORT 2025-26!C:CV""),{58,65,72},0))))"),1676965.46)</f>
        <v>1676965.46</v>
      </c>
      <c r="BR62" s="311">
        <f>IFERROR(__xludf.DUMMYFUNCTION("IFERROR(ArrayFormula(SUM(VLOOKUP($C62,importrange(""1PTkkEa_ENkSqsGnpqoXy9kt0Fe1hCtlmU6kVFBNaonY"",""ORDER BOOKING REPORT 2025-26!C:CV""),{79,86,93},0))))"),2671229.0)</f>
        <v>2671229</v>
      </c>
      <c r="BS62" s="322" t="str">
        <f t="shared" si="15"/>
        <v/>
      </c>
      <c r="BT62" s="322" t="str">
        <f t="shared" si="16"/>
        <v/>
      </c>
      <c r="BU62" s="287">
        <f t="shared" si="17"/>
        <v>0</v>
      </c>
      <c r="BV62" s="320">
        <v>29042.0</v>
      </c>
      <c r="BW62" s="321" t="s">
        <v>526</v>
      </c>
      <c r="BX62" s="320">
        <v>923.0</v>
      </c>
      <c r="BY62" s="287">
        <f t="shared" si="18"/>
        <v>0</v>
      </c>
      <c r="BZ62" s="10"/>
      <c r="CA62" s="10"/>
      <c r="CB62" s="10"/>
      <c r="CC62" s="10"/>
      <c r="CD62" s="10"/>
      <c r="CE62" s="10"/>
      <c r="CF62" s="10"/>
      <c r="CG62" s="318" t="str">
        <f t="shared" si="21"/>
        <v>Below 60</v>
      </c>
      <c r="CH62" s="318" t="str">
        <f t="shared" si="28"/>
        <v>Not 50%</v>
      </c>
      <c r="CI62" s="322">
        <f t="shared" si="22"/>
        <v>0.0612244898</v>
      </c>
      <c r="CJ62" s="323"/>
      <c r="CK62" s="323"/>
      <c r="CL62" s="323"/>
      <c r="CM62" s="324">
        <f t="shared" si="23"/>
        <v>49</v>
      </c>
      <c r="CN62" s="325"/>
      <c r="CO62" s="6"/>
      <c r="CP62" s="6"/>
      <c r="CQ62" s="327"/>
      <c r="CR62" s="6"/>
      <c r="CS62" s="6"/>
      <c r="CT62" s="6"/>
      <c r="CU62" s="6"/>
      <c r="CV62" s="6"/>
      <c r="CW62" s="327">
        <f t="shared" si="27"/>
        <v>0</v>
      </c>
      <c r="CX62" s="270"/>
      <c r="CY62" s="6"/>
      <c r="CZ62" s="6"/>
    </row>
    <row r="63" hidden="1">
      <c r="A63" s="307" t="s">
        <v>160</v>
      </c>
      <c r="B63" s="307" t="s">
        <v>483</v>
      </c>
      <c r="C63" s="307" t="s">
        <v>205</v>
      </c>
      <c r="D63" s="307" t="s">
        <v>484</v>
      </c>
      <c r="E63" s="307" t="s">
        <v>162</v>
      </c>
      <c r="F63" s="346">
        <v>45069.0</v>
      </c>
      <c r="G63" s="309">
        <v>0.0</v>
      </c>
      <c r="H63" s="309">
        <v>7500000.0</v>
      </c>
      <c r="I63" s="287">
        <v>4917470.0</v>
      </c>
      <c r="J63" s="287">
        <v>0.0</v>
      </c>
      <c r="K63" s="284">
        <v>105.0</v>
      </c>
      <c r="L63" s="284">
        <v>93.0</v>
      </c>
      <c r="M63" s="284">
        <v>3.0</v>
      </c>
      <c r="N63" s="284">
        <v>108.0</v>
      </c>
      <c r="O63" s="284">
        <v>15.0</v>
      </c>
      <c r="P63" s="287">
        <v>4743498.1</v>
      </c>
      <c r="Q63" s="287">
        <v>173972.0</v>
      </c>
      <c r="R63" s="284">
        <v>78.0</v>
      </c>
      <c r="S63" s="284">
        <v>2.0</v>
      </c>
      <c r="T63" s="284">
        <v>80.0</v>
      </c>
      <c r="U63" s="284">
        <v>0.0</v>
      </c>
      <c r="V63" s="284">
        <v>0.0</v>
      </c>
      <c r="W63" s="284">
        <v>0.0</v>
      </c>
      <c r="X63" s="284">
        <v>72.0</v>
      </c>
      <c r="Y63" s="284">
        <v>2.0</v>
      </c>
      <c r="Z63" s="284">
        <v>16.0</v>
      </c>
      <c r="AA63" s="284">
        <v>0.0</v>
      </c>
      <c r="AB63" s="284">
        <v>0.0</v>
      </c>
      <c r="AC63" s="284">
        <v>0.0</v>
      </c>
      <c r="AD63" s="284">
        <v>0.0</v>
      </c>
      <c r="AE63" s="284">
        <v>298.0</v>
      </c>
      <c r="AF63" s="284">
        <v>314.0</v>
      </c>
      <c r="AG63" s="284">
        <v>70.0</v>
      </c>
      <c r="AH63" s="309">
        <f t="shared" si="2"/>
        <v>70249.57143</v>
      </c>
      <c r="AI63" s="309">
        <f t="shared" si="3"/>
        <v>4.485714286</v>
      </c>
      <c r="AJ63" s="311">
        <v>25212.0</v>
      </c>
      <c r="AK63" s="309">
        <f t="shared" si="29"/>
        <v>75636</v>
      </c>
      <c r="AL63" s="312"/>
      <c r="AM63" s="313">
        <f t="shared" si="5"/>
        <v>0.01538108011</v>
      </c>
      <c r="AN63" s="309">
        <f t="shared" si="6"/>
        <v>61468.375</v>
      </c>
      <c r="AO63" s="314">
        <f t="shared" si="7"/>
        <v>0.6556626667</v>
      </c>
      <c r="AP63" s="315">
        <v>0.0</v>
      </c>
      <c r="AQ63" s="284">
        <v>155.0</v>
      </c>
      <c r="AR63" s="284">
        <v>754.0</v>
      </c>
      <c r="AS63" s="284">
        <v>5191.84</v>
      </c>
      <c r="AT63" s="284">
        <v>2.0</v>
      </c>
      <c r="AU63" s="284">
        <v>56.0</v>
      </c>
      <c r="AV63" s="284">
        <v>80.0</v>
      </c>
      <c r="AW63" s="284">
        <v>20.0</v>
      </c>
      <c r="AX63" s="284">
        <v>8.0</v>
      </c>
      <c r="AY63" s="309">
        <v>3264579.0</v>
      </c>
      <c r="AZ63" s="316"/>
      <c r="BA63" s="307" t="str">
        <f t="shared" si="8"/>
        <v>Active</v>
      </c>
      <c r="BB63" s="307" t="str">
        <f t="shared" si="9"/>
        <v>Old</v>
      </c>
      <c r="BC63" s="307" t="str">
        <f t="shared" si="10"/>
        <v>50%-70%</v>
      </c>
      <c r="BD63" s="286">
        <f t="shared" ref="BD63:BD82" si="32">Match($BD$3,{"Apr","May","Jun","Jul","Aug","Sep","Oct","Nov","Dec","Jan","Feb","Mar"},0)</f>
        <v>3</v>
      </c>
      <c r="BE63" s="328">
        <v>2500000.0</v>
      </c>
      <c r="BF63" s="284">
        <f t="shared" si="12"/>
        <v>1</v>
      </c>
      <c r="BG63" s="307" t="s">
        <v>488</v>
      </c>
      <c r="BH63" s="272">
        <f>IFERROR(__xludf.DUMMYFUNCTION("""COMPUTED_VALUE"""),1.6341679E7)</f>
        <v>16341679</v>
      </c>
      <c r="BI63" s="272">
        <f>IFERROR(__xludf.DUMMYFUNCTION("""COMPUTED_VALUE"""),1.6285524720781248E7)</f>
        <v>16285524.72</v>
      </c>
      <c r="BJ63" s="273"/>
      <c r="BK63" s="274"/>
      <c r="BL63" s="319">
        <f t="shared" si="13"/>
        <v>0</v>
      </c>
      <c r="BM63" s="319">
        <f t="shared" si="14"/>
        <v>7500000</v>
      </c>
      <c r="BN63" s="274"/>
      <c r="BO63" s="311">
        <f>IFERROR(__xludf.DUMMYFUNCTION("IFERROR(ArrayFormula(SUM(VLOOKUP($C63,importrange(""1PTkkEa_ENkSqsGnpqoXy9kt0Fe1hCtlmU6kVFBNaonY"",""ORDER BOOKING REPORT 2025-26!C:CV""),{16,23,30},0))))"),4339586.29078125)</f>
        <v>4339586.291</v>
      </c>
      <c r="BP63" s="311">
        <f>IFERROR(__xludf.DUMMYFUNCTION("IFERROR(ArrayFormula(SUM(VLOOKUP($C63,importrange(""1PTkkEa_ENkSqsGnpqoXy9kt0Fe1hCtlmU6kVFBNaonY"",""ORDER BOOKING REPORT 2025-26!C:CV""),{37,44,51},0))))"),3538005.8000000003)</f>
        <v>3538005.8</v>
      </c>
      <c r="BQ63" s="311">
        <f>IFERROR(__xludf.DUMMYFUNCTION("IFERROR(ArrayFormula(SUM(VLOOKUP($C63,importrange(""1PTkkEa_ENkSqsGnpqoXy9kt0Fe1hCtlmU6kVFBNaonY"",""ORDER BOOKING REPORT 2025-26!C:CV""),{58,65,72},0))))"),4183562.0199999996)</f>
        <v>4183562.02</v>
      </c>
      <c r="BR63" s="311">
        <f>IFERROR(__xludf.DUMMYFUNCTION("IFERROR(ArrayFormula(SUM(VLOOKUP($C63,importrange(""1PTkkEa_ENkSqsGnpqoXy9kt0Fe1hCtlmU6kVFBNaonY"",""ORDER BOOKING REPORT 2025-26!C:CV""),{79,86,93},0))))"),4224370.61)</f>
        <v>4224370.61</v>
      </c>
      <c r="BS63" s="322">
        <f t="shared" si="15"/>
        <v>0.4352772</v>
      </c>
      <c r="BT63" s="322">
        <f t="shared" si="16"/>
        <v>0.02316868423</v>
      </c>
      <c r="BU63" s="287">
        <f t="shared" si="17"/>
        <v>0</v>
      </c>
      <c r="BV63" s="320">
        <v>25212.0</v>
      </c>
      <c r="BW63" s="321" t="s">
        <v>502</v>
      </c>
      <c r="BX63" s="320">
        <v>926.0</v>
      </c>
      <c r="BY63" s="287">
        <f t="shared" si="18"/>
        <v>0</v>
      </c>
      <c r="BZ63" s="10"/>
      <c r="CA63" s="10"/>
      <c r="CB63" s="10"/>
      <c r="CC63" s="10"/>
      <c r="CD63" s="10"/>
      <c r="CE63" s="10"/>
      <c r="CF63" s="10"/>
      <c r="CG63" s="318" t="str">
        <f t="shared" si="21"/>
        <v> </v>
      </c>
      <c r="CH63" s="318" t="str">
        <f t="shared" si="28"/>
        <v>Business Achieved 50%</v>
      </c>
      <c r="CI63" s="322">
        <f t="shared" si="22"/>
        <v>0.7407407407</v>
      </c>
      <c r="CJ63" s="323"/>
      <c r="CK63" s="323"/>
      <c r="CL63" s="323"/>
      <c r="CM63" s="324">
        <f t="shared" si="23"/>
        <v>298</v>
      </c>
      <c r="CN63" s="325"/>
      <c r="CO63" s="6"/>
      <c r="CP63" s="6"/>
      <c r="CQ63" s="327"/>
      <c r="CR63" s="6"/>
      <c r="CS63" s="6"/>
      <c r="CT63" s="6"/>
      <c r="CU63" s="6"/>
      <c r="CV63" s="6"/>
      <c r="CW63" s="327">
        <f t="shared" si="27"/>
        <v>0</v>
      </c>
      <c r="CX63" s="270"/>
      <c r="CY63" s="6"/>
      <c r="CZ63" s="6"/>
    </row>
    <row r="64" hidden="1">
      <c r="A64" s="307" t="s">
        <v>103</v>
      </c>
      <c r="B64" s="307" t="s">
        <v>492</v>
      </c>
      <c r="C64" s="307" t="s">
        <v>125</v>
      </c>
      <c r="D64" s="307" t="s">
        <v>492</v>
      </c>
      <c r="E64" s="307" t="s">
        <v>126</v>
      </c>
      <c r="F64" s="329">
        <v>45080.0</v>
      </c>
      <c r="G64" s="309">
        <v>1100001.0</v>
      </c>
      <c r="H64" s="309">
        <v>7749999.0</v>
      </c>
      <c r="I64" s="287">
        <v>4692048.0</v>
      </c>
      <c r="J64" s="287">
        <v>1204632.67</v>
      </c>
      <c r="K64" s="284">
        <v>109.0</v>
      </c>
      <c r="L64" s="284">
        <v>81.0</v>
      </c>
      <c r="M64" s="284">
        <v>0.0</v>
      </c>
      <c r="N64" s="284">
        <v>109.0</v>
      </c>
      <c r="O64" s="284">
        <v>28.0</v>
      </c>
      <c r="P64" s="287">
        <v>4692048.38</v>
      </c>
      <c r="Q64" s="287">
        <v>0.0</v>
      </c>
      <c r="R64" s="284">
        <v>27.0</v>
      </c>
      <c r="S64" s="284">
        <v>0.0</v>
      </c>
      <c r="T64" s="284">
        <v>27.0</v>
      </c>
      <c r="U64" s="284">
        <v>3.0</v>
      </c>
      <c r="V64" s="284">
        <v>64.0</v>
      </c>
      <c r="W64" s="284">
        <v>93.0</v>
      </c>
      <c r="X64" s="284">
        <v>275.0</v>
      </c>
      <c r="Y64" s="284">
        <v>4.0</v>
      </c>
      <c r="Z64" s="284">
        <v>27.0</v>
      </c>
      <c r="AA64" s="284">
        <v>5.0</v>
      </c>
      <c r="AB64" s="284">
        <v>17.0</v>
      </c>
      <c r="AC64" s="284">
        <v>0.0</v>
      </c>
      <c r="AD64" s="284">
        <v>0.0</v>
      </c>
      <c r="AE64" s="284">
        <v>384.0</v>
      </c>
      <c r="AF64" s="284">
        <v>521.0</v>
      </c>
      <c r="AG64" s="284">
        <v>76.0</v>
      </c>
      <c r="AH64" s="309">
        <f t="shared" si="2"/>
        <v>77587.90355</v>
      </c>
      <c r="AI64" s="309">
        <f t="shared" si="3"/>
        <v>6.855263158</v>
      </c>
      <c r="AJ64" s="311">
        <v>57990.0</v>
      </c>
      <c r="AK64" s="309">
        <f t="shared" si="29"/>
        <v>173970</v>
      </c>
      <c r="AL64" s="286"/>
      <c r="AM64" s="313">
        <f t="shared" si="5"/>
        <v>0.02950303904</v>
      </c>
      <c r="AN64" s="309">
        <f t="shared" si="6"/>
        <v>173779.5556</v>
      </c>
      <c r="AO64" s="314">
        <f t="shared" si="7"/>
        <v>0.6662916011</v>
      </c>
      <c r="AP64" s="315">
        <v>1.09</v>
      </c>
      <c r="AQ64" s="284">
        <v>66.0</v>
      </c>
      <c r="AR64" s="284">
        <v>812.0</v>
      </c>
      <c r="AS64" s="284">
        <v>6857.54</v>
      </c>
      <c r="AT64" s="284">
        <v>0.0</v>
      </c>
      <c r="AU64" s="284">
        <v>85.0</v>
      </c>
      <c r="AV64" s="284">
        <v>27.0</v>
      </c>
      <c r="AW64" s="284">
        <v>56.0</v>
      </c>
      <c r="AX64" s="284">
        <v>26.0</v>
      </c>
      <c r="AY64" s="309">
        <v>4586817.0</v>
      </c>
      <c r="AZ64" s="316"/>
      <c r="BA64" s="307" t="str">
        <f t="shared" si="8"/>
        <v>Active</v>
      </c>
      <c r="BB64" s="307" t="str">
        <f t="shared" si="9"/>
        <v>Old</v>
      </c>
      <c r="BC64" s="307" t="str">
        <f t="shared" si="10"/>
        <v>50%-70%</v>
      </c>
      <c r="BD64" s="286">
        <f t="shared" si="32"/>
        <v>3</v>
      </c>
      <c r="BE64" s="328">
        <v>2950000.0</v>
      </c>
      <c r="BF64" s="284">
        <f t="shared" si="12"/>
        <v>0</v>
      </c>
      <c r="BG64" s="307" t="s">
        <v>488</v>
      </c>
      <c r="BH64" s="272">
        <f>IFERROR(__xludf.DUMMYFUNCTION("""COMPUTED_VALUE"""),1.9739309E7)</f>
        <v>19739309</v>
      </c>
      <c r="BI64" s="272">
        <f>IFERROR(__xludf.DUMMYFUNCTION("""COMPUTED_VALUE"""),2.238092371E7)</f>
        <v>22380923.71</v>
      </c>
      <c r="BJ64" s="273"/>
      <c r="BK64" s="330">
        <v>366667.0</v>
      </c>
      <c r="BL64" s="319">
        <f t="shared" si="13"/>
        <v>1100001</v>
      </c>
      <c r="BM64" s="319">
        <f t="shared" si="14"/>
        <v>8850000</v>
      </c>
      <c r="BN64" s="274"/>
      <c r="BO64" s="311">
        <f>IFERROR(__xludf.DUMMYFUNCTION("IFERROR(ArrayFormula(SUM(VLOOKUP($C64,importrange(""1PTkkEa_ENkSqsGnpqoXy9kt0Fe1hCtlmU6kVFBNaonY"",""ORDER BOOKING REPORT 2025-26!C:CV""),{16,23,30},0))))"),5063230.329999998)</f>
        <v>5063230.33</v>
      </c>
      <c r="BP64" s="311">
        <f>IFERROR(__xludf.DUMMYFUNCTION("IFERROR(ArrayFormula(SUM(VLOOKUP($C64,importrange(""1PTkkEa_ENkSqsGnpqoXy9kt0Fe1hCtlmU6kVFBNaonY"",""ORDER BOOKING REPORT 2025-26!C:CV""),{37,44,51},0))))"),5942544.17)</f>
        <v>5942544.17</v>
      </c>
      <c r="BQ64" s="311">
        <f>IFERROR(__xludf.DUMMYFUNCTION("IFERROR(ArrayFormula(SUM(VLOOKUP($C64,importrange(""1PTkkEa_ENkSqsGnpqoXy9kt0Fe1hCtlmU6kVFBNaonY"",""ORDER BOOKING REPORT 2025-26!C:CV""),{58,65,72},0))))"),4740463.62)</f>
        <v>4740463.62</v>
      </c>
      <c r="BR64" s="311">
        <f>IFERROR(__xludf.DUMMYFUNCTION("IFERROR(ArrayFormula(SUM(VLOOKUP($C64,importrange(""1PTkkEa_ENkSqsGnpqoXy9kt0Fe1hCtlmU6kVFBNaonY"",""ORDER BOOKING REPORT 2025-26!C:CV""),{79,86,93},0))))"),6634685.59)</f>
        <v>6634685.59</v>
      </c>
      <c r="BS64" s="322">
        <f t="shared" si="15"/>
        <v>0.5182844068</v>
      </c>
      <c r="BT64" s="322">
        <f t="shared" si="16"/>
        <v>0.03792826267</v>
      </c>
      <c r="BU64" s="287">
        <f t="shared" si="17"/>
        <v>0</v>
      </c>
      <c r="BV64" s="320">
        <v>57990.0</v>
      </c>
      <c r="BW64" s="321" t="s">
        <v>489</v>
      </c>
      <c r="BX64" s="320">
        <v>932.0</v>
      </c>
      <c r="BY64" s="287">
        <f t="shared" si="18"/>
        <v>0</v>
      </c>
      <c r="BZ64" s="10"/>
      <c r="CA64" s="10"/>
      <c r="CB64" s="10"/>
      <c r="CC64" s="10"/>
      <c r="CD64" s="10"/>
      <c r="CE64" s="10"/>
      <c r="CF64" s="10"/>
      <c r="CG64" s="318" t="str">
        <f t="shared" si="21"/>
        <v> </v>
      </c>
      <c r="CH64" s="318" t="str">
        <f t="shared" si="28"/>
        <v>Not 50%</v>
      </c>
      <c r="CI64" s="322">
        <f t="shared" si="22"/>
        <v>0.247706422</v>
      </c>
      <c r="CJ64" s="323"/>
      <c r="CK64" s="323"/>
      <c r="CL64" s="323"/>
      <c r="CM64" s="324">
        <f t="shared" si="23"/>
        <v>384</v>
      </c>
      <c r="CN64" s="337"/>
      <c r="CO64" s="152"/>
      <c r="CP64" s="152"/>
      <c r="CQ64" s="327"/>
      <c r="CR64" s="152"/>
      <c r="CS64" s="152"/>
      <c r="CT64" s="152"/>
      <c r="CU64" s="152"/>
      <c r="CV64" s="152"/>
      <c r="CW64" s="327">
        <f t="shared" si="27"/>
        <v>0</v>
      </c>
      <c r="CX64" s="270"/>
      <c r="CY64" s="152"/>
      <c r="CZ64" s="152"/>
    </row>
    <row r="65" hidden="1">
      <c r="A65" s="307" t="s">
        <v>160</v>
      </c>
      <c r="B65" s="307" t="s">
        <v>534</v>
      </c>
      <c r="C65" s="307" t="s">
        <v>207</v>
      </c>
      <c r="D65" s="307" t="s">
        <v>577</v>
      </c>
      <c r="E65" s="307" t="s">
        <v>208</v>
      </c>
      <c r="F65" s="329">
        <v>45108.0</v>
      </c>
      <c r="G65" s="309">
        <v>0.0</v>
      </c>
      <c r="H65" s="309">
        <v>5000001.0</v>
      </c>
      <c r="I65" s="287">
        <v>2501514.0</v>
      </c>
      <c r="J65" s="287">
        <v>0.0</v>
      </c>
      <c r="K65" s="284">
        <v>77.0</v>
      </c>
      <c r="L65" s="284">
        <v>56.0</v>
      </c>
      <c r="M65" s="284">
        <v>1.0</v>
      </c>
      <c r="N65" s="284">
        <v>78.0</v>
      </c>
      <c r="O65" s="284">
        <v>22.0</v>
      </c>
      <c r="P65" s="287">
        <v>2268501.76</v>
      </c>
      <c r="Q65" s="287">
        <v>233012.0</v>
      </c>
      <c r="R65" s="284">
        <v>16.0</v>
      </c>
      <c r="S65" s="284">
        <v>1.0</v>
      </c>
      <c r="T65" s="284">
        <v>17.0</v>
      </c>
      <c r="U65" s="284">
        <v>0.0</v>
      </c>
      <c r="V65" s="284">
        <v>81.0</v>
      </c>
      <c r="W65" s="284">
        <v>155.0</v>
      </c>
      <c r="X65" s="284">
        <v>242.0</v>
      </c>
      <c r="Y65" s="284">
        <v>0.0</v>
      </c>
      <c r="Z65" s="284">
        <v>0.0</v>
      </c>
      <c r="AA65" s="284">
        <v>0.0</v>
      </c>
      <c r="AB65" s="284">
        <v>0.0</v>
      </c>
      <c r="AC65" s="284">
        <v>0.0</v>
      </c>
      <c r="AD65" s="284">
        <v>0.0</v>
      </c>
      <c r="AE65" s="284">
        <v>229.0</v>
      </c>
      <c r="AF65" s="284">
        <v>384.0</v>
      </c>
      <c r="AG65" s="284">
        <v>73.0</v>
      </c>
      <c r="AH65" s="309">
        <f t="shared" si="2"/>
        <v>34267.31507</v>
      </c>
      <c r="AI65" s="309">
        <f t="shared" si="3"/>
        <v>5.260273973</v>
      </c>
      <c r="AJ65" s="311">
        <v>27680.0</v>
      </c>
      <c r="AK65" s="309">
        <f t="shared" si="29"/>
        <v>83040</v>
      </c>
      <c r="AL65" s="312"/>
      <c r="AM65" s="313">
        <f t="shared" si="5"/>
        <v>0.03319589657</v>
      </c>
      <c r="AN65" s="309">
        <f t="shared" si="6"/>
        <v>147147.8824</v>
      </c>
      <c r="AO65" s="314">
        <f t="shared" si="7"/>
        <v>0.5003026999</v>
      </c>
      <c r="AP65" s="315">
        <v>0.0</v>
      </c>
      <c r="AQ65" s="284">
        <v>18.0</v>
      </c>
      <c r="AR65" s="284">
        <v>792.0</v>
      </c>
      <c r="AS65" s="284">
        <v>8549.07</v>
      </c>
      <c r="AT65" s="284">
        <v>1.0</v>
      </c>
      <c r="AU65" s="284">
        <v>153.0</v>
      </c>
      <c r="AV65" s="284">
        <v>17.0</v>
      </c>
      <c r="AW65" s="284">
        <v>43.0</v>
      </c>
      <c r="AX65" s="284">
        <v>18.0</v>
      </c>
      <c r="AY65" s="309">
        <v>1884786.0</v>
      </c>
      <c r="AZ65" s="316"/>
      <c r="BA65" s="307" t="str">
        <f t="shared" si="8"/>
        <v>Active</v>
      </c>
      <c r="BB65" s="307" t="str">
        <f t="shared" si="9"/>
        <v>Old</v>
      </c>
      <c r="BC65" s="307" t="str">
        <f t="shared" si="10"/>
        <v>50%-70%</v>
      </c>
      <c r="BD65" s="286">
        <f t="shared" si="32"/>
        <v>3</v>
      </c>
      <c r="BE65" s="328">
        <v>1666667.0</v>
      </c>
      <c r="BF65" s="284">
        <f t="shared" si="12"/>
        <v>0</v>
      </c>
      <c r="BG65" s="307" t="s">
        <v>488</v>
      </c>
      <c r="BH65" s="272">
        <f>IFERROR(__xludf.DUMMYFUNCTION("""COMPUTED_VALUE"""),1.3663733E7)</f>
        <v>13663733</v>
      </c>
      <c r="BI65" s="272">
        <f>IFERROR(__xludf.DUMMYFUNCTION("""COMPUTED_VALUE"""),1.4860333520000001E7)</f>
        <v>14860333.52</v>
      </c>
      <c r="BJ65" s="273"/>
      <c r="BK65" s="274"/>
      <c r="BL65" s="319">
        <f t="shared" si="13"/>
        <v>0</v>
      </c>
      <c r="BM65" s="319">
        <f t="shared" si="14"/>
        <v>5000001</v>
      </c>
      <c r="BN65" s="274"/>
      <c r="BO65" s="311">
        <f>IFERROR(__xludf.DUMMYFUNCTION("IFERROR(ArrayFormula(SUM(VLOOKUP($C65,importrange(""1PTkkEa_ENkSqsGnpqoXy9kt0Fe1hCtlmU6kVFBNaonY"",""ORDER BOOKING REPORT 2025-26!C:CV""),{16,23,30},0))))"),4345154.600000001)</f>
        <v>4345154.6</v>
      </c>
      <c r="BP65" s="311">
        <f>IFERROR(__xludf.DUMMYFUNCTION("IFERROR(ArrayFormula(SUM(VLOOKUP($C65,importrange(""1PTkkEa_ENkSqsGnpqoXy9kt0Fe1hCtlmU6kVFBNaonY"",""ORDER BOOKING REPORT 2025-26!C:CV""),{37,44,51},0))))"),3857277.0100000007)</f>
        <v>3857277.01</v>
      </c>
      <c r="BQ65" s="311">
        <f>IFERROR(__xludf.DUMMYFUNCTION("IFERROR(ArrayFormula(SUM(VLOOKUP($C65,importrange(""1PTkkEa_ENkSqsGnpqoXy9kt0Fe1hCtlmU6kVFBNaonY"",""ORDER BOOKING REPORT 2025-26!C:CV""),{58,65,72},0))))"),2538081.66)</f>
        <v>2538081.66</v>
      </c>
      <c r="BR65" s="311">
        <f>IFERROR(__xludf.DUMMYFUNCTION("IFERROR(ArrayFormula(SUM(VLOOKUP($C65,importrange(""1PTkkEa_ENkSqsGnpqoXy9kt0Fe1hCtlmU6kVFBNaonY"",""ORDER BOOKING REPORT 2025-26!C:CV""),{79,86,93},0))))"),4119820.25)</f>
        <v>4119820.25</v>
      </c>
      <c r="BS65" s="322">
        <f t="shared" si="15"/>
        <v>0.3769571246</v>
      </c>
      <c r="BT65" s="322">
        <f t="shared" si="16"/>
        <v>0.04405805221</v>
      </c>
      <c r="BU65" s="287">
        <f t="shared" si="17"/>
        <v>0</v>
      </c>
      <c r="BV65" s="320">
        <v>27680.0</v>
      </c>
      <c r="BW65" s="321" t="s">
        <v>526</v>
      </c>
      <c r="BX65" s="320">
        <v>949.0</v>
      </c>
      <c r="BY65" s="287">
        <f t="shared" si="18"/>
        <v>0</v>
      </c>
      <c r="BZ65" s="10"/>
      <c r="CA65" s="10"/>
      <c r="CB65" s="10"/>
      <c r="CC65" s="10"/>
      <c r="CD65" s="10"/>
      <c r="CE65" s="10"/>
      <c r="CF65" s="10"/>
      <c r="CG65" s="318" t="str">
        <f t="shared" si="21"/>
        <v> </v>
      </c>
      <c r="CH65" s="318" t="str">
        <f t="shared" si="28"/>
        <v>Not 50%</v>
      </c>
      <c r="CI65" s="322">
        <f t="shared" si="22"/>
        <v>0.2179487179</v>
      </c>
      <c r="CJ65" s="323"/>
      <c r="CK65" s="323"/>
      <c r="CL65" s="323"/>
      <c r="CM65" s="324">
        <f t="shared" si="23"/>
        <v>229</v>
      </c>
      <c r="CN65" s="325"/>
      <c r="CO65" s="6"/>
      <c r="CP65" s="6"/>
      <c r="CQ65" s="327"/>
      <c r="CR65" s="6"/>
      <c r="CS65" s="6"/>
      <c r="CT65" s="6"/>
      <c r="CU65" s="6"/>
      <c r="CV65" s="6"/>
      <c r="CW65" s="327">
        <f t="shared" si="27"/>
        <v>0</v>
      </c>
      <c r="CX65" s="270"/>
      <c r="CY65" s="6"/>
      <c r="CZ65" s="6"/>
    </row>
    <row r="66" hidden="1">
      <c r="A66" s="307" t="s">
        <v>160</v>
      </c>
      <c r="B66" s="307" t="s">
        <v>483</v>
      </c>
      <c r="C66" s="307" t="s">
        <v>209</v>
      </c>
      <c r="D66" s="307" t="s">
        <v>484</v>
      </c>
      <c r="E66" s="307" t="s">
        <v>210</v>
      </c>
      <c r="F66" s="329">
        <v>45108.0</v>
      </c>
      <c r="G66" s="309">
        <v>0.0</v>
      </c>
      <c r="H66" s="309">
        <v>1.35E7</v>
      </c>
      <c r="I66" s="287">
        <v>8749933.0</v>
      </c>
      <c r="J66" s="287">
        <v>0.0</v>
      </c>
      <c r="K66" s="284">
        <v>45.0</v>
      </c>
      <c r="L66" s="284">
        <v>41.0</v>
      </c>
      <c r="M66" s="284">
        <v>0.0</v>
      </c>
      <c r="N66" s="284">
        <v>45.0</v>
      </c>
      <c r="O66" s="284">
        <v>4.0</v>
      </c>
      <c r="P66" s="287">
        <v>8749932.79</v>
      </c>
      <c r="Q66" s="287">
        <v>0.0</v>
      </c>
      <c r="R66" s="284">
        <v>26.0</v>
      </c>
      <c r="S66" s="284">
        <v>0.0</v>
      </c>
      <c r="T66" s="284">
        <v>26.0</v>
      </c>
      <c r="U66" s="284">
        <v>0.0</v>
      </c>
      <c r="V66" s="284">
        <v>2.0</v>
      </c>
      <c r="W66" s="284">
        <v>3.0</v>
      </c>
      <c r="X66" s="284">
        <v>67.0</v>
      </c>
      <c r="Y66" s="284">
        <v>1.0</v>
      </c>
      <c r="Z66" s="284">
        <v>9.0</v>
      </c>
      <c r="AA66" s="284">
        <v>0.0</v>
      </c>
      <c r="AB66" s="284">
        <v>0.0</v>
      </c>
      <c r="AC66" s="284">
        <v>0.0</v>
      </c>
      <c r="AD66" s="284">
        <v>0.0</v>
      </c>
      <c r="AE66" s="284">
        <v>339.0</v>
      </c>
      <c r="AF66" s="284">
        <v>351.0</v>
      </c>
      <c r="AG66" s="284">
        <v>75.0</v>
      </c>
      <c r="AH66" s="309">
        <f t="shared" si="2"/>
        <v>116665.7733</v>
      </c>
      <c r="AI66" s="309">
        <f t="shared" si="3"/>
        <v>4.68</v>
      </c>
      <c r="AJ66" s="311">
        <v>20520.0</v>
      </c>
      <c r="AK66" s="309">
        <f t="shared" si="29"/>
        <v>61560</v>
      </c>
      <c r="AL66" s="312"/>
      <c r="AM66" s="313">
        <f t="shared" si="5"/>
        <v>0.007035482443</v>
      </c>
      <c r="AN66" s="309">
        <f t="shared" si="6"/>
        <v>336535.8846</v>
      </c>
      <c r="AO66" s="314">
        <f t="shared" si="7"/>
        <v>0.6481431852</v>
      </c>
      <c r="AP66" s="315">
        <v>0.0</v>
      </c>
      <c r="AQ66" s="284">
        <v>41.0</v>
      </c>
      <c r="AR66" s="284">
        <v>748.0</v>
      </c>
      <c r="AS66" s="284">
        <v>2678.3</v>
      </c>
      <c r="AT66" s="284">
        <v>0.0</v>
      </c>
      <c r="AU66" s="284">
        <v>65.0</v>
      </c>
      <c r="AV66" s="284">
        <v>26.0</v>
      </c>
      <c r="AW66" s="284">
        <v>17.0</v>
      </c>
      <c r="AX66" s="284">
        <v>2.0</v>
      </c>
      <c r="AY66" s="309">
        <v>8723855.0</v>
      </c>
      <c r="AZ66" s="316"/>
      <c r="BA66" s="307" t="str">
        <f t="shared" si="8"/>
        <v>Active</v>
      </c>
      <c r="BB66" s="307" t="str">
        <f t="shared" si="9"/>
        <v>Old</v>
      </c>
      <c r="BC66" s="307" t="str">
        <f t="shared" si="10"/>
        <v>50%-70%</v>
      </c>
      <c r="BD66" s="286">
        <f t="shared" si="32"/>
        <v>3</v>
      </c>
      <c r="BE66" s="328">
        <v>4500000.0</v>
      </c>
      <c r="BF66" s="284">
        <f t="shared" si="12"/>
        <v>0</v>
      </c>
      <c r="BG66" s="307" t="s">
        <v>488</v>
      </c>
      <c r="BH66" s="272">
        <f>IFERROR(__xludf.DUMMYFUNCTION("""COMPUTED_VALUE"""),4.0273718E7)</f>
        <v>40273718</v>
      </c>
      <c r="BI66" s="272">
        <f>IFERROR(__xludf.DUMMYFUNCTION("""COMPUTED_VALUE"""),4.2261963629999995E7)</f>
        <v>42261963.63</v>
      </c>
      <c r="BJ66" s="273"/>
      <c r="BK66" s="274"/>
      <c r="BL66" s="319">
        <f t="shared" si="13"/>
        <v>0</v>
      </c>
      <c r="BM66" s="319">
        <f t="shared" si="14"/>
        <v>13500000</v>
      </c>
      <c r="BN66" s="274"/>
      <c r="BO66" s="311">
        <f>IFERROR(__xludf.DUMMYFUNCTION("IFERROR(ArrayFormula(SUM(VLOOKUP($C66,importrange(""1PTkkEa_ENkSqsGnpqoXy9kt0Fe1hCtlmU6kVFBNaonY"",""ORDER BOOKING REPORT 2025-26!C:CV""),{16,23,30},0))))"),8376578.999999999)</f>
        <v>8376579</v>
      </c>
      <c r="BP66" s="311">
        <f>IFERROR(__xludf.DUMMYFUNCTION("IFERROR(ArrayFormula(SUM(VLOOKUP($C66,importrange(""1PTkkEa_ENkSqsGnpqoXy9kt0Fe1hCtlmU6kVFBNaonY"",""ORDER BOOKING REPORT 2025-26!C:CV""),{37,44,51},0))))"),1.0657691549999999E7)</f>
        <v>10657691.55</v>
      </c>
      <c r="BQ66" s="311">
        <f>IFERROR(__xludf.DUMMYFUNCTION("IFERROR(ArrayFormula(SUM(VLOOKUP($C66,importrange(""1PTkkEa_ENkSqsGnpqoXy9kt0Fe1hCtlmU6kVFBNaonY"",""ORDER BOOKING REPORT 2025-26!C:CV""),{58,65,72},0))))"),9159061.370000001)</f>
        <v>9159061.37</v>
      </c>
      <c r="BR66" s="311">
        <f>IFERROR(__xludf.DUMMYFUNCTION("IFERROR(ArrayFormula(SUM(VLOOKUP($C66,importrange(""1PTkkEa_ENkSqsGnpqoXy9kt0Fe1hCtlmU6kVFBNaonY"",""ORDER BOOKING REPORT 2025-26!C:CV""),{79,86,93},0))))"),1.406863171E7)</f>
        <v>14068631.71</v>
      </c>
      <c r="BS66" s="322">
        <f t="shared" si="15"/>
        <v>0.6462114815</v>
      </c>
      <c r="BT66" s="322">
        <f t="shared" si="16"/>
        <v>0.007056513434</v>
      </c>
      <c r="BU66" s="287">
        <f t="shared" si="17"/>
        <v>0</v>
      </c>
      <c r="BV66" s="320">
        <v>20520.0</v>
      </c>
      <c r="BW66" s="321" t="s">
        <v>526</v>
      </c>
      <c r="BX66" s="320">
        <v>948.0</v>
      </c>
      <c r="BY66" s="287">
        <f t="shared" si="18"/>
        <v>0</v>
      </c>
      <c r="BZ66" s="10"/>
      <c r="CA66" s="10"/>
      <c r="CB66" s="10"/>
      <c r="CC66" s="10"/>
      <c r="CD66" s="10"/>
      <c r="CE66" s="10"/>
      <c r="CF66" s="10"/>
      <c r="CG66" s="318" t="str">
        <f t="shared" si="21"/>
        <v>Below 60</v>
      </c>
      <c r="CH66" s="318" t="str">
        <f t="shared" si="28"/>
        <v>Business Achieved 50%</v>
      </c>
      <c r="CI66" s="322">
        <f t="shared" si="22"/>
        <v>0.5777777778</v>
      </c>
      <c r="CJ66" s="323"/>
      <c r="CK66" s="323"/>
      <c r="CL66" s="323"/>
      <c r="CM66" s="324">
        <f t="shared" si="23"/>
        <v>339</v>
      </c>
      <c r="CN66" s="325"/>
      <c r="CO66" s="6"/>
      <c r="CP66" s="6"/>
      <c r="CQ66" s="327"/>
      <c r="CR66" s="6"/>
      <c r="CS66" s="6"/>
      <c r="CT66" s="6"/>
      <c r="CU66" s="6"/>
      <c r="CV66" s="6"/>
      <c r="CW66" s="327">
        <f t="shared" si="27"/>
        <v>0</v>
      </c>
      <c r="CX66" s="270"/>
      <c r="CY66" s="6"/>
      <c r="CZ66" s="6"/>
    </row>
    <row r="67" hidden="1">
      <c r="A67" s="307" t="s">
        <v>160</v>
      </c>
      <c r="B67" s="307" t="s">
        <v>483</v>
      </c>
      <c r="C67" s="307" t="s">
        <v>211</v>
      </c>
      <c r="D67" s="307" t="s">
        <v>484</v>
      </c>
      <c r="E67" s="307" t="s">
        <v>164</v>
      </c>
      <c r="F67" s="308">
        <v>45117.0</v>
      </c>
      <c r="G67" s="309">
        <v>0.0</v>
      </c>
      <c r="H67" s="309">
        <v>9999999.0</v>
      </c>
      <c r="I67" s="287">
        <v>6446412.0</v>
      </c>
      <c r="J67" s="287">
        <v>0.0</v>
      </c>
      <c r="K67" s="284">
        <v>59.0</v>
      </c>
      <c r="L67" s="284">
        <v>61.0</v>
      </c>
      <c r="M67" s="284">
        <v>8.0</v>
      </c>
      <c r="N67" s="284">
        <v>67.0</v>
      </c>
      <c r="O67" s="284">
        <v>6.0</v>
      </c>
      <c r="P67" s="287">
        <v>5149309.49</v>
      </c>
      <c r="Q67" s="287">
        <v>1297102.72</v>
      </c>
      <c r="R67" s="284">
        <v>34.0</v>
      </c>
      <c r="S67" s="284">
        <v>8.0</v>
      </c>
      <c r="T67" s="284">
        <v>42.0</v>
      </c>
      <c r="U67" s="284">
        <v>0.0</v>
      </c>
      <c r="V67" s="284">
        <v>12.0</v>
      </c>
      <c r="W67" s="284">
        <v>18.0</v>
      </c>
      <c r="X67" s="284">
        <v>63.0</v>
      </c>
      <c r="Y67" s="284">
        <v>1.0</v>
      </c>
      <c r="Z67" s="284">
        <v>18.0</v>
      </c>
      <c r="AA67" s="284">
        <v>0.0</v>
      </c>
      <c r="AB67" s="284">
        <v>0.0</v>
      </c>
      <c r="AC67" s="284">
        <v>0.0</v>
      </c>
      <c r="AD67" s="284">
        <v>0.0</v>
      </c>
      <c r="AE67" s="284">
        <v>319.0</v>
      </c>
      <c r="AF67" s="284">
        <v>355.0</v>
      </c>
      <c r="AG67" s="284">
        <v>75.0</v>
      </c>
      <c r="AH67" s="309">
        <f t="shared" si="2"/>
        <v>85952.16</v>
      </c>
      <c r="AI67" s="309">
        <f t="shared" si="3"/>
        <v>4.733333333</v>
      </c>
      <c r="AJ67" s="311">
        <v>24356.0</v>
      </c>
      <c r="AK67" s="309">
        <f t="shared" si="29"/>
        <v>73068</v>
      </c>
      <c r="AL67" s="312"/>
      <c r="AM67" s="313">
        <f t="shared" si="5"/>
        <v>0.01133467734</v>
      </c>
      <c r="AN67" s="309">
        <f t="shared" si="6"/>
        <v>153486</v>
      </c>
      <c r="AO67" s="314">
        <f t="shared" si="7"/>
        <v>0.6446412645</v>
      </c>
      <c r="AP67" s="315">
        <v>0.0</v>
      </c>
      <c r="AQ67" s="284">
        <v>133.0</v>
      </c>
      <c r="AR67" s="284">
        <v>857.0</v>
      </c>
      <c r="AS67" s="284">
        <v>7533.78</v>
      </c>
      <c r="AT67" s="284">
        <v>8.0</v>
      </c>
      <c r="AU67" s="284">
        <v>124.0</v>
      </c>
      <c r="AV67" s="284">
        <v>42.0</v>
      </c>
      <c r="AW67" s="284">
        <v>19.0</v>
      </c>
      <c r="AX67" s="284">
        <v>6.0</v>
      </c>
      <c r="AY67" s="309">
        <v>2642385.0</v>
      </c>
      <c r="AZ67" s="316"/>
      <c r="BA67" s="307" t="str">
        <f t="shared" si="8"/>
        <v>Active</v>
      </c>
      <c r="BB67" s="307" t="str">
        <f t="shared" si="9"/>
        <v>Old</v>
      </c>
      <c r="BC67" s="307" t="str">
        <f t="shared" si="10"/>
        <v>50%-70%</v>
      </c>
      <c r="BD67" s="286">
        <f t="shared" si="32"/>
        <v>3</v>
      </c>
      <c r="BE67" s="328">
        <v>3333333.0</v>
      </c>
      <c r="BF67" s="284">
        <f t="shared" si="12"/>
        <v>0</v>
      </c>
      <c r="BG67" s="307" t="s">
        <v>488</v>
      </c>
      <c r="BH67" s="272">
        <f>IFERROR(__xludf.DUMMYFUNCTION("""COMPUTED_VALUE"""),1.3714965E7)</f>
        <v>13714965</v>
      </c>
      <c r="BI67" s="272">
        <f>IFERROR(__xludf.DUMMYFUNCTION("""COMPUTED_VALUE"""),1.59559512215625E7)</f>
        <v>15955951.22</v>
      </c>
      <c r="BJ67" s="273"/>
      <c r="BK67" s="274"/>
      <c r="BL67" s="319">
        <f t="shared" si="13"/>
        <v>0</v>
      </c>
      <c r="BM67" s="319">
        <f t="shared" si="14"/>
        <v>9999999</v>
      </c>
      <c r="BN67" s="274"/>
      <c r="BO67" s="311">
        <f>IFERROR(__xludf.DUMMYFUNCTION("IFERROR(ArrayFormula(SUM(VLOOKUP($C67,importrange(""1PTkkEa_ENkSqsGnpqoXy9kt0Fe1hCtlmU6kVFBNaonY"",""ORDER BOOKING REPORT 2025-26!C:CV""),{16,23,30},0))))"),2583041.9715625)</f>
        <v>2583041.972</v>
      </c>
      <c r="BP67" s="311">
        <f>IFERROR(__xludf.DUMMYFUNCTION("IFERROR(ArrayFormula(SUM(VLOOKUP($C67,importrange(""1PTkkEa_ENkSqsGnpqoXy9kt0Fe1hCtlmU6kVFBNaonY"",""ORDER BOOKING REPORT 2025-26!C:CV""),{37,44,51},0))))"),3736888.0500000007)</f>
        <v>3736888.05</v>
      </c>
      <c r="BQ67" s="311">
        <f>IFERROR(__xludf.DUMMYFUNCTION("IFERROR(ArrayFormula(SUM(VLOOKUP($C67,importrange(""1PTkkEa_ENkSqsGnpqoXy9kt0Fe1hCtlmU6kVFBNaonY"",""ORDER BOOKING REPORT 2025-26!C:CV""),{58,65,72},0))))"),4002381.3099999996)</f>
        <v>4002381.31</v>
      </c>
      <c r="BR67" s="311">
        <f>IFERROR(__xludf.DUMMYFUNCTION("IFERROR(ArrayFormula(SUM(VLOOKUP($C67,importrange(""1PTkkEa_ENkSqsGnpqoXy9kt0Fe1hCtlmU6kVFBNaonY"",""ORDER BOOKING REPORT 2025-26!C:CV""),{79,86,93},0))))"),5633639.890000001)</f>
        <v>5633639.89</v>
      </c>
      <c r="BS67" s="322">
        <f t="shared" si="15"/>
        <v>0.2642385264</v>
      </c>
      <c r="BT67" s="322">
        <f t="shared" si="16"/>
        <v>0.0276522914</v>
      </c>
      <c r="BU67" s="287">
        <f t="shared" si="17"/>
        <v>0</v>
      </c>
      <c r="BV67" s="320">
        <v>24356.0</v>
      </c>
      <c r="BW67" s="321" t="s">
        <v>526</v>
      </c>
      <c r="BX67" s="320">
        <v>957.0</v>
      </c>
      <c r="BY67" s="287">
        <f t="shared" si="18"/>
        <v>0</v>
      </c>
      <c r="BZ67" s="10"/>
      <c r="CA67" s="10"/>
      <c r="CB67" s="10"/>
      <c r="CC67" s="10"/>
      <c r="CD67" s="10"/>
      <c r="CE67" s="10"/>
      <c r="CF67" s="10"/>
      <c r="CG67" s="318" t="str">
        <f t="shared" si="21"/>
        <v> </v>
      </c>
      <c r="CH67" s="318" t="str">
        <f t="shared" si="28"/>
        <v>Business Achieved 50%</v>
      </c>
      <c r="CI67" s="322">
        <f t="shared" si="22"/>
        <v>0.6268656716</v>
      </c>
      <c r="CJ67" s="323"/>
      <c r="CK67" s="323"/>
      <c r="CL67" s="323"/>
      <c r="CM67" s="324">
        <f t="shared" si="23"/>
        <v>319</v>
      </c>
      <c r="CN67" s="325"/>
      <c r="CO67" s="6"/>
      <c r="CP67" s="6"/>
      <c r="CQ67" s="327"/>
      <c r="CR67" s="6"/>
      <c r="CS67" s="6"/>
      <c r="CT67" s="6"/>
      <c r="CU67" s="6"/>
      <c r="CV67" s="6"/>
      <c r="CW67" s="327">
        <f t="shared" si="27"/>
        <v>0</v>
      </c>
      <c r="CX67" s="270"/>
      <c r="CY67" s="6"/>
      <c r="CZ67" s="6"/>
    </row>
    <row r="68" hidden="1">
      <c r="A68" s="307" t="s">
        <v>103</v>
      </c>
      <c r="B68" s="307" t="s">
        <v>492</v>
      </c>
      <c r="C68" s="307" t="s">
        <v>127</v>
      </c>
      <c r="D68" s="307" t="s">
        <v>492</v>
      </c>
      <c r="E68" s="307" t="s">
        <v>128</v>
      </c>
      <c r="F68" s="308">
        <v>45121.0</v>
      </c>
      <c r="G68" s="309">
        <v>0.0</v>
      </c>
      <c r="H68" s="309">
        <v>7950000.0</v>
      </c>
      <c r="I68" s="287">
        <v>5102856.0</v>
      </c>
      <c r="J68" s="287">
        <v>0.0</v>
      </c>
      <c r="K68" s="284">
        <v>67.0</v>
      </c>
      <c r="L68" s="284">
        <v>60.0</v>
      </c>
      <c r="M68" s="284">
        <v>1.0</v>
      </c>
      <c r="N68" s="284">
        <v>68.0</v>
      </c>
      <c r="O68" s="284">
        <v>8.0</v>
      </c>
      <c r="P68" s="287">
        <v>4890381.94</v>
      </c>
      <c r="Q68" s="287">
        <v>212473.68</v>
      </c>
      <c r="R68" s="284">
        <v>31.0</v>
      </c>
      <c r="S68" s="284">
        <v>1.0</v>
      </c>
      <c r="T68" s="284">
        <v>32.0</v>
      </c>
      <c r="U68" s="284">
        <v>0.0</v>
      </c>
      <c r="V68" s="284">
        <v>18.0</v>
      </c>
      <c r="W68" s="284">
        <v>22.0</v>
      </c>
      <c r="X68" s="284">
        <v>89.0</v>
      </c>
      <c r="Y68" s="284">
        <v>2.0</v>
      </c>
      <c r="Z68" s="284">
        <v>6.0</v>
      </c>
      <c r="AA68" s="284">
        <v>0.0</v>
      </c>
      <c r="AB68" s="284">
        <v>0.0</v>
      </c>
      <c r="AC68" s="284">
        <v>3.0</v>
      </c>
      <c r="AD68" s="284">
        <v>3.0</v>
      </c>
      <c r="AE68" s="284">
        <v>235.0</v>
      </c>
      <c r="AF68" s="284">
        <v>266.0</v>
      </c>
      <c r="AG68" s="284">
        <v>66.0</v>
      </c>
      <c r="AH68" s="309">
        <f t="shared" si="2"/>
        <v>77316</v>
      </c>
      <c r="AI68" s="309">
        <f t="shared" si="3"/>
        <v>4.03030303</v>
      </c>
      <c r="AJ68" s="311">
        <v>27784.0</v>
      </c>
      <c r="AK68" s="309">
        <f t="shared" si="29"/>
        <v>83352</v>
      </c>
      <c r="AL68" s="286"/>
      <c r="AM68" s="313">
        <f t="shared" si="5"/>
        <v>0.01633438216</v>
      </c>
      <c r="AN68" s="309">
        <f t="shared" si="6"/>
        <v>159464.25</v>
      </c>
      <c r="AO68" s="314">
        <f t="shared" si="7"/>
        <v>0.6418686792</v>
      </c>
      <c r="AP68" s="315">
        <v>0.0</v>
      </c>
      <c r="AQ68" s="284">
        <v>44.0</v>
      </c>
      <c r="AR68" s="284">
        <v>671.0</v>
      </c>
      <c r="AS68" s="284">
        <v>4173.66</v>
      </c>
      <c r="AT68" s="284">
        <v>1.0</v>
      </c>
      <c r="AU68" s="284">
        <v>70.0</v>
      </c>
      <c r="AV68" s="284">
        <v>32.0</v>
      </c>
      <c r="AW68" s="284">
        <v>28.0</v>
      </c>
      <c r="AX68" s="284">
        <v>8.0</v>
      </c>
      <c r="AY68" s="309">
        <v>2394258.0</v>
      </c>
      <c r="AZ68" s="316"/>
      <c r="BA68" s="307" t="str">
        <f t="shared" si="8"/>
        <v>Active</v>
      </c>
      <c r="BB68" s="307" t="str">
        <f t="shared" si="9"/>
        <v>Old</v>
      </c>
      <c r="BC68" s="307" t="str">
        <f t="shared" si="10"/>
        <v>50%-70%</v>
      </c>
      <c r="BD68" s="286">
        <f t="shared" si="32"/>
        <v>3</v>
      </c>
      <c r="BE68" s="328">
        <v>2650000.0</v>
      </c>
      <c r="BF68" s="284">
        <f t="shared" si="12"/>
        <v>0</v>
      </c>
      <c r="BG68" s="307" t="s">
        <v>488</v>
      </c>
      <c r="BH68" s="272">
        <f>IFERROR(__xludf.DUMMYFUNCTION("""COMPUTED_VALUE"""),2.4919599E7)</f>
        <v>24919599</v>
      </c>
      <c r="BI68" s="272">
        <f>IFERROR(__xludf.DUMMYFUNCTION("""COMPUTED_VALUE"""),2.744880992E7)</f>
        <v>27448809.92</v>
      </c>
      <c r="BJ68" s="273"/>
      <c r="BK68" s="274"/>
      <c r="BL68" s="319">
        <f t="shared" si="13"/>
        <v>0</v>
      </c>
      <c r="BM68" s="319">
        <f t="shared" si="14"/>
        <v>7950000</v>
      </c>
      <c r="BN68" s="274"/>
      <c r="BO68" s="311">
        <f>IFERROR(__xludf.DUMMYFUNCTION("IFERROR(ArrayFormula(SUM(VLOOKUP($C68,importrange(""1PTkkEa_ENkSqsGnpqoXy9kt0Fe1hCtlmU6kVFBNaonY"",""ORDER BOOKING REPORT 2025-26!C:CV""),{16,23,30},0))))"),6463041.4)</f>
        <v>6463041.4</v>
      </c>
      <c r="BP68" s="311">
        <f>IFERROR(__xludf.DUMMYFUNCTION("IFERROR(ArrayFormula(SUM(VLOOKUP($C68,importrange(""1PTkkEa_ENkSqsGnpqoXy9kt0Fe1hCtlmU6kVFBNaonY"",""ORDER BOOKING REPORT 2025-26!C:CV""),{37,44,51},0))))"),7068309.57)</f>
        <v>7068309.57</v>
      </c>
      <c r="BQ68" s="311">
        <f>IFERROR(__xludf.DUMMYFUNCTION("IFERROR(ArrayFormula(SUM(VLOOKUP($C68,importrange(""1PTkkEa_ENkSqsGnpqoXy9kt0Fe1hCtlmU6kVFBNaonY"",""ORDER BOOKING REPORT 2025-26!C:CV""),{58,65,72},0))))"),6696473.39)</f>
        <v>6696473.39</v>
      </c>
      <c r="BR68" s="311">
        <f>IFERROR(__xludf.DUMMYFUNCTION("IFERROR(ArrayFormula(SUM(VLOOKUP($C68,importrange(""1PTkkEa_ENkSqsGnpqoXy9kt0Fe1hCtlmU6kVFBNaonY"",""ORDER BOOKING REPORT 2025-26!C:CV""),{79,86,93},0))))"),7220985.5600000005)</f>
        <v>7220985.56</v>
      </c>
      <c r="BS68" s="322">
        <f t="shared" si="15"/>
        <v>0.3011645283</v>
      </c>
      <c r="BT68" s="322">
        <f t="shared" si="16"/>
        <v>0.0348132908</v>
      </c>
      <c r="BU68" s="287">
        <f t="shared" si="17"/>
        <v>0</v>
      </c>
      <c r="BV68" s="320">
        <v>27784.0</v>
      </c>
      <c r="BW68" s="321" t="s">
        <v>502</v>
      </c>
      <c r="BX68" s="320">
        <v>956.0</v>
      </c>
      <c r="BY68" s="287">
        <f t="shared" si="18"/>
        <v>0</v>
      </c>
      <c r="BZ68" s="10"/>
      <c r="CA68" s="10"/>
      <c r="CB68" s="10"/>
      <c r="CC68" s="10"/>
      <c r="CD68" s="10"/>
      <c r="CE68" s="10"/>
      <c r="CF68" s="10"/>
      <c r="CG68" s="318" t="str">
        <f t="shared" si="21"/>
        <v> </v>
      </c>
      <c r="CH68" s="318" t="str">
        <f t="shared" si="28"/>
        <v>Not 50%</v>
      </c>
      <c r="CI68" s="322">
        <f t="shared" si="22"/>
        <v>0.4705882353</v>
      </c>
      <c r="CJ68" s="323"/>
      <c r="CK68" s="323"/>
      <c r="CL68" s="323"/>
      <c r="CM68" s="324">
        <f t="shared" si="23"/>
        <v>235</v>
      </c>
      <c r="CN68" s="337"/>
      <c r="CO68" s="152"/>
      <c r="CP68" s="152"/>
      <c r="CQ68" s="327"/>
      <c r="CR68" s="152"/>
      <c r="CS68" s="152"/>
      <c r="CT68" s="152"/>
      <c r="CU68" s="152"/>
      <c r="CV68" s="152"/>
      <c r="CW68" s="327">
        <f t="shared" si="27"/>
        <v>0</v>
      </c>
      <c r="CX68" s="270"/>
      <c r="CY68" s="152"/>
      <c r="CZ68" s="152"/>
    </row>
    <row r="69" hidden="1">
      <c r="A69" s="307" t="s">
        <v>103</v>
      </c>
      <c r="B69" s="307" t="s">
        <v>492</v>
      </c>
      <c r="C69" s="307" t="s">
        <v>129</v>
      </c>
      <c r="D69" s="307" t="s">
        <v>492</v>
      </c>
      <c r="E69" s="307" t="s">
        <v>130</v>
      </c>
      <c r="F69" s="308">
        <v>45122.0</v>
      </c>
      <c r="G69" s="309">
        <v>0.0</v>
      </c>
      <c r="H69" s="309">
        <v>6396252.0</v>
      </c>
      <c r="I69" s="287">
        <v>3484991.0</v>
      </c>
      <c r="J69" s="287">
        <v>0.0</v>
      </c>
      <c r="K69" s="284">
        <v>61.0</v>
      </c>
      <c r="L69" s="284">
        <v>48.0</v>
      </c>
      <c r="M69" s="284">
        <v>1.0</v>
      </c>
      <c r="N69" s="284">
        <v>62.0</v>
      </c>
      <c r="O69" s="284">
        <v>14.0</v>
      </c>
      <c r="P69" s="287">
        <v>3350940.07</v>
      </c>
      <c r="Q69" s="287">
        <v>134050.5</v>
      </c>
      <c r="R69" s="284">
        <v>29.0</v>
      </c>
      <c r="S69" s="284">
        <v>1.0</v>
      </c>
      <c r="T69" s="284">
        <v>30.0</v>
      </c>
      <c r="U69" s="284">
        <v>0.0</v>
      </c>
      <c r="V69" s="284">
        <v>97.0</v>
      </c>
      <c r="W69" s="284">
        <v>143.0</v>
      </c>
      <c r="X69" s="284">
        <v>316.0</v>
      </c>
      <c r="Y69" s="284">
        <v>1.0</v>
      </c>
      <c r="Z69" s="284">
        <v>20.0</v>
      </c>
      <c r="AA69" s="284">
        <v>0.0</v>
      </c>
      <c r="AB69" s="284">
        <v>0.0</v>
      </c>
      <c r="AC69" s="284">
        <v>0.0</v>
      </c>
      <c r="AD69" s="284">
        <v>0.0</v>
      </c>
      <c r="AE69" s="284">
        <v>313.0</v>
      </c>
      <c r="AF69" s="284">
        <v>476.0</v>
      </c>
      <c r="AG69" s="284">
        <v>71.0</v>
      </c>
      <c r="AH69" s="309">
        <f t="shared" si="2"/>
        <v>49084.38028</v>
      </c>
      <c r="AI69" s="309">
        <f t="shared" si="3"/>
        <v>6.704225352</v>
      </c>
      <c r="AJ69" s="311">
        <v>24182.0</v>
      </c>
      <c r="AK69" s="309">
        <f t="shared" si="29"/>
        <v>72546</v>
      </c>
      <c r="AL69" s="286"/>
      <c r="AM69" s="313">
        <f t="shared" si="5"/>
        <v>0.02081669651</v>
      </c>
      <c r="AN69" s="309">
        <f t="shared" si="6"/>
        <v>116166.3667</v>
      </c>
      <c r="AO69" s="314">
        <f t="shared" si="7"/>
        <v>0.5448489209</v>
      </c>
      <c r="AP69" s="315">
        <v>0.0</v>
      </c>
      <c r="AQ69" s="284">
        <v>77.0</v>
      </c>
      <c r="AR69" s="284">
        <v>497.0</v>
      </c>
      <c r="AS69" s="284">
        <v>4575.87</v>
      </c>
      <c r="AT69" s="284">
        <v>1.0</v>
      </c>
      <c r="AU69" s="284">
        <v>95.0</v>
      </c>
      <c r="AV69" s="284">
        <v>30.0</v>
      </c>
      <c r="AW69" s="284">
        <v>19.0</v>
      </c>
      <c r="AX69" s="284">
        <v>13.0</v>
      </c>
      <c r="AY69" s="309">
        <v>2268222.0</v>
      </c>
      <c r="AZ69" s="316"/>
      <c r="BA69" s="307" t="str">
        <f t="shared" si="8"/>
        <v>Active</v>
      </c>
      <c r="BB69" s="307" t="str">
        <f t="shared" si="9"/>
        <v>Old</v>
      </c>
      <c r="BC69" s="307" t="str">
        <f t="shared" si="10"/>
        <v>50%-70%</v>
      </c>
      <c r="BD69" s="286">
        <f t="shared" si="32"/>
        <v>3</v>
      </c>
      <c r="BE69" s="328">
        <v>2132084.0</v>
      </c>
      <c r="BF69" s="284">
        <f t="shared" si="12"/>
        <v>0</v>
      </c>
      <c r="BG69" s="307" t="s">
        <v>488</v>
      </c>
      <c r="BH69" s="272">
        <f>IFERROR(__xludf.DUMMYFUNCTION("""COMPUTED_VALUE"""),1.2643909E7)</f>
        <v>12643909</v>
      </c>
      <c r="BI69" s="272">
        <f>IFERROR(__xludf.DUMMYFUNCTION("""COMPUTED_VALUE"""),1.283454146E7)</f>
        <v>12834541.46</v>
      </c>
      <c r="BJ69" s="273"/>
      <c r="BK69" s="274"/>
      <c r="BL69" s="319">
        <f t="shared" si="13"/>
        <v>0</v>
      </c>
      <c r="BM69" s="319">
        <f t="shared" si="14"/>
        <v>6396252</v>
      </c>
      <c r="BN69" s="274"/>
      <c r="BO69" s="311">
        <f>IFERROR(__xludf.DUMMYFUNCTION("IFERROR(ArrayFormula(SUM(VLOOKUP($C69,importrange(""1PTkkEa_ENkSqsGnpqoXy9kt0Fe1hCtlmU6kVFBNaonY"",""ORDER BOOKING REPORT 2025-26!C:CV""),{16,23,30},0))))"),3072306.9899999998)</f>
        <v>3072306.99</v>
      </c>
      <c r="BP69" s="311">
        <f>IFERROR(__xludf.DUMMYFUNCTION("IFERROR(ArrayFormula(SUM(VLOOKUP($C69,importrange(""1PTkkEa_ENkSqsGnpqoXy9kt0Fe1hCtlmU6kVFBNaonY"",""ORDER BOOKING REPORT 2025-26!C:CV""),{37,44,51},0))))"),3052411.2199999997)</f>
        <v>3052411.22</v>
      </c>
      <c r="BQ69" s="311">
        <f>IFERROR(__xludf.DUMMYFUNCTION("IFERROR(ArrayFormula(SUM(VLOOKUP($C69,importrange(""1PTkkEa_ENkSqsGnpqoXy9kt0Fe1hCtlmU6kVFBNaonY"",""ORDER BOOKING REPORT 2025-26!C:CV""),{58,65,72},0))))"),3059636.9699999997)</f>
        <v>3059636.97</v>
      </c>
      <c r="BR69" s="311">
        <f>IFERROR(__xludf.DUMMYFUNCTION("IFERROR(ArrayFormula(SUM(VLOOKUP($C69,importrange(""1PTkkEa_ENkSqsGnpqoXy9kt0Fe1hCtlmU6kVFBNaonY"",""ORDER BOOKING REPORT 2025-26!C:CV""),{79,86,93},0))))"),3650186.2800000003)</f>
        <v>3650186.28</v>
      </c>
      <c r="BS69" s="322">
        <f t="shared" si="15"/>
        <v>0.3546173603</v>
      </c>
      <c r="BT69" s="322">
        <f t="shared" si="16"/>
        <v>0.03198364181</v>
      </c>
      <c r="BU69" s="287">
        <f t="shared" si="17"/>
        <v>0</v>
      </c>
      <c r="BV69" s="320">
        <v>24182.0</v>
      </c>
      <c r="BW69" s="321" t="s">
        <v>526</v>
      </c>
      <c r="BX69" s="320">
        <v>965.0</v>
      </c>
      <c r="BY69" s="287">
        <f t="shared" si="18"/>
        <v>0</v>
      </c>
      <c r="BZ69" s="10"/>
      <c r="CA69" s="10"/>
      <c r="CB69" s="10"/>
      <c r="CC69" s="10"/>
      <c r="CD69" s="10"/>
      <c r="CE69" s="10"/>
      <c r="CF69" s="10"/>
      <c r="CG69" s="318" t="str">
        <f t="shared" si="21"/>
        <v> </v>
      </c>
      <c r="CH69" s="318" t="str">
        <f t="shared" si="28"/>
        <v>Not 50%</v>
      </c>
      <c r="CI69" s="322">
        <f t="shared" si="22"/>
        <v>0.4838709677</v>
      </c>
      <c r="CJ69" s="323"/>
      <c r="CK69" s="323"/>
      <c r="CL69" s="323"/>
      <c r="CM69" s="324">
        <f t="shared" si="23"/>
        <v>313</v>
      </c>
      <c r="CN69" s="337"/>
      <c r="CO69" s="152"/>
      <c r="CP69" s="152"/>
      <c r="CQ69" s="327"/>
      <c r="CR69" s="152"/>
      <c r="CS69" s="152"/>
      <c r="CT69" s="152"/>
      <c r="CU69" s="152"/>
      <c r="CV69" s="152"/>
      <c r="CW69" s="327">
        <f t="shared" si="27"/>
        <v>0</v>
      </c>
      <c r="CX69" s="270"/>
      <c r="CY69" s="152"/>
      <c r="CZ69" s="152"/>
    </row>
    <row r="70" hidden="1">
      <c r="A70" s="307" t="s">
        <v>103</v>
      </c>
      <c r="B70" s="307" t="s">
        <v>533</v>
      </c>
      <c r="C70" s="307" t="s">
        <v>131</v>
      </c>
      <c r="D70" s="307" t="s">
        <v>555</v>
      </c>
      <c r="E70" s="307" t="s">
        <v>132</v>
      </c>
      <c r="F70" s="308">
        <v>45124.0</v>
      </c>
      <c r="G70" s="309">
        <v>0.0</v>
      </c>
      <c r="H70" s="309">
        <v>5841000.0</v>
      </c>
      <c r="I70" s="287">
        <v>2088073.0</v>
      </c>
      <c r="J70" s="287">
        <v>0.0</v>
      </c>
      <c r="K70" s="284">
        <v>42.0</v>
      </c>
      <c r="L70" s="284">
        <v>28.0</v>
      </c>
      <c r="M70" s="284">
        <v>0.0</v>
      </c>
      <c r="N70" s="284">
        <v>42.0</v>
      </c>
      <c r="O70" s="284">
        <v>14.0</v>
      </c>
      <c r="P70" s="287">
        <v>2088072.8</v>
      </c>
      <c r="Q70" s="287">
        <v>0.0</v>
      </c>
      <c r="R70" s="284">
        <v>25.0</v>
      </c>
      <c r="S70" s="284">
        <v>0.0</v>
      </c>
      <c r="T70" s="284">
        <v>25.0</v>
      </c>
      <c r="U70" s="284">
        <v>0.0</v>
      </c>
      <c r="V70" s="284">
        <v>178.0</v>
      </c>
      <c r="W70" s="284">
        <v>258.0</v>
      </c>
      <c r="X70" s="284">
        <v>254.0</v>
      </c>
      <c r="Y70" s="284">
        <v>0.0</v>
      </c>
      <c r="Z70" s="284">
        <v>0.0</v>
      </c>
      <c r="AA70" s="284">
        <v>0.0</v>
      </c>
      <c r="AB70" s="284">
        <v>0.0</v>
      </c>
      <c r="AC70" s="284">
        <v>0.0</v>
      </c>
      <c r="AD70" s="284">
        <v>0.0</v>
      </c>
      <c r="AE70" s="284">
        <v>69.0</v>
      </c>
      <c r="AF70" s="284">
        <v>327.0</v>
      </c>
      <c r="AG70" s="284">
        <v>69.0</v>
      </c>
      <c r="AH70" s="309">
        <f t="shared" si="2"/>
        <v>30261.92754</v>
      </c>
      <c r="AI70" s="309">
        <f t="shared" si="3"/>
        <v>4.739130435</v>
      </c>
      <c r="AJ70" s="345">
        <v>26500.0</v>
      </c>
      <c r="AK70" s="309">
        <f t="shared" si="29"/>
        <v>79500</v>
      </c>
      <c r="AL70" s="312"/>
      <c r="AM70" s="313">
        <f t="shared" si="5"/>
        <v>0.03807338153</v>
      </c>
      <c r="AN70" s="309">
        <f t="shared" si="6"/>
        <v>83522.92</v>
      </c>
      <c r="AO70" s="314">
        <f t="shared" si="7"/>
        <v>0.3574855333</v>
      </c>
      <c r="AP70" s="315">
        <v>0.0</v>
      </c>
      <c r="AQ70" s="284">
        <v>78.0</v>
      </c>
      <c r="AR70" s="284">
        <v>771.0</v>
      </c>
      <c r="AS70" s="284">
        <v>3838.99</v>
      </c>
      <c r="AT70" s="284">
        <v>0.0</v>
      </c>
      <c r="AU70" s="284">
        <v>137.0</v>
      </c>
      <c r="AV70" s="284">
        <v>25.0</v>
      </c>
      <c r="AW70" s="284">
        <v>8.0</v>
      </c>
      <c r="AX70" s="284">
        <v>9.0</v>
      </c>
      <c r="AY70" s="309">
        <v>1003125.0</v>
      </c>
      <c r="AZ70" s="316"/>
      <c r="BA70" s="307" t="str">
        <f t="shared" si="8"/>
        <v>Active</v>
      </c>
      <c r="BB70" s="307" t="str">
        <f t="shared" si="9"/>
        <v>Old</v>
      </c>
      <c r="BC70" s="307" t="str">
        <f t="shared" si="10"/>
        <v>Below 50%</v>
      </c>
      <c r="BD70" s="286">
        <f t="shared" si="32"/>
        <v>3</v>
      </c>
      <c r="BE70" s="328">
        <v>1947000.0</v>
      </c>
      <c r="BF70" s="284">
        <f t="shared" si="12"/>
        <v>0</v>
      </c>
      <c r="BG70" s="307" t="s">
        <v>488</v>
      </c>
      <c r="BH70" s="272">
        <f>IFERROR(__xludf.DUMMYFUNCTION("""COMPUTED_VALUE"""),1.000854641E7)</f>
        <v>10008546.41</v>
      </c>
      <c r="BI70" s="272">
        <f>IFERROR(__xludf.DUMMYFUNCTION("""COMPUTED_VALUE"""),9911745.629999999)</f>
        <v>9911745.63</v>
      </c>
      <c r="BJ70" s="273"/>
      <c r="BK70" s="274"/>
      <c r="BL70" s="319">
        <f t="shared" si="13"/>
        <v>0</v>
      </c>
      <c r="BM70" s="319">
        <f t="shared" si="14"/>
        <v>5841000</v>
      </c>
      <c r="BN70" s="274"/>
      <c r="BO70" s="311">
        <f>IFERROR(__xludf.DUMMYFUNCTION("IFERROR(ArrayFormula(SUM(VLOOKUP($C70,importrange(""1PTkkEa_ENkSqsGnpqoXy9kt0Fe1hCtlmU6kVFBNaonY"",""ORDER BOOKING REPORT 2025-26!C:CV""),{16,23,30},0))))"),2457259.7199999997)</f>
        <v>2457259.72</v>
      </c>
      <c r="BP70" s="311">
        <f>IFERROR(__xludf.DUMMYFUNCTION("IFERROR(ArrayFormula(SUM(VLOOKUP($C70,importrange(""1PTkkEa_ENkSqsGnpqoXy9kt0Fe1hCtlmU6kVFBNaonY"",""ORDER BOOKING REPORT 2025-26!C:CV""),{37,44,51},0))))"),2565495.2800000003)</f>
        <v>2565495.28</v>
      </c>
      <c r="BQ70" s="311">
        <f>IFERROR(__xludf.DUMMYFUNCTION("IFERROR(ArrayFormula(SUM(VLOOKUP($C70,importrange(""1PTkkEa_ENkSqsGnpqoXy9kt0Fe1hCtlmU6kVFBNaonY"",""ORDER BOOKING REPORT 2025-26!C:CV""),{58,65,72},0))))"),1944826.27)</f>
        <v>1944826.27</v>
      </c>
      <c r="BR70" s="311">
        <f>IFERROR(__xludf.DUMMYFUNCTION("IFERROR(ArrayFormula(SUM(VLOOKUP($C70,importrange(""1PTkkEa_ENkSqsGnpqoXy9kt0Fe1hCtlmU6kVFBNaonY"",""ORDER BOOKING REPORT 2025-26!C:CV""),{79,86,93},0))))"),2944164.36)</f>
        <v>2944164.36</v>
      </c>
      <c r="BS70" s="322">
        <f t="shared" si="15"/>
        <v>0.1717385722</v>
      </c>
      <c r="BT70" s="322">
        <f t="shared" si="16"/>
        <v>0.07925233645</v>
      </c>
      <c r="BU70" s="287">
        <f t="shared" si="17"/>
        <v>0</v>
      </c>
      <c r="BV70" s="320">
        <v>26500.0</v>
      </c>
      <c r="BW70" s="321" t="s">
        <v>502</v>
      </c>
      <c r="BX70" s="320">
        <v>960.0</v>
      </c>
      <c r="BY70" s="287">
        <f t="shared" si="18"/>
        <v>0</v>
      </c>
      <c r="BZ70" s="10"/>
      <c r="CA70" s="10"/>
      <c r="CB70" s="10"/>
      <c r="CC70" s="10"/>
      <c r="CD70" s="10"/>
      <c r="CE70" s="10"/>
      <c r="CF70" s="10"/>
      <c r="CG70" s="318" t="str">
        <f t="shared" si="21"/>
        <v>Below 60</v>
      </c>
      <c r="CH70" s="318" t="str">
        <f t="shared" si="28"/>
        <v>Business Achieved 50%</v>
      </c>
      <c r="CI70" s="322">
        <f t="shared" si="22"/>
        <v>0.5952380952</v>
      </c>
      <c r="CJ70" s="323"/>
      <c r="CK70" s="323"/>
      <c r="CL70" s="323"/>
      <c r="CM70" s="324">
        <f t="shared" si="23"/>
        <v>69</v>
      </c>
      <c r="CN70" s="325"/>
      <c r="CO70" s="6"/>
      <c r="CP70" s="6"/>
      <c r="CQ70" s="327"/>
      <c r="CR70" s="6"/>
      <c r="CS70" s="6"/>
      <c r="CT70" s="6"/>
      <c r="CU70" s="6"/>
      <c r="CV70" s="6"/>
      <c r="CW70" s="327">
        <f t="shared" si="27"/>
        <v>0</v>
      </c>
      <c r="CX70" s="270"/>
      <c r="CY70" s="6"/>
      <c r="CZ70" s="6"/>
    </row>
    <row r="71" hidden="1">
      <c r="A71" s="307" t="s">
        <v>103</v>
      </c>
      <c r="B71" s="307" t="s">
        <v>519</v>
      </c>
      <c r="C71" s="307" t="s">
        <v>578</v>
      </c>
      <c r="D71" s="307" t="s">
        <v>493</v>
      </c>
      <c r="E71" s="307" t="s">
        <v>579</v>
      </c>
      <c r="F71" s="329">
        <v>45145.0</v>
      </c>
      <c r="G71" s="309">
        <v>0.0</v>
      </c>
      <c r="H71" s="309">
        <v>6000000.0</v>
      </c>
      <c r="I71" s="287">
        <v>2507321.0</v>
      </c>
      <c r="J71" s="287">
        <v>0.0</v>
      </c>
      <c r="K71" s="284">
        <v>65.0</v>
      </c>
      <c r="L71" s="284">
        <v>58.0</v>
      </c>
      <c r="M71" s="284">
        <v>1.0</v>
      </c>
      <c r="N71" s="284">
        <v>66.0</v>
      </c>
      <c r="O71" s="284">
        <v>8.0</v>
      </c>
      <c r="P71" s="287">
        <v>2442381.64</v>
      </c>
      <c r="Q71" s="287">
        <v>64939.32</v>
      </c>
      <c r="R71" s="284">
        <v>35.0</v>
      </c>
      <c r="S71" s="284">
        <v>1.0</v>
      </c>
      <c r="T71" s="284">
        <v>36.0</v>
      </c>
      <c r="U71" s="284">
        <v>0.0</v>
      </c>
      <c r="V71" s="284">
        <v>38.0</v>
      </c>
      <c r="W71" s="284">
        <v>47.0</v>
      </c>
      <c r="X71" s="284">
        <v>211.0</v>
      </c>
      <c r="Y71" s="284">
        <v>1.0</v>
      </c>
      <c r="Z71" s="284">
        <v>16.0</v>
      </c>
      <c r="AA71" s="284">
        <v>1.0</v>
      </c>
      <c r="AB71" s="284">
        <v>3.0</v>
      </c>
      <c r="AC71" s="284">
        <v>0.0</v>
      </c>
      <c r="AD71" s="284">
        <v>0.0</v>
      </c>
      <c r="AE71" s="284">
        <v>216.0</v>
      </c>
      <c r="AF71" s="284">
        <v>282.0</v>
      </c>
      <c r="AG71" s="284">
        <v>63.0</v>
      </c>
      <c r="AH71" s="309">
        <f t="shared" si="2"/>
        <v>39798.74603</v>
      </c>
      <c r="AI71" s="309">
        <f t="shared" si="3"/>
        <v>4.476190476</v>
      </c>
      <c r="AJ71" s="311">
        <v>36187.0</v>
      </c>
      <c r="AK71" s="309">
        <f t="shared" si="29"/>
        <v>108561</v>
      </c>
      <c r="AL71" s="286"/>
      <c r="AM71" s="313">
        <f t="shared" si="5"/>
        <v>0.04329760729</v>
      </c>
      <c r="AN71" s="309">
        <f t="shared" si="6"/>
        <v>69647.80556</v>
      </c>
      <c r="AO71" s="314">
        <f t="shared" si="7"/>
        <v>0.4178868333</v>
      </c>
      <c r="AP71" s="315">
        <v>0.0</v>
      </c>
      <c r="AQ71" s="284">
        <v>114.0</v>
      </c>
      <c r="AR71" s="284">
        <v>600.0</v>
      </c>
      <c r="AS71" s="284">
        <v>3825.97</v>
      </c>
      <c r="AT71" s="284">
        <v>1.0</v>
      </c>
      <c r="AU71" s="284">
        <v>66.0</v>
      </c>
      <c r="AV71" s="284">
        <v>36.0</v>
      </c>
      <c r="AW71" s="284">
        <v>24.0</v>
      </c>
      <c r="AX71" s="284">
        <v>6.0</v>
      </c>
      <c r="AY71" s="309">
        <v>1592474.5</v>
      </c>
      <c r="AZ71" s="316"/>
      <c r="BA71" s="307" t="str">
        <f t="shared" si="8"/>
        <v>Active</v>
      </c>
      <c r="BB71" s="307" t="str">
        <f t="shared" si="9"/>
        <v>Old</v>
      </c>
      <c r="BC71" s="307" t="str">
        <f t="shared" si="10"/>
        <v>Below 50%</v>
      </c>
      <c r="BD71" s="286">
        <f t="shared" si="32"/>
        <v>3</v>
      </c>
      <c r="BE71" s="328">
        <v>2000000.0</v>
      </c>
      <c r="BF71" s="284">
        <f t="shared" si="12"/>
        <v>0</v>
      </c>
      <c r="BG71" s="307" t="s">
        <v>488</v>
      </c>
      <c r="BH71" s="272">
        <f>IFERROR(__xludf.DUMMYFUNCTION("""COMPUTED_VALUE"""),1.1135636680000002E7)</f>
        <v>11135636.68</v>
      </c>
      <c r="BI71" s="272">
        <f>IFERROR(__xludf.DUMMYFUNCTION("""COMPUTED_VALUE"""),1.2834572339999998E7)</f>
        <v>12834572.34</v>
      </c>
      <c r="BJ71" s="273"/>
      <c r="BK71" s="274"/>
      <c r="BL71" s="319">
        <f t="shared" si="13"/>
        <v>0</v>
      </c>
      <c r="BM71" s="319">
        <f t="shared" si="14"/>
        <v>6000000</v>
      </c>
      <c r="BN71" s="274"/>
      <c r="BO71" s="311">
        <f>IFERROR(__xludf.DUMMYFUNCTION("IFERROR(ArrayFormula(SUM(VLOOKUP($C71,importrange(""1PTkkEa_ENkSqsGnpqoXy9kt0Fe1hCtlmU6kVFBNaonY"",""ORDER BOOKING REPORT 2025-26!C:CV""),{16,23,30},0))))"),2799441.4699999997)</f>
        <v>2799441.47</v>
      </c>
      <c r="BP71" s="311">
        <f>IFERROR(__xludf.DUMMYFUNCTION("IFERROR(ArrayFormula(SUM(VLOOKUP($C71,importrange(""1PTkkEa_ENkSqsGnpqoXy9kt0Fe1hCtlmU6kVFBNaonY"",""ORDER BOOKING REPORT 2025-26!C:CV""),{37,44,51},0))))"),2978167.41)</f>
        <v>2978167.41</v>
      </c>
      <c r="BQ71" s="311">
        <f>IFERROR(__xludf.DUMMYFUNCTION("IFERROR(ArrayFormula(SUM(VLOOKUP($C71,importrange(""1PTkkEa_ENkSqsGnpqoXy9kt0Fe1hCtlmU6kVFBNaonY"",""ORDER BOOKING REPORT 2025-26!C:CV""),{58,65,72},0))))"),2592769.799999999)</f>
        <v>2592769.8</v>
      </c>
      <c r="BR71" s="311">
        <f>IFERROR(__xludf.DUMMYFUNCTION("IFERROR(ArrayFormula(SUM(VLOOKUP($C71,importrange(""1PTkkEa_ENkSqsGnpqoXy9kt0Fe1hCtlmU6kVFBNaonY"",""ORDER BOOKING REPORT 2025-26!C:CV""),{79,86,93},0))))"),4464193.659999999)</f>
        <v>4464193.66</v>
      </c>
      <c r="BS71" s="322">
        <f t="shared" si="15"/>
        <v>0.2654124167</v>
      </c>
      <c r="BT71" s="322">
        <f t="shared" si="16"/>
        <v>0.06817126428</v>
      </c>
      <c r="BU71" s="287">
        <f t="shared" si="17"/>
        <v>0</v>
      </c>
      <c r="BV71" s="320">
        <v>36187.0</v>
      </c>
      <c r="BW71" s="321" t="s">
        <v>502</v>
      </c>
      <c r="BX71" s="320">
        <v>972.0</v>
      </c>
      <c r="BY71" s="287">
        <f t="shared" si="18"/>
        <v>0</v>
      </c>
      <c r="BZ71" s="10"/>
      <c r="CA71" s="10"/>
      <c r="CB71" s="10"/>
      <c r="CC71" s="10"/>
      <c r="CD71" s="10"/>
      <c r="CE71" s="10"/>
      <c r="CF71" s="10"/>
      <c r="CG71" s="318" t="str">
        <f t="shared" si="21"/>
        <v> </v>
      </c>
      <c r="CH71" s="318" t="str">
        <f t="shared" si="28"/>
        <v>Business Achieved 50%</v>
      </c>
      <c r="CI71" s="322">
        <f t="shared" si="22"/>
        <v>0.5454545455</v>
      </c>
      <c r="CJ71" s="323"/>
      <c r="CK71" s="323"/>
      <c r="CL71" s="323"/>
      <c r="CM71" s="324">
        <f t="shared" si="23"/>
        <v>216</v>
      </c>
      <c r="CN71" s="337"/>
      <c r="CO71" s="152"/>
      <c r="CP71" s="152"/>
      <c r="CQ71" s="327"/>
      <c r="CR71" s="152"/>
      <c r="CS71" s="152"/>
      <c r="CT71" s="152"/>
      <c r="CU71" s="152"/>
      <c r="CV71" s="152"/>
      <c r="CW71" s="327">
        <f t="shared" si="27"/>
        <v>0</v>
      </c>
      <c r="CX71" s="270"/>
      <c r="CY71" s="152"/>
      <c r="CZ71" s="152"/>
    </row>
    <row r="72" hidden="1">
      <c r="A72" s="307" t="s">
        <v>103</v>
      </c>
      <c r="B72" s="307" t="s">
        <v>519</v>
      </c>
      <c r="C72" s="307" t="s">
        <v>580</v>
      </c>
      <c r="D72" s="307" t="s">
        <v>520</v>
      </c>
      <c r="E72" s="307" t="s">
        <v>153</v>
      </c>
      <c r="F72" s="308">
        <v>45152.0</v>
      </c>
      <c r="G72" s="309">
        <v>0.0</v>
      </c>
      <c r="H72" s="309">
        <v>8325000.0</v>
      </c>
      <c r="I72" s="287">
        <v>6610257.0</v>
      </c>
      <c r="J72" s="287">
        <v>0.0</v>
      </c>
      <c r="K72" s="284">
        <v>104.0</v>
      </c>
      <c r="L72" s="284">
        <v>89.0</v>
      </c>
      <c r="M72" s="284">
        <v>6.0</v>
      </c>
      <c r="N72" s="284">
        <v>110.0</v>
      </c>
      <c r="O72" s="284">
        <v>21.0</v>
      </c>
      <c r="P72" s="287">
        <v>5552952.91</v>
      </c>
      <c r="Q72" s="287">
        <v>1057303.94</v>
      </c>
      <c r="R72" s="284">
        <v>70.0</v>
      </c>
      <c r="S72" s="284">
        <v>5.0</v>
      </c>
      <c r="T72" s="284">
        <v>75.0</v>
      </c>
      <c r="U72" s="284">
        <v>0.0</v>
      </c>
      <c r="V72" s="284">
        <v>29.0</v>
      </c>
      <c r="W72" s="284">
        <v>31.0</v>
      </c>
      <c r="X72" s="284">
        <v>271.0</v>
      </c>
      <c r="Y72" s="284">
        <v>3.0</v>
      </c>
      <c r="Z72" s="284">
        <v>25.0</v>
      </c>
      <c r="AA72" s="284">
        <v>0.0</v>
      </c>
      <c r="AB72" s="284">
        <v>0.0</v>
      </c>
      <c r="AC72" s="284">
        <v>1.0</v>
      </c>
      <c r="AD72" s="284">
        <v>21.0</v>
      </c>
      <c r="AE72" s="284">
        <v>220.0</v>
      </c>
      <c r="AF72" s="284">
        <v>297.0</v>
      </c>
      <c r="AG72" s="284">
        <v>76.0</v>
      </c>
      <c r="AH72" s="309">
        <f t="shared" si="2"/>
        <v>86977.06579</v>
      </c>
      <c r="AI72" s="309">
        <f t="shared" si="3"/>
        <v>3.907894737</v>
      </c>
      <c r="AJ72" s="348">
        <v>49810.0</v>
      </c>
      <c r="AK72" s="309">
        <f>(AJ72*4)+(49810*8)</f>
        <v>597720</v>
      </c>
      <c r="AL72" s="286"/>
      <c r="AM72" s="313">
        <f t="shared" si="5"/>
        <v>0.09042311063</v>
      </c>
      <c r="AN72" s="309">
        <f t="shared" si="6"/>
        <v>88136.76</v>
      </c>
      <c r="AO72" s="314">
        <f t="shared" si="7"/>
        <v>0.7940248649</v>
      </c>
      <c r="AP72" s="315">
        <v>0.0</v>
      </c>
      <c r="AQ72" s="284">
        <v>254.0</v>
      </c>
      <c r="AR72" s="284">
        <v>655.0</v>
      </c>
      <c r="AS72" s="284">
        <v>4819.65</v>
      </c>
      <c r="AT72" s="284">
        <v>5.0</v>
      </c>
      <c r="AU72" s="284">
        <v>54.0</v>
      </c>
      <c r="AV72" s="284">
        <v>75.0</v>
      </c>
      <c r="AW72" s="284">
        <v>20.0</v>
      </c>
      <c r="AX72" s="284">
        <v>15.0</v>
      </c>
      <c r="AY72" s="309">
        <v>5716733.0</v>
      </c>
      <c r="AZ72" s="316"/>
      <c r="BA72" s="307" t="str">
        <f t="shared" si="8"/>
        <v>Active</v>
      </c>
      <c r="BB72" s="307" t="str">
        <f t="shared" si="9"/>
        <v>Old</v>
      </c>
      <c r="BC72" s="307" t="str">
        <f t="shared" si="10"/>
        <v>70%-90%</v>
      </c>
      <c r="BD72" s="286">
        <f t="shared" si="32"/>
        <v>3</v>
      </c>
      <c r="BE72" s="328">
        <v>2775000.0</v>
      </c>
      <c r="BF72" s="284">
        <f t="shared" si="12"/>
        <v>1</v>
      </c>
      <c r="BG72" s="307" t="s">
        <v>488</v>
      </c>
      <c r="BH72" s="272">
        <f>IFERROR(__xludf.DUMMYFUNCTION("""COMPUTED_VALUE"""),2.1865124E7)</f>
        <v>21865124</v>
      </c>
      <c r="BI72" s="272">
        <f>IFERROR(__xludf.DUMMYFUNCTION("""COMPUTED_VALUE"""),2.3083016305830076E7)</f>
        <v>23083016.31</v>
      </c>
      <c r="BJ72" s="273"/>
      <c r="BK72" s="274"/>
      <c r="BL72" s="319">
        <f t="shared" si="13"/>
        <v>0</v>
      </c>
      <c r="BM72" s="319">
        <f t="shared" si="14"/>
        <v>8325000</v>
      </c>
      <c r="BN72" s="274"/>
      <c r="BO72" s="311">
        <f>IFERROR(__xludf.DUMMYFUNCTION("IFERROR(ArrayFormula(SUM(VLOOKUP($C72,importrange(""1PTkkEa_ENkSqsGnpqoXy9kt0Fe1hCtlmU6kVFBNaonY"",""ORDER BOOKING REPORT 2025-26!C:CV""),{16,23,30},0))))"),4902712.705830075)</f>
        <v>4902712.706</v>
      </c>
      <c r="BP72" s="311">
        <f>IFERROR(__xludf.DUMMYFUNCTION("IFERROR(ArrayFormula(SUM(VLOOKUP($C72,importrange(""1PTkkEa_ENkSqsGnpqoXy9kt0Fe1hCtlmU6kVFBNaonY"",""ORDER BOOKING REPORT 2025-26!C:CV""),{37,44,51},0))))"),5645858.859999999)</f>
        <v>5645858.86</v>
      </c>
      <c r="BQ72" s="311">
        <f>IFERROR(__xludf.DUMMYFUNCTION("IFERROR(ArrayFormula(SUM(VLOOKUP($C72,importrange(""1PTkkEa_ENkSqsGnpqoXy9kt0Fe1hCtlmU6kVFBNaonY"",""ORDER BOOKING REPORT 2025-26!C:CV""),{58,65,72},0))))"),5686697.630000001)</f>
        <v>5686697.63</v>
      </c>
      <c r="BR72" s="311">
        <f>IFERROR(__xludf.DUMMYFUNCTION("IFERROR(ArrayFormula(SUM(VLOOKUP($C72,importrange(""1PTkkEa_ENkSqsGnpqoXy9kt0Fe1hCtlmU6kVFBNaonY"",""ORDER BOOKING REPORT 2025-26!C:CV""),{79,86,93},0))))"),6847747.109999999)</f>
        <v>6847747.11</v>
      </c>
      <c r="BS72" s="322">
        <f t="shared" si="15"/>
        <v>0.6866946547</v>
      </c>
      <c r="BT72" s="322">
        <f t="shared" si="16"/>
        <v>0.1045562212</v>
      </c>
      <c r="BU72" s="287">
        <f t="shared" si="17"/>
        <v>0</v>
      </c>
      <c r="BV72" s="320">
        <v>43314.0</v>
      </c>
      <c r="BW72" s="321" t="s">
        <v>514</v>
      </c>
      <c r="BX72" s="320">
        <v>976.0</v>
      </c>
      <c r="BY72" s="287">
        <f t="shared" si="18"/>
        <v>-6496</v>
      </c>
      <c r="BZ72" s="10"/>
      <c r="CA72" s="10"/>
      <c r="CB72" s="10"/>
      <c r="CC72" s="10"/>
      <c r="CD72" s="10"/>
      <c r="CE72" s="10"/>
      <c r="CF72" s="10"/>
      <c r="CG72" s="318" t="str">
        <f t="shared" si="21"/>
        <v> </v>
      </c>
      <c r="CH72" s="318" t="str">
        <f t="shared" si="28"/>
        <v>Business Achieved 50%</v>
      </c>
      <c r="CI72" s="322">
        <f t="shared" si="22"/>
        <v>0.6818181818</v>
      </c>
      <c r="CJ72" s="323"/>
      <c r="CK72" s="323"/>
      <c r="CL72" s="323"/>
      <c r="CM72" s="324">
        <f t="shared" si="23"/>
        <v>220</v>
      </c>
      <c r="CN72" s="337"/>
      <c r="CO72" s="152"/>
      <c r="CP72" s="152"/>
      <c r="CQ72" s="327"/>
      <c r="CR72" s="152"/>
      <c r="CS72" s="152"/>
      <c r="CT72" s="152"/>
      <c r="CU72" s="152"/>
      <c r="CV72" s="152"/>
      <c r="CW72" s="327">
        <f t="shared" si="27"/>
        <v>0</v>
      </c>
      <c r="CX72" s="270"/>
      <c r="CY72" s="152"/>
      <c r="CZ72" s="152"/>
    </row>
    <row r="73" hidden="1">
      <c r="A73" s="307" t="s">
        <v>273</v>
      </c>
      <c r="B73" s="307" t="s">
        <v>528</v>
      </c>
      <c r="C73" s="307" t="s">
        <v>581</v>
      </c>
      <c r="D73" s="307" t="s">
        <v>555</v>
      </c>
      <c r="E73" s="307" t="s">
        <v>284</v>
      </c>
      <c r="F73" s="308">
        <v>45159.0</v>
      </c>
      <c r="G73" s="309">
        <v>0.0</v>
      </c>
      <c r="H73" s="309">
        <v>4500000.0</v>
      </c>
      <c r="I73" s="287">
        <v>2298282.0</v>
      </c>
      <c r="J73" s="287">
        <v>0.0</v>
      </c>
      <c r="K73" s="284">
        <v>64.0</v>
      </c>
      <c r="L73" s="284">
        <v>58.0</v>
      </c>
      <c r="M73" s="284">
        <v>1.0</v>
      </c>
      <c r="N73" s="284">
        <v>65.0</v>
      </c>
      <c r="O73" s="284">
        <v>7.0</v>
      </c>
      <c r="P73" s="287">
        <v>2289764.04</v>
      </c>
      <c r="Q73" s="287">
        <v>8517.89</v>
      </c>
      <c r="R73" s="284">
        <v>30.0</v>
      </c>
      <c r="S73" s="284">
        <v>1.0</v>
      </c>
      <c r="T73" s="284">
        <v>31.0</v>
      </c>
      <c r="U73" s="284">
        <v>0.0</v>
      </c>
      <c r="V73" s="284">
        <v>31.0</v>
      </c>
      <c r="W73" s="284">
        <v>38.0</v>
      </c>
      <c r="X73" s="284">
        <v>164.0</v>
      </c>
      <c r="Y73" s="284">
        <v>1.0</v>
      </c>
      <c r="Z73" s="284">
        <v>1.0</v>
      </c>
      <c r="AA73" s="284">
        <v>0.0</v>
      </c>
      <c r="AB73" s="284">
        <v>0.0</v>
      </c>
      <c r="AC73" s="284">
        <v>0.0</v>
      </c>
      <c r="AD73" s="284">
        <v>0.0</v>
      </c>
      <c r="AE73" s="284">
        <v>324.0</v>
      </c>
      <c r="AF73" s="284">
        <v>363.0</v>
      </c>
      <c r="AG73" s="284">
        <v>75.0</v>
      </c>
      <c r="AH73" s="309">
        <f t="shared" si="2"/>
        <v>30643.76</v>
      </c>
      <c r="AI73" s="309">
        <f t="shared" si="3"/>
        <v>4.84</v>
      </c>
      <c r="AJ73" s="311">
        <v>30195.0</v>
      </c>
      <c r="AK73" s="309">
        <f t="shared" ref="AK73:AK186" si="33">AJ73*BD73</f>
        <v>90585</v>
      </c>
      <c r="AL73" s="312"/>
      <c r="AM73" s="313">
        <f t="shared" si="5"/>
        <v>0.03941422332</v>
      </c>
      <c r="AN73" s="309">
        <f t="shared" si="6"/>
        <v>74138.12903</v>
      </c>
      <c r="AO73" s="314">
        <f t="shared" si="7"/>
        <v>0.5107293333</v>
      </c>
      <c r="AP73" s="315">
        <v>0.0</v>
      </c>
      <c r="AQ73" s="284">
        <v>67.0</v>
      </c>
      <c r="AR73" s="284">
        <v>781.0</v>
      </c>
      <c r="AS73" s="284">
        <v>7076.5</v>
      </c>
      <c r="AT73" s="284">
        <v>1.0</v>
      </c>
      <c r="AU73" s="284">
        <v>122.0</v>
      </c>
      <c r="AV73" s="284">
        <v>31.0</v>
      </c>
      <c r="AW73" s="284">
        <v>28.0</v>
      </c>
      <c r="AX73" s="284">
        <v>6.0</v>
      </c>
      <c r="AY73" s="309">
        <v>2101892.0</v>
      </c>
      <c r="AZ73" s="316"/>
      <c r="BA73" s="307" t="str">
        <f t="shared" si="8"/>
        <v>Active</v>
      </c>
      <c r="BB73" s="307" t="str">
        <f t="shared" si="9"/>
        <v>Old</v>
      </c>
      <c r="BC73" s="307" t="str">
        <f t="shared" si="10"/>
        <v>50%-70%</v>
      </c>
      <c r="BD73" s="286">
        <f t="shared" si="32"/>
        <v>3</v>
      </c>
      <c r="BE73" s="328">
        <v>1500000.0</v>
      </c>
      <c r="BF73" s="284">
        <f t="shared" si="12"/>
        <v>0</v>
      </c>
      <c r="BG73" s="307" t="s">
        <v>488</v>
      </c>
      <c r="BH73" s="272">
        <f>IFERROR(__xludf.DUMMYFUNCTION("""COMPUTED_VALUE"""),1.0516845E7)</f>
        <v>10516845</v>
      </c>
      <c r="BI73" s="272">
        <f>IFERROR(__xludf.DUMMYFUNCTION("""COMPUTED_VALUE"""),1.1028358979999999E7)</f>
        <v>11028358.98</v>
      </c>
      <c r="BJ73" s="273"/>
      <c r="BK73" s="274"/>
      <c r="BL73" s="319">
        <f t="shared" si="13"/>
        <v>0</v>
      </c>
      <c r="BM73" s="319">
        <f t="shared" si="14"/>
        <v>4500000</v>
      </c>
      <c r="BN73" s="274"/>
      <c r="BO73" s="311">
        <f>IFERROR(__xludf.DUMMYFUNCTION("IFERROR(ArrayFormula(SUM(VLOOKUP($C73,importrange(""1PTkkEa_ENkSqsGnpqoXy9kt0Fe1hCtlmU6kVFBNaonY"",""ORDER BOOKING REPORT 2025-26!C:CV""),{16,23,30},0))))"),2640419.2800000003)</f>
        <v>2640419.28</v>
      </c>
      <c r="BP73" s="311">
        <f>IFERROR(__xludf.DUMMYFUNCTION("IFERROR(ArrayFormula(SUM(VLOOKUP($C73,importrange(""1PTkkEa_ENkSqsGnpqoXy9kt0Fe1hCtlmU6kVFBNaonY"",""ORDER BOOKING REPORT 2025-26!C:CV""),{37,44,51},0))))"),2829679.11)</f>
        <v>2829679.11</v>
      </c>
      <c r="BQ73" s="311">
        <f>IFERROR(__xludf.DUMMYFUNCTION("IFERROR(ArrayFormula(SUM(VLOOKUP($C73,importrange(""1PTkkEa_ENkSqsGnpqoXy9kt0Fe1hCtlmU6kVFBNaonY"",""ORDER BOOKING REPORT 2025-26!C:CV""),{58,65,72},0))))"),3097125.0999999996)</f>
        <v>3097125.1</v>
      </c>
      <c r="BR73" s="311">
        <f>IFERROR(__xludf.DUMMYFUNCTION("IFERROR(ArrayFormula(SUM(VLOOKUP($C73,importrange(""1PTkkEa_ENkSqsGnpqoXy9kt0Fe1hCtlmU6kVFBNaonY"",""ORDER BOOKING REPORT 2025-26!C:CV""),{79,86,93},0))))"),2461135.49)</f>
        <v>2461135.49</v>
      </c>
      <c r="BS73" s="322">
        <f t="shared" si="15"/>
        <v>0.4670871111</v>
      </c>
      <c r="BT73" s="322">
        <f t="shared" si="16"/>
        <v>0.04309688604</v>
      </c>
      <c r="BU73" s="287">
        <f t="shared" si="17"/>
        <v>0</v>
      </c>
      <c r="BV73" s="320">
        <v>30195.0</v>
      </c>
      <c r="BW73" s="321" t="s">
        <v>526</v>
      </c>
      <c r="BX73" s="320">
        <v>975.0</v>
      </c>
      <c r="BY73" s="287">
        <f t="shared" si="18"/>
        <v>0</v>
      </c>
      <c r="BZ73" s="10"/>
      <c r="CA73" s="10"/>
      <c r="CB73" s="10"/>
      <c r="CC73" s="10"/>
      <c r="CD73" s="10"/>
      <c r="CE73" s="10"/>
      <c r="CF73" s="10"/>
      <c r="CG73" s="318" t="str">
        <f t="shared" si="21"/>
        <v> </v>
      </c>
      <c r="CH73" s="318" t="str">
        <f t="shared" si="28"/>
        <v>Not 50%</v>
      </c>
      <c r="CI73" s="322">
        <f t="shared" si="22"/>
        <v>0.4769230769</v>
      </c>
      <c r="CJ73" s="323"/>
      <c r="CK73" s="323"/>
      <c r="CL73" s="323"/>
      <c r="CM73" s="324">
        <f t="shared" si="23"/>
        <v>324</v>
      </c>
      <c r="CN73" s="325"/>
      <c r="CO73" s="6"/>
      <c r="CP73" s="6"/>
      <c r="CQ73" s="327"/>
      <c r="CR73" s="6"/>
      <c r="CS73" s="6"/>
      <c r="CT73" s="6"/>
      <c r="CU73" s="6"/>
      <c r="CV73" s="6"/>
      <c r="CW73" s="327">
        <f t="shared" si="27"/>
        <v>0</v>
      </c>
      <c r="CX73" s="270"/>
      <c r="CY73" s="6"/>
      <c r="CZ73" s="6"/>
    </row>
    <row r="74" hidden="1">
      <c r="A74" s="307" t="s">
        <v>160</v>
      </c>
      <c r="B74" s="307" t="s">
        <v>518</v>
      </c>
      <c r="C74" s="307" t="s">
        <v>582</v>
      </c>
      <c r="D74" s="307" t="s">
        <v>551</v>
      </c>
      <c r="E74" s="307" t="s">
        <v>239</v>
      </c>
      <c r="F74" s="329">
        <v>45170.0</v>
      </c>
      <c r="G74" s="309">
        <v>0.0</v>
      </c>
      <c r="H74" s="309" t="s">
        <v>485</v>
      </c>
      <c r="I74" s="287">
        <v>0.0</v>
      </c>
      <c r="J74" s="287">
        <v>0.0</v>
      </c>
      <c r="K74" s="284">
        <v>260.0</v>
      </c>
      <c r="L74" s="284">
        <v>104.0</v>
      </c>
      <c r="M74" s="284">
        <v>3.0</v>
      </c>
      <c r="N74" s="284">
        <v>263.0</v>
      </c>
      <c r="O74" s="284">
        <v>159.0</v>
      </c>
      <c r="P74" s="287">
        <v>0.0</v>
      </c>
      <c r="Q74" s="287">
        <v>0.0</v>
      </c>
      <c r="R74" s="284">
        <v>0.0</v>
      </c>
      <c r="S74" s="284">
        <v>0.0</v>
      </c>
      <c r="T74" s="284">
        <v>0.0</v>
      </c>
      <c r="U74" s="284">
        <v>0.0</v>
      </c>
      <c r="V74" s="284">
        <v>21.0</v>
      </c>
      <c r="W74" s="284">
        <v>25.0</v>
      </c>
      <c r="X74" s="284">
        <v>85.0</v>
      </c>
      <c r="Y74" s="284">
        <v>4.0</v>
      </c>
      <c r="Z74" s="284">
        <v>43.0</v>
      </c>
      <c r="AA74" s="284">
        <v>0.0</v>
      </c>
      <c r="AB74" s="284">
        <v>0.0</v>
      </c>
      <c r="AC74" s="284">
        <v>0.0</v>
      </c>
      <c r="AD74" s="284">
        <v>0.0</v>
      </c>
      <c r="AE74" s="284">
        <v>174.0</v>
      </c>
      <c r="AF74" s="284">
        <v>242.0</v>
      </c>
      <c r="AG74" s="284">
        <v>70.0</v>
      </c>
      <c r="AH74" s="309">
        <f t="shared" si="2"/>
        <v>0</v>
      </c>
      <c r="AI74" s="309">
        <f t="shared" si="3"/>
        <v>3.457142857</v>
      </c>
      <c r="AJ74" s="311">
        <v>95640.0</v>
      </c>
      <c r="AK74" s="309">
        <f t="shared" si="33"/>
        <v>286920</v>
      </c>
      <c r="AL74" s="312"/>
      <c r="AM74" s="334" t="str">
        <f t="shared" si="5"/>
        <v/>
      </c>
      <c r="AN74" s="231" t="str">
        <f t="shared" si="6"/>
        <v/>
      </c>
      <c r="AO74" s="314" t="str">
        <f t="shared" si="7"/>
        <v/>
      </c>
      <c r="AP74" s="315">
        <v>0.0</v>
      </c>
      <c r="AQ74" s="284">
        <v>0.0</v>
      </c>
      <c r="AR74" s="284">
        <v>734.0</v>
      </c>
      <c r="AS74" s="284">
        <v>5983.58</v>
      </c>
      <c r="AT74" s="284">
        <v>0.0</v>
      </c>
      <c r="AU74" s="284">
        <v>58.0</v>
      </c>
      <c r="AV74" s="284">
        <v>0.0</v>
      </c>
      <c r="AW74" s="284">
        <v>104.0</v>
      </c>
      <c r="AX74" s="284">
        <v>159.0</v>
      </c>
      <c r="AY74" s="231"/>
      <c r="AZ74" s="316"/>
      <c r="BA74" s="307" t="str">
        <f t="shared" si="8"/>
        <v>Active</v>
      </c>
      <c r="BB74" s="307" t="str">
        <f t="shared" si="9"/>
        <v>Old</v>
      </c>
      <c r="BC74" s="307" t="str">
        <f t="shared" si="10"/>
        <v>Below 50%</v>
      </c>
      <c r="BD74" s="286">
        <f t="shared" si="32"/>
        <v>3</v>
      </c>
      <c r="BE74" s="335"/>
      <c r="BF74" s="284">
        <f t="shared" si="12"/>
        <v>3</v>
      </c>
      <c r="BG74" s="318" t="s">
        <v>485</v>
      </c>
      <c r="BH74" s="271"/>
      <c r="BI74" s="271"/>
      <c r="BJ74" s="273"/>
      <c r="BK74" s="274"/>
      <c r="BL74" s="319">
        <f t="shared" si="13"/>
        <v>0</v>
      </c>
      <c r="BM74" s="319" t="str">
        <f t="shared" si="14"/>
        <v/>
      </c>
      <c r="BN74" s="274"/>
      <c r="BO74" s="311" t="str">
        <f>IFERROR(__xludf.DUMMYFUNCTION("IFERROR(ArrayFormula(SUM(VLOOKUP($C74,importrange(""1PTkkEa_ENkSqsGnpqoXy9kt0Fe1hCtlmU6kVFBNaonY"",""ORDER BOOKING REPORT 2025-26!C:CV""),{16,23,30},0))))"),"")</f>
        <v/>
      </c>
      <c r="BP74" s="311" t="str">
        <f>IFERROR(__xludf.DUMMYFUNCTION("IFERROR(ArrayFormula(SUM(VLOOKUP($C74,importrange(""1PTkkEa_ENkSqsGnpqoXy9kt0Fe1hCtlmU6kVFBNaonY"",""ORDER BOOKING REPORT 2025-26!C:CV""),{37,44,51},0))))"),"")</f>
        <v/>
      </c>
      <c r="BQ74" s="311" t="str">
        <f>IFERROR(__xludf.DUMMYFUNCTION("IFERROR(ArrayFormula(SUM(VLOOKUP($C74,importrange(""1PTkkEa_ENkSqsGnpqoXy9kt0Fe1hCtlmU6kVFBNaonY"",""ORDER BOOKING REPORT 2025-26!C:CV""),{58,65,72},0))))"),"")</f>
        <v/>
      </c>
      <c r="BR74" s="311" t="str">
        <f>IFERROR(__xludf.DUMMYFUNCTION("IFERROR(ArrayFormula(SUM(VLOOKUP($C74,importrange(""1PTkkEa_ENkSqsGnpqoXy9kt0Fe1hCtlmU6kVFBNaonY"",""ORDER BOOKING REPORT 2025-26!C:CV""),{79,86,93},0))))"),"")</f>
        <v/>
      </c>
      <c r="BS74" s="152" t="str">
        <f t="shared" si="15"/>
        <v/>
      </c>
      <c r="BT74" s="152" t="str">
        <f t="shared" si="16"/>
        <v/>
      </c>
      <c r="BU74" s="287">
        <f t="shared" si="17"/>
        <v>0</v>
      </c>
      <c r="BV74" s="320">
        <v>95640.0</v>
      </c>
      <c r="BW74" s="321" t="s">
        <v>494</v>
      </c>
      <c r="BX74" s="320">
        <v>996.0</v>
      </c>
      <c r="BY74" s="287">
        <f t="shared" si="18"/>
        <v>0</v>
      </c>
      <c r="BZ74" s="10"/>
      <c r="CA74" s="10"/>
      <c r="CB74" s="10"/>
      <c r="CC74" s="10"/>
      <c r="CD74" s="10"/>
      <c r="CE74" s="10"/>
      <c r="CF74" s="10"/>
      <c r="CG74" s="318" t="str">
        <f t="shared" si="21"/>
        <v> </v>
      </c>
      <c r="CH74" s="318" t="str">
        <f t="shared" si="28"/>
        <v>Not 50%</v>
      </c>
      <c r="CI74" s="322">
        <f t="shared" si="22"/>
        <v>0</v>
      </c>
      <c r="CJ74" s="336"/>
      <c r="CK74" s="336"/>
      <c r="CL74" s="336"/>
      <c r="CM74" s="324">
        <f t="shared" si="23"/>
        <v>174</v>
      </c>
      <c r="CN74" s="325"/>
      <c r="CO74" s="6"/>
      <c r="CP74" s="6"/>
      <c r="CQ74" s="327"/>
      <c r="CR74" s="6"/>
      <c r="CS74" s="6"/>
      <c r="CT74" s="6"/>
      <c r="CU74" s="6"/>
      <c r="CV74" s="6"/>
      <c r="CW74" s="327">
        <f t="shared" si="27"/>
        <v>0</v>
      </c>
      <c r="CX74" s="270"/>
      <c r="CY74" s="6"/>
      <c r="CZ74" s="6"/>
    </row>
    <row r="75" hidden="1">
      <c r="A75" s="307" t="s">
        <v>160</v>
      </c>
      <c r="B75" s="307" t="s">
        <v>518</v>
      </c>
      <c r="C75" s="307" t="s">
        <v>583</v>
      </c>
      <c r="D75" s="307" t="s">
        <v>551</v>
      </c>
      <c r="E75" s="307" t="s">
        <v>213</v>
      </c>
      <c r="F75" s="308">
        <v>45184.0</v>
      </c>
      <c r="G75" s="309">
        <v>0.0</v>
      </c>
      <c r="H75" s="309">
        <v>6999999.0</v>
      </c>
      <c r="I75" s="287">
        <v>4295006.0</v>
      </c>
      <c r="J75" s="287">
        <v>0.0</v>
      </c>
      <c r="K75" s="284">
        <v>52.0</v>
      </c>
      <c r="L75" s="284">
        <v>54.0</v>
      </c>
      <c r="M75" s="284">
        <v>4.0</v>
      </c>
      <c r="N75" s="284">
        <v>56.0</v>
      </c>
      <c r="O75" s="284">
        <v>2.0</v>
      </c>
      <c r="P75" s="287">
        <v>3378682.48</v>
      </c>
      <c r="Q75" s="287">
        <v>916323.45</v>
      </c>
      <c r="R75" s="284">
        <v>18.0</v>
      </c>
      <c r="S75" s="284">
        <v>4.0</v>
      </c>
      <c r="T75" s="284">
        <v>22.0</v>
      </c>
      <c r="U75" s="284">
        <v>0.0</v>
      </c>
      <c r="V75" s="284">
        <v>38.0</v>
      </c>
      <c r="W75" s="284">
        <v>46.0</v>
      </c>
      <c r="X75" s="284">
        <v>125.0</v>
      </c>
      <c r="Y75" s="284">
        <v>1.0</v>
      </c>
      <c r="Z75" s="284">
        <v>3.0</v>
      </c>
      <c r="AA75" s="284">
        <v>0.0</v>
      </c>
      <c r="AB75" s="284">
        <v>0.0</v>
      </c>
      <c r="AC75" s="284">
        <v>0.0</v>
      </c>
      <c r="AD75" s="284">
        <v>0.0</v>
      </c>
      <c r="AE75" s="284">
        <v>200.0</v>
      </c>
      <c r="AF75" s="284">
        <v>249.0</v>
      </c>
      <c r="AG75" s="284">
        <v>78.0</v>
      </c>
      <c r="AH75" s="309">
        <f t="shared" si="2"/>
        <v>55064.17949</v>
      </c>
      <c r="AI75" s="309">
        <f t="shared" si="3"/>
        <v>3.192307692</v>
      </c>
      <c r="AJ75" s="311">
        <v>36400.0</v>
      </c>
      <c r="AK75" s="309">
        <f t="shared" si="33"/>
        <v>109200</v>
      </c>
      <c r="AL75" s="312"/>
      <c r="AM75" s="313">
        <f t="shared" si="5"/>
        <v>0.02542487717</v>
      </c>
      <c r="AN75" s="309">
        <f t="shared" si="6"/>
        <v>195227.5455</v>
      </c>
      <c r="AO75" s="314">
        <f t="shared" si="7"/>
        <v>0.6135723734</v>
      </c>
      <c r="AP75" s="315">
        <v>0.0</v>
      </c>
      <c r="AQ75" s="284">
        <v>50.0</v>
      </c>
      <c r="AR75" s="284">
        <v>792.0</v>
      </c>
      <c r="AS75" s="284">
        <v>5596.52</v>
      </c>
      <c r="AT75" s="284">
        <v>4.0</v>
      </c>
      <c r="AU75" s="284">
        <v>104.0</v>
      </c>
      <c r="AV75" s="284">
        <v>22.0</v>
      </c>
      <c r="AW75" s="284">
        <v>33.0</v>
      </c>
      <c r="AX75" s="284">
        <v>1.0</v>
      </c>
      <c r="AY75" s="309">
        <v>3731611.0</v>
      </c>
      <c r="AZ75" s="316"/>
      <c r="BA75" s="307" t="str">
        <f t="shared" si="8"/>
        <v>Active</v>
      </c>
      <c r="BB75" s="307" t="str">
        <f t="shared" si="9"/>
        <v>Old</v>
      </c>
      <c r="BC75" s="307" t="str">
        <f t="shared" si="10"/>
        <v>50%-70%</v>
      </c>
      <c r="BD75" s="286">
        <f t="shared" si="32"/>
        <v>3</v>
      </c>
      <c r="BE75" s="328">
        <v>2333333.0</v>
      </c>
      <c r="BF75" s="284">
        <f t="shared" si="12"/>
        <v>0</v>
      </c>
      <c r="BG75" s="307" t="s">
        <v>488</v>
      </c>
      <c r="BH75" s="272">
        <f>IFERROR(__xludf.DUMMYFUNCTION("""COMPUTED_VALUE"""),1.9647237E7)</f>
        <v>19647237</v>
      </c>
      <c r="BI75" s="272">
        <f>IFERROR(__xludf.DUMMYFUNCTION("""COMPUTED_VALUE"""),1.877169293E7)</f>
        <v>18771692.93</v>
      </c>
      <c r="BJ75" s="273"/>
      <c r="BK75" s="274"/>
      <c r="BL75" s="319">
        <f t="shared" si="13"/>
        <v>0</v>
      </c>
      <c r="BM75" s="319">
        <f t="shared" si="14"/>
        <v>6999999</v>
      </c>
      <c r="BN75" s="274"/>
      <c r="BO75" s="311">
        <f>IFERROR(__xludf.DUMMYFUNCTION("IFERROR(ArrayFormula(SUM(VLOOKUP($C75,importrange(""1PTkkEa_ENkSqsGnpqoXy9kt0Fe1hCtlmU6kVFBNaonY"",""ORDER BOOKING REPORT 2025-26!C:CV""),{16,23,30},0))))"),3199000.13)</f>
        <v>3199000.13</v>
      </c>
      <c r="BP75" s="311">
        <f>IFERROR(__xludf.DUMMYFUNCTION("IFERROR(ArrayFormula(SUM(VLOOKUP($C75,importrange(""1PTkkEa_ENkSqsGnpqoXy9kt0Fe1hCtlmU6kVFBNaonY"",""ORDER BOOKING REPORT 2025-26!C:CV""),{37,44,51},0))))"),3946002.7799999993)</f>
        <v>3946002.78</v>
      </c>
      <c r="BQ75" s="311">
        <f>IFERROR(__xludf.DUMMYFUNCTION("IFERROR(ArrayFormula(SUM(VLOOKUP($C75,importrange(""1PTkkEa_ENkSqsGnpqoXy9kt0Fe1hCtlmU6kVFBNaonY"",""ORDER BOOKING REPORT 2025-26!C:CV""),{58,65,72},0))))"),4546754.71)</f>
        <v>4546754.71</v>
      </c>
      <c r="BR75" s="311">
        <f>IFERROR(__xludf.DUMMYFUNCTION("IFERROR(ArrayFormula(SUM(VLOOKUP($C75,importrange(""1PTkkEa_ENkSqsGnpqoXy9kt0Fe1hCtlmU6kVFBNaonY"",""ORDER BOOKING REPORT 2025-26!C:CV""),{79,86,93},0))))"),7079935.31)</f>
        <v>7079935.31</v>
      </c>
      <c r="BS75" s="322">
        <f t="shared" si="15"/>
        <v>0.5330873619</v>
      </c>
      <c r="BT75" s="322">
        <f t="shared" si="16"/>
        <v>0.0292635004</v>
      </c>
      <c r="BU75" s="287">
        <f t="shared" si="17"/>
        <v>0</v>
      </c>
      <c r="BV75" s="320">
        <v>36400.0</v>
      </c>
      <c r="BW75" s="321" t="s">
        <v>526</v>
      </c>
      <c r="BX75" s="320">
        <v>993.0</v>
      </c>
      <c r="BY75" s="287">
        <f t="shared" si="18"/>
        <v>0</v>
      </c>
      <c r="BZ75" s="10"/>
      <c r="CA75" s="10"/>
      <c r="CB75" s="10"/>
      <c r="CC75" s="10"/>
      <c r="CD75" s="10"/>
      <c r="CE75" s="10"/>
      <c r="CF75" s="10"/>
      <c r="CG75" s="318" t="str">
        <f t="shared" si="21"/>
        <v>Below 60</v>
      </c>
      <c r="CH75" s="318" t="str">
        <f t="shared" si="28"/>
        <v>Not 50%</v>
      </c>
      <c r="CI75" s="322">
        <f t="shared" si="22"/>
        <v>0.3928571429</v>
      </c>
      <c r="CJ75" s="323"/>
      <c r="CK75" s="323"/>
      <c r="CL75" s="323"/>
      <c r="CM75" s="324">
        <f t="shared" si="23"/>
        <v>200</v>
      </c>
      <c r="CN75" s="325"/>
      <c r="CO75" s="6"/>
      <c r="CP75" s="6"/>
      <c r="CQ75" s="327"/>
      <c r="CR75" s="6"/>
      <c r="CS75" s="6"/>
      <c r="CT75" s="6"/>
      <c r="CU75" s="6"/>
      <c r="CV75" s="6"/>
      <c r="CW75" s="327">
        <f t="shared" si="27"/>
        <v>0</v>
      </c>
      <c r="CX75" s="270"/>
      <c r="CY75" s="6"/>
      <c r="CZ75" s="6"/>
    </row>
    <row r="76" hidden="1">
      <c r="A76" s="307" t="s">
        <v>103</v>
      </c>
      <c r="B76" s="307" t="s">
        <v>492</v>
      </c>
      <c r="C76" s="307" t="s">
        <v>136</v>
      </c>
      <c r="D76" s="307" t="s">
        <v>492</v>
      </c>
      <c r="E76" s="307" t="s">
        <v>124</v>
      </c>
      <c r="F76" s="308">
        <v>45187.0</v>
      </c>
      <c r="G76" s="309">
        <v>0.0</v>
      </c>
      <c r="H76" s="309">
        <v>6489999.0</v>
      </c>
      <c r="I76" s="287">
        <v>3455606.0</v>
      </c>
      <c r="J76" s="287">
        <v>0.0</v>
      </c>
      <c r="K76" s="284">
        <v>109.0</v>
      </c>
      <c r="L76" s="284">
        <v>90.0</v>
      </c>
      <c r="M76" s="284">
        <v>3.0</v>
      </c>
      <c r="N76" s="284">
        <v>112.0</v>
      </c>
      <c r="O76" s="284">
        <v>22.0</v>
      </c>
      <c r="P76" s="287">
        <v>3281222.22</v>
      </c>
      <c r="Q76" s="287">
        <v>174383.46</v>
      </c>
      <c r="R76" s="284">
        <v>56.0</v>
      </c>
      <c r="S76" s="284">
        <v>3.0</v>
      </c>
      <c r="T76" s="284">
        <v>59.0</v>
      </c>
      <c r="U76" s="284">
        <v>0.0</v>
      </c>
      <c r="V76" s="284">
        <v>17.0</v>
      </c>
      <c r="W76" s="284">
        <v>21.0</v>
      </c>
      <c r="X76" s="284">
        <v>238.0</v>
      </c>
      <c r="Y76" s="284">
        <v>2.0</v>
      </c>
      <c r="Z76" s="284">
        <v>29.0</v>
      </c>
      <c r="AA76" s="284">
        <v>0.0</v>
      </c>
      <c r="AB76" s="284">
        <v>0.0</v>
      </c>
      <c r="AC76" s="284">
        <v>0.0</v>
      </c>
      <c r="AD76" s="284">
        <v>0.0</v>
      </c>
      <c r="AE76" s="284">
        <v>277.0</v>
      </c>
      <c r="AF76" s="284">
        <v>327.0</v>
      </c>
      <c r="AG76" s="284">
        <v>76.0</v>
      </c>
      <c r="AH76" s="309">
        <f t="shared" si="2"/>
        <v>45468.5</v>
      </c>
      <c r="AI76" s="309">
        <f t="shared" si="3"/>
        <v>4.302631579</v>
      </c>
      <c r="AJ76" s="311">
        <v>47925.0</v>
      </c>
      <c r="AK76" s="309">
        <f t="shared" si="33"/>
        <v>143775</v>
      </c>
      <c r="AL76" s="286"/>
      <c r="AM76" s="313">
        <f t="shared" si="5"/>
        <v>0.04160630581</v>
      </c>
      <c r="AN76" s="309">
        <f t="shared" si="6"/>
        <v>58569.59322</v>
      </c>
      <c r="AO76" s="314">
        <f t="shared" si="7"/>
        <v>0.5324509295</v>
      </c>
      <c r="AP76" s="315">
        <v>0.0</v>
      </c>
      <c r="AQ76" s="284">
        <v>156.0</v>
      </c>
      <c r="AR76" s="284">
        <v>663.0</v>
      </c>
      <c r="AS76" s="284">
        <v>3459.21</v>
      </c>
      <c r="AT76" s="284">
        <v>3.0</v>
      </c>
      <c r="AU76" s="284">
        <v>38.0</v>
      </c>
      <c r="AV76" s="284">
        <v>59.0</v>
      </c>
      <c r="AW76" s="284">
        <v>33.0</v>
      </c>
      <c r="AX76" s="284">
        <v>20.0</v>
      </c>
      <c r="AY76" s="309">
        <v>2448607.0</v>
      </c>
      <c r="AZ76" s="316"/>
      <c r="BA76" s="307" t="str">
        <f t="shared" si="8"/>
        <v>Active</v>
      </c>
      <c r="BB76" s="307" t="str">
        <f t="shared" si="9"/>
        <v>Old</v>
      </c>
      <c r="BC76" s="307" t="str">
        <f t="shared" si="10"/>
        <v>50%-70%</v>
      </c>
      <c r="BD76" s="286">
        <f t="shared" si="32"/>
        <v>3</v>
      </c>
      <c r="BE76" s="328">
        <v>2163333.0</v>
      </c>
      <c r="BF76" s="284">
        <f t="shared" si="12"/>
        <v>0</v>
      </c>
      <c r="BG76" s="307" t="s">
        <v>488</v>
      </c>
      <c r="BH76" s="272">
        <f>IFERROR(__xludf.DUMMYFUNCTION("""COMPUTED_VALUE"""),1.0929491E7)</f>
        <v>10929491</v>
      </c>
      <c r="BI76" s="272">
        <f>IFERROR(__xludf.DUMMYFUNCTION("""COMPUTED_VALUE"""),1.158968548E7)</f>
        <v>11589685.48</v>
      </c>
      <c r="BJ76" s="273"/>
      <c r="BK76" s="274"/>
      <c r="BL76" s="319">
        <f t="shared" si="13"/>
        <v>0</v>
      </c>
      <c r="BM76" s="319">
        <f t="shared" si="14"/>
        <v>6489999</v>
      </c>
      <c r="BN76" s="274"/>
      <c r="BO76" s="311">
        <f>IFERROR(__xludf.DUMMYFUNCTION("IFERROR(ArrayFormula(SUM(VLOOKUP($C76,importrange(""1PTkkEa_ENkSqsGnpqoXy9kt0Fe1hCtlmU6kVFBNaonY"",""ORDER BOOKING REPORT 2025-26!C:CV""),{16,23,30},0))))"),2114157.6)</f>
        <v>2114157.6</v>
      </c>
      <c r="BP76" s="311">
        <f>IFERROR(__xludf.DUMMYFUNCTION("IFERROR(ArrayFormula(SUM(VLOOKUP($C76,importrange(""1PTkkEa_ENkSqsGnpqoXy9kt0Fe1hCtlmU6kVFBNaonY"",""ORDER BOOKING REPORT 2025-26!C:CV""),{37,44,51},0))))"),2842496.83)</f>
        <v>2842496.83</v>
      </c>
      <c r="BQ76" s="311">
        <f>IFERROR(__xludf.DUMMYFUNCTION("IFERROR(ArrayFormula(SUM(VLOOKUP($C76,importrange(""1PTkkEa_ENkSqsGnpqoXy9kt0Fe1hCtlmU6kVFBNaonY"",""ORDER BOOKING REPORT 2025-26!C:CV""),{58,65,72},0))))"),3538715.91)</f>
        <v>3538715.91</v>
      </c>
      <c r="BR76" s="311">
        <f>IFERROR(__xludf.DUMMYFUNCTION("IFERROR(ArrayFormula(SUM(VLOOKUP($C76,importrange(""1PTkkEa_ENkSqsGnpqoXy9kt0Fe1hCtlmU6kVFBNaonY"",""ORDER BOOKING REPORT 2025-26!C:CV""),{79,86,93},0))))"),3094315.14)</f>
        <v>3094315.14</v>
      </c>
      <c r="BS76" s="322">
        <f t="shared" si="15"/>
        <v>0.3772892723</v>
      </c>
      <c r="BT76" s="322">
        <f t="shared" si="16"/>
        <v>0.05871705831</v>
      </c>
      <c r="BU76" s="287">
        <f t="shared" si="17"/>
        <v>0</v>
      </c>
      <c r="BV76" s="320">
        <v>47925.0</v>
      </c>
      <c r="BW76" s="321" t="s">
        <v>502</v>
      </c>
      <c r="BX76" s="320">
        <v>994.0</v>
      </c>
      <c r="BY76" s="287">
        <f t="shared" si="18"/>
        <v>0</v>
      </c>
      <c r="BZ76" s="10"/>
      <c r="CA76" s="10"/>
      <c r="CB76" s="10"/>
      <c r="CC76" s="10"/>
      <c r="CD76" s="10"/>
      <c r="CE76" s="10"/>
      <c r="CF76" s="10"/>
      <c r="CG76" s="318" t="str">
        <f t="shared" si="21"/>
        <v> </v>
      </c>
      <c r="CH76" s="318" t="str">
        <f t="shared" si="28"/>
        <v>Business Achieved 50%</v>
      </c>
      <c r="CI76" s="322">
        <f t="shared" si="22"/>
        <v>0.5267857143</v>
      </c>
      <c r="CJ76" s="323"/>
      <c r="CK76" s="323"/>
      <c r="CL76" s="323"/>
      <c r="CM76" s="324">
        <f t="shared" si="23"/>
        <v>277</v>
      </c>
      <c r="CN76" s="337"/>
      <c r="CO76" s="152"/>
      <c r="CP76" s="152"/>
      <c r="CQ76" s="327"/>
      <c r="CR76" s="152"/>
      <c r="CS76" s="152"/>
      <c r="CT76" s="152"/>
      <c r="CU76" s="152"/>
      <c r="CV76" s="152"/>
      <c r="CW76" s="327">
        <f t="shared" si="27"/>
        <v>0</v>
      </c>
      <c r="CX76" s="270"/>
      <c r="CY76" s="152"/>
      <c r="CZ76" s="152"/>
    </row>
    <row r="77" hidden="1">
      <c r="A77" s="307" t="s">
        <v>160</v>
      </c>
      <c r="B77" s="307" t="s">
        <v>483</v>
      </c>
      <c r="C77" s="307" t="s">
        <v>584</v>
      </c>
      <c r="D77" s="307" t="s">
        <v>484</v>
      </c>
      <c r="E77" s="307" t="s">
        <v>162</v>
      </c>
      <c r="F77" s="329">
        <v>45202.0</v>
      </c>
      <c r="G77" s="309">
        <v>0.0</v>
      </c>
      <c r="H77" s="309" t="s">
        <v>485</v>
      </c>
      <c r="I77" s="287">
        <v>0.0</v>
      </c>
      <c r="J77" s="287">
        <v>0.0</v>
      </c>
      <c r="K77" s="284">
        <v>213.0</v>
      </c>
      <c r="L77" s="284">
        <v>21.0</v>
      </c>
      <c r="M77" s="284">
        <v>0.0</v>
      </c>
      <c r="N77" s="284">
        <v>213.0</v>
      </c>
      <c r="O77" s="284">
        <v>192.0</v>
      </c>
      <c r="P77" s="287">
        <v>0.0</v>
      </c>
      <c r="Q77" s="287">
        <v>0.0</v>
      </c>
      <c r="R77" s="284">
        <v>0.0</v>
      </c>
      <c r="S77" s="284">
        <v>0.0</v>
      </c>
      <c r="T77" s="284">
        <v>0.0</v>
      </c>
      <c r="U77" s="284">
        <v>0.0</v>
      </c>
      <c r="V77" s="284">
        <v>1.0</v>
      </c>
      <c r="W77" s="284">
        <v>1.0</v>
      </c>
      <c r="X77" s="284">
        <v>41.0</v>
      </c>
      <c r="Y77" s="284">
        <v>14.0</v>
      </c>
      <c r="Z77" s="284">
        <v>45.0</v>
      </c>
      <c r="AA77" s="284">
        <v>0.0</v>
      </c>
      <c r="AB77" s="284">
        <v>0.0</v>
      </c>
      <c r="AC77" s="284">
        <v>0.0</v>
      </c>
      <c r="AD77" s="284">
        <v>0.0</v>
      </c>
      <c r="AE77" s="284">
        <v>31.0</v>
      </c>
      <c r="AF77" s="284">
        <v>77.0</v>
      </c>
      <c r="AG77" s="284">
        <v>74.0</v>
      </c>
      <c r="AH77" s="309">
        <f t="shared" si="2"/>
        <v>0</v>
      </c>
      <c r="AI77" s="309">
        <f t="shared" si="3"/>
        <v>1.040540541</v>
      </c>
      <c r="AJ77" s="311">
        <v>93820.0</v>
      </c>
      <c r="AK77" s="309">
        <f t="shared" si="33"/>
        <v>281460</v>
      </c>
      <c r="AL77" s="312"/>
      <c r="AM77" s="334" t="str">
        <f t="shared" si="5"/>
        <v/>
      </c>
      <c r="AN77" s="231" t="str">
        <f t="shared" si="6"/>
        <v/>
      </c>
      <c r="AO77" s="314" t="str">
        <f t="shared" si="7"/>
        <v/>
      </c>
      <c r="AP77" s="315">
        <v>0.0</v>
      </c>
      <c r="AQ77" s="284">
        <v>0.0</v>
      </c>
      <c r="AR77" s="284">
        <v>731.0</v>
      </c>
      <c r="AS77" s="284">
        <v>6073.3</v>
      </c>
      <c r="AT77" s="284">
        <v>0.0</v>
      </c>
      <c r="AU77" s="284">
        <v>289.0</v>
      </c>
      <c r="AV77" s="284">
        <v>0.0</v>
      </c>
      <c r="AW77" s="284">
        <v>21.0</v>
      </c>
      <c r="AX77" s="284">
        <v>192.0</v>
      </c>
      <c r="AY77" s="231"/>
      <c r="AZ77" s="316"/>
      <c r="BA77" s="307" t="str">
        <f t="shared" si="8"/>
        <v>Active</v>
      </c>
      <c r="BB77" s="307" t="str">
        <f t="shared" si="9"/>
        <v>Old</v>
      </c>
      <c r="BC77" s="307" t="str">
        <f t="shared" si="10"/>
        <v>Below 50%</v>
      </c>
      <c r="BD77" s="286">
        <f t="shared" si="32"/>
        <v>3</v>
      </c>
      <c r="BE77" s="335"/>
      <c r="BF77" s="284">
        <f t="shared" si="12"/>
        <v>0</v>
      </c>
      <c r="BG77" s="318" t="s">
        <v>485</v>
      </c>
      <c r="BH77" s="271"/>
      <c r="BI77" s="271"/>
      <c r="BJ77" s="273"/>
      <c r="BK77" s="274"/>
      <c r="BL77" s="319">
        <f t="shared" si="13"/>
        <v>0</v>
      </c>
      <c r="BM77" s="319" t="str">
        <f t="shared" si="14"/>
        <v/>
      </c>
      <c r="BN77" s="274"/>
      <c r="BO77" s="311" t="str">
        <f>IFERROR(__xludf.DUMMYFUNCTION("IFERROR(ArrayFormula(SUM(VLOOKUP($C77,importrange(""1PTkkEa_ENkSqsGnpqoXy9kt0Fe1hCtlmU6kVFBNaonY"",""ORDER BOOKING REPORT 2025-26!C:CV""),{16,23,30},0))))"),"")</f>
        <v/>
      </c>
      <c r="BP77" s="311" t="str">
        <f>IFERROR(__xludf.DUMMYFUNCTION("IFERROR(ArrayFormula(SUM(VLOOKUP($C77,importrange(""1PTkkEa_ENkSqsGnpqoXy9kt0Fe1hCtlmU6kVFBNaonY"",""ORDER BOOKING REPORT 2025-26!C:CV""),{37,44,51},0))))"),"")</f>
        <v/>
      </c>
      <c r="BQ77" s="311" t="str">
        <f>IFERROR(__xludf.DUMMYFUNCTION("IFERROR(ArrayFormula(SUM(VLOOKUP($C77,importrange(""1PTkkEa_ENkSqsGnpqoXy9kt0Fe1hCtlmU6kVFBNaonY"",""ORDER BOOKING REPORT 2025-26!C:CV""),{58,65,72},0))))"),"")</f>
        <v/>
      </c>
      <c r="BR77" s="311" t="str">
        <f>IFERROR(__xludf.DUMMYFUNCTION("IFERROR(ArrayFormula(SUM(VLOOKUP($C77,importrange(""1PTkkEa_ENkSqsGnpqoXy9kt0Fe1hCtlmU6kVFBNaonY"",""ORDER BOOKING REPORT 2025-26!C:CV""),{79,86,93},0))))"),"")</f>
        <v/>
      </c>
      <c r="BS77" s="152" t="str">
        <f t="shared" si="15"/>
        <v/>
      </c>
      <c r="BT77" s="152" t="str">
        <f t="shared" si="16"/>
        <v/>
      </c>
      <c r="BU77" s="287">
        <f t="shared" si="17"/>
        <v>0</v>
      </c>
      <c r="BV77" s="320">
        <v>93820.0</v>
      </c>
      <c r="BW77" s="321" t="s">
        <v>494</v>
      </c>
      <c r="BX77" s="320">
        <v>1005.0</v>
      </c>
      <c r="BY77" s="287">
        <f t="shared" si="18"/>
        <v>0</v>
      </c>
      <c r="BZ77" s="10"/>
      <c r="CA77" s="10"/>
      <c r="CB77" s="10"/>
      <c r="CC77" s="10"/>
      <c r="CD77" s="10"/>
      <c r="CE77" s="10"/>
      <c r="CF77" s="10"/>
      <c r="CG77" s="318" t="str">
        <f t="shared" si="21"/>
        <v> </v>
      </c>
      <c r="CH77" s="318" t="str">
        <f t="shared" si="28"/>
        <v>Not 50%</v>
      </c>
      <c r="CI77" s="322">
        <f t="shared" si="22"/>
        <v>0</v>
      </c>
      <c r="CJ77" s="336"/>
      <c r="CK77" s="336"/>
      <c r="CL77" s="336"/>
      <c r="CM77" s="324">
        <f t="shared" si="23"/>
        <v>31</v>
      </c>
      <c r="CN77" s="325"/>
      <c r="CO77" s="6"/>
      <c r="CP77" s="6"/>
      <c r="CQ77" s="327"/>
      <c r="CR77" s="6"/>
      <c r="CS77" s="6"/>
      <c r="CT77" s="6"/>
      <c r="CU77" s="6"/>
      <c r="CV77" s="6"/>
      <c r="CW77" s="327">
        <f t="shared" si="27"/>
        <v>0</v>
      </c>
      <c r="CX77" s="270"/>
      <c r="CY77" s="6"/>
      <c r="CZ77" s="6"/>
    </row>
    <row r="78">
      <c r="A78" s="307" t="s">
        <v>62</v>
      </c>
      <c r="B78" s="307" t="s">
        <v>516</v>
      </c>
      <c r="C78" s="307" t="s">
        <v>67</v>
      </c>
      <c r="D78" s="307" t="s">
        <v>516</v>
      </c>
      <c r="E78" s="307" t="s">
        <v>68</v>
      </c>
      <c r="F78" s="329">
        <v>45208.0</v>
      </c>
      <c r="G78" s="309">
        <v>0.0</v>
      </c>
      <c r="H78" s="309">
        <v>0.0</v>
      </c>
      <c r="I78" s="287">
        <v>250082.0</v>
      </c>
      <c r="J78" s="287">
        <v>0.0</v>
      </c>
      <c r="K78" s="284">
        <v>22.0</v>
      </c>
      <c r="L78" s="284">
        <v>20.0</v>
      </c>
      <c r="M78" s="284">
        <v>1.0</v>
      </c>
      <c r="N78" s="284">
        <v>23.0</v>
      </c>
      <c r="O78" s="284">
        <v>3.0</v>
      </c>
      <c r="P78" s="287">
        <v>83590.09</v>
      </c>
      <c r="Q78" s="287">
        <v>166491.7</v>
      </c>
      <c r="R78" s="284">
        <v>4.0</v>
      </c>
      <c r="S78" s="284">
        <v>1.0</v>
      </c>
      <c r="T78" s="284">
        <v>5.0</v>
      </c>
      <c r="U78" s="284">
        <v>0.0</v>
      </c>
      <c r="V78" s="284">
        <v>7.0</v>
      </c>
      <c r="W78" s="284">
        <v>9.0</v>
      </c>
      <c r="X78" s="284">
        <v>115.0</v>
      </c>
      <c r="Y78" s="284">
        <v>3.0</v>
      </c>
      <c r="Z78" s="284">
        <v>22.0</v>
      </c>
      <c r="AA78" s="284">
        <v>1.0</v>
      </c>
      <c r="AB78" s="284">
        <v>1.0</v>
      </c>
      <c r="AC78" s="284">
        <v>0.0</v>
      </c>
      <c r="AD78" s="284">
        <v>0.0</v>
      </c>
      <c r="AE78" s="284">
        <v>250.0</v>
      </c>
      <c r="AF78" s="284">
        <v>282.0</v>
      </c>
      <c r="AG78" s="284">
        <v>62.0</v>
      </c>
      <c r="AH78" s="309">
        <f t="shared" si="2"/>
        <v>4033.580645</v>
      </c>
      <c r="AI78" s="309">
        <f t="shared" si="3"/>
        <v>4.548387097</v>
      </c>
      <c r="AJ78" s="311">
        <v>24226.0</v>
      </c>
      <c r="AK78" s="309">
        <f t="shared" si="33"/>
        <v>72678</v>
      </c>
      <c r="AL78" s="286"/>
      <c r="AM78" s="313">
        <f t="shared" si="5"/>
        <v>0.2906166777</v>
      </c>
      <c r="AN78" s="309">
        <f t="shared" si="6"/>
        <v>50016.4</v>
      </c>
      <c r="AO78" s="314" t="str">
        <f t="shared" si="7"/>
        <v/>
      </c>
      <c r="AP78" s="315">
        <v>0.0</v>
      </c>
      <c r="AQ78" s="284">
        <v>8.0</v>
      </c>
      <c r="AR78" s="284">
        <v>607.0</v>
      </c>
      <c r="AS78" s="284">
        <v>4389.97</v>
      </c>
      <c r="AT78" s="284">
        <v>1.0</v>
      </c>
      <c r="AU78" s="284">
        <v>219.0</v>
      </c>
      <c r="AV78" s="284">
        <v>5.0</v>
      </c>
      <c r="AW78" s="284">
        <v>15.0</v>
      </c>
      <c r="AX78" s="284">
        <v>3.0</v>
      </c>
      <c r="AY78" s="309">
        <v>226171.0</v>
      </c>
      <c r="AZ78" s="316"/>
      <c r="BA78" s="307" t="str">
        <f t="shared" si="8"/>
        <v>Active</v>
      </c>
      <c r="BB78" s="307" t="str">
        <f t="shared" si="9"/>
        <v>Old</v>
      </c>
      <c r="BC78" s="307" t="str">
        <f t="shared" si="10"/>
        <v>Below 50%</v>
      </c>
      <c r="BD78" s="286">
        <f t="shared" si="32"/>
        <v>3</v>
      </c>
      <c r="BE78" s="328"/>
      <c r="BF78" s="284">
        <f t="shared" si="12"/>
        <v>0</v>
      </c>
      <c r="BG78" s="307" t="s">
        <v>488</v>
      </c>
      <c r="BH78" s="272">
        <f>IFERROR(__xludf.DUMMYFUNCTION("""COMPUTED_VALUE"""),2973305.0)</f>
        <v>2973305</v>
      </c>
      <c r="BI78" s="272">
        <f>IFERROR(__xludf.DUMMYFUNCTION("""COMPUTED_VALUE"""),3051120.4399999995)</f>
        <v>3051120.44</v>
      </c>
      <c r="BJ78" s="273"/>
      <c r="BK78" s="319"/>
      <c r="BL78" s="319">
        <f t="shared" si="13"/>
        <v>0</v>
      </c>
      <c r="BM78" s="319">
        <f t="shared" si="14"/>
        <v>0</v>
      </c>
      <c r="BN78" s="274"/>
      <c r="BO78" s="311">
        <f>IFERROR(__xludf.DUMMYFUNCTION("IFERROR(ArrayFormula(SUM(VLOOKUP($C78,importrange(""1PTkkEa_ENkSqsGnpqoXy9kt0Fe1hCtlmU6kVFBNaonY"",""ORDER BOOKING REPORT 2025-26!C:CV""),{16,23,30},0))))"),473702.35)</f>
        <v>473702.35</v>
      </c>
      <c r="BP78" s="311">
        <f>IFERROR(__xludf.DUMMYFUNCTION("IFERROR(ArrayFormula(SUM(VLOOKUP($C78,importrange(""1PTkkEa_ENkSqsGnpqoXy9kt0Fe1hCtlmU6kVFBNaonY"",""ORDER BOOKING REPORT 2025-26!C:CV""),{37,44,51},0))))"),531445.02)</f>
        <v>531445.02</v>
      </c>
      <c r="BQ78" s="311">
        <f>IFERROR(__xludf.DUMMYFUNCTION("IFERROR(ArrayFormula(SUM(VLOOKUP($C78,importrange(""1PTkkEa_ENkSqsGnpqoXy9kt0Fe1hCtlmU6kVFBNaonY"",""ORDER BOOKING REPORT 2025-26!C:CV""),{58,65,72},0))))"),952695.51)</f>
        <v>952695.51</v>
      </c>
      <c r="BR78" s="311">
        <f>IFERROR(__xludf.DUMMYFUNCTION("IFERROR(ArrayFormula(SUM(VLOOKUP($C78,importrange(""1PTkkEa_ENkSqsGnpqoXy9kt0Fe1hCtlmU6kVFBNaonY"",""ORDER BOOKING REPORT 2025-26!C:CV""),{79,86,93},0))))"),1093277.56)</f>
        <v>1093277.56</v>
      </c>
      <c r="BS78" s="322" t="str">
        <f t="shared" si="15"/>
        <v/>
      </c>
      <c r="BT78" s="322">
        <f t="shared" si="16"/>
        <v>0.3213409323</v>
      </c>
      <c r="BU78" s="287">
        <f t="shared" si="17"/>
        <v>0</v>
      </c>
      <c r="BV78" s="320">
        <v>24226.0</v>
      </c>
      <c r="BW78" s="321" t="s">
        <v>526</v>
      </c>
      <c r="BX78" s="320">
        <v>1007.0</v>
      </c>
      <c r="BY78" s="287">
        <f t="shared" si="18"/>
        <v>0</v>
      </c>
      <c r="BZ78" s="10"/>
      <c r="CA78" s="10"/>
      <c r="CB78" s="10"/>
      <c r="CC78" s="10"/>
      <c r="CD78" s="10"/>
      <c r="CE78" s="10"/>
      <c r="CF78" s="10"/>
      <c r="CG78" s="318" t="str">
        <f t="shared" si="21"/>
        <v>Below 60</v>
      </c>
      <c r="CH78" s="318" t="str">
        <f t="shared" si="28"/>
        <v>Not 50%</v>
      </c>
      <c r="CI78" s="322">
        <f t="shared" si="22"/>
        <v>0.2173913043</v>
      </c>
      <c r="CJ78" s="323"/>
      <c r="CK78" s="323"/>
      <c r="CL78" s="323"/>
      <c r="CM78" s="324">
        <f t="shared" si="23"/>
        <v>250</v>
      </c>
      <c r="CN78" s="337"/>
      <c r="CO78" s="152"/>
      <c r="CP78" s="152"/>
      <c r="CQ78" s="327"/>
      <c r="CR78" s="152"/>
      <c r="CS78" s="152"/>
      <c r="CT78" s="152"/>
      <c r="CU78" s="152"/>
      <c r="CV78" s="152"/>
      <c r="CW78" s="327">
        <f t="shared" si="27"/>
        <v>0</v>
      </c>
      <c r="CX78" s="270"/>
      <c r="CY78" s="152"/>
      <c r="CZ78" s="152"/>
    </row>
    <row r="79" hidden="1">
      <c r="A79" s="307" t="s">
        <v>160</v>
      </c>
      <c r="B79" s="307" t="s">
        <v>491</v>
      </c>
      <c r="C79" s="307" t="s">
        <v>214</v>
      </c>
      <c r="D79" s="307" t="s">
        <v>554</v>
      </c>
      <c r="E79" s="307" t="s">
        <v>215</v>
      </c>
      <c r="F79" s="329">
        <v>45231.0</v>
      </c>
      <c r="G79" s="309">
        <v>0.0</v>
      </c>
      <c r="H79" s="309">
        <v>3750000.0</v>
      </c>
      <c r="I79" s="287">
        <v>2188229.0</v>
      </c>
      <c r="J79" s="287">
        <v>0.0</v>
      </c>
      <c r="K79" s="284">
        <v>37.0</v>
      </c>
      <c r="L79" s="284">
        <v>33.0</v>
      </c>
      <c r="M79" s="284">
        <v>0.0</v>
      </c>
      <c r="N79" s="284">
        <v>37.0</v>
      </c>
      <c r="O79" s="284">
        <v>4.0</v>
      </c>
      <c r="P79" s="287">
        <v>2188228.58</v>
      </c>
      <c r="Q79" s="287">
        <v>0.0</v>
      </c>
      <c r="R79" s="284">
        <v>11.0</v>
      </c>
      <c r="S79" s="284">
        <v>0.0</v>
      </c>
      <c r="T79" s="284">
        <v>11.0</v>
      </c>
      <c r="U79" s="284">
        <v>0.0</v>
      </c>
      <c r="V79" s="284">
        <v>36.0</v>
      </c>
      <c r="W79" s="284">
        <v>62.0</v>
      </c>
      <c r="X79" s="284">
        <v>79.0</v>
      </c>
      <c r="Y79" s="284">
        <v>1.0</v>
      </c>
      <c r="Z79" s="284">
        <v>56.0</v>
      </c>
      <c r="AA79" s="284">
        <v>0.0</v>
      </c>
      <c r="AB79" s="284">
        <v>0.0</v>
      </c>
      <c r="AC79" s="284">
        <v>0.0</v>
      </c>
      <c r="AD79" s="284">
        <v>0.0</v>
      </c>
      <c r="AE79" s="284">
        <v>186.0</v>
      </c>
      <c r="AF79" s="284">
        <v>304.0</v>
      </c>
      <c r="AG79" s="284">
        <v>72.0</v>
      </c>
      <c r="AH79" s="309">
        <f t="shared" si="2"/>
        <v>30392.06944</v>
      </c>
      <c r="AI79" s="309">
        <f t="shared" si="3"/>
        <v>4.222222222</v>
      </c>
      <c r="AJ79" s="311">
        <v>25803.0</v>
      </c>
      <c r="AK79" s="309">
        <f t="shared" si="33"/>
        <v>77409</v>
      </c>
      <c r="AL79" s="312"/>
      <c r="AM79" s="313">
        <f t="shared" si="5"/>
        <v>0.0353751824</v>
      </c>
      <c r="AN79" s="309">
        <f t="shared" si="6"/>
        <v>198929.9091</v>
      </c>
      <c r="AO79" s="314">
        <f t="shared" si="7"/>
        <v>0.5835277333</v>
      </c>
      <c r="AP79" s="315">
        <v>0.0</v>
      </c>
      <c r="AQ79" s="284">
        <v>20.0</v>
      </c>
      <c r="AR79" s="284">
        <v>636.0</v>
      </c>
      <c r="AS79" s="284">
        <v>3308.82</v>
      </c>
      <c r="AT79" s="284">
        <v>0.0</v>
      </c>
      <c r="AU79" s="284">
        <v>100.0</v>
      </c>
      <c r="AV79" s="284">
        <v>11.0</v>
      </c>
      <c r="AW79" s="284">
        <v>23.0</v>
      </c>
      <c r="AX79" s="284">
        <v>3.0</v>
      </c>
      <c r="AY79" s="309">
        <v>1994704.0</v>
      </c>
      <c r="AZ79" s="316"/>
      <c r="BA79" s="307" t="str">
        <f t="shared" si="8"/>
        <v>Active</v>
      </c>
      <c r="BB79" s="307" t="str">
        <f t="shared" si="9"/>
        <v>Old</v>
      </c>
      <c r="BC79" s="307" t="str">
        <f t="shared" si="10"/>
        <v>50%-70%</v>
      </c>
      <c r="BD79" s="286">
        <f t="shared" si="32"/>
        <v>3</v>
      </c>
      <c r="BE79" s="328">
        <v>1250000.0</v>
      </c>
      <c r="BF79" s="284">
        <f t="shared" si="12"/>
        <v>0</v>
      </c>
      <c r="BG79" s="307" t="s">
        <v>488</v>
      </c>
      <c r="BH79" s="272">
        <f>IFERROR(__xludf.DUMMYFUNCTION("""COMPUTED_VALUE"""),1.0390554E7)</f>
        <v>10390554</v>
      </c>
      <c r="BI79" s="272">
        <f>IFERROR(__xludf.DUMMYFUNCTION("""COMPUTED_VALUE"""),6585385.459999999)</f>
        <v>6585385.46</v>
      </c>
      <c r="BJ79" s="273"/>
      <c r="BK79" s="274"/>
      <c r="BL79" s="319">
        <f t="shared" si="13"/>
        <v>0</v>
      </c>
      <c r="BM79" s="319">
        <f t="shared" si="14"/>
        <v>3750000</v>
      </c>
      <c r="BN79" s="274"/>
      <c r="BO79" s="311">
        <f>IFERROR(__xludf.DUMMYFUNCTION("IFERROR(ArrayFormula(SUM(VLOOKUP($C79,importrange(""1PTkkEa_ENkSqsGnpqoXy9kt0Fe1hCtlmU6kVFBNaonY"",""ORDER BOOKING REPORT 2025-26!C:CV""),{16,23,30},0))))"),3312865.3000000003)</f>
        <v>3312865.3</v>
      </c>
      <c r="BP79" s="311">
        <f>IFERROR(__xludf.DUMMYFUNCTION("IFERROR(ArrayFormula(SUM(VLOOKUP($C79,importrange(""1PTkkEa_ENkSqsGnpqoXy9kt0Fe1hCtlmU6kVFBNaonY"",""ORDER BOOKING REPORT 2025-26!C:CV""),{37,44,51},0))))"),957018.2300000001)</f>
        <v>957018.23</v>
      </c>
      <c r="BQ79" s="311">
        <f>IFERROR(__xludf.DUMMYFUNCTION("IFERROR(ArrayFormula(SUM(VLOOKUP($C79,importrange(""1PTkkEa_ENkSqsGnpqoXy9kt0Fe1hCtlmU6kVFBNaonY"",""ORDER BOOKING REPORT 2025-26!C:CV""),{58,65,72},0))))"),1003211.53)</f>
        <v>1003211.53</v>
      </c>
      <c r="BR79" s="311">
        <f>IFERROR(__xludf.DUMMYFUNCTION("IFERROR(ArrayFormula(SUM(VLOOKUP($C79,importrange(""1PTkkEa_ENkSqsGnpqoXy9kt0Fe1hCtlmU6kVFBNaonY"",""ORDER BOOKING REPORT 2025-26!C:CV""),{79,86,93},0))))"),1312290.4)</f>
        <v>1312290.4</v>
      </c>
      <c r="BS79" s="322">
        <f t="shared" si="15"/>
        <v>0.5319210667</v>
      </c>
      <c r="BT79" s="322">
        <f t="shared" si="16"/>
        <v>0.03880726163</v>
      </c>
      <c r="BU79" s="287">
        <f t="shared" si="17"/>
        <v>0</v>
      </c>
      <c r="BV79" s="320">
        <v>25803.0</v>
      </c>
      <c r="BW79" s="321" t="s">
        <v>526</v>
      </c>
      <c r="BX79" s="320">
        <v>1120.0</v>
      </c>
      <c r="BY79" s="287">
        <f t="shared" si="18"/>
        <v>0</v>
      </c>
      <c r="BZ79" s="10"/>
      <c r="CA79" s="10"/>
      <c r="CB79" s="10"/>
      <c r="CC79" s="10"/>
      <c r="CD79" s="10"/>
      <c r="CE79" s="10"/>
      <c r="CF79" s="10"/>
      <c r="CG79" s="318" t="str">
        <f t="shared" si="21"/>
        <v>Below 60</v>
      </c>
      <c r="CH79" s="318" t="str">
        <f t="shared" si="28"/>
        <v>Not 50%</v>
      </c>
      <c r="CI79" s="322">
        <f t="shared" si="22"/>
        <v>0.2972972973</v>
      </c>
      <c r="CJ79" s="323"/>
      <c r="CK79" s="323"/>
      <c r="CL79" s="323"/>
      <c r="CM79" s="324">
        <f t="shared" si="23"/>
        <v>186</v>
      </c>
      <c r="CN79" s="325"/>
      <c r="CO79" s="6"/>
      <c r="CP79" s="6"/>
      <c r="CQ79" s="327"/>
      <c r="CR79" s="6"/>
      <c r="CS79" s="6"/>
      <c r="CT79" s="6"/>
      <c r="CU79" s="6"/>
      <c r="CV79" s="6"/>
      <c r="CW79" s="327">
        <f t="shared" si="27"/>
        <v>0</v>
      </c>
      <c r="CX79" s="270"/>
      <c r="CY79" s="6"/>
      <c r="CZ79" s="6"/>
    </row>
    <row r="80" hidden="1">
      <c r="A80" s="307" t="s">
        <v>160</v>
      </c>
      <c r="B80" s="307" t="s">
        <v>491</v>
      </c>
      <c r="C80" s="307" t="s">
        <v>216</v>
      </c>
      <c r="D80" s="307" t="s">
        <v>504</v>
      </c>
      <c r="E80" s="307" t="s">
        <v>217</v>
      </c>
      <c r="F80" s="329">
        <v>45233.0</v>
      </c>
      <c r="G80" s="309">
        <v>0.0</v>
      </c>
      <c r="H80" s="309">
        <v>5250000.0</v>
      </c>
      <c r="I80" s="287">
        <v>3773496.0</v>
      </c>
      <c r="J80" s="287">
        <v>0.0</v>
      </c>
      <c r="K80" s="284">
        <v>60.0</v>
      </c>
      <c r="L80" s="284">
        <v>44.0</v>
      </c>
      <c r="M80" s="284">
        <v>4.0</v>
      </c>
      <c r="N80" s="284">
        <v>64.0</v>
      </c>
      <c r="O80" s="284">
        <v>20.0</v>
      </c>
      <c r="P80" s="287">
        <v>3649618.94</v>
      </c>
      <c r="Q80" s="287">
        <v>123876.58</v>
      </c>
      <c r="R80" s="284">
        <v>30.0</v>
      </c>
      <c r="S80" s="284">
        <v>3.0</v>
      </c>
      <c r="T80" s="284">
        <v>33.0</v>
      </c>
      <c r="U80" s="284">
        <v>0.0</v>
      </c>
      <c r="V80" s="284">
        <v>36.0</v>
      </c>
      <c r="W80" s="284">
        <v>47.0</v>
      </c>
      <c r="X80" s="284">
        <v>127.0</v>
      </c>
      <c r="Y80" s="284">
        <v>3.0</v>
      </c>
      <c r="Z80" s="284">
        <v>40.0</v>
      </c>
      <c r="AA80" s="284">
        <v>2.0</v>
      </c>
      <c r="AB80" s="284">
        <v>2.0</v>
      </c>
      <c r="AC80" s="284">
        <v>2.0</v>
      </c>
      <c r="AD80" s="284">
        <v>2.0</v>
      </c>
      <c r="AE80" s="284">
        <v>134.0</v>
      </c>
      <c r="AF80" s="284">
        <v>225.0</v>
      </c>
      <c r="AG80" s="284">
        <v>72.0</v>
      </c>
      <c r="AH80" s="309">
        <f t="shared" si="2"/>
        <v>52409.66667</v>
      </c>
      <c r="AI80" s="309">
        <f t="shared" si="3"/>
        <v>3.125</v>
      </c>
      <c r="AJ80" s="311">
        <v>26530.0</v>
      </c>
      <c r="AK80" s="309">
        <f t="shared" si="33"/>
        <v>79590</v>
      </c>
      <c r="AL80" s="312"/>
      <c r="AM80" s="313">
        <f t="shared" si="5"/>
        <v>0.02109184692</v>
      </c>
      <c r="AN80" s="309">
        <f t="shared" si="6"/>
        <v>114348.3636</v>
      </c>
      <c r="AO80" s="314">
        <f t="shared" si="7"/>
        <v>0.7187611429</v>
      </c>
      <c r="AP80" s="315">
        <v>0.0</v>
      </c>
      <c r="AQ80" s="284">
        <v>52.0</v>
      </c>
      <c r="AR80" s="284">
        <v>719.0</v>
      </c>
      <c r="AS80" s="284">
        <v>5423.54</v>
      </c>
      <c r="AT80" s="284">
        <v>3.0</v>
      </c>
      <c r="AU80" s="284">
        <v>123.0</v>
      </c>
      <c r="AV80" s="284">
        <v>33.0</v>
      </c>
      <c r="AW80" s="284">
        <v>18.0</v>
      </c>
      <c r="AX80" s="284">
        <v>13.0</v>
      </c>
      <c r="AY80" s="309">
        <v>1976847.34</v>
      </c>
      <c r="AZ80" s="316"/>
      <c r="BA80" s="307" t="str">
        <f t="shared" si="8"/>
        <v>Active</v>
      </c>
      <c r="BB80" s="307" t="str">
        <f t="shared" si="9"/>
        <v>Old</v>
      </c>
      <c r="BC80" s="307" t="str">
        <f t="shared" si="10"/>
        <v>70%-90%</v>
      </c>
      <c r="BD80" s="286">
        <f t="shared" si="32"/>
        <v>3</v>
      </c>
      <c r="BE80" s="328">
        <v>1750000.0</v>
      </c>
      <c r="BF80" s="284">
        <f t="shared" si="12"/>
        <v>1</v>
      </c>
      <c r="BG80" s="307" t="s">
        <v>488</v>
      </c>
      <c r="BH80" s="272">
        <f>IFERROR(__xludf.DUMMYFUNCTION("""COMPUTED_VALUE"""),1.4526657799999999E7)</f>
        <v>14526657.8</v>
      </c>
      <c r="BI80" s="272">
        <f>IFERROR(__xludf.DUMMYFUNCTION("""COMPUTED_VALUE"""),1.2270027139999997E7)</f>
        <v>12270027.14</v>
      </c>
      <c r="BJ80" s="273"/>
      <c r="BK80" s="274"/>
      <c r="BL80" s="319">
        <f t="shared" si="13"/>
        <v>0</v>
      </c>
      <c r="BM80" s="319">
        <f t="shared" si="14"/>
        <v>5250000</v>
      </c>
      <c r="BN80" s="274"/>
      <c r="BO80" s="311">
        <f>IFERROR(__xludf.DUMMYFUNCTION("IFERROR(ArrayFormula(SUM(VLOOKUP($C80,importrange(""1PTkkEa_ENkSqsGnpqoXy9kt0Fe1hCtlmU6kVFBNaonY"",""ORDER BOOKING REPORT 2025-26!C:CV""),{16,23,30},0))))"),1169686.05)</f>
        <v>1169686.05</v>
      </c>
      <c r="BP80" s="311">
        <f>IFERROR(__xludf.DUMMYFUNCTION("IFERROR(ArrayFormula(SUM(VLOOKUP($C80,importrange(""1PTkkEa_ENkSqsGnpqoXy9kt0Fe1hCtlmU6kVFBNaonY"",""ORDER BOOKING REPORT 2025-26!C:CV""),{37,44,51},0))))"),3248005.79)</f>
        <v>3248005.79</v>
      </c>
      <c r="BQ80" s="311">
        <f>IFERROR(__xludf.DUMMYFUNCTION("IFERROR(ArrayFormula(SUM(VLOOKUP($C80,importrange(""1PTkkEa_ENkSqsGnpqoXy9kt0Fe1hCtlmU6kVFBNaonY"",""ORDER BOOKING REPORT 2025-26!C:CV""),{58,65,72},0))))"),2940046.07)</f>
        <v>2940046.07</v>
      </c>
      <c r="BR80" s="311">
        <f>IFERROR(__xludf.DUMMYFUNCTION("IFERROR(ArrayFormula(SUM(VLOOKUP($C80,importrange(""1PTkkEa_ENkSqsGnpqoXy9kt0Fe1hCtlmU6kVFBNaonY"",""ORDER BOOKING REPORT 2025-26!C:CV""),{79,86,93},0))))"),4912289.2299999995)</f>
        <v>4912289.23</v>
      </c>
      <c r="BS80" s="322">
        <f t="shared" si="15"/>
        <v>0.3765423505</v>
      </c>
      <c r="BT80" s="322">
        <f t="shared" si="16"/>
        <v>0.0402610755</v>
      </c>
      <c r="BU80" s="287">
        <f t="shared" si="17"/>
        <v>0</v>
      </c>
      <c r="BV80" s="320">
        <v>26530.0</v>
      </c>
      <c r="BW80" s="321" t="s">
        <v>526</v>
      </c>
      <c r="BX80" s="320">
        <v>1126.0</v>
      </c>
      <c r="BY80" s="287">
        <f t="shared" si="18"/>
        <v>0</v>
      </c>
      <c r="BZ80" s="10"/>
      <c r="CA80" s="10"/>
      <c r="CB80" s="10"/>
      <c r="CC80" s="10"/>
      <c r="CD80" s="10"/>
      <c r="CE80" s="10"/>
      <c r="CF80" s="10"/>
      <c r="CG80" s="318" t="str">
        <f t="shared" si="21"/>
        <v> </v>
      </c>
      <c r="CH80" s="318" t="str">
        <f t="shared" si="28"/>
        <v>Business Achieved 50%</v>
      </c>
      <c r="CI80" s="322">
        <f t="shared" si="22"/>
        <v>0.515625</v>
      </c>
      <c r="CJ80" s="323"/>
      <c r="CK80" s="323"/>
      <c r="CL80" s="323"/>
      <c r="CM80" s="324">
        <f t="shared" si="23"/>
        <v>134</v>
      </c>
      <c r="CN80" s="325"/>
      <c r="CO80" s="6"/>
      <c r="CP80" s="6"/>
      <c r="CQ80" s="327"/>
      <c r="CR80" s="6"/>
      <c r="CS80" s="6"/>
      <c r="CT80" s="6"/>
      <c r="CU80" s="6"/>
      <c r="CV80" s="6"/>
      <c r="CW80" s="327">
        <f t="shared" si="27"/>
        <v>0</v>
      </c>
      <c r="CX80" s="270"/>
      <c r="CY80" s="6"/>
      <c r="CZ80" s="6"/>
    </row>
    <row r="81" hidden="1">
      <c r="A81" s="307" t="s">
        <v>160</v>
      </c>
      <c r="B81" s="307" t="s">
        <v>491</v>
      </c>
      <c r="C81" s="307" t="s">
        <v>218</v>
      </c>
      <c r="D81" s="307" t="s">
        <v>504</v>
      </c>
      <c r="E81" s="307" t="s">
        <v>219</v>
      </c>
      <c r="F81" s="329">
        <v>45236.0</v>
      </c>
      <c r="G81" s="309">
        <v>0.0</v>
      </c>
      <c r="H81" s="309">
        <v>5499999.0</v>
      </c>
      <c r="I81" s="287">
        <v>5190987.0</v>
      </c>
      <c r="J81" s="287">
        <v>0.0</v>
      </c>
      <c r="K81" s="284">
        <v>82.0</v>
      </c>
      <c r="L81" s="284">
        <v>65.0</v>
      </c>
      <c r="M81" s="284">
        <v>3.0</v>
      </c>
      <c r="N81" s="284">
        <v>85.0</v>
      </c>
      <c r="O81" s="284">
        <v>20.0</v>
      </c>
      <c r="P81" s="287">
        <v>4721507.28</v>
      </c>
      <c r="Q81" s="287">
        <v>469479.68</v>
      </c>
      <c r="R81" s="284">
        <v>44.0</v>
      </c>
      <c r="S81" s="284">
        <v>3.0</v>
      </c>
      <c r="T81" s="284">
        <v>47.0</v>
      </c>
      <c r="U81" s="284">
        <v>0.0</v>
      </c>
      <c r="V81" s="284">
        <v>13.0</v>
      </c>
      <c r="W81" s="284">
        <v>21.0</v>
      </c>
      <c r="X81" s="284">
        <v>180.0</v>
      </c>
      <c r="Y81" s="284">
        <v>0.0</v>
      </c>
      <c r="Z81" s="284">
        <v>0.0</v>
      </c>
      <c r="AA81" s="284">
        <v>0.0</v>
      </c>
      <c r="AB81" s="284">
        <v>0.0</v>
      </c>
      <c r="AC81" s="284">
        <v>0.0</v>
      </c>
      <c r="AD81" s="284">
        <v>0.0</v>
      </c>
      <c r="AE81" s="284">
        <v>362.0</v>
      </c>
      <c r="AF81" s="284">
        <v>383.0</v>
      </c>
      <c r="AG81" s="284">
        <v>68.0</v>
      </c>
      <c r="AH81" s="309">
        <f t="shared" si="2"/>
        <v>76338.04412</v>
      </c>
      <c r="AI81" s="309">
        <f t="shared" si="3"/>
        <v>5.632352941</v>
      </c>
      <c r="AJ81" s="311">
        <v>27680.0</v>
      </c>
      <c r="AK81" s="309">
        <f t="shared" si="33"/>
        <v>83040</v>
      </c>
      <c r="AL81" s="312"/>
      <c r="AM81" s="313">
        <f t="shared" si="5"/>
        <v>0.0159969578</v>
      </c>
      <c r="AN81" s="309">
        <f t="shared" si="6"/>
        <v>110446.5319</v>
      </c>
      <c r="AO81" s="314">
        <f t="shared" si="7"/>
        <v>0.9438159898</v>
      </c>
      <c r="AP81" s="315">
        <v>0.0</v>
      </c>
      <c r="AQ81" s="284">
        <v>174.0</v>
      </c>
      <c r="AR81" s="284">
        <v>553.0</v>
      </c>
      <c r="AS81" s="284">
        <v>5850.8</v>
      </c>
      <c r="AT81" s="284">
        <v>3.0</v>
      </c>
      <c r="AU81" s="284">
        <v>90.0</v>
      </c>
      <c r="AV81" s="284">
        <v>47.0</v>
      </c>
      <c r="AW81" s="284">
        <v>18.0</v>
      </c>
      <c r="AX81" s="284">
        <v>20.0</v>
      </c>
      <c r="AY81" s="309">
        <v>5396912.0</v>
      </c>
      <c r="AZ81" s="316"/>
      <c r="BA81" s="307" t="str">
        <f t="shared" si="8"/>
        <v>Active</v>
      </c>
      <c r="BB81" s="307" t="str">
        <f t="shared" si="9"/>
        <v>Old</v>
      </c>
      <c r="BC81" s="307" t="str">
        <f t="shared" si="10"/>
        <v>90%-100%</v>
      </c>
      <c r="BD81" s="286">
        <f t="shared" si="32"/>
        <v>3</v>
      </c>
      <c r="BE81" s="328">
        <v>1833333.0</v>
      </c>
      <c r="BF81" s="284">
        <f t="shared" si="12"/>
        <v>0</v>
      </c>
      <c r="BG81" s="307" t="s">
        <v>488</v>
      </c>
      <c r="BH81" s="272">
        <f>IFERROR(__xludf.DUMMYFUNCTION("""COMPUTED_VALUE"""),1.5550099E7)</f>
        <v>15550099</v>
      </c>
      <c r="BI81" s="272">
        <f>IFERROR(__xludf.DUMMYFUNCTION("""COMPUTED_VALUE"""),1.8137542849999998E7)</f>
        <v>18137542.85</v>
      </c>
      <c r="BJ81" s="273"/>
      <c r="BK81" s="274"/>
      <c r="BL81" s="319">
        <f t="shared" si="13"/>
        <v>0</v>
      </c>
      <c r="BM81" s="319">
        <f t="shared" si="14"/>
        <v>5499999</v>
      </c>
      <c r="BN81" s="274"/>
      <c r="BO81" s="311">
        <f>IFERROR(__xludf.DUMMYFUNCTION("IFERROR(ArrayFormula(SUM(VLOOKUP($C81,importrange(""1PTkkEa_ENkSqsGnpqoXy9kt0Fe1hCtlmU6kVFBNaonY"",""ORDER BOOKING REPORT 2025-26!C:CV""),{16,23,30},0))))"),3370191.4000000004)</f>
        <v>3370191.4</v>
      </c>
      <c r="BP81" s="311">
        <f>IFERROR(__xludf.DUMMYFUNCTION("IFERROR(ArrayFormula(SUM(VLOOKUP($C81,importrange(""1PTkkEa_ENkSqsGnpqoXy9kt0Fe1hCtlmU6kVFBNaonY"",""ORDER BOOKING REPORT 2025-26!C:CV""),{37,44,51},0))))"),3566609.4400000004)</f>
        <v>3566609.44</v>
      </c>
      <c r="BQ81" s="311">
        <f>IFERROR(__xludf.DUMMYFUNCTION("IFERROR(ArrayFormula(SUM(VLOOKUP($C81,importrange(""1PTkkEa_ENkSqsGnpqoXy9kt0Fe1hCtlmU6kVFBNaonY"",""ORDER BOOKING REPORT 2025-26!C:CV""),{58,65,72},0))))"),3700991.03)</f>
        <v>3700991.03</v>
      </c>
      <c r="BR81" s="311">
        <f>IFERROR(__xludf.DUMMYFUNCTION("IFERROR(ArrayFormula(SUM(VLOOKUP($C81,importrange(""1PTkkEa_ENkSqsGnpqoXy9kt0Fe1hCtlmU6kVFBNaonY"",""ORDER BOOKING REPORT 2025-26!C:CV""),{79,86,93},0))))"),7499750.98)</f>
        <v>7499750.98</v>
      </c>
      <c r="BS81" s="322">
        <f t="shared" si="15"/>
        <v>0.9812569057</v>
      </c>
      <c r="BT81" s="322">
        <f t="shared" si="16"/>
        <v>0.01538657662</v>
      </c>
      <c r="BU81" s="287">
        <f t="shared" si="17"/>
        <v>0</v>
      </c>
      <c r="BV81" s="320">
        <v>27680.0</v>
      </c>
      <c r="BW81" s="321" t="s">
        <v>526</v>
      </c>
      <c r="BX81" s="320">
        <v>1127.0</v>
      </c>
      <c r="BY81" s="287">
        <f t="shared" si="18"/>
        <v>0</v>
      </c>
      <c r="BZ81" s="10"/>
      <c r="CA81" s="10"/>
      <c r="CB81" s="10"/>
      <c r="CC81" s="10"/>
      <c r="CD81" s="10"/>
      <c r="CE81" s="10"/>
      <c r="CF81" s="10"/>
      <c r="CG81" s="318" t="str">
        <f t="shared" si="21"/>
        <v> </v>
      </c>
      <c r="CH81" s="318" t="str">
        <f t="shared" si="28"/>
        <v>Business Achieved 50%</v>
      </c>
      <c r="CI81" s="322">
        <f t="shared" si="22"/>
        <v>0.5529411765</v>
      </c>
      <c r="CJ81" s="323"/>
      <c r="CK81" s="323"/>
      <c r="CL81" s="323"/>
      <c r="CM81" s="324">
        <f t="shared" si="23"/>
        <v>362</v>
      </c>
      <c r="CN81" s="325"/>
      <c r="CO81" s="6"/>
      <c r="CP81" s="6"/>
      <c r="CQ81" s="327"/>
      <c r="CR81" s="6"/>
      <c r="CS81" s="6"/>
      <c r="CT81" s="6"/>
      <c r="CU81" s="6"/>
      <c r="CV81" s="6"/>
      <c r="CW81" s="327">
        <f t="shared" si="27"/>
        <v>0</v>
      </c>
      <c r="CX81" s="270"/>
      <c r="CY81" s="6"/>
      <c r="CZ81" s="6"/>
    </row>
    <row r="82" hidden="1">
      <c r="A82" s="307" t="s">
        <v>160</v>
      </c>
      <c r="B82" s="307" t="s">
        <v>518</v>
      </c>
      <c r="C82" s="307" t="s">
        <v>220</v>
      </c>
      <c r="D82" s="307" t="s">
        <v>554</v>
      </c>
      <c r="E82" s="307" t="s">
        <v>221</v>
      </c>
      <c r="F82" s="329">
        <v>45236.0</v>
      </c>
      <c r="G82" s="309">
        <v>0.0</v>
      </c>
      <c r="H82" s="309">
        <v>6750000.0</v>
      </c>
      <c r="I82" s="287">
        <v>3476078.0</v>
      </c>
      <c r="J82" s="287">
        <v>0.0</v>
      </c>
      <c r="K82" s="284">
        <v>34.0</v>
      </c>
      <c r="L82" s="284">
        <v>35.0</v>
      </c>
      <c r="M82" s="284">
        <v>1.0</v>
      </c>
      <c r="N82" s="284">
        <v>35.0</v>
      </c>
      <c r="O82" s="284">
        <v>0.0</v>
      </c>
      <c r="P82" s="287">
        <v>3284978.03</v>
      </c>
      <c r="Q82" s="287">
        <v>191100.05</v>
      </c>
      <c r="R82" s="284">
        <v>20.0</v>
      </c>
      <c r="S82" s="284">
        <v>1.0</v>
      </c>
      <c r="T82" s="284">
        <v>21.0</v>
      </c>
      <c r="U82" s="284">
        <v>0.0</v>
      </c>
      <c r="V82" s="284">
        <v>37.0</v>
      </c>
      <c r="W82" s="284">
        <v>64.0</v>
      </c>
      <c r="X82" s="284">
        <v>85.0</v>
      </c>
      <c r="Y82" s="284">
        <v>1.0</v>
      </c>
      <c r="Z82" s="284">
        <v>1.0</v>
      </c>
      <c r="AA82" s="284">
        <v>0.0</v>
      </c>
      <c r="AB82" s="284">
        <v>0.0</v>
      </c>
      <c r="AC82" s="284">
        <v>0.0</v>
      </c>
      <c r="AD82" s="284">
        <v>0.0</v>
      </c>
      <c r="AE82" s="284">
        <v>210.0</v>
      </c>
      <c r="AF82" s="284">
        <v>275.0</v>
      </c>
      <c r="AG82" s="284">
        <v>67.0</v>
      </c>
      <c r="AH82" s="309">
        <f t="shared" si="2"/>
        <v>51881.76119</v>
      </c>
      <c r="AI82" s="309">
        <f t="shared" si="3"/>
        <v>4.104477612</v>
      </c>
      <c r="AJ82" s="311">
        <v>29985.0</v>
      </c>
      <c r="AK82" s="309">
        <f t="shared" si="33"/>
        <v>89955</v>
      </c>
      <c r="AL82" s="312"/>
      <c r="AM82" s="313">
        <f t="shared" si="5"/>
        <v>0.02587830308</v>
      </c>
      <c r="AN82" s="309">
        <f t="shared" si="6"/>
        <v>165527.5238</v>
      </c>
      <c r="AO82" s="314">
        <f t="shared" si="7"/>
        <v>0.5149745185</v>
      </c>
      <c r="AP82" s="315">
        <v>0.0</v>
      </c>
      <c r="AQ82" s="284">
        <v>30.0</v>
      </c>
      <c r="AR82" s="284">
        <v>715.0</v>
      </c>
      <c r="AS82" s="284">
        <v>6244.53</v>
      </c>
      <c r="AT82" s="284">
        <v>1.0</v>
      </c>
      <c r="AU82" s="284">
        <v>178.0</v>
      </c>
      <c r="AV82" s="284">
        <v>21.0</v>
      </c>
      <c r="AW82" s="284">
        <v>14.0</v>
      </c>
      <c r="AX82" s="284">
        <v>0.0</v>
      </c>
      <c r="AY82" s="309">
        <v>3331537.0</v>
      </c>
      <c r="AZ82" s="316"/>
      <c r="BA82" s="307" t="str">
        <f t="shared" si="8"/>
        <v>Active</v>
      </c>
      <c r="BB82" s="307" t="str">
        <f t="shared" si="9"/>
        <v>Old</v>
      </c>
      <c r="BC82" s="307" t="str">
        <f t="shared" si="10"/>
        <v>50%-70%</v>
      </c>
      <c r="BD82" s="286">
        <f t="shared" si="32"/>
        <v>3</v>
      </c>
      <c r="BE82" s="328">
        <v>2250000.0</v>
      </c>
      <c r="BF82" s="284">
        <f t="shared" si="12"/>
        <v>0</v>
      </c>
      <c r="BG82" s="307" t="s">
        <v>488</v>
      </c>
      <c r="BH82" s="272">
        <f>IFERROR(__xludf.DUMMYFUNCTION("""COMPUTED_VALUE"""),1.87784184E7)</f>
        <v>18778418.4</v>
      </c>
      <c r="BI82" s="272">
        <f>IFERROR(__xludf.DUMMYFUNCTION("""COMPUTED_VALUE"""),1.616494175E7)</f>
        <v>16164941.75</v>
      </c>
      <c r="BJ82" s="273"/>
      <c r="BK82" s="274"/>
      <c r="BL82" s="319">
        <f t="shared" si="13"/>
        <v>0</v>
      </c>
      <c r="BM82" s="319">
        <f t="shared" si="14"/>
        <v>6750000</v>
      </c>
      <c r="BN82" s="274"/>
      <c r="BO82" s="311">
        <f>IFERROR(__xludf.DUMMYFUNCTION("IFERROR(ArrayFormula(SUM(VLOOKUP($C82,importrange(""1PTkkEa_ENkSqsGnpqoXy9kt0Fe1hCtlmU6kVFBNaonY"",""ORDER BOOKING REPORT 2025-26!C:CV""),{16,23,30},0))))"),3528903.8)</f>
        <v>3528903.8</v>
      </c>
      <c r="BP82" s="311">
        <f>IFERROR(__xludf.DUMMYFUNCTION("IFERROR(ArrayFormula(SUM(VLOOKUP($C82,importrange(""1PTkkEa_ENkSqsGnpqoXy9kt0Fe1hCtlmU6kVFBNaonY"",""ORDER BOOKING REPORT 2025-26!C:CV""),{37,44,51},0))))"),4426940.24)</f>
        <v>4426940.24</v>
      </c>
      <c r="BQ82" s="311">
        <f>IFERROR(__xludf.DUMMYFUNCTION("IFERROR(ArrayFormula(SUM(VLOOKUP($C82,importrange(""1PTkkEa_ENkSqsGnpqoXy9kt0Fe1hCtlmU6kVFBNaonY"",""ORDER BOOKING REPORT 2025-26!C:CV""),{58,65,72},0))))"),3481296.25)</f>
        <v>3481296.25</v>
      </c>
      <c r="BR82" s="311">
        <f>IFERROR(__xludf.DUMMYFUNCTION("IFERROR(ArrayFormula(SUM(VLOOKUP($C82,importrange(""1PTkkEa_ENkSqsGnpqoXy9kt0Fe1hCtlmU6kVFBNaonY"",""ORDER BOOKING REPORT 2025-26!C:CV""),{79,86,93},0))))"),4727801.46)</f>
        <v>4727801.46</v>
      </c>
      <c r="BS82" s="322">
        <f t="shared" si="15"/>
        <v>0.493561037</v>
      </c>
      <c r="BT82" s="322">
        <f t="shared" si="16"/>
        <v>0.02700105087</v>
      </c>
      <c r="BU82" s="287">
        <f t="shared" si="17"/>
        <v>0</v>
      </c>
      <c r="BV82" s="320">
        <v>29985.0</v>
      </c>
      <c r="BW82" s="321" t="s">
        <v>526</v>
      </c>
      <c r="BX82" s="320">
        <v>1128.0</v>
      </c>
      <c r="BY82" s="287">
        <f t="shared" si="18"/>
        <v>0</v>
      </c>
      <c r="BZ82" s="10"/>
      <c r="CA82" s="10"/>
      <c r="CB82" s="10"/>
      <c r="CC82" s="10"/>
      <c r="CD82" s="10"/>
      <c r="CE82" s="10"/>
      <c r="CF82" s="10"/>
      <c r="CG82" s="318" t="str">
        <f t="shared" si="21"/>
        <v>Below 60</v>
      </c>
      <c r="CH82" s="318" t="str">
        <f t="shared" si="28"/>
        <v>Business Achieved 50%</v>
      </c>
      <c r="CI82" s="322">
        <f t="shared" si="22"/>
        <v>0.6</v>
      </c>
      <c r="CJ82" s="323"/>
      <c r="CK82" s="323"/>
      <c r="CL82" s="323"/>
      <c r="CM82" s="324">
        <f t="shared" si="23"/>
        <v>210</v>
      </c>
      <c r="CN82" s="325"/>
      <c r="CO82" s="6"/>
      <c r="CP82" s="6"/>
      <c r="CQ82" s="327"/>
      <c r="CR82" s="6"/>
      <c r="CS82" s="6"/>
      <c r="CT82" s="6"/>
      <c r="CU82" s="6"/>
      <c r="CV82" s="6"/>
      <c r="CW82" s="327">
        <f t="shared" si="27"/>
        <v>0</v>
      </c>
      <c r="CX82" s="270"/>
      <c r="CY82" s="6"/>
      <c r="CZ82" s="6"/>
    </row>
    <row r="83" hidden="1">
      <c r="A83" s="307" t="s">
        <v>23</v>
      </c>
      <c r="B83" s="307" t="s">
        <v>545</v>
      </c>
      <c r="C83" s="307" t="s">
        <v>320</v>
      </c>
      <c r="D83" s="307" t="s">
        <v>545</v>
      </c>
      <c r="E83" s="307" t="s">
        <v>321</v>
      </c>
      <c r="F83" s="329">
        <v>45261.0</v>
      </c>
      <c r="G83" s="309">
        <v>300000.0</v>
      </c>
      <c r="H83" s="309">
        <v>4200000.0</v>
      </c>
      <c r="I83" s="287">
        <v>2015462.0</v>
      </c>
      <c r="J83" s="287">
        <v>0.0</v>
      </c>
      <c r="K83" s="284">
        <v>84.0</v>
      </c>
      <c r="L83" s="284">
        <v>81.0</v>
      </c>
      <c r="M83" s="284">
        <v>2.0</v>
      </c>
      <c r="N83" s="284">
        <v>86.0</v>
      </c>
      <c r="O83" s="284">
        <v>5.0</v>
      </c>
      <c r="P83" s="287">
        <v>1917789.63</v>
      </c>
      <c r="Q83" s="287">
        <v>97672.61</v>
      </c>
      <c r="R83" s="284">
        <v>37.0</v>
      </c>
      <c r="S83" s="284">
        <v>2.0</v>
      </c>
      <c r="T83" s="284">
        <v>39.0</v>
      </c>
      <c r="U83" s="284">
        <v>0.0</v>
      </c>
      <c r="V83" s="284">
        <v>77.0</v>
      </c>
      <c r="W83" s="284">
        <v>114.0</v>
      </c>
      <c r="X83" s="284">
        <v>93.0</v>
      </c>
      <c r="Y83" s="284">
        <v>3.0</v>
      </c>
      <c r="Z83" s="284">
        <v>52.0</v>
      </c>
      <c r="AA83" s="284">
        <v>3.0</v>
      </c>
      <c r="AB83" s="284">
        <v>13.0</v>
      </c>
      <c r="AC83" s="284">
        <v>1.0</v>
      </c>
      <c r="AD83" s="284">
        <v>1.0</v>
      </c>
      <c r="AE83" s="284">
        <v>290.0</v>
      </c>
      <c r="AF83" s="284">
        <v>470.0</v>
      </c>
      <c r="AG83" s="284">
        <v>63.0</v>
      </c>
      <c r="AH83" s="309">
        <f t="shared" si="2"/>
        <v>31991.46032</v>
      </c>
      <c r="AI83" s="309">
        <f t="shared" si="3"/>
        <v>7.46031746</v>
      </c>
      <c r="AJ83" s="311">
        <v>29360.0</v>
      </c>
      <c r="AK83" s="309">
        <f t="shared" si="33"/>
        <v>71442.66667</v>
      </c>
      <c r="AL83" s="286"/>
      <c r="AM83" s="313">
        <f t="shared" si="5"/>
        <v>0.03544729033</v>
      </c>
      <c r="AN83" s="309">
        <f t="shared" si="6"/>
        <v>51678.51282</v>
      </c>
      <c r="AO83" s="314">
        <f t="shared" si="7"/>
        <v>0.4478804444</v>
      </c>
      <c r="AP83" s="315">
        <v>0.0</v>
      </c>
      <c r="AQ83" s="284">
        <v>62.0</v>
      </c>
      <c r="AR83" s="284">
        <v>629.0</v>
      </c>
      <c r="AS83" s="284">
        <v>4307.0</v>
      </c>
      <c r="AT83" s="284">
        <v>2.0</v>
      </c>
      <c r="AU83" s="284">
        <v>53.0</v>
      </c>
      <c r="AV83" s="284">
        <v>39.0</v>
      </c>
      <c r="AW83" s="284">
        <v>42.0</v>
      </c>
      <c r="AX83" s="284">
        <v>5.0</v>
      </c>
      <c r="AY83" s="309">
        <v>1764652.0</v>
      </c>
      <c r="AZ83" s="316">
        <v>46186.0</v>
      </c>
      <c r="BA83" s="307" t="str">
        <f t="shared" si="8"/>
        <v>LEFT</v>
      </c>
      <c r="BB83" s="307" t="str">
        <f t="shared" si="9"/>
        <v>Old</v>
      </c>
      <c r="BC83" s="307" t="str">
        <f t="shared" si="10"/>
        <v>Below 50%</v>
      </c>
      <c r="BD83" s="347">
        <f>(13/30)+2</f>
        <v>2.433333333</v>
      </c>
      <c r="BE83" s="328">
        <v>1400000.0</v>
      </c>
      <c r="BF83" s="284">
        <f t="shared" si="12"/>
        <v>0</v>
      </c>
      <c r="BG83" s="307" t="s">
        <v>488</v>
      </c>
      <c r="BH83" s="272">
        <f>IFERROR(__xludf.DUMMYFUNCTION("""COMPUTED_VALUE"""),1.2340587E7)</f>
        <v>12340587</v>
      </c>
      <c r="BI83" s="272">
        <f>IFERROR(__xludf.DUMMYFUNCTION("""COMPUTED_VALUE"""),1.213639892E7)</f>
        <v>12136398.92</v>
      </c>
      <c r="BJ83" s="273"/>
      <c r="BK83" s="330">
        <v>100000.0</v>
      </c>
      <c r="BL83" s="319">
        <f>BK83*3</f>
        <v>300000</v>
      </c>
      <c r="BM83" s="319">
        <f t="shared" si="14"/>
        <v>4500000</v>
      </c>
      <c r="BN83" s="274"/>
      <c r="BO83" s="311">
        <f>IFERROR(__xludf.DUMMYFUNCTION("IFERROR(ArrayFormula(SUM(VLOOKUP($C83,importrange(""1PTkkEa_ENkSqsGnpqoXy9kt0Fe1hCtlmU6kVFBNaonY"",""ORDER BOOKING REPORT 2025-26!C:CV""),{16,23,30},0))))"),3138598.2)</f>
        <v>3138598.2</v>
      </c>
      <c r="BP83" s="311">
        <f>IFERROR(__xludf.DUMMYFUNCTION("IFERROR(ArrayFormula(SUM(VLOOKUP($C83,importrange(""1PTkkEa_ENkSqsGnpqoXy9kt0Fe1hCtlmU6kVFBNaonY"",""ORDER BOOKING REPORT 2025-26!C:CV""),{37,44,51},0))))"),3488774.19)</f>
        <v>3488774.19</v>
      </c>
      <c r="BQ83" s="311">
        <f>IFERROR(__xludf.DUMMYFUNCTION("IFERROR(ArrayFormula(SUM(VLOOKUP($C83,importrange(""1PTkkEa_ENkSqsGnpqoXy9kt0Fe1hCtlmU6kVFBNaonY"",""ORDER BOOKING REPORT 2025-26!C:CV""),{58,65,72},0))))"),2820839.38)</f>
        <v>2820839.38</v>
      </c>
      <c r="BR83" s="311">
        <f>IFERROR(__xludf.DUMMYFUNCTION("IFERROR(ArrayFormula(SUM(VLOOKUP($C83,importrange(""1PTkkEa_ENkSqsGnpqoXy9kt0Fe1hCtlmU6kVFBNaonY"",""ORDER BOOKING REPORT 2025-26!C:CV""),{79,86,93},0))))"),2688187.15)</f>
        <v>2688187.15</v>
      </c>
      <c r="BS83" s="322">
        <f t="shared" si="15"/>
        <v>0.3921448889</v>
      </c>
      <c r="BT83" s="322">
        <f t="shared" si="16"/>
        <v>0.04048541393</v>
      </c>
      <c r="BU83" s="287">
        <f t="shared" si="17"/>
        <v>0</v>
      </c>
      <c r="BV83" s="320">
        <v>29360.0</v>
      </c>
      <c r="BW83" s="321" t="s">
        <v>526</v>
      </c>
      <c r="BX83" s="320">
        <v>1013.0</v>
      </c>
      <c r="BY83" s="287">
        <f t="shared" si="18"/>
        <v>0</v>
      </c>
      <c r="BZ83" s="10"/>
      <c r="CA83" s="10"/>
      <c r="CB83" s="10"/>
      <c r="CC83" s="10"/>
      <c r="CD83" s="10"/>
      <c r="CE83" s="10"/>
      <c r="CF83" s="10"/>
      <c r="CG83" s="318" t="str">
        <f t="shared" si="21"/>
        <v> </v>
      </c>
      <c r="CH83" s="318" t="str">
        <f t="shared" si="28"/>
        <v>Not 50%</v>
      </c>
      <c r="CI83" s="322">
        <f t="shared" si="22"/>
        <v>0.4534883721</v>
      </c>
      <c r="CJ83" s="323"/>
      <c r="CK83" s="323"/>
      <c r="CL83" s="323"/>
      <c r="CM83" s="324">
        <f t="shared" si="23"/>
        <v>290</v>
      </c>
      <c r="CN83" s="337"/>
      <c r="CO83" s="152"/>
      <c r="CP83" s="152"/>
      <c r="CQ83" s="327"/>
      <c r="CR83" s="152"/>
      <c r="CS83" s="152"/>
      <c r="CT83" s="152"/>
      <c r="CU83" s="152"/>
      <c r="CV83" s="152"/>
      <c r="CW83" s="327">
        <f t="shared" si="27"/>
        <v>0</v>
      </c>
      <c r="CX83" s="270"/>
      <c r="CY83" s="152"/>
      <c r="CZ83" s="152"/>
    </row>
    <row r="84" hidden="1">
      <c r="A84" s="307" t="s">
        <v>160</v>
      </c>
      <c r="B84" s="307" t="s">
        <v>499</v>
      </c>
      <c r="C84" s="307" t="s">
        <v>222</v>
      </c>
      <c r="D84" s="307" t="s">
        <v>500</v>
      </c>
      <c r="E84" s="307" t="s">
        <v>223</v>
      </c>
      <c r="F84" s="308">
        <v>45278.0</v>
      </c>
      <c r="G84" s="309">
        <v>0.0</v>
      </c>
      <c r="H84" s="309">
        <v>6600000.0</v>
      </c>
      <c r="I84" s="287">
        <v>4548005.0</v>
      </c>
      <c r="J84" s="287">
        <v>0.0</v>
      </c>
      <c r="K84" s="284">
        <v>73.0</v>
      </c>
      <c r="L84" s="284">
        <v>71.0</v>
      </c>
      <c r="M84" s="284">
        <v>5.0</v>
      </c>
      <c r="N84" s="284">
        <v>78.0</v>
      </c>
      <c r="O84" s="284">
        <v>7.0</v>
      </c>
      <c r="P84" s="287">
        <v>3958291.04</v>
      </c>
      <c r="Q84" s="287">
        <v>589714.27</v>
      </c>
      <c r="R84" s="284">
        <v>34.0</v>
      </c>
      <c r="S84" s="284">
        <v>5.0</v>
      </c>
      <c r="T84" s="284">
        <v>39.0</v>
      </c>
      <c r="U84" s="284">
        <v>0.0</v>
      </c>
      <c r="V84" s="284">
        <v>1.0</v>
      </c>
      <c r="W84" s="284">
        <v>1.0</v>
      </c>
      <c r="X84" s="284">
        <v>125.0</v>
      </c>
      <c r="Y84" s="284">
        <v>1.0</v>
      </c>
      <c r="Z84" s="284">
        <v>8.0</v>
      </c>
      <c r="AA84" s="284">
        <v>0.0</v>
      </c>
      <c r="AB84" s="284">
        <v>0.0</v>
      </c>
      <c r="AC84" s="284">
        <v>0.0</v>
      </c>
      <c r="AD84" s="284">
        <v>0.0</v>
      </c>
      <c r="AE84" s="284">
        <v>349.0</v>
      </c>
      <c r="AF84" s="284">
        <v>358.0</v>
      </c>
      <c r="AG84" s="284">
        <v>76.0</v>
      </c>
      <c r="AH84" s="309">
        <f t="shared" si="2"/>
        <v>59842.17105</v>
      </c>
      <c r="AI84" s="309">
        <f t="shared" si="3"/>
        <v>4.710526316</v>
      </c>
      <c r="AJ84" s="311">
        <v>39855.0</v>
      </c>
      <c r="AK84" s="309">
        <f t="shared" si="33"/>
        <v>119565</v>
      </c>
      <c r="AL84" s="312"/>
      <c r="AM84" s="313">
        <f t="shared" si="5"/>
        <v>0.02628954893</v>
      </c>
      <c r="AN84" s="309">
        <f t="shared" si="6"/>
        <v>116615.5128</v>
      </c>
      <c r="AO84" s="314">
        <f t="shared" si="7"/>
        <v>0.6890916667</v>
      </c>
      <c r="AP84" s="315">
        <v>0.0</v>
      </c>
      <c r="AQ84" s="284">
        <v>110.0</v>
      </c>
      <c r="AR84" s="284">
        <v>897.0</v>
      </c>
      <c r="AS84" s="284">
        <v>8512.9</v>
      </c>
      <c r="AT84" s="284">
        <v>5.0</v>
      </c>
      <c r="AU84" s="284">
        <v>120.0</v>
      </c>
      <c r="AV84" s="284">
        <v>39.0</v>
      </c>
      <c r="AW84" s="284">
        <v>35.0</v>
      </c>
      <c r="AX84" s="284">
        <v>4.0</v>
      </c>
      <c r="AY84" s="309">
        <v>2920415.0</v>
      </c>
      <c r="AZ84" s="316"/>
      <c r="BA84" s="307" t="str">
        <f t="shared" si="8"/>
        <v>Active</v>
      </c>
      <c r="BB84" s="307" t="str">
        <f t="shared" si="9"/>
        <v>Old</v>
      </c>
      <c r="BC84" s="307" t="str">
        <f t="shared" si="10"/>
        <v>50%-70%</v>
      </c>
      <c r="BD84" s="286">
        <f t="array" ref="BD84">Match($BD$3,{"Apr","May","Jun","Jul","Aug","Sep","Oct","Nov","Dec","Jan","Feb","Mar"},0)</f>
        <v>3</v>
      </c>
      <c r="BE84" s="328">
        <v>2200000.0</v>
      </c>
      <c r="BF84" s="284">
        <f t="shared" si="12"/>
        <v>0</v>
      </c>
      <c r="BG84" s="307" t="s">
        <v>488</v>
      </c>
      <c r="BH84" s="272">
        <f>IFERROR(__xludf.DUMMYFUNCTION("""COMPUTED_VALUE"""),1.6156753E7)</f>
        <v>16156753</v>
      </c>
      <c r="BI84" s="272">
        <f>IFERROR(__xludf.DUMMYFUNCTION("""COMPUTED_VALUE"""),1.419624017E7)</f>
        <v>14196240.17</v>
      </c>
      <c r="BJ84" s="273"/>
      <c r="BK84" s="274"/>
      <c r="BL84" s="319">
        <f t="shared" ref="BL84:BL164" si="34">BK84*BD84</f>
        <v>0</v>
      </c>
      <c r="BM84" s="319">
        <f t="shared" si="14"/>
        <v>6600000</v>
      </c>
      <c r="BN84" s="274"/>
      <c r="BO84" s="311">
        <f>IFERROR(__xludf.DUMMYFUNCTION("IFERROR(ArrayFormula(SUM(VLOOKUP($C84,importrange(""1PTkkEa_ENkSqsGnpqoXy9kt0Fe1hCtlmU6kVFBNaonY"",""ORDER BOOKING REPORT 2025-26!C:CV""),{16,23,30},0))))"),2721546.7)</f>
        <v>2721546.7</v>
      </c>
      <c r="BP84" s="311">
        <f>IFERROR(__xludf.DUMMYFUNCTION("IFERROR(ArrayFormula(SUM(VLOOKUP($C84,importrange(""1PTkkEa_ENkSqsGnpqoXy9kt0Fe1hCtlmU6kVFBNaonY"",""ORDER BOOKING REPORT 2025-26!C:CV""),{37,44,51},0))))"),3021098.09)</f>
        <v>3021098.09</v>
      </c>
      <c r="BQ84" s="311">
        <f>IFERROR(__xludf.DUMMYFUNCTION("IFERROR(ArrayFormula(SUM(VLOOKUP($C84,importrange(""1PTkkEa_ENkSqsGnpqoXy9kt0Fe1hCtlmU6kVFBNaonY"",""ORDER BOOKING REPORT 2025-26!C:CV""),{58,65,72},0))))"),3827373.08)</f>
        <v>3827373.08</v>
      </c>
      <c r="BR84" s="311">
        <f>IFERROR(__xludf.DUMMYFUNCTION("IFERROR(ArrayFormula(SUM(VLOOKUP($C84,importrange(""1PTkkEa_ENkSqsGnpqoXy9kt0Fe1hCtlmU6kVFBNaonY"",""ORDER BOOKING REPORT 2025-26!C:CV""),{79,86,93},0))))"),4626222.300000001)</f>
        <v>4626222.3</v>
      </c>
      <c r="BS84" s="322">
        <f t="shared" si="15"/>
        <v>0.4424871212</v>
      </c>
      <c r="BT84" s="322">
        <f t="shared" si="16"/>
        <v>0.04094109912</v>
      </c>
      <c r="BU84" s="287">
        <f t="shared" si="17"/>
        <v>0</v>
      </c>
      <c r="BV84" s="320">
        <v>39855.0</v>
      </c>
      <c r="BW84" s="321" t="s">
        <v>526</v>
      </c>
      <c r="BX84" s="320">
        <v>1018.0</v>
      </c>
      <c r="BY84" s="287">
        <f t="shared" si="18"/>
        <v>0</v>
      </c>
      <c r="BZ84" s="10"/>
      <c r="CA84" s="10"/>
      <c r="CB84" s="10"/>
      <c r="CC84" s="10"/>
      <c r="CD84" s="10"/>
      <c r="CE84" s="10"/>
      <c r="CF84" s="10"/>
      <c r="CG84" s="318" t="str">
        <f t="shared" si="21"/>
        <v> </v>
      </c>
      <c r="CH84" s="318" t="str">
        <f t="shared" si="28"/>
        <v>Business Achieved 50%</v>
      </c>
      <c r="CI84" s="322">
        <f t="shared" si="22"/>
        <v>0.5</v>
      </c>
      <c r="CJ84" s="323"/>
      <c r="CK84" s="323"/>
      <c r="CL84" s="323"/>
      <c r="CM84" s="324">
        <f t="shared" si="23"/>
        <v>349</v>
      </c>
      <c r="CN84" s="325"/>
      <c r="CO84" s="6"/>
      <c r="CP84" s="6"/>
      <c r="CQ84" s="327"/>
      <c r="CR84" s="6"/>
      <c r="CS84" s="6"/>
      <c r="CT84" s="6"/>
      <c r="CU84" s="6"/>
      <c r="CV84" s="6"/>
      <c r="CW84" s="327">
        <f t="shared" si="27"/>
        <v>0</v>
      </c>
      <c r="CX84" s="270"/>
      <c r="CY84" s="6"/>
      <c r="CZ84" s="6"/>
    </row>
    <row r="85" hidden="1">
      <c r="A85" s="307" t="s">
        <v>160</v>
      </c>
      <c r="B85" s="307" t="s">
        <v>534</v>
      </c>
      <c r="C85" s="307" t="s">
        <v>311</v>
      </c>
      <c r="D85" s="307" t="s">
        <v>585</v>
      </c>
      <c r="E85" s="307" t="s">
        <v>312</v>
      </c>
      <c r="F85" s="329">
        <v>45292.0</v>
      </c>
      <c r="G85" s="309">
        <v>0.0</v>
      </c>
      <c r="H85" s="309">
        <v>3999999.0</v>
      </c>
      <c r="I85" s="287">
        <v>468139.0</v>
      </c>
      <c r="J85" s="287">
        <v>0.0</v>
      </c>
      <c r="K85" s="284">
        <v>42.0</v>
      </c>
      <c r="L85" s="284">
        <v>32.0</v>
      </c>
      <c r="M85" s="284">
        <v>0.0</v>
      </c>
      <c r="N85" s="284">
        <v>42.0</v>
      </c>
      <c r="O85" s="284">
        <v>10.0</v>
      </c>
      <c r="P85" s="287">
        <v>468138.52</v>
      </c>
      <c r="Q85" s="287">
        <v>0.0</v>
      </c>
      <c r="R85" s="284">
        <v>5.0</v>
      </c>
      <c r="S85" s="284">
        <v>0.0</v>
      </c>
      <c r="T85" s="284">
        <v>5.0</v>
      </c>
      <c r="U85" s="284">
        <v>0.0</v>
      </c>
      <c r="V85" s="284">
        <v>15.0</v>
      </c>
      <c r="W85" s="284">
        <v>19.0</v>
      </c>
      <c r="X85" s="284">
        <v>74.0</v>
      </c>
      <c r="Y85" s="284">
        <v>0.0</v>
      </c>
      <c r="Z85" s="284">
        <v>0.0</v>
      </c>
      <c r="AA85" s="284">
        <v>0.0</v>
      </c>
      <c r="AB85" s="284">
        <v>0.0</v>
      </c>
      <c r="AC85" s="284">
        <v>0.0</v>
      </c>
      <c r="AD85" s="284">
        <v>0.0</v>
      </c>
      <c r="AE85" s="284">
        <v>273.0</v>
      </c>
      <c r="AF85" s="284">
        <v>292.0</v>
      </c>
      <c r="AG85" s="284">
        <v>52.0</v>
      </c>
      <c r="AH85" s="309">
        <f t="shared" si="2"/>
        <v>9002.673077</v>
      </c>
      <c r="AI85" s="309">
        <f t="shared" si="3"/>
        <v>5.615384615</v>
      </c>
      <c r="AJ85" s="311">
        <v>29430.0</v>
      </c>
      <c r="AK85" s="309">
        <f t="shared" si="33"/>
        <v>73575</v>
      </c>
      <c r="AL85" s="312"/>
      <c r="AM85" s="313">
        <f t="shared" si="5"/>
        <v>0.1571648592</v>
      </c>
      <c r="AN85" s="309">
        <f t="shared" si="6"/>
        <v>93627.8</v>
      </c>
      <c r="AO85" s="314">
        <f t="shared" si="7"/>
        <v>0.1170347793</v>
      </c>
      <c r="AP85" s="315">
        <v>0.0</v>
      </c>
      <c r="AQ85" s="284">
        <v>6.0</v>
      </c>
      <c r="AR85" s="284">
        <v>614.0</v>
      </c>
      <c r="AS85" s="284">
        <v>935.79</v>
      </c>
      <c r="AT85" s="284">
        <v>0.0</v>
      </c>
      <c r="AU85" s="284">
        <v>29.0</v>
      </c>
      <c r="AV85" s="284">
        <v>5.0</v>
      </c>
      <c r="AW85" s="284">
        <v>27.0</v>
      </c>
      <c r="AX85" s="284">
        <v>10.0</v>
      </c>
      <c r="AY85" s="309">
        <v>408170.0</v>
      </c>
      <c r="AZ85" s="316">
        <v>46188.0</v>
      </c>
      <c r="BA85" s="307" t="str">
        <f t="shared" si="8"/>
        <v>LEFT</v>
      </c>
      <c r="BB85" s="307" t="str">
        <f t="shared" si="9"/>
        <v>Old</v>
      </c>
      <c r="BC85" s="307" t="str">
        <f t="shared" si="10"/>
        <v>Below 50%</v>
      </c>
      <c r="BD85" s="347">
        <f>(15/30)+2</f>
        <v>2.5</v>
      </c>
      <c r="BE85" s="328">
        <v>1333333.0</v>
      </c>
      <c r="BF85" s="284">
        <f t="shared" si="12"/>
        <v>0</v>
      </c>
      <c r="BG85" s="307" t="s">
        <v>488</v>
      </c>
      <c r="BH85" s="272">
        <f>IFERROR(__xludf.DUMMYFUNCTION("""COMPUTED_VALUE"""),1.097466E7)</f>
        <v>10974660</v>
      </c>
      <c r="BI85" s="272">
        <f>IFERROR(__xludf.DUMMYFUNCTION("""COMPUTED_VALUE"""),1.077168393E7)</f>
        <v>10771683.93</v>
      </c>
      <c r="BJ85" s="273"/>
      <c r="BK85" s="274"/>
      <c r="BL85" s="319">
        <f t="shared" si="34"/>
        <v>0</v>
      </c>
      <c r="BM85" s="319">
        <f t="shared" si="14"/>
        <v>3999999</v>
      </c>
      <c r="BN85" s="274"/>
      <c r="BO85" s="311">
        <f>IFERROR(__xludf.DUMMYFUNCTION("IFERROR(ArrayFormula(SUM(VLOOKUP($C85,importrange(""1PTkkEa_ENkSqsGnpqoXy9kt0Fe1hCtlmU6kVFBNaonY"",""ORDER BOOKING REPORT 2025-26!C:CV""),{16,23,30},0))))"),3416503.05)</f>
        <v>3416503.05</v>
      </c>
      <c r="BP85" s="311">
        <f>IFERROR(__xludf.DUMMYFUNCTION("IFERROR(ArrayFormula(SUM(VLOOKUP($C85,importrange(""1PTkkEa_ENkSqsGnpqoXy9kt0Fe1hCtlmU6kVFBNaonY"",""ORDER BOOKING REPORT 2025-26!C:CV""),{37,44,51},0))))"),4668148.9399999995)</f>
        <v>4668148.94</v>
      </c>
      <c r="BQ85" s="311">
        <f>IFERROR(__xludf.DUMMYFUNCTION("IFERROR(ArrayFormula(SUM(VLOOKUP($C85,importrange(""1PTkkEa_ENkSqsGnpqoXy9kt0Fe1hCtlmU6kVFBNaonY"",""ORDER BOOKING REPORT 2025-26!C:CV""),{58,65,72},0))))"),2106499.54)</f>
        <v>2106499.54</v>
      </c>
      <c r="BR85" s="311">
        <f>IFERROR(__xludf.DUMMYFUNCTION("IFERROR(ArrayFormula(SUM(VLOOKUP($C85,importrange(""1PTkkEa_ENkSqsGnpqoXy9kt0Fe1hCtlmU6kVFBNaonY"",""ORDER BOOKING REPORT 2025-26!C:CV""),{79,86,93},0))))"),580532.3999999999)</f>
        <v>580532.4</v>
      </c>
      <c r="BS85" s="322">
        <f t="shared" si="15"/>
        <v>0.1020425255</v>
      </c>
      <c r="BT85" s="322">
        <f t="shared" si="16"/>
        <v>0.1802557758</v>
      </c>
      <c r="BU85" s="287">
        <f t="shared" si="17"/>
        <v>0</v>
      </c>
      <c r="BV85" s="320">
        <v>29430.0</v>
      </c>
      <c r="BW85" s="321" t="s">
        <v>526</v>
      </c>
      <c r="BX85" s="320">
        <v>1043.0</v>
      </c>
      <c r="BY85" s="287">
        <f t="shared" si="18"/>
        <v>0</v>
      </c>
      <c r="BZ85" s="10"/>
      <c r="CA85" s="10"/>
      <c r="CB85" s="10"/>
      <c r="CC85" s="10"/>
      <c r="CD85" s="10"/>
      <c r="CE85" s="10"/>
      <c r="CF85" s="10"/>
      <c r="CG85" s="318" t="str">
        <f t="shared" si="21"/>
        <v>Below 60</v>
      </c>
      <c r="CH85" s="318" t="str">
        <f t="shared" si="28"/>
        <v>Not 50%</v>
      </c>
      <c r="CI85" s="322">
        <f t="shared" si="22"/>
        <v>0.119047619</v>
      </c>
      <c r="CJ85" s="323"/>
      <c r="CK85" s="323"/>
      <c r="CL85" s="323"/>
      <c r="CM85" s="324">
        <f t="shared" si="23"/>
        <v>273</v>
      </c>
      <c r="CN85" s="325"/>
      <c r="CO85" s="6"/>
      <c r="CP85" s="6"/>
      <c r="CQ85" s="327"/>
      <c r="CR85" s="6"/>
      <c r="CS85" s="6"/>
      <c r="CT85" s="6"/>
      <c r="CU85" s="6"/>
      <c r="CV85" s="6"/>
      <c r="CW85" s="327">
        <f t="shared" si="27"/>
        <v>0</v>
      </c>
      <c r="CX85" s="270"/>
      <c r="CY85" s="6"/>
      <c r="CZ85" s="6"/>
    </row>
    <row r="86" hidden="1">
      <c r="A86" s="307" t="s">
        <v>160</v>
      </c>
      <c r="B86" s="307" t="s">
        <v>483</v>
      </c>
      <c r="C86" s="307" t="s">
        <v>352</v>
      </c>
      <c r="D86" s="307" t="s">
        <v>484</v>
      </c>
      <c r="E86" s="307" t="s">
        <v>162</v>
      </c>
      <c r="F86" s="329">
        <v>45295.0</v>
      </c>
      <c r="G86" s="309">
        <v>0.0</v>
      </c>
      <c r="H86" s="309" t="s">
        <v>485</v>
      </c>
      <c r="I86" s="287">
        <v>0.0</v>
      </c>
      <c r="J86" s="287">
        <v>0.0</v>
      </c>
      <c r="K86" s="284">
        <v>218.0</v>
      </c>
      <c r="L86" s="284">
        <v>27.0</v>
      </c>
      <c r="M86" s="284">
        <v>1.0</v>
      </c>
      <c r="N86" s="284">
        <v>219.0</v>
      </c>
      <c r="O86" s="284">
        <v>192.0</v>
      </c>
      <c r="P86" s="287">
        <v>0.0</v>
      </c>
      <c r="Q86" s="287">
        <v>0.0</v>
      </c>
      <c r="R86" s="284">
        <v>0.0</v>
      </c>
      <c r="S86" s="284">
        <v>0.0</v>
      </c>
      <c r="T86" s="284">
        <v>0.0</v>
      </c>
      <c r="U86" s="284">
        <v>0.0</v>
      </c>
      <c r="V86" s="284">
        <v>2.0</v>
      </c>
      <c r="W86" s="284">
        <v>3.0</v>
      </c>
      <c r="X86" s="284">
        <v>27.0</v>
      </c>
      <c r="Y86" s="284">
        <v>10.0</v>
      </c>
      <c r="Z86" s="284">
        <v>19.0</v>
      </c>
      <c r="AA86" s="284">
        <v>0.0</v>
      </c>
      <c r="AB86" s="284">
        <v>0.0</v>
      </c>
      <c r="AC86" s="284">
        <v>0.0</v>
      </c>
      <c r="AD86" s="284">
        <v>0.0</v>
      </c>
      <c r="AE86" s="284">
        <v>32.0</v>
      </c>
      <c r="AF86" s="284">
        <v>54.0</v>
      </c>
      <c r="AG86" s="284">
        <v>74.0</v>
      </c>
      <c r="AH86" s="309">
        <f t="shared" si="2"/>
        <v>0</v>
      </c>
      <c r="AI86" s="309">
        <f t="shared" si="3"/>
        <v>0.7297297297</v>
      </c>
      <c r="AJ86" s="311">
        <v>88555.0</v>
      </c>
      <c r="AK86" s="309">
        <f t="shared" si="33"/>
        <v>265665</v>
      </c>
      <c r="AL86" s="312"/>
      <c r="AM86" s="334" t="str">
        <f t="shared" si="5"/>
        <v/>
      </c>
      <c r="AN86" s="231" t="str">
        <f t="shared" si="6"/>
        <v/>
      </c>
      <c r="AO86" s="314" t="str">
        <f t="shared" si="7"/>
        <v/>
      </c>
      <c r="AP86" s="315">
        <v>0.0</v>
      </c>
      <c r="AQ86" s="284">
        <v>0.0</v>
      </c>
      <c r="AR86" s="284">
        <v>808.0</v>
      </c>
      <c r="AS86" s="284">
        <v>8322.63</v>
      </c>
      <c r="AT86" s="284">
        <v>0.0</v>
      </c>
      <c r="AU86" s="284">
        <v>308.0</v>
      </c>
      <c r="AV86" s="284">
        <v>0.0</v>
      </c>
      <c r="AW86" s="284">
        <v>27.0</v>
      </c>
      <c r="AX86" s="284">
        <v>192.0</v>
      </c>
      <c r="AY86" s="231"/>
      <c r="AZ86" s="316"/>
      <c r="BA86" s="307" t="str">
        <f t="shared" si="8"/>
        <v>Active</v>
      </c>
      <c r="BB86" s="307" t="str">
        <f t="shared" si="9"/>
        <v>Old</v>
      </c>
      <c r="BC86" s="307" t="str">
        <f t="shared" si="10"/>
        <v>Below 50%</v>
      </c>
      <c r="BD86" s="286">
        <f t="shared" ref="BD86:BD146" si="35">Match($BD$3,{"Apr","May","Jun","Jul","Aug","Sep","Oct","Nov","Dec","Jan","Feb","Mar"},0)</f>
        <v>3</v>
      </c>
      <c r="BE86" s="335"/>
      <c r="BF86" s="284">
        <f t="shared" si="12"/>
        <v>1</v>
      </c>
      <c r="BG86" s="318" t="s">
        <v>485</v>
      </c>
      <c r="BH86" s="271"/>
      <c r="BI86" s="271"/>
      <c r="BJ86" s="273"/>
      <c r="BK86" s="274"/>
      <c r="BL86" s="319">
        <f t="shared" si="34"/>
        <v>0</v>
      </c>
      <c r="BM86" s="319" t="str">
        <f t="shared" si="14"/>
        <v/>
      </c>
      <c r="BN86" s="274"/>
      <c r="BO86" s="311" t="str">
        <f>IFERROR(__xludf.DUMMYFUNCTION("IFERROR(ArrayFormula(SUM(VLOOKUP($C86,importrange(""1PTkkEa_ENkSqsGnpqoXy9kt0Fe1hCtlmU6kVFBNaonY"",""ORDER BOOKING REPORT 2025-26!C:CV""),{16,23,30},0))))"),"")</f>
        <v/>
      </c>
      <c r="BP86" s="311" t="str">
        <f>IFERROR(__xludf.DUMMYFUNCTION("IFERROR(ArrayFormula(SUM(VLOOKUP($C86,importrange(""1PTkkEa_ENkSqsGnpqoXy9kt0Fe1hCtlmU6kVFBNaonY"",""ORDER BOOKING REPORT 2025-26!C:CV""),{37,44,51},0))))"),"")</f>
        <v/>
      </c>
      <c r="BQ86" s="311" t="str">
        <f>IFERROR(__xludf.DUMMYFUNCTION("IFERROR(ArrayFormula(SUM(VLOOKUP($C86,importrange(""1PTkkEa_ENkSqsGnpqoXy9kt0Fe1hCtlmU6kVFBNaonY"",""ORDER BOOKING REPORT 2025-26!C:CV""),{58,65,72},0))))"),"")</f>
        <v/>
      </c>
      <c r="BR86" s="311" t="str">
        <f>IFERROR(__xludf.DUMMYFUNCTION("IFERROR(ArrayFormula(SUM(VLOOKUP($C86,importrange(""1PTkkEa_ENkSqsGnpqoXy9kt0Fe1hCtlmU6kVFBNaonY"",""ORDER BOOKING REPORT 2025-26!C:CV""),{79,86,93},0))))"),"")</f>
        <v/>
      </c>
      <c r="BS86" s="152" t="str">
        <f t="shared" si="15"/>
        <v/>
      </c>
      <c r="BT86" s="152" t="str">
        <f t="shared" si="16"/>
        <v/>
      </c>
      <c r="BU86" s="287">
        <f t="shared" si="17"/>
        <v>0</v>
      </c>
      <c r="BV86" s="320">
        <v>88555.0</v>
      </c>
      <c r="BW86" s="321" t="s">
        <v>486</v>
      </c>
      <c r="BX86" s="320">
        <v>1033.0</v>
      </c>
      <c r="BY86" s="287">
        <f t="shared" si="18"/>
        <v>0</v>
      </c>
      <c r="BZ86" s="10"/>
      <c r="CA86" s="10"/>
      <c r="CB86" s="10"/>
      <c r="CC86" s="10"/>
      <c r="CD86" s="10"/>
      <c r="CE86" s="10"/>
      <c r="CF86" s="10"/>
      <c r="CG86" s="318" t="str">
        <f t="shared" si="21"/>
        <v> </v>
      </c>
      <c r="CH86" s="318" t="str">
        <f t="shared" si="28"/>
        <v>Not 50%</v>
      </c>
      <c r="CI86" s="322">
        <f t="shared" si="22"/>
        <v>0</v>
      </c>
      <c r="CJ86" s="336"/>
      <c r="CK86" s="336"/>
      <c r="CL86" s="336"/>
      <c r="CM86" s="324">
        <f t="shared" si="23"/>
        <v>32</v>
      </c>
      <c r="CN86" s="325"/>
      <c r="CO86" s="6"/>
      <c r="CP86" s="6"/>
      <c r="CQ86" s="327"/>
      <c r="CR86" s="6"/>
      <c r="CS86" s="6"/>
      <c r="CT86" s="6"/>
      <c r="CU86" s="6"/>
      <c r="CV86" s="6"/>
      <c r="CW86" s="327">
        <f t="shared" si="27"/>
        <v>0</v>
      </c>
      <c r="CX86" s="270"/>
      <c r="CY86" s="6"/>
      <c r="CZ86" s="6"/>
    </row>
    <row r="87" hidden="1">
      <c r="A87" s="307" t="s">
        <v>160</v>
      </c>
      <c r="B87" s="307" t="s">
        <v>534</v>
      </c>
      <c r="C87" s="307" t="s">
        <v>586</v>
      </c>
      <c r="D87" s="307" t="s">
        <v>587</v>
      </c>
      <c r="E87" s="307" t="s">
        <v>364</v>
      </c>
      <c r="F87" s="308">
        <v>45309.0</v>
      </c>
      <c r="G87" s="309">
        <v>0.0</v>
      </c>
      <c r="H87" s="309">
        <v>6249999.0</v>
      </c>
      <c r="I87" s="287">
        <v>4155100.0</v>
      </c>
      <c r="J87" s="287">
        <v>0.0</v>
      </c>
      <c r="K87" s="284">
        <v>82.0</v>
      </c>
      <c r="L87" s="284">
        <v>62.0</v>
      </c>
      <c r="M87" s="284">
        <v>0.0</v>
      </c>
      <c r="N87" s="284">
        <v>82.0</v>
      </c>
      <c r="O87" s="284">
        <v>20.0</v>
      </c>
      <c r="P87" s="287">
        <v>4155100.01</v>
      </c>
      <c r="Q87" s="287">
        <v>0.0</v>
      </c>
      <c r="R87" s="284">
        <v>37.0</v>
      </c>
      <c r="S87" s="284">
        <v>0.0</v>
      </c>
      <c r="T87" s="284">
        <v>37.0</v>
      </c>
      <c r="U87" s="284">
        <v>0.0</v>
      </c>
      <c r="V87" s="284">
        <v>6.0</v>
      </c>
      <c r="W87" s="284">
        <v>8.0</v>
      </c>
      <c r="X87" s="284">
        <v>83.0</v>
      </c>
      <c r="Y87" s="284">
        <v>1.0</v>
      </c>
      <c r="Z87" s="284">
        <v>3.0</v>
      </c>
      <c r="AA87" s="284">
        <v>0.0</v>
      </c>
      <c r="AB87" s="284">
        <v>0.0</v>
      </c>
      <c r="AC87" s="284">
        <v>0.0</v>
      </c>
      <c r="AD87" s="284">
        <v>0.0</v>
      </c>
      <c r="AE87" s="284">
        <v>227.0</v>
      </c>
      <c r="AF87" s="284">
        <v>238.0</v>
      </c>
      <c r="AG87" s="284">
        <v>69.0</v>
      </c>
      <c r="AH87" s="309">
        <f t="shared" si="2"/>
        <v>60218.84058</v>
      </c>
      <c r="AI87" s="309">
        <f t="shared" si="3"/>
        <v>3.449275362</v>
      </c>
      <c r="AJ87" s="311">
        <v>42820.0</v>
      </c>
      <c r="AK87" s="309">
        <f t="shared" si="33"/>
        <v>128460</v>
      </c>
      <c r="AL87" s="312"/>
      <c r="AM87" s="313">
        <f t="shared" si="5"/>
        <v>0.03091622344</v>
      </c>
      <c r="AN87" s="309">
        <f t="shared" si="6"/>
        <v>112300</v>
      </c>
      <c r="AO87" s="314">
        <f t="shared" si="7"/>
        <v>0.6648161064</v>
      </c>
      <c r="AP87" s="315">
        <v>0.0</v>
      </c>
      <c r="AQ87" s="284">
        <v>70.0</v>
      </c>
      <c r="AR87" s="284">
        <v>633.0</v>
      </c>
      <c r="AS87" s="284">
        <v>4471.19</v>
      </c>
      <c r="AT87" s="284">
        <v>0.0</v>
      </c>
      <c r="AU87" s="284">
        <v>72.0</v>
      </c>
      <c r="AV87" s="284">
        <v>37.0</v>
      </c>
      <c r="AW87" s="284">
        <v>33.0</v>
      </c>
      <c r="AX87" s="284">
        <v>12.0</v>
      </c>
      <c r="AY87" s="309">
        <v>2692307.0</v>
      </c>
      <c r="AZ87" s="316"/>
      <c r="BA87" s="307" t="str">
        <f t="shared" si="8"/>
        <v>Active</v>
      </c>
      <c r="BB87" s="307" t="str">
        <f t="shared" si="9"/>
        <v>Old</v>
      </c>
      <c r="BC87" s="307" t="str">
        <f t="shared" si="10"/>
        <v>50%-70%</v>
      </c>
      <c r="BD87" s="286">
        <f t="shared" si="35"/>
        <v>3</v>
      </c>
      <c r="BE87" s="328">
        <v>2083333.0</v>
      </c>
      <c r="BF87" s="284">
        <f t="shared" si="12"/>
        <v>0</v>
      </c>
      <c r="BG87" s="307" t="s">
        <v>488</v>
      </c>
      <c r="BH87" s="272">
        <f>IFERROR(__xludf.DUMMYFUNCTION("""COMPUTED_VALUE"""),1.7208893E7)</f>
        <v>17208893</v>
      </c>
      <c r="BI87" s="272">
        <f>IFERROR(__xludf.DUMMYFUNCTION("""COMPUTED_VALUE"""),1.7071034150000002E7)</f>
        <v>17071034.15</v>
      </c>
      <c r="BJ87" s="273"/>
      <c r="BK87" s="274"/>
      <c r="BL87" s="319">
        <f t="shared" si="34"/>
        <v>0</v>
      </c>
      <c r="BM87" s="319">
        <f t="shared" si="14"/>
        <v>6249999</v>
      </c>
      <c r="BN87" s="274"/>
      <c r="BO87" s="311">
        <f>IFERROR(__xludf.DUMMYFUNCTION("IFERROR(ArrayFormula(SUM(VLOOKUP($C87,importrange(""1PTkkEa_ENkSqsGnpqoXy9kt0Fe1hCtlmU6kVFBNaonY"",""ORDER BOOKING REPORT 2025-26!C:CV""),{16,23,30},0))))"),4763316.550000001)</f>
        <v>4763316.55</v>
      </c>
      <c r="BP87" s="311">
        <f>IFERROR(__xludf.DUMMYFUNCTION("IFERROR(ArrayFormula(SUM(VLOOKUP($C87,importrange(""1PTkkEa_ENkSqsGnpqoXy9kt0Fe1hCtlmU6kVFBNaonY"",""ORDER BOOKING REPORT 2025-26!C:CV""),{37,44,51},0))))"),4038080.2799999993)</f>
        <v>4038080.28</v>
      </c>
      <c r="BQ87" s="311">
        <f>IFERROR(__xludf.DUMMYFUNCTION("IFERROR(ArrayFormula(SUM(VLOOKUP($C87,importrange(""1PTkkEa_ENkSqsGnpqoXy9kt0Fe1hCtlmU6kVFBNaonY"",""ORDER BOOKING REPORT 2025-26!C:CV""),{58,65,72},0))))"),4396154.38)</f>
        <v>4396154.38</v>
      </c>
      <c r="BR87" s="311">
        <f>IFERROR(__xludf.DUMMYFUNCTION("IFERROR(ArrayFormula(SUM(VLOOKUP($C87,importrange(""1PTkkEa_ENkSqsGnpqoXy9kt0Fe1hCtlmU6kVFBNaonY"",""ORDER BOOKING REPORT 2025-26!C:CV""),{79,86,93},0))))"),3873482.9400000004)</f>
        <v>3873482.94</v>
      </c>
      <c r="BS87" s="322">
        <f t="shared" si="15"/>
        <v>0.4307691889</v>
      </c>
      <c r="BT87" s="322">
        <f t="shared" si="16"/>
        <v>0.04771372655</v>
      </c>
      <c r="BU87" s="287">
        <f t="shared" si="17"/>
        <v>0</v>
      </c>
      <c r="BV87" s="320">
        <v>42820.0</v>
      </c>
      <c r="BW87" s="321" t="s">
        <v>526</v>
      </c>
      <c r="BX87" s="320">
        <v>1041.0</v>
      </c>
      <c r="BY87" s="287">
        <f t="shared" si="18"/>
        <v>0</v>
      </c>
      <c r="BZ87" s="10"/>
      <c r="CA87" s="10"/>
      <c r="CB87" s="10"/>
      <c r="CC87" s="10"/>
      <c r="CD87" s="10"/>
      <c r="CE87" s="10"/>
      <c r="CF87" s="10"/>
      <c r="CG87" s="318" t="str">
        <f t="shared" si="21"/>
        <v> </v>
      </c>
      <c r="CH87" s="318" t="str">
        <f t="shared" si="28"/>
        <v>Not 50%</v>
      </c>
      <c r="CI87" s="322">
        <f t="shared" si="22"/>
        <v>0.4512195122</v>
      </c>
      <c r="CJ87" s="323"/>
      <c r="CK87" s="323"/>
      <c r="CL87" s="323"/>
      <c r="CM87" s="324">
        <f t="shared" si="23"/>
        <v>227</v>
      </c>
      <c r="CN87" s="325"/>
      <c r="CO87" s="6"/>
      <c r="CP87" s="6"/>
      <c r="CQ87" s="327"/>
      <c r="CR87" s="6"/>
      <c r="CS87" s="6"/>
      <c r="CT87" s="6"/>
      <c r="CU87" s="6"/>
      <c r="CV87" s="6"/>
      <c r="CW87" s="327">
        <f t="shared" si="27"/>
        <v>0</v>
      </c>
      <c r="CX87" s="270"/>
      <c r="CY87" s="6"/>
      <c r="CZ87" s="6"/>
    </row>
    <row r="88" hidden="1">
      <c r="A88" s="307" t="s">
        <v>43</v>
      </c>
      <c r="B88" s="307" t="s">
        <v>538</v>
      </c>
      <c r="C88" s="307" t="s">
        <v>44</v>
      </c>
      <c r="D88" s="307" t="s">
        <v>588</v>
      </c>
      <c r="E88" s="307" t="s">
        <v>45</v>
      </c>
      <c r="F88" s="308">
        <v>45311.0</v>
      </c>
      <c r="G88" s="309">
        <v>0.0</v>
      </c>
      <c r="H88" s="309">
        <v>4500000.0</v>
      </c>
      <c r="I88" s="287">
        <v>1917037.0</v>
      </c>
      <c r="J88" s="287">
        <v>0.0</v>
      </c>
      <c r="K88" s="284">
        <v>60.0</v>
      </c>
      <c r="L88" s="284">
        <v>63.0</v>
      </c>
      <c r="M88" s="284">
        <v>3.0</v>
      </c>
      <c r="N88" s="284">
        <v>63.0</v>
      </c>
      <c r="O88" s="284">
        <v>0.0</v>
      </c>
      <c r="P88" s="287">
        <v>1810038.81</v>
      </c>
      <c r="Q88" s="287">
        <v>106997.72</v>
      </c>
      <c r="R88" s="284">
        <v>57.0</v>
      </c>
      <c r="S88" s="284">
        <v>3.0</v>
      </c>
      <c r="T88" s="284">
        <v>60.0</v>
      </c>
      <c r="U88" s="284">
        <v>0.0</v>
      </c>
      <c r="V88" s="284">
        <v>20.0</v>
      </c>
      <c r="W88" s="284">
        <v>38.0</v>
      </c>
      <c r="X88" s="284">
        <v>221.0</v>
      </c>
      <c r="Y88" s="284">
        <v>1.0</v>
      </c>
      <c r="Z88" s="284">
        <v>51.0</v>
      </c>
      <c r="AA88" s="284">
        <v>0.0</v>
      </c>
      <c r="AB88" s="284">
        <v>0.0</v>
      </c>
      <c r="AC88" s="284">
        <v>0.0</v>
      </c>
      <c r="AD88" s="284">
        <v>0.0</v>
      </c>
      <c r="AE88" s="284">
        <v>371.0</v>
      </c>
      <c r="AF88" s="284">
        <v>460.0</v>
      </c>
      <c r="AG88" s="284">
        <v>73.0</v>
      </c>
      <c r="AH88" s="309">
        <f t="shared" si="2"/>
        <v>26260.78082</v>
      </c>
      <c r="AI88" s="309">
        <f t="shared" si="3"/>
        <v>6.301369863</v>
      </c>
      <c r="AJ88" s="311">
        <v>28835.0</v>
      </c>
      <c r="AK88" s="309">
        <f t="shared" si="33"/>
        <v>86505</v>
      </c>
      <c r="AL88" s="286"/>
      <c r="AM88" s="313">
        <f t="shared" si="5"/>
        <v>0.04512432467</v>
      </c>
      <c r="AN88" s="309">
        <f t="shared" si="6"/>
        <v>31950.61667</v>
      </c>
      <c r="AO88" s="314">
        <f t="shared" si="7"/>
        <v>0.4260082222</v>
      </c>
      <c r="AP88" s="315">
        <v>0.0</v>
      </c>
      <c r="AQ88" s="284">
        <v>249.0</v>
      </c>
      <c r="AR88" s="284">
        <v>673.0</v>
      </c>
      <c r="AS88" s="284">
        <v>11048.19</v>
      </c>
      <c r="AT88" s="284">
        <v>3.0</v>
      </c>
      <c r="AU88" s="284">
        <v>175.0</v>
      </c>
      <c r="AV88" s="284">
        <v>60.0</v>
      </c>
      <c r="AW88" s="284">
        <v>3.0</v>
      </c>
      <c r="AX88" s="284">
        <v>0.0</v>
      </c>
      <c r="AY88" s="309">
        <v>1214541.0</v>
      </c>
      <c r="AZ88" s="316"/>
      <c r="BA88" s="307" t="str">
        <f t="shared" si="8"/>
        <v>Active</v>
      </c>
      <c r="BB88" s="307" t="str">
        <f t="shared" si="9"/>
        <v>Old</v>
      </c>
      <c r="BC88" s="307" t="str">
        <f t="shared" si="10"/>
        <v>Below 50%</v>
      </c>
      <c r="BD88" s="286">
        <f t="shared" si="35"/>
        <v>3</v>
      </c>
      <c r="BE88" s="328">
        <v>1500000.0</v>
      </c>
      <c r="BF88" s="284">
        <f t="shared" si="12"/>
        <v>0</v>
      </c>
      <c r="BG88" s="307" t="s">
        <v>488</v>
      </c>
      <c r="BH88" s="272">
        <f>IFERROR(__xludf.DUMMYFUNCTION("""COMPUTED_VALUE"""),6886744.0)</f>
        <v>6886744</v>
      </c>
      <c r="BI88" s="272">
        <f>IFERROR(__xludf.DUMMYFUNCTION("""COMPUTED_VALUE"""),6639185.59)</f>
        <v>6639185.59</v>
      </c>
      <c r="BJ88" s="273"/>
      <c r="BK88" s="274"/>
      <c r="BL88" s="319">
        <f t="shared" si="34"/>
        <v>0</v>
      </c>
      <c r="BM88" s="319">
        <f t="shared" si="14"/>
        <v>4500000</v>
      </c>
      <c r="BN88" s="274"/>
      <c r="BO88" s="311">
        <f>IFERROR(__xludf.DUMMYFUNCTION("IFERROR(ArrayFormula(SUM(VLOOKUP($C88,importrange(""1PTkkEa_ENkSqsGnpqoXy9kt0Fe1hCtlmU6kVFBNaonY"",""ORDER BOOKING REPORT 2025-26!C:CV""),{16,23,30},0))))"),1812580.9500000002)</f>
        <v>1812580.95</v>
      </c>
      <c r="BP88" s="311">
        <f>IFERROR(__xludf.DUMMYFUNCTION("IFERROR(ArrayFormula(SUM(VLOOKUP($C88,importrange(""1PTkkEa_ENkSqsGnpqoXy9kt0Fe1hCtlmU6kVFBNaonY"",""ORDER BOOKING REPORT 2025-26!C:CV""),{37,44,51},0))))"),1092550.17)</f>
        <v>1092550.17</v>
      </c>
      <c r="BQ88" s="311">
        <f>IFERROR(__xludf.DUMMYFUNCTION("IFERROR(ArrayFormula(SUM(VLOOKUP($C88,importrange(""1PTkkEa_ENkSqsGnpqoXy9kt0Fe1hCtlmU6kVFBNaonY"",""ORDER BOOKING REPORT 2025-26!C:CV""),{58,65,72},0))))"),1586620.04)</f>
        <v>1586620.04</v>
      </c>
      <c r="BR88" s="311">
        <f>IFERROR(__xludf.DUMMYFUNCTION("IFERROR(ArrayFormula(SUM(VLOOKUP($C88,importrange(""1PTkkEa_ENkSqsGnpqoXy9kt0Fe1hCtlmU6kVFBNaonY"",""ORDER BOOKING REPORT 2025-26!C:CV""),{79,86,93},0))))"),2147434.4299999997)</f>
        <v>2147434.43</v>
      </c>
      <c r="BS88" s="322">
        <f t="shared" si="15"/>
        <v>0.269898</v>
      </c>
      <c r="BT88" s="322">
        <f t="shared" si="16"/>
        <v>0.07122443787</v>
      </c>
      <c r="BU88" s="287">
        <f t="shared" si="17"/>
        <v>0</v>
      </c>
      <c r="BV88" s="320">
        <v>28835.0</v>
      </c>
      <c r="BW88" s="321" t="s">
        <v>526</v>
      </c>
      <c r="BX88" s="320">
        <v>1039.0</v>
      </c>
      <c r="BY88" s="287">
        <f t="shared" si="18"/>
        <v>0</v>
      </c>
      <c r="BZ88" s="10"/>
      <c r="CA88" s="10"/>
      <c r="CB88" s="10"/>
      <c r="CC88" s="10"/>
      <c r="CD88" s="10"/>
      <c r="CE88" s="10"/>
      <c r="CF88" s="10"/>
      <c r="CG88" s="318" t="str">
        <f t="shared" si="21"/>
        <v> </v>
      </c>
      <c r="CH88" s="318" t="str">
        <f t="shared" si="28"/>
        <v>Business Achieved 50%</v>
      </c>
      <c r="CI88" s="322">
        <f t="shared" si="22"/>
        <v>0.9523809524</v>
      </c>
      <c r="CJ88" s="323"/>
      <c r="CK88" s="323"/>
      <c r="CL88" s="323"/>
      <c r="CM88" s="324">
        <f t="shared" si="23"/>
        <v>371</v>
      </c>
      <c r="CN88" s="337"/>
      <c r="CO88" s="152"/>
      <c r="CP88" s="152"/>
      <c r="CQ88" s="327"/>
      <c r="CR88" s="152"/>
      <c r="CS88" s="152"/>
      <c r="CT88" s="152"/>
      <c r="CU88" s="152"/>
      <c r="CV88" s="152"/>
      <c r="CW88" s="327">
        <f t="shared" si="27"/>
        <v>0</v>
      </c>
      <c r="CX88" s="270"/>
      <c r="CY88" s="152"/>
      <c r="CZ88" s="152"/>
    </row>
    <row r="89" hidden="1">
      <c r="A89" s="307" t="s">
        <v>103</v>
      </c>
      <c r="B89" s="307" t="s">
        <v>492</v>
      </c>
      <c r="C89" s="307" t="s">
        <v>137</v>
      </c>
      <c r="D89" s="307" t="s">
        <v>492</v>
      </c>
      <c r="E89" s="307" t="s">
        <v>126</v>
      </c>
      <c r="F89" s="329">
        <v>45323.0</v>
      </c>
      <c r="G89" s="309">
        <v>1200000.0</v>
      </c>
      <c r="H89" s="309">
        <v>7650000.0</v>
      </c>
      <c r="I89" s="287">
        <v>2765410.0</v>
      </c>
      <c r="J89" s="287">
        <v>147619.41</v>
      </c>
      <c r="K89" s="284">
        <v>102.0</v>
      </c>
      <c r="L89" s="284">
        <v>84.0</v>
      </c>
      <c r="M89" s="284">
        <v>4.0</v>
      </c>
      <c r="N89" s="284">
        <v>106.0</v>
      </c>
      <c r="O89" s="284">
        <v>22.0</v>
      </c>
      <c r="P89" s="287">
        <v>2680755.2</v>
      </c>
      <c r="Q89" s="287">
        <v>84655.12</v>
      </c>
      <c r="R89" s="284">
        <v>50.0</v>
      </c>
      <c r="S89" s="284">
        <v>4.0</v>
      </c>
      <c r="T89" s="284">
        <v>54.0</v>
      </c>
      <c r="U89" s="284">
        <v>1.0</v>
      </c>
      <c r="V89" s="284">
        <v>26.0</v>
      </c>
      <c r="W89" s="284">
        <v>37.0</v>
      </c>
      <c r="X89" s="284">
        <v>156.0</v>
      </c>
      <c r="Y89" s="284">
        <v>4.0</v>
      </c>
      <c r="Z89" s="284">
        <v>71.0</v>
      </c>
      <c r="AA89" s="284">
        <v>1.0</v>
      </c>
      <c r="AB89" s="284">
        <v>3.0</v>
      </c>
      <c r="AC89" s="284">
        <v>0.0</v>
      </c>
      <c r="AD89" s="284">
        <v>0.0</v>
      </c>
      <c r="AE89" s="284">
        <v>326.0</v>
      </c>
      <c r="AF89" s="284">
        <v>437.0</v>
      </c>
      <c r="AG89" s="284">
        <v>77.0</v>
      </c>
      <c r="AH89" s="309">
        <f t="shared" si="2"/>
        <v>37831.55078</v>
      </c>
      <c r="AI89" s="309">
        <f t="shared" si="3"/>
        <v>5.675324675</v>
      </c>
      <c r="AJ89" s="311">
        <v>56000.0</v>
      </c>
      <c r="AK89" s="309">
        <f t="shared" si="33"/>
        <v>168000</v>
      </c>
      <c r="AL89" s="286"/>
      <c r="AM89" s="313">
        <f t="shared" si="5"/>
        <v>0.05767192031</v>
      </c>
      <c r="AN89" s="309">
        <f t="shared" si="6"/>
        <v>51211.2963</v>
      </c>
      <c r="AO89" s="314">
        <f t="shared" si="7"/>
        <v>0.3291558655</v>
      </c>
      <c r="AP89" s="315">
        <v>0.12</v>
      </c>
      <c r="AQ89" s="284">
        <v>92.0</v>
      </c>
      <c r="AR89" s="284">
        <v>699.0</v>
      </c>
      <c r="AS89" s="284">
        <v>5097.97</v>
      </c>
      <c r="AT89" s="284">
        <v>4.0</v>
      </c>
      <c r="AU89" s="284">
        <v>61.0</v>
      </c>
      <c r="AV89" s="284">
        <v>54.0</v>
      </c>
      <c r="AW89" s="284">
        <v>36.0</v>
      </c>
      <c r="AX89" s="284">
        <v>16.0</v>
      </c>
      <c r="AY89" s="309">
        <v>2509029.0</v>
      </c>
      <c r="AZ89" s="316"/>
      <c r="BA89" s="307" t="str">
        <f t="shared" si="8"/>
        <v>Active</v>
      </c>
      <c r="BB89" s="307" t="str">
        <f t="shared" si="9"/>
        <v>Old</v>
      </c>
      <c r="BC89" s="307" t="str">
        <f t="shared" si="10"/>
        <v>Below 50%</v>
      </c>
      <c r="BD89" s="286">
        <f t="shared" si="35"/>
        <v>3</v>
      </c>
      <c r="BE89" s="328">
        <v>2950000.0</v>
      </c>
      <c r="BF89" s="284">
        <f t="shared" si="12"/>
        <v>0</v>
      </c>
      <c r="BG89" s="307" t="s">
        <v>488</v>
      </c>
      <c r="BH89" s="272">
        <f>IFERROR(__xludf.DUMMYFUNCTION("""COMPUTED_VALUE"""),2.1171268E7)</f>
        <v>21171268</v>
      </c>
      <c r="BI89" s="272">
        <f>IFERROR(__xludf.DUMMYFUNCTION("""COMPUTED_VALUE"""),1.97766866E7)</f>
        <v>19776686.6</v>
      </c>
      <c r="BJ89" s="273"/>
      <c r="BK89" s="330">
        <v>400000.0</v>
      </c>
      <c r="BL89" s="319">
        <f t="shared" si="34"/>
        <v>1200000</v>
      </c>
      <c r="BM89" s="319">
        <f t="shared" si="14"/>
        <v>8850000</v>
      </c>
      <c r="BN89" s="274"/>
      <c r="BO89" s="311">
        <f>IFERROR(__xludf.DUMMYFUNCTION("IFERROR(ArrayFormula(SUM(VLOOKUP($C89,importrange(""1PTkkEa_ENkSqsGnpqoXy9kt0Fe1hCtlmU6kVFBNaonY"",""ORDER BOOKING REPORT 2025-26!C:CV""),{16,23,30},0))))"),4429473.0600000005)</f>
        <v>4429473.06</v>
      </c>
      <c r="BP89" s="311">
        <f>IFERROR(__xludf.DUMMYFUNCTION("IFERROR(ArrayFormula(SUM(VLOOKUP($C89,importrange(""1PTkkEa_ENkSqsGnpqoXy9kt0Fe1hCtlmU6kVFBNaonY"",""ORDER BOOKING REPORT 2025-26!C:CV""),{37,44,51},0))))"),4741820.57)</f>
        <v>4741820.57</v>
      </c>
      <c r="BQ89" s="311">
        <f>IFERROR(__xludf.DUMMYFUNCTION("IFERROR(ArrayFormula(SUM(VLOOKUP($C89,importrange(""1PTkkEa_ENkSqsGnpqoXy9kt0Fe1hCtlmU6kVFBNaonY"",""ORDER BOOKING REPORT 2025-26!C:CV""),{58,65,72},0))))"),5260175.119999999)</f>
        <v>5260175.12</v>
      </c>
      <c r="BR89" s="311">
        <f>IFERROR(__xludf.DUMMYFUNCTION("IFERROR(ArrayFormula(SUM(VLOOKUP($C89,importrange(""1PTkkEa_ENkSqsGnpqoXy9kt0Fe1hCtlmU6kVFBNaonY"",""ORDER BOOKING REPORT 2025-26!C:CV""),{79,86,93},0))))"),5345217.85)</f>
        <v>5345217.85</v>
      </c>
      <c r="BS89" s="322">
        <f t="shared" si="15"/>
        <v>0.2835061017</v>
      </c>
      <c r="BT89" s="322">
        <f t="shared" si="16"/>
        <v>0.06695817386</v>
      </c>
      <c r="BU89" s="287">
        <f t="shared" si="17"/>
        <v>0</v>
      </c>
      <c r="BV89" s="320">
        <v>56000.0</v>
      </c>
      <c r="BW89" s="321" t="s">
        <v>514</v>
      </c>
      <c r="BX89" s="320">
        <v>1048.0</v>
      </c>
      <c r="BY89" s="287">
        <f t="shared" si="18"/>
        <v>0</v>
      </c>
      <c r="BZ89" s="10"/>
      <c r="CA89" s="10"/>
      <c r="CB89" s="10"/>
      <c r="CC89" s="10"/>
      <c r="CD89" s="10"/>
      <c r="CE89" s="10"/>
      <c r="CF89" s="10"/>
      <c r="CG89" s="318" t="str">
        <f t="shared" si="21"/>
        <v> </v>
      </c>
      <c r="CH89" s="318" t="str">
        <f t="shared" si="28"/>
        <v>Business Achieved 50%</v>
      </c>
      <c r="CI89" s="322">
        <f t="shared" si="22"/>
        <v>0.5094339623</v>
      </c>
      <c r="CJ89" s="323"/>
      <c r="CK89" s="323"/>
      <c r="CL89" s="323"/>
      <c r="CM89" s="324">
        <f t="shared" si="23"/>
        <v>326</v>
      </c>
      <c r="CN89" s="337"/>
      <c r="CO89" s="152"/>
      <c r="CP89" s="152"/>
      <c r="CQ89" s="327"/>
      <c r="CR89" s="152"/>
      <c r="CS89" s="152"/>
      <c r="CT89" s="152"/>
      <c r="CU89" s="152"/>
      <c r="CV89" s="152"/>
      <c r="CW89" s="327">
        <f t="shared" si="27"/>
        <v>0</v>
      </c>
      <c r="CX89" s="270"/>
      <c r="CY89" s="152"/>
      <c r="CZ89" s="152"/>
    </row>
    <row r="90" hidden="1">
      <c r="A90" s="307" t="s">
        <v>160</v>
      </c>
      <c r="B90" s="307" t="s">
        <v>483</v>
      </c>
      <c r="C90" s="307" t="s">
        <v>226</v>
      </c>
      <c r="D90" s="307" t="s">
        <v>484</v>
      </c>
      <c r="E90" s="307" t="s">
        <v>227</v>
      </c>
      <c r="F90" s="329">
        <v>45323.0</v>
      </c>
      <c r="G90" s="309">
        <v>0.0</v>
      </c>
      <c r="H90" s="309">
        <v>1.2500001E7</v>
      </c>
      <c r="I90" s="287">
        <v>5038061.0</v>
      </c>
      <c r="J90" s="287">
        <v>0.0</v>
      </c>
      <c r="K90" s="284">
        <v>69.0</v>
      </c>
      <c r="L90" s="284">
        <v>64.0</v>
      </c>
      <c r="M90" s="284">
        <v>1.0</v>
      </c>
      <c r="N90" s="284">
        <v>70.0</v>
      </c>
      <c r="O90" s="284">
        <v>6.0</v>
      </c>
      <c r="P90" s="287">
        <v>4975211.92</v>
      </c>
      <c r="Q90" s="287">
        <v>62848.72</v>
      </c>
      <c r="R90" s="284">
        <v>35.0</v>
      </c>
      <c r="S90" s="284">
        <v>1.0</v>
      </c>
      <c r="T90" s="284">
        <v>36.0</v>
      </c>
      <c r="U90" s="284">
        <v>0.0</v>
      </c>
      <c r="V90" s="284">
        <v>74.0</v>
      </c>
      <c r="W90" s="284">
        <v>113.0</v>
      </c>
      <c r="X90" s="284">
        <v>162.0</v>
      </c>
      <c r="Y90" s="284">
        <v>3.0</v>
      </c>
      <c r="Z90" s="284">
        <v>18.0</v>
      </c>
      <c r="AA90" s="284">
        <v>0.0</v>
      </c>
      <c r="AB90" s="284">
        <v>0.0</v>
      </c>
      <c r="AC90" s="284">
        <v>0.0</v>
      </c>
      <c r="AD90" s="284">
        <v>0.0</v>
      </c>
      <c r="AE90" s="284">
        <v>247.0</v>
      </c>
      <c r="AF90" s="284">
        <v>378.0</v>
      </c>
      <c r="AG90" s="284">
        <v>73.0</v>
      </c>
      <c r="AH90" s="309">
        <f t="shared" si="2"/>
        <v>69014.53425</v>
      </c>
      <c r="AI90" s="309">
        <f t="shared" si="3"/>
        <v>5.178082192</v>
      </c>
      <c r="AJ90" s="311">
        <v>30950.0</v>
      </c>
      <c r="AK90" s="309">
        <f t="shared" si="33"/>
        <v>92850</v>
      </c>
      <c r="AL90" s="312"/>
      <c r="AM90" s="313">
        <f t="shared" si="5"/>
        <v>0.01842970937</v>
      </c>
      <c r="AN90" s="309">
        <f t="shared" si="6"/>
        <v>139946.1389</v>
      </c>
      <c r="AO90" s="314">
        <f t="shared" si="7"/>
        <v>0.4030448478</v>
      </c>
      <c r="AP90" s="315">
        <v>0.0</v>
      </c>
      <c r="AQ90" s="284">
        <v>118.0</v>
      </c>
      <c r="AR90" s="284">
        <v>862.0</v>
      </c>
      <c r="AS90" s="284">
        <v>6552.77</v>
      </c>
      <c r="AT90" s="284">
        <v>1.0</v>
      </c>
      <c r="AU90" s="284">
        <v>102.0</v>
      </c>
      <c r="AV90" s="284">
        <v>36.0</v>
      </c>
      <c r="AW90" s="284">
        <v>29.0</v>
      </c>
      <c r="AX90" s="284">
        <v>5.0</v>
      </c>
      <c r="AY90" s="309">
        <v>3102195.0</v>
      </c>
      <c r="AZ90" s="316"/>
      <c r="BA90" s="307" t="str">
        <f t="shared" si="8"/>
        <v>Active</v>
      </c>
      <c r="BB90" s="307" t="str">
        <f t="shared" si="9"/>
        <v>Old</v>
      </c>
      <c r="BC90" s="307" t="str">
        <f t="shared" si="10"/>
        <v>Below 50%</v>
      </c>
      <c r="BD90" s="286">
        <f t="shared" si="35"/>
        <v>3</v>
      </c>
      <c r="BE90" s="328">
        <v>4166667.0</v>
      </c>
      <c r="BF90" s="284">
        <f t="shared" si="12"/>
        <v>0</v>
      </c>
      <c r="BG90" s="307" t="s">
        <v>488</v>
      </c>
      <c r="BH90" s="272">
        <f>IFERROR(__xludf.DUMMYFUNCTION("""COMPUTED_VALUE"""),1.5358304E7)</f>
        <v>15358304</v>
      </c>
      <c r="BI90" s="272">
        <f>IFERROR(__xludf.DUMMYFUNCTION("""COMPUTED_VALUE"""),1.541835723E7)</f>
        <v>15418357.23</v>
      </c>
      <c r="BJ90" s="273"/>
      <c r="BK90" s="274"/>
      <c r="BL90" s="319">
        <f t="shared" si="34"/>
        <v>0</v>
      </c>
      <c r="BM90" s="319">
        <f t="shared" si="14"/>
        <v>12500001</v>
      </c>
      <c r="BN90" s="274"/>
      <c r="BO90" s="311">
        <f>IFERROR(__xludf.DUMMYFUNCTION("IFERROR(ArrayFormula(SUM(VLOOKUP($C90,importrange(""1PTkkEa_ENkSqsGnpqoXy9kt0Fe1hCtlmU6kVFBNaonY"",""ORDER BOOKING REPORT 2025-26!C:CV""),{16,23,30},0))))"),3635403.59)</f>
        <v>3635403.59</v>
      </c>
      <c r="BP90" s="311">
        <f>IFERROR(__xludf.DUMMYFUNCTION("IFERROR(ArrayFormula(SUM(VLOOKUP($C90,importrange(""1PTkkEa_ENkSqsGnpqoXy9kt0Fe1hCtlmU6kVFBNaonY"",""ORDER BOOKING REPORT 2025-26!C:CV""),{37,44,51},0))))"),4057547.8000000003)</f>
        <v>4057547.8</v>
      </c>
      <c r="BQ90" s="311">
        <f>IFERROR(__xludf.DUMMYFUNCTION("IFERROR(ArrayFormula(SUM(VLOOKUP($C90,importrange(""1PTkkEa_ENkSqsGnpqoXy9kt0Fe1hCtlmU6kVFBNaonY"",""ORDER BOOKING REPORT 2025-26!C:CV""),{58,65,72},0))))"),3508985.7899999996)</f>
        <v>3508985.79</v>
      </c>
      <c r="BR90" s="311">
        <f>IFERROR(__xludf.DUMMYFUNCTION("IFERROR(ArrayFormula(SUM(VLOOKUP($C90,importrange(""1PTkkEa_ENkSqsGnpqoXy9kt0Fe1hCtlmU6kVFBNaonY"",""ORDER BOOKING REPORT 2025-26!C:CV""),{79,86,93},0))))"),4216420.050000001)</f>
        <v>4216420.05</v>
      </c>
      <c r="BS90" s="322">
        <f t="shared" si="15"/>
        <v>0.2481755801</v>
      </c>
      <c r="BT90" s="322">
        <f t="shared" si="16"/>
        <v>0.02993042023</v>
      </c>
      <c r="BU90" s="287">
        <f t="shared" si="17"/>
        <v>0</v>
      </c>
      <c r="BV90" s="320">
        <v>30950.0</v>
      </c>
      <c r="BW90" s="321" t="s">
        <v>526</v>
      </c>
      <c r="BX90" s="320">
        <v>1046.0</v>
      </c>
      <c r="BY90" s="287">
        <f t="shared" si="18"/>
        <v>0</v>
      </c>
      <c r="BZ90" s="10"/>
      <c r="CA90" s="10"/>
      <c r="CB90" s="10"/>
      <c r="CC90" s="10"/>
      <c r="CD90" s="10"/>
      <c r="CE90" s="10"/>
      <c r="CF90" s="10"/>
      <c r="CG90" s="318" t="str">
        <f t="shared" si="21"/>
        <v> </v>
      </c>
      <c r="CH90" s="318" t="str">
        <f t="shared" si="28"/>
        <v>Business Achieved 50%</v>
      </c>
      <c r="CI90" s="322">
        <f t="shared" si="22"/>
        <v>0.5142857143</v>
      </c>
      <c r="CJ90" s="323"/>
      <c r="CK90" s="323"/>
      <c r="CL90" s="323"/>
      <c r="CM90" s="324">
        <f t="shared" si="23"/>
        <v>247</v>
      </c>
      <c r="CN90" s="325"/>
      <c r="CO90" s="6"/>
      <c r="CP90" s="6"/>
      <c r="CQ90" s="327"/>
      <c r="CR90" s="6"/>
      <c r="CS90" s="6"/>
      <c r="CT90" s="6"/>
      <c r="CU90" s="6"/>
      <c r="CV90" s="6"/>
      <c r="CW90" s="327">
        <f t="shared" si="27"/>
        <v>0</v>
      </c>
      <c r="CX90" s="270"/>
      <c r="CY90" s="6"/>
      <c r="CZ90" s="6"/>
    </row>
    <row r="91" hidden="1">
      <c r="A91" s="307" t="s">
        <v>103</v>
      </c>
      <c r="B91" s="307" t="s">
        <v>533</v>
      </c>
      <c r="C91" s="307" t="s">
        <v>140</v>
      </c>
      <c r="D91" s="307" t="s">
        <v>555</v>
      </c>
      <c r="E91" s="307" t="s">
        <v>141</v>
      </c>
      <c r="F91" s="329">
        <v>45331.0</v>
      </c>
      <c r="G91" s="309">
        <v>0.0</v>
      </c>
      <c r="H91" s="309">
        <v>4071000.0</v>
      </c>
      <c r="I91" s="287">
        <v>1964916.0</v>
      </c>
      <c r="J91" s="287">
        <v>0.0</v>
      </c>
      <c r="K91" s="284">
        <v>33.0</v>
      </c>
      <c r="L91" s="284">
        <v>31.0</v>
      </c>
      <c r="M91" s="284">
        <v>2.0</v>
      </c>
      <c r="N91" s="284">
        <v>35.0</v>
      </c>
      <c r="O91" s="284">
        <v>4.0</v>
      </c>
      <c r="P91" s="287">
        <v>1892826.06</v>
      </c>
      <c r="Q91" s="287">
        <v>72089.6</v>
      </c>
      <c r="R91" s="284">
        <v>19.0</v>
      </c>
      <c r="S91" s="284">
        <v>2.0</v>
      </c>
      <c r="T91" s="284">
        <v>21.0</v>
      </c>
      <c r="U91" s="284">
        <v>0.0</v>
      </c>
      <c r="V91" s="284">
        <v>72.0</v>
      </c>
      <c r="W91" s="284">
        <v>120.0</v>
      </c>
      <c r="X91" s="284">
        <v>177.0</v>
      </c>
      <c r="Y91" s="284">
        <v>0.0</v>
      </c>
      <c r="Z91" s="284">
        <v>0.0</v>
      </c>
      <c r="AA91" s="284">
        <v>0.0</v>
      </c>
      <c r="AB91" s="284">
        <v>0.0</v>
      </c>
      <c r="AC91" s="284">
        <v>0.0</v>
      </c>
      <c r="AD91" s="284">
        <v>0.0</v>
      </c>
      <c r="AE91" s="284">
        <v>211.0</v>
      </c>
      <c r="AF91" s="284">
        <v>331.0</v>
      </c>
      <c r="AG91" s="284">
        <v>75.0</v>
      </c>
      <c r="AH91" s="309">
        <f t="shared" si="2"/>
        <v>26198.88</v>
      </c>
      <c r="AI91" s="309">
        <f t="shared" si="3"/>
        <v>4.413333333</v>
      </c>
      <c r="AJ91" s="311">
        <v>26212.0</v>
      </c>
      <c r="AK91" s="309">
        <f t="shared" si="33"/>
        <v>78636</v>
      </c>
      <c r="AL91" s="312"/>
      <c r="AM91" s="313">
        <f t="shared" si="5"/>
        <v>0.04002003139</v>
      </c>
      <c r="AN91" s="309">
        <f t="shared" si="6"/>
        <v>93567.42857</v>
      </c>
      <c r="AO91" s="314">
        <f t="shared" si="7"/>
        <v>0.4826617539</v>
      </c>
      <c r="AP91" s="315">
        <v>0.0</v>
      </c>
      <c r="AQ91" s="284">
        <v>55.0</v>
      </c>
      <c r="AR91" s="284">
        <v>789.0</v>
      </c>
      <c r="AS91" s="284">
        <v>4836.38</v>
      </c>
      <c r="AT91" s="284">
        <v>2.0</v>
      </c>
      <c r="AU91" s="284">
        <v>156.0</v>
      </c>
      <c r="AV91" s="284">
        <v>21.0</v>
      </c>
      <c r="AW91" s="284">
        <v>13.0</v>
      </c>
      <c r="AX91" s="284">
        <v>1.0</v>
      </c>
      <c r="AY91" s="309">
        <v>724204.0</v>
      </c>
      <c r="AZ91" s="316"/>
      <c r="BA91" s="307" t="str">
        <f t="shared" si="8"/>
        <v>Active</v>
      </c>
      <c r="BB91" s="307" t="str">
        <f t="shared" si="9"/>
        <v>Old</v>
      </c>
      <c r="BC91" s="307" t="str">
        <f t="shared" si="10"/>
        <v>Below 50%</v>
      </c>
      <c r="BD91" s="286">
        <f t="shared" si="35"/>
        <v>3</v>
      </c>
      <c r="BE91" s="328">
        <v>1357000.0</v>
      </c>
      <c r="BF91" s="284">
        <f t="shared" si="12"/>
        <v>0</v>
      </c>
      <c r="BG91" s="307" t="s">
        <v>488</v>
      </c>
      <c r="BH91" s="272">
        <f>IFERROR(__xludf.DUMMYFUNCTION("""COMPUTED_VALUE"""),7711527.0)</f>
        <v>7711527</v>
      </c>
      <c r="BI91" s="272">
        <f>IFERROR(__xludf.DUMMYFUNCTION("""COMPUTED_VALUE"""),7966662.359999999)</f>
        <v>7966662.36</v>
      </c>
      <c r="BJ91" s="273"/>
      <c r="BK91" s="274"/>
      <c r="BL91" s="319">
        <f t="shared" si="34"/>
        <v>0</v>
      </c>
      <c r="BM91" s="319">
        <f t="shared" si="14"/>
        <v>4071000</v>
      </c>
      <c r="BN91" s="274"/>
      <c r="BO91" s="311">
        <f>IFERROR(__xludf.DUMMYFUNCTION("IFERROR(ArrayFormula(SUM(VLOOKUP($C91,importrange(""1PTkkEa_ENkSqsGnpqoXy9kt0Fe1hCtlmU6kVFBNaonY"",""ORDER BOOKING REPORT 2025-26!C:CV""),{16,23,30},0))))"),1293121.46)</f>
        <v>1293121.46</v>
      </c>
      <c r="BP91" s="311">
        <f>IFERROR(__xludf.DUMMYFUNCTION("IFERROR(ArrayFormula(SUM(VLOOKUP($C91,importrange(""1PTkkEa_ENkSqsGnpqoXy9kt0Fe1hCtlmU6kVFBNaonY"",""ORDER BOOKING REPORT 2025-26!C:CV""),{37,44,51},0))))"),2076503.6400000001)</f>
        <v>2076503.64</v>
      </c>
      <c r="BQ91" s="311">
        <f>IFERROR(__xludf.DUMMYFUNCTION("IFERROR(ArrayFormula(SUM(VLOOKUP($C91,importrange(""1PTkkEa_ENkSqsGnpqoXy9kt0Fe1hCtlmU6kVFBNaonY"",""ORDER BOOKING REPORT 2025-26!C:CV""),{58,65,72},0))))"),1984366.25)</f>
        <v>1984366.25</v>
      </c>
      <c r="BR91" s="311">
        <f>IFERROR(__xludf.DUMMYFUNCTION("IFERROR(ArrayFormula(SUM(VLOOKUP($C91,importrange(""1PTkkEa_ENkSqsGnpqoXy9kt0Fe1hCtlmU6kVFBNaonY"",""ORDER BOOKING REPORT 2025-26!C:CV""),{79,86,93},0))))"),2612671.01)</f>
        <v>2612671.01</v>
      </c>
      <c r="BS91" s="322">
        <f t="shared" si="15"/>
        <v>0.1778933923</v>
      </c>
      <c r="BT91" s="322">
        <f t="shared" si="16"/>
        <v>0.1085826646</v>
      </c>
      <c r="BU91" s="287">
        <f t="shared" si="17"/>
        <v>0</v>
      </c>
      <c r="BV91" s="320">
        <v>26212.0</v>
      </c>
      <c r="BW91" s="321" t="s">
        <v>526</v>
      </c>
      <c r="BX91" s="320">
        <v>1050.0</v>
      </c>
      <c r="BY91" s="287">
        <f t="shared" si="18"/>
        <v>0</v>
      </c>
      <c r="BZ91" s="10"/>
      <c r="CA91" s="10"/>
      <c r="CB91" s="10"/>
      <c r="CC91" s="10"/>
      <c r="CD91" s="10"/>
      <c r="CE91" s="10"/>
      <c r="CF91" s="10"/>
      <c r="CG91" s="318" t="str">
        <f t="shared" si="21"/>
        <v>Below 60</v>
      </c>
      <c r="CH91" s="318" t="str">
        <f t="shared" si="28"/>
        <v>Business Achieved 50%</v>
      </c>
      <c r="CI91" s="322">
        <f t="shared" si="22"/>
        <v>0.6</v>
      </c>
      <c r="CJ91" s="323"/>
      <c r="CK91" s="323"/>
      <c r="CL91" s="323"/>
      <c r="CM91" s="324">
        <f t="shared" si="23"/>
        <v>211</v>
      </c>
      <c r="CN91" s="325"/>
      <c r="CO91" s="6"/>
      <c r="CP91" s="6"/>
      <c r="CQ91" s="327"/>
      <c r="CR91" s="6"/>
      <c r="CS91" s="6"/>
      <c r="CT91" s="6"/>
      <c r="CU91" s="6"/>
      <c r="CV91" s="6"/>
      <c r="CW91" s="327">
        <f t="shared" si="27"/>
        <v>0</v>
      </c>
      <c r="CX91" s="270"/>
      <c r="CY91" s="6"/>
      <c r="CZ91" s="6"/>
    </row>
    <row r="92" hidden="1">
      <c r="A92" s="307" t="s">
        <v>43</v>
      </c>
      <c r="B92" s="307" t="s">
        <v>538</v>
      </c>
      <c r="C92" s="307" t="s">
        <v>46</v>
      </c>
      <c r="D92" s="307" t="s">
        <v>588</v>
      </c>
      <c r="E92" s="307" t="s">
        <v>47</v>
      </c>
      <c r="F92" s="308">
        <v>45393.0</v>
      </c>
      <c r="G92" s="309">
        <v>0.0</v>
      </c>
      <c r="H92" s="309">
        <v>4500000.0</v>
      </c>
      <c r="I92" s="287">
        <v>2074638.0</v>
      </c>
      <c r="J92" s="287">
        <v>0.0</v>
      </c>
      <c r="K92" s="284">
        <v>127.0</v>
      </c>
      <c r="L92" s="284">
        <v>107.0</v>
      </c>
      <c r="M92" s="284">
        <v>9.0</v>
      </c>
      <c r="N92" s="284">
        <v>136.0</v>
      </c>
      <c r="O92" s="284">
        <v>29.0</v>
      </c>
      <c r="P92" s="287">
        <v>1926890.73</v>
      </c>
      <c r="Q92" s="287">
        <v>147746.94</v>
      </c>
      <c r="R92" s="284">
        <v>57.0</v>
      </c>
      <c r="S92" s="284">
        <v>9.0</v>
      </c>
      <c r="T92" s="284">
        <v>66.0</v>
      </c>
      <c r="U92" s="284">
        <v>0.0</v>
      </c>
      <c r="V92" s="284">
        <v>15.0</v>
      </c>
      <c r="W92" s="284">
        <v>23.0</v>
      </c>
      <c r="X92" s="284">
        <v>432.0</v>
      </c>
      <c r="Y92" s="284">
        <v>2.0</v>
      </c>
      <c r="Z92" s="284">
        <v>18.0</v>
      </c>
      <c r="AA92" s="284">
        <v>0.0</v>
      </c>
      <c r="AB92" s="284">
        <v>0.0</v>
      </c>
      <c r="AC92" s="284">
        <v>1.0</v>
      </c>
      <c r="AD92" s="284">
        <v>2.0</v>
      </c>
      <c r="AE92" s="284">
        <v>496.0</v>
      </c>
      <c r="AF92" s="284">
        <v>539.0</v>
      </c>
      <c r="AG92" s="284">
        <v>75.0</v>
      </c>
      <c r="AH92" s="309">
        <f t="shared" si="2"/>
        <v>27661.84</v>
      </c>
      <c r="AI92" s="309">
        <f t="shared" si="3"/>
        <v>7.186666667</v>
      </c>
      <c r="AJ92" s="311">
        <v>27000.0</v>
      </c>
      <c r="AK92" s="309">
        <f t="shared" si="33"/>
        <v>81000</v>
      </c>
      <c r="AL92" s="286"/>
      <c r="AM92" s="313">
        <f t="shared" si="5"/>
        <v>0.03904295593</v>
      </c>
      <c r="AN92" s="309">
        <f t="shared" si="6"/>
        <v>31433.90909</v>
      </c>
      <c r="AO92" s="314">
        <f t="shared" si="7"/>
        <v>0.4610306667</v>
      </c>
      <c r="AP92" s="315">
        <v>0.0</v>
      </c>
      <c r="AQ92" s="284">
        <v>148.0</v>
      </c>
      <c r="AR92" s="284">
        <v>675.0</v>
      </c>
      <c r="AS92" s="284">
        <v>8069.9</v>
      </c>
      <c r="AT92" s="284">
        <v>9.0</v>
      </c>
      <c r="AU92" s="284">
        <v>75.0</v>
      </c>
      <c r="AV92" s="284">
        <v>66.0</v>
      </c>
      <c r="AW92" s="284">
        <v>42.0</v>
      </c>
      <c r="AX92" s="284">
        <v>28.0</v>
      </c>
      <c r="AY92" s="309">
        <v>1129344.0</v>
      </c>
      <c r="AZ92" s="316"/>
      <c r="BA92" s="307" t="str">
        <f t="shared" si="8"/>
        <v>Active</v>
      </c>
      <c r="BB92" s="307" t="str">
        <f t="shared" si="9"/>
        <v>Old</v>
      </c>
      <c r="BC92" s="307" t="str">
        <f t="shared" si="10"/>
        <v>Below 50%</v>
      </c>
      <c r="BD92" s="286">
        <f t="shared" si="35"/>
        <v>3</v>
      </c>
      <c r="BE92" s="319">
        <v>1500000.0</v>
      </c>
      <c r="BF92" s="284">
        <f t="shared" si="12"/>
        <v>0</v>
      </c>
      <c r="BG92" s="307" t="s">
        <v>488</v>
      </c>
      <c r="BH92" s="272">
        <f>IFERROR(__xludf.DUMMYFUNCTION("""COMPUTED_VALUE"""),6665327.5)</f>
        <v>6665327.5</v>
      </c>
      <c r="BI92" s="272">
        <f>IFERROR(__xludf.DUMMYFUNCTION("""COMPUTED_VALUE"""),6963246.180000001)</f>
        <v>6963246.18</v>
      </c>
      <c r="BJ92" s="273"/>
      <c r="BK92" s="274"/>
      <c r="BL92" s="319">
        <f t="shared" si="34"/>
        <v>0</v>
      </c>
      <c r="BM92" s="319">
        <f t="shared" si="14"/>
        <v>4500000</v>
      </c>
      <c r="BN92" s="274"/>
      <c r="BO92" s="311">
        <f>IFERROR(__xludf.DUMMYFUNCTION("IFERROR(ArrayFormula(SUM(VLOOKUP($C92,importrange(""1PTkkEa_ENkSqsGnpqoXy9kt0Fe1hCtlmU6kVFBNaonY"",""ORDER BOOKING REPORT 2025-26!C:CV""),{16,23,30},0))))"),1353345.5)</f>
        <v>1353345.5</v>
      </c>
      <c r="BP92" s="311">
        <f>IFERROR(__xludf.DUMMYFUNCTION("IFERROR(ArrayFormula(SUM(VLOOKUP($C92,importrange(""1PTkkEa_ENkSqsGnpqoXy9kt0Fe1hCtlmU6kVFBNaonY"",""ORDER BOOKING REPORT 2025-26!C:CV""),{37,44,51},0))))"),1131770.2999999998)</f>
        <v>1131770.3</v>
      </c>
      <c r="BQ92" s="311">
        <f>IFERROR(__xludf.DUMMYFUNCTION("IFERROR(ArrayFormula(SUM(VLOOKUP($C92,importrange(""1PTkkEa_ENkSqsGnpqoXy9kt0Fe1hCtlmU6kVFBNaonY"",""ORDER BOOKING REPORT 2025-26!C:CV""),{58,65,72},0))))"),1699355.56)</f>
        <v>1699355.56</v>
      </c>
      <c r="BR92" s="311">
        <f>IFERROR(__xludf.DUMMYFUNCTION("IFERROR(ArrayFormula(SUM(VLOOKUP($C92,importrange(""1PTkkEa_ENkSqsGnpqoXy9kt0Fe1hCtlmU6kVFBNaonY"",""ORDER BOOKING REPORT 2025-26!C:CV""),{79,86,93},0))))"),2778774.82)</f>
        <v>2778774.82</v>
      </c>
      <c r="BS92" s="322">
        <f t="shared" si="15"/>
        <v>0.2509653333</v>
      </c>
      <c r="BT92" s="322">
        <f t="shared" si="16"/>
        <v>0.07172305338</v>
      </c>
      <c r="BU92" s="287">
        <f t="shared" si="17"/>
        <v>0</v>
      </c>
      <c r="BV92" s="320">
        <v>27000.0</v>
      </c>
      <c r="BW92" s="321" t="s">
        <v>526</v>
      </c>
      <c r="BX92" s="320">
        <v>1067.0</v>
      </c>
      <c r="BY92" s="287">
        <f t="shared" si="18"/>
        <v>0</v>
      </c>
      <c r="BZ92" s="10"/>
      <c r="CA92" s="10"/>
      <c r="CB92" s="10"/>
      <c r="CC92" s="10"/>
      <c r="CD92" s="10"/>
      <c r="CE92" s="10"/>
      <c r="CF92" s="10"/>
      <c r="CG92" s="318" t="str">
        <f t="shared" si="21"/>
        <v> </v>
      </c>
      <c r="CH92" s="318" t="str">
        <f t="shared" si="28"/>
        <v>Not 50%</v>
      </c>
      <c r="CI92" s="322">
        <f t="shared" si="22"/>
        <v>0.4852941176</v>
      </c>
      <c r="CJ92" s="323"/>
      <c r="CK92" s="323"/>
      <c r="CL92" s="323"/>
      <c r="CM92" s="324">
        <f t="shared" si="23"/>
        <v>496</v>
      </c>
      <c r="CN92" s="337"/>
      <c r="CO92" s="152"/>
      <c r="CP92" s="152"/>
      <c r="CQ92" s="327"/>
      <c r="CR92" s="152"/>
      <c r="CS92" s="152"/>
      <c r="CT92" s="152"/>
      <c r="CU92" s="152"/>
      <c r="CV92" s="152"/>
      <c r="CW92" s="327">
        <f t="shared" si="27"/>
        <v>0</v>
      </c>
      <c r="CX92" s="270"/>
      <c r="CY92" s="152"/>
      <c r="CZ92" s="152"/>
    </row>
    <row r="93" hidden="1">
      <c r="A93" s="307" t="s">
        <v>48</v>
      </c>
      <c r="B93" s="307" t="s">
        <v>539</v>
      </c>
      <c r="C93" s="307" t="s">
        <v>344</v>
      </c>
      <c r="D93" s="307" t="s">
        <v>589</v>
      </c>
      <c r="E93" s="307" t="s">
        <v>590</v>
      </c>
      <c r="F93" s="346">
        <v>45428.0</v>
      </c>
      <c r="G93" s="309">
        <v>0.0</v>
      </c>
      <c r="H93" s="309" t="s">
        <v>485</v>
      </c>
      <c r="I93" s="287">
        <v>0.0</v>
      </c>
      <c r="J93" s="287">
        <v>0.0</v>
      </c>
      <c r="K93" s="284">
        <v>79.0</v>
      </c>
      <c r="L93" s="284">
        <v>23.0</v>
      </c>
      <c r="M93" s="284">
        <v>1.0</v>
      </c>
      <c r="N93" s="284">
        <v>80.0</v>
      </c>
      <c r="O93" s="284">
        <v>57.0</v>
      </c>
      <c r="P93" s="287">
        <v>0.0</v>
      </c>
      <c r="Q93" s="287">
        <v>0.0</v>
      </c>
      <c r="R93" s="284">
        <v>0.0</v>
      </c>
      <c r="S93" s="284">
        <v>0.0</v>
      </c>
      <c r="T93" s="284">
        <v>0.0</v>
      </c>
      <c r="U93" s="284">
        <v>0.0</v>
      </c>
      <c r="V93" s="284">
        <v>65.0</v>
      </c>
      <c r="W93" s="284">
        <v>86.0</v>
      </c>
      <c r="X93" s="284">
        <v>278.0</v>
      </c>
      <c r="Y93" s="284">
        <v>8.0</v>
      </c>
      <c r="Z93" s="284">
        <v>41.0</v>
      </c>
      <c r="AA93" s="284">
        <v>0.0</v>
      </c>
      <c r="AB93" s="284">
        <v>0.0</v>
      </c>
      <c r="AC93" s="284">
        <v>14.0</v>
      </c>
      <c r="AD93" s="284">
        <v>19.0</v>
      </c>
      <c r="AE93" s="284">
        <v>61.0</v>
      </c>
      <c r="AF93" s="284">
        <v>207.0</v>
      </c>
      <c r="AG93" s="284">
        <v>69.0</v>
      </c>
      <c r="AH93" s="309">
        <f t="shared" si="2"/>
        <v>0</v>
      </c>
      <c r="AI93" s="309">
        <f t="shared" si="3"/>
        <v>3</v>
      </c>
      <c r="AJ93" s="345">
        <v>29880.0</v>
      </c>
      <c r="AK93" s="309">
        <f t="shared" si="33"/>
        <v>89640</v>
      </c>
      <c r="AL93" s="312"/>
      <c r="AM93" s="334" t="str">
        <f t="shared" si="5"/>
        <v/>
      </c>
      <c r="AN93" s="231" t="str">
        <f t="shared" si="6"/>
        <v/>
      </c>
      <c r="AO93" s="314" t="str">
        <f t="shared" si="7"/>
        <v/>
      </c>
      <c r="AP93" s="315">
        <v>0.0</v>
      </c>
      <c r="AQ93" s="284">
        <v>0.0</v>
      </c>
      <c r="AR93" s="284">
        <v>578.0</v>
      </c>
      <c r="AS93" s="284">
        <v>6129.59</v>
      </c>
      <c r="AT93" s="284">
        <v>0.0</v>
      </c>
      <c r="AU93" s="284">
        <v>267.0</v>
      </c>
      <c r="AV93" s="284">
        <v>0.0</v>
      </c>
      <c r="AW93" s="284">
        <v>23.0</v>
      </c>
      <c r="AX93" s="284">
        <v>57.0</v>
      </c>
      <c r="AY93" s="231"/>
      <c r="AZ93" s="316"/>
      <c r="BA93" s="307" t="str">
        <f t="shared" si="8"/>
        <v>Active</v>
      </c>
      <c r="BB93" s="307" t="str">
        <f t="shared" si="9"/>
        <v>Old</v>
      </c>
      <c r="BC93" s="307" t="str">
        <f t="shared" si="10"/>
        <v>Below 50%</v>
      </c>
      <c r="BD93" s="286">
        <f t="shared" si="35"/>
        <v>3</v>
      </c>
      <c r="BE93" s="335"/>
      <c r="BF93" s="284">
        <f t="shared" si="12"/>
        <v>1</v>
      </c>
      <c r="BG93" s="318" t="s">
        <v>485</v>
      </c>
      <c r="BH93" s="271"/>
      <c r="BI93" s="271"/>
      <c r="BJ93" s="273"/>
      <c r="BK93" s="274"/>
      <c r="BL93" s="319">
        <f t="shared" si="34"/>
        <v>0</v>
      </c>
      <c r="BM93" s="319" t="str">
        <f t="shared" si="14"/>
        <v/>
      </c>
      <c r="BN93" s="274"/>
      <c r="BO93" s="311" t="str">
        <f>IFERROR(__xludf.DUMMYFUNCTION("IFERROR(ArrayFormula(SUM(VLOOKUP($C93,importrange(""1PTkkEa_ENkSqsGnpqoXy9kt0Fe1hCtlmU6kVFBNaonY"",""ORDER BOOKING REPORT 2025-26!C:CV""),{16,23,30},0))))"),"")</f>
        <v/>
      </c>
      <c r="BP93" s="311" t="str">
        <f>IFERROR(__xludf.DUMMYFUNCTION("IFERROR(ArrayFormula(SUM(VLOOKUP($C93,importrange(""1PTkkEa_ENkSqsGnpqoXy9kt0Fe1hCtlmU6kVFBNaonY"",""ORDER BOOKING REPORT 2025-26!C:CV""),{37,44,51},0))))"),"")</f>
        <v/>
      </c>
      <c r="BQ93" s="311" t="str">
        <f>IFERROR(__xludf.DUMMYFUNCTION("IFERROR(ArrayFormula(SUM(VLOOKUP($C93,importrange(""1PTkkEa_ENkSqsGnpqoXy9kt0Fe1hCtlmU6kVFBNaonY"",""ORDER BOOKING REPORT 2025-26!C:CV""),{58,65,72},0))))"),"")</f>
        <v/>
      </c>
      <c r="BR93" s="311" t="str">
        <f>IFERROR(__xludf.DUMMYFUNCTION("IFERROR(ArrayFormula(SUM(VLOOKUP($C93,importrange(""1PTkkEa_ENkSqsGnpqoXy9kt0Fe1hCtlmU6kVFBNaonY"",""ORDER BOOKING REPORT 2025-26!C:CV""),{79,86,93},0))))"),"")</f>
        <v/>
      </c>
      <c r="BS93" s="152" t="str">
        <f t="shared" si="15"/>
        <v/>
      </c>
      <c r="BT93" s="152" t="str">
        <f t="shared" si="16"/>
        <v/>
      </c>
      <c r="BU93" s="287">
        <f t="shared" si="17"/>
        <v>0</v>
      </c>
      <c r="BV93" s="320">
        <v>29880.0</v>
      </c>
      <c r="BW93" s="321" t="s">
        <v>591</v>
      </c>
      <c r="BX93" s="320">
        <v>1084.0</v>
      </c>
      <c r="BY93" s="287">
        <f t="shared" si="18"/>
        <v>0</v>
      </c>
      <c r="BZ93" s="10"/>
      <c r="CA93" s="10"/>
      <c r="CB93" s="10"/>
      <c r="CC93" s="10"/>
      <c r="CD93" s="10"/>
      <c r="CE93" s="10"/>
      <c r="CF93" s="10"/>
      <c r="CG93" s="318" t="str">
        <f t="shared" si="21"/>
        <v> </v>
      </c>
      <c r="CH93" s="318" t="str">
        <f t="shared" si="28"/>
        <v>Not 50%</v>
      </c>
      <c r="CI93" s="322">
        <f t="shared" si="22"/>
        <v>0</v>
      </c>
      <c r="CJ93" s="336"/>
      <c r="CK93" s="336"/>
      <c r="CL93" s="336"/>
      <c r="CM93" s="324">
        <f t="shared" si="23"/>
        <v>61</v>
      </c>
      <c r="CN93" s="325"/>
      <c r="CO93" s="6"/>
      <c r="CP93" s="6"/>
      <c r="CQ93" s="327"/>
      <c r="CR93" s="6"/>
      <c r="CS93" s="6"/>
      <c r="CT93" s="6"/>
      <c r="CU93" s="6"/>
      <c r="CV93" s="6"/>
      <c r="CW93" s="327">
        <f t="shared" si="27"/>
        <v>0</v>
      </c>
      <c r="CX93" s="270"/>
      <c r="CY93" s="6"/>
      <c r="CZ93" s="6"/>
    </row>
    <row r="94" hidden="1">
      <c r="A94" s="307" t="s">
        <v>48</v>
      </c>
      <c r="B94" s="307" t="s">
        <v>539</v>
      </c>
      <c r="C94" s="307" t="s">
        <v>49</v>
      </c>
      <c r="D94" s="307" t="s">
        <v>589</v>
      </c>
      <c r="E94" s="307" t="s">
        <v>50</v>
      </c>
      <c r="F94" s="346">
        <v>45428.0</v>
      </c>
      <c r="G94" s="309">
        <v>0.0</v>
      </c>
      <c r="H94" s="309">
        <v>3600000.0</v>
      </c>
      <c r="I94" s="287">
        <v>2122298.0</v>
      </c>
      <c r="J94" s="287">
        <v>0.0</v>
      </c>
      <c r="K94" s="284">
        <v>94.0</v>
      </c>
      <c r="L94" s="284">
        <v>77.0</v>
      </c>
      <c r="M94" s="284">
        <v>7.0</v>
      </c>
      <c r="N94" s="284">
        <v>101.0</v>
      </c>
      <c r="O94" s="284">
        <v>24.0</v>
      </c>
      <c r="P94" s="287">
        <v>1956926.68</v>
      </c>
      <c r="Q94" s="287">
        <v>165370.92</v>
      </c>
      <c r="R94" s="284">
        <v>32.0</v>
      </c>
      <c r="S94" s="284">
        <v>7.0</v>
      </c>
      <c r="T94" s="284">
        <v>39.0</v>
      </c>
      <c r="U94" s="284">
        <v>0.0</v>
      </c>
      <c r="V94" s="284">
        <v>45.0</v>
      </c>
      <c r="W94" s="284">
        <v>70.0</v>
      </c>
      <c r="X94" s="284">
        <v>492.0</v>
      </c>
      <c r="Y94" s="284">
        <v>5.0</v>
      </c>
      <c r="Z94" s="284">
        <v>52.0</v>
      </c>
      <c r="AA94" s="284">
        <v>0.0</v>
      </c>
      <c r="AB94" s="284">
        <v>0.0</v>
      </c>
      <c r="AC94" s="284">
        <v>0.0</v>
      </c>
      <c r="AD94" s="284">
        <v>0.0</v>
      </c>
      <c r="AE94" s="284">
        <v>281.0</v>
      </c>
      <c r="AF94" s="284">
        <v>403.0</v>
      </c>
      <c r="AG94" s="284">
        <v>70.0</v>
      </c>
      <c r="AH94" s="309">
        <f t="shared" si="2"/>
        <v>30318.54286</v>
      </c>
      <c r="AI94" s="309">
        <f t="shared" si="3"/>
        <v>5.757142857</v>
      </c>
      <c r="AJ94" s="311">
        <v>26526.0</v>
      </c>
      <c r="AK94" s="309">
        <f t="shared" si="33"/>
        <v>79578</v>
      </c>
      <c r="AL94" s="312"/>
      <c r="AM94" s="313">
        <f t="shared" si="5"/>
        <v>0.03749614804</v>
      </c>
      <c r="AN94" s="309">
        <f t="shared" si="6"/>
        <v>54417.89744</v>
      </c>
      <c r="AO94" s="314">
        <f t="shared" si="7"/>
        <v>0.5895272222</v>
      </c>
      <c r="AP94" s="315">
        <v>0.0</v>
      </c>
      <c r="AQ94" s="284">
        <v>65.0</v>
      </c>
      <c r="AR94" s="284">
        <v>813.0</v>
      </c>
      <c r="AS94" s="284">
        <v>9336.76</v>
      </c>
      <c r="AT94" s="284">
        <v>7.0</v>
      </c>
      <c r="AU94" s="284">
        <v>121.0</v>
      </c>
      <c r="AV94" s="284">
        <v>39.0</v>
      </c>
      <c r="AW94" s="284">
        <v>38.0</v>
      </c>
      <c r="AX94" s="284">
        <v>24.0</v>
      </c>
      <c r="AY94" s="309">
        <v>0.0</v>
      </c>
      <c r="AZ94" s="316"/>
      <c r="BA94" s="307" t="str">
        <f t="shared" si="8"/>
        <v>Active</v>
      </c>
      <c r="BB94" s="307" t="str">
        <f t="shared" si="9"/>
        <v>Old</v>
      </c>
      <c r="BC94" s="307" t="str">
        <f t="shared" si="10"/>
        <v>50%-70%</v>
      </c>
      <c r="BD94" s="286">
        <f t="shared" si="35"/>
        <v>3</v>
      </c>
      <c r="BE94" s="319">
        <v>1200000.0</v>
      </c>
      <c r="BF94" s="284">
        <f t="shared" si="12"/>
        <v>0</v>
      </c>
      <c r="BG94" s="307" t="s">
        <v>488</v>
      </c>
      <c r="BH94" s="272">
        <f>IFERROR(__xludf.DUMMYFUNCTION("""COMPUTED_VALUE"""),5917829.0)</f>
        <v>5917829</v>
      </c>
      <c r="BI94" s="272">
        <f>IFERROR(__xludf.DUMMYFUNCTION("""COMPUTED_VALUE"""),5898220.88)</f>
        <v>5898220.88</v>
      </c>
      <c r="BJ94" s="273"/>
      <c r="BK94" s="274"/>
      <c r="BL94" s="319">
        <f t="shared" si="34"/>
        <v>0</v>
      </c>
      <c r="BM94" s="319">
        <f t="shared" si="14"/>
        <v>3600000</v>
      </c>
      <c r="BN94" s="274"/>
      <c r="BO94" s="311">
        <f>IFERROR(__xludf.DUMMYFUNCTION("IFERROR(ArrayFormula(SUM(VLOOKUP($C94,importrange(""1PTkkEa_ENkSqsGnpqoXy9kt0Fe1hCtlmU6kVFBNaonY"",""ORDER BOOKING REPORT 2025-26!C:CV""),{16,23,30},0))))"),1323246.6800000002)</f>
        <v>1323246.68</v>
      </c>
      <c r="BP94" s="311">
        <f>IFERROR(__xludf.DUMMYFUNCTION("IFERROR(ArrayFormula(SUM(VLOOKUP($C94,importrange(""1PTkkEa_ENkSqsGnpqoXy9kt0Fe1hCtlmU6kVFBNaonY"",""ORDER BOOKING REPORT 2025-26!C:CV""),{37,44,51},0))))"),1348727.97)</f>
        <v>1348727.97</v>
      </c>
      <c r="BQ94" s="311">
        <f>IFERROR(__xludf.DUMMYFUNCTION("IFERROR(ArrayFormula(SUM(VLOOKUP($C94,importrange(""1PTkkEa_ENkSqsGnpqoXy9kt0Fe1hCtlmU6kVFBNaonY"",""ORDER BOOKING REPORT 2025-26!C:CV""),{58,65,72},0))))"),1545325.35)</f>
        <v>1545325.35</v>
      </c>
      <c r="BR94" s="311">
        <f>IFERROR(__xludf.DUMMYFUNCTION("IFERROR(ArrayFormula(SUM(VLOOKUP($C94,importrange(""1PTkkEa_ENkSqsGnpqoXy9kt0Fe1hCtlmU6kVFBNaonY"",""ORDER BOOKING REPORT 2025-26!C:CV""),{79,86,93},0))))"),1680920.88)</f>
        <v>1680920.88</v>
      </c>
      <c r="BS94" s="322">
        <f t="shared" si="15"/>
        <v>0</v>
      </c>
      <c r="BT94" s="322" t="str">
        <f t="shared" si="16"/>
        <v/>
      </c>
      <c r="BU94" s="287">
        <f t="shared" si="17"/>
        <v>0</v>
      </c>
      <c r="BV94" s="320">
        <v>26526.0</v>
      </c>
      <c r="BW94" s="321" t="s">
        <v>502</v>
      </c>
      <c r="BX94" s="320">
        <v>1083.0</v>
      </c>
      <c r="BY94" s="287">
        <f t="shared" si="18"/>
        <v>0</v>
      </c>
      <c r="BZ94" s="10"/>
      <c r="CA94" s="10"/>
      <c r="CB94" s="10"/>
      <c r="CC94" s="10"/>
      <c r="CD94" s="10"/>
      <c r="CE94" s="10"/>
      <c r="CF94" s="10"/>
      <c r="CG94" s="318" t="str">
        <f t="shared" si="21"/>
        <v> </v>
      </c>
      <c r="CH94" s="318" t="str">
        <f t="shared" si="28"/>
        <v>Not 50%</v>
      </c>
      <c r="CI94" s="322">
        <f t="shared" si="22"/>
        <v>0.3861386139</v>
      </c>
      <c r="CJ94" s="323"/>
      <c r="CK94" s="323"/>
      <c r="CL94" s="323"/>
      <c r="CM94" s="324">
        <f t="shared" si="23"/>
        <v>281</v>
      </c>
      <c r="CN94" s="325"/>
      <c r="CO94" s="6"/>
      <c r="CP94" s="6"/>
      <c r="CQ94" s="327"/>
      <c r="CR94" s="6"/>
      <c r="CS94" s="6"/>
      <c r="CT94" s="6"/>
      <c r="CU94" s="6"/>
      <c r="CV94" s="6"/>
      <c r="CW94" s="327">
        <f t="shared" si="27"/>
        <v>0</v>
      </c>
      <c r="CX94" s="270"/>
      <c r="CY94" s="6"/>
      <c r="CZ94" s="6"/>
    </row>
    <row r="95" hidden="1">
      <c r="A95" s="307" t="s">
        <v>160</v>
      </c>
      <c r="B95" s="307" t="s">
        <v>518</v>
      </c>
      <c r="C95" s="307" t="s">
        <v>228</v>
      </c>
      <c r="D95" s="307" t="s">
        <v>551</v>
      </c>
      <c r="E95" s="307" t="s">
        <v>229</v>
      </c>
      <c r="F95" s="346">
        <v>45432.0</v>
      </c>
      <c r="G95" s="309">
        <v>0.0</v>
      </c>
      <c r="H95" s="309">
        <v>9249999.0</v>
      </c>
      <c r="I95" s="287">
        <v>7609600.0</v>
      </c>
      <c r="J95" s="287">
        <v>0.0</v>
      </c>
      <c r="K95" s="284">
        <v>106.0</v>
      </c>
      <c r="L95" s="284">
        <v>90.0</v>
      </c>
      <c r="M95" s="284">
        <v>1.0</v>
      </c>
      <c r="N95" s="284">
        <v>107.0</v>
      </c>
      <c r="O95" s="284">
        <v>17.0</v>
      </c>
      <c r="P95" s="287">
        <v>7581342.56</v>
      </c>
      <c r="Q95" s="287">
        <v>28257.88</v>
      </c>
      <c r="R95" s="284">
        <v>60.0</v>
      </c>
      <c r="S95" s="284">
        <v>1.0</v>
      </c>
      <c r="T95" s="284">
        <v>61.0</v>
      </c>
      <c r="U95" s="284">
        <v>0.0</v>
      </c>
      <c r="V95" s="284">
        <v>61.0</v>
      </c>
      <c r="W95" s="284">
        <v>82.0</v>
      </c>
      <c r="X95" s="284">
        <v>161.0</v>
      </c>
      <c r="Y95" s="284">
        <v>1.0</v>
      </c>
      <c r="Z95" s="284">
        <v>27.0</v>
      </c>
      <c r="AA95" s="284">
        <v>0.0</v>
      </c>
      <c r="AB95" s="284">
        <v>0.0</v>
      </c>
      <c r="AC95" s="284">
        <v>0.0</v>
      </c>
      <c r="AD95" s="284">
        <v>0.0</v>
      </c>
      <c r="AE95" s="284">
        <v>318.0</v>
      </c>
      <c r="AF95" s="284">
        <v>427.0</v>
      </c>
      <c r="AG95" s="284">
        <v>74.0</v>
      </c>
      <c r="AH95" s="309">
        <f t="shared" si="2"/>
        <v>102832.4324</v>
      </c>
      <c r="AI95" s="309">
        <f t="shared" si="3"/>
        <v>5.77027027</v>
      </c>
      <c r="AJ95" s="311">
        <v>45100.0</v>
      </c>
      <c r="AK95" s="309">
        <f t="shared" si="33"/>
        <v>135300</v>
      </c>
      <c r="AL95" s="312"/>
      <c r="AM95" s="313">
        <f t="shared" si="5"/>
        <v>0.01778017241</v>
      </c>
      <c r="AN95" s="309">
        <f t="shared" si="6"/>
        <v>124747.541</v>
      </c>
      <c r="AO95" s="314">
        <f t="shared" si="7"/>
        <v>0.8226595484</v>
      </c>
      <c r="AP95" s="315">
        <v>0.0</v>
      </c>
      <c r="AQ95" s="284">
        <v>162.0</v>
      </c>
      <c r="AR95" s="284">
        <v>719.0</v>
      </c>
      <c r="AS95" s="284">
        <v>4023.72</v>
      </c>
      <c r="AT95" s="284">
        <v>1.0</v>
      </c>
      <c r="AU95" s="284">
        <v>45.0</v>
      </c>
      <c r="AV95" s="284">
        <v>61.0</v>
      </c>
      <c r="AW95" s="284">
        <v>32.0</v>
      </c>
      <c r="AX95" s="284">
        <v>14.0</v>
      </c>
      <c r="AY95" s="309">
        <v>3801387.0</v>
      </c>
      <c r="AZ95" s="316"/>
      <c r="BA95" s="307" t="str">
        <f t="shared" si="8"/>
        <v>Active</v>
      </c>
      <c r="BB95" s="307" t="str">
        <f t="shared" si="9"/>
        <v>Old</v>
      </c>
      <c r="BC95" s="307" t="str">
        <f t="shared" si="10"/>
        <v>70%-90%</v>
      </c>
      <c r="BD95" s="286">
        <f t="shared" si="35"/>
        <v>3</v>
      </c>
      <c r="BE95" s="328">
        <v>3083333.0</v>
      </c>
      <c r="BF95" s="284">
        <f t="shared" si="12"/>
        <v>0</v>
      </c>
      <c r="BG95" s="307" t="s">
        <v>488</v>
      </c>
      <c r="BH95" s="272">
        <f>IFERROR(__xludf.DUMMYFUNCTION("""COMPUTED_VALUE"""),2.5899198E7)</f>
        <v>25899198</v>
      </c>
      <c r="BI95" s="272">
        <f>IFERROR(__xludf.DUMMYFUNCTION("""COMPUTED_VALUE"""),3.181613816E7)</f>
        <v>31816138.16</v>
      </c>
      <c r="BJ95" s="273"/>
      <c r="BK95" s="274"/>
      <c r="BL95" s="319">
        <f t="shared" si="34"/>
        <v>0</v>
      </c>
      <c r="BM95" s="319">
        <f t="shared" si="14"/>
        <v>9249999</v>
      </c>
      <c r="BN95" s="274"/>
      <c r="BO95" s="311">
        <f>IFERROR(__xludf.DUMMYFUNCTION("IFERROR(ArrayFormula(SUM(VLOOKUP($C95,importrange(""1PTkkEa_ENkSqsGnpqoXy9kt0Fe1hCtlmU6kVFBNaonY"",""ORDER BOOKING REPORT 2025-26!C:CV""),{16,23,30},0))))"),5549196.93)</f>
        <v>5549196.93</v>
      </c>
      <c r="BP95" s="311">
        <f>IFERROR(__xludf.DUMMYFUNCTION("IFERROR(ArrayFormula(SUM(VLOOKUP($C95,importrange(""1PTkkEa_ENkSqsGnpqoXy9kt0Fe1hCtlmU6kVFBNaonY"",""ORDER BOOKING REPORT 2025-26!C:CV""),{37,44,51},0))))"),6802354.96)</f>
        <v>6802354.96</v>
      </c>
      <c r="BQ95" s="311">
        <f>IFERROR(__xludf.DUMMYFUNCTION("IFERROR(ArrayFormula(SUM(VLOOKUP($C95,importrange(""1PTkkEa_ENkSqsGnpqoXy9kt0Fe1hCtlmU6kVFBNaonY"",""ORDER BOOKING REPORT 2025-26!C:CV""),{58,65,72},0))))"),7615387.699999999)</f>
        <v>7615387.7</v>
      </c>
      <c r="BR95" s="311">
        <f>IFERROR(__xludf.DUMMYFUNCTION("IFERROR(ArrayFormula(SUM(VLOOKUP($C95,importrange(""1PTkkEa_ENkSqsGnpqoXy9kt0Fe1hCtlmU6kVFBNaonY"",""ORDER BOOKING REPORT 2025-26!C:CV""),{79,86,93},0))))"),1.184919857E7)</f>
        <v>11849198.57</v>
      </c>
      <c r="BS95" s="322">
        <f t="shared" si="15"/>
        <v>0.4109608012</v>
      </c>
      <c r="BT95" s="322">
        <f t="shared" si="16"/>
        <v>0.03559227198</v>
      </c>
      <c r="BU95" s="287">
        <f t="shared" si="17"/>
        <v>0</v>
      </c>
      <c r="BV95" s="320">
        <v>45100.0</v>
      </c>
      <c r="BW95" s="321" t="s">
        <v>502</v>
      </c>
      <c r="BX95" s="320">
        <v>1086.0</v>
      </c>
      <c r="BY95" s="287">
        <f t="shared" si="18"/>
        <v>0</v>
      </c>
      <c r="BZ95" s="10"/>
      <c r="CA95" s="10"/>
      <c r="CB95" s="10"/>
      <c r="CC95" s="10"/>
      <c r="CD95" s="10"/>
      <c r="CE95" s="10"/>
      <c r="CF95" s="10"/>
      <c r="CG95" s="318" t="str">
        <f t="shared" si="21"/>
        <v> </v>
      </c>
      <c r="CH95" s="318" t="str">
        <f t="shared" si="28"/>
        <v>Business Achieved 50%</v>
      </c>
      <c r="CI95" s="322">
        <f t="shared" si="22"/>
        <v>0.5700934579</v>
      </c>
      <c r="CJ95" s="323"/>
      <c r="CK95" s="323"/>
      <c r="CL95" s="323"/>
      <c r="CM95" s="324">
        <f t="shared" si="23"/>
        <v>318</v>
      </c>
      <c r="CN95" s="325"/>
      <c r="CO95" s="6"/>
      <c r="CP95" s="6"/>
      <c r="CQ95" s="327"/>
      <c r="CR95" s="6"/>
      <c r="CS95" s="6"/>
      <c r="CT95" s="6"/>
      <c r="CU95" s="6"/>
      <c r="CV95" s="6"/>
      <c r="CW95" s="327">
        <f t="shared" si="27"/>
        <v>0</v>
      </c>
      <c r="CX95" s="270"/>
      <c r="CY95" s="6"/>
      <c r="CZ95" s="6"/>
    </row>
    <row r="96" hidden="1">
      <c r="A96" s="307" t="s">
        <v>160</v>
      </c>
      <c r="B96" s="307" t="s">
        <v>499</v>
      </c>
      <c r="C96" s="307" t="s">
        <v>230</v>
      </c>
      <c r="D96" s="307" t="s">
        <v>500</v>
      </c>
      <c r="E96" s="307" t="s">
        <v>231</v>
      </c>
      <c r="F96" s="346">
        <v>45434.0</v>
      </c>
      <c r="G96" s="309">
        <v>0.0</v>
      </c>
      <c r="H96" s="309">
        <v>6999999.0</v>
      </c>
      <c r="I96" s="287">
        <v>0.0</v>
      </c>
      <c r="J96" s="287">
        <v>0.0</v>
      </c>
      <c r="K96" s="284">
        <v>64.0</v>
      </c>
      <c r="L96" s="284">
        <v>7.0</v>
      </c>
      <c r="M96" s="284">
        <v>0.0</v>
      </c>
      <c r="N96" s="284">
        <v>64.0</v>
      </c>
      <c r="O96" s="284">
        <v>57.0</v>
      </c>
      <c r="P96" s="287">
        <v>0.0</v>
      </c>
      <c r="Q96" s="287">
        <v>0.0</v>
      </c>
      <c r="R96" s="284">
        <v>0.0</v>
      </c>
      <c r="S96" s="284">
        <v>0.0</v>
      </c>
      <c r="T96" s="284">
        <v>0.0</v>
      </c>
      <c r="U96" s="284">
        <v>0.0</v>
      </c>
      <c r="V96" s="284">
        <v>0.0</v>
      </c>
      <c r="W96" s="284">
        <v>0.0</v>
      </c>
      <c r="X96" s="284">
        <v>21.0</v>
      </c>
      <c r="Y96" s="284">
        <v>1.0</v>
      </c>
      <c r="Z96" s="284">
        <v>3.0</v>
      </c>
      <c r="AA96" s="284">
        <v>0.0</v>
      </c>
      <c r="AB96" s="284">
        <v>0.0</v>
      </c>
      <c r="AC96" s="284">
        <v>0.0</v>
      </c>
      <c r="AD96" s="284">
        <v>0.0</v>
      </c>
      <c r="AE96" s="284">
        <v>8.0</v>
      </c>
      <c r="AF96" s="284">
        <v>11.0</v>
      </c>
      <c r="AG96" s="284">
        <v>26.0</v>
      </c>
      <c r="AH96" s="309">
        <f t="shared" si="2"/>
        <v>0</v>
      </c>
      <c r="AI96" s="309">
        <f t="shared" si="3"/>
        <v>0.4230769231</v>
      </c>
      <c r="AJ96" s="311">
        <v>69400.0</v>
      </c>
      <c r="AK96" s="309">
        <f t="shared" si="33"/>
        <v>208200</v>
      </c>
      <c r="AL96" s="312"/>
      <c r="AM96" s="313" t="str">
        <f t="shared" si="5"/>
        <v/>
      </c>
      <c r="AN96" s="309" t="str">
        <f t="shared" si="6"/>
        <v/>
      </c>
      <c r="AO96" s="314">
        <f t="shared" si="7"/>
        <v>0</v>
      </c>
      <c r="AP96" s="315">
        <v>0.0</v>
      </c>
      <c r="AQ96" s="284">
        <v>0.0</v>
      </c>
      <c r="AR96" s="284">
        <v>568.0</v>
      </c>
      <c r="AS96" s="284">
        <v>1539.63</v>
      </c>
      <c r="AT96" s="284">
        <v>0.0</v>
      </c>
      <c r="AU96" s="284">
        <v>220.0</v>
      </c>
      <c r="AV96" s="284">
        <v>0.0</v>
      </c>
      <c r="AW96" s="284">
        <v>7.0</v>
      </c>
      <c r="AX96" s="284">
        <v>57.0</v>
      </c>
      <c r="AY96" s="309">
        <v>0.0</v>
      </c>
      <c r="AZ96" s="316"/>
      <c r="BA96" s="307" t="str">
        <f t="shared" si="8"/>
        <v>Active</v>
      </c>
      <c r="BB96" s="307" t="str">
        <f t="shared" si="9"/>
        <v>Old</v>
      </c>
      <c r="BC96" s="307" t="str">
        <f t="shared" si="10"/>
        <v>Below 50%</v>
      </c>
      <c r="BD96" s="286">
        <f t="shared" si="35"/>
        <v>3</v>
      </c>
      <c r="BE96" s="328">
        <v>2333333.0</v>
      </c>
      <c r="BF96" s="284">
        <f t="shared" si="12"/>
        <v>0</v>
      </c>
      <c r="BG96" s="307" t="s">
        <v>488</v>
      </c>
      <c r="BH96" s="272">
        <f>IFERROR(__xludf.DUMMYFUNCTION("""COMPUTED_VALUE"""),1.501783482E7)</f>
        <v>15017834.82</v>
      </c>
      <c r="BI96" s="272">
        <f>IFERROR(__xludf.DUMMYFUNCTION("""COMPUTED_VALUE"""),1.240301753E7)</f>
        <v>12403017.53</v>
      </c>
      <c r="BJ96" s="273"/>
      <c r="BK96" s="274"/>
      <c r="BL96" s="319">
        <f t="shared" si="34"/>
        <v>0</v>
      </c>
      <c r="BM96" s="319">
        <f t="shared" si="14"/>
        <v>6999999</v>
      </c>
      <c r="BN96" s="274"/>
      <c r="BO96" s="311">
        <f>IFERROR(__xludf.DUMMYFUNCTION("IFERROR(ArrayFormula(SUM(VLOOKUP($C96,importrange(""1PTkkEa_ENkSqsGnpqoXy9kt0Fe1hCtlmU6kVFBNaonY"",""ORDER BOOKING REPORT 2025-26!C:CV""),{16,23,30},0))))"),2906350.8)</f>
        <v>2906350.8</v>
      </c>
      <c r="BP96" s="311">
        <f>IFERROR(__xludf.DUMMYFUNCTION("IFERROR(ArrayFormula(SUM(VLOOKUP($C96,importrange(""1PTkkEa_ENkSqsGnpqoXy9kt0Fe1hCtlmU6kVFBNaonY"",""ORDER BOOKING REPORT 2025-26!C:CV""),{37,44,51},0))))"),3763855.969999999)</f>
        <v>3763855.97</v>
      </c>
      <c r="BQ96" s="311">
        <f>IFERROR(__xludf.DUMMYFUNCTION("IFERROR(ArrayFormula(SUM(VLOOKUP($C96,importrange(""1PTkkEa_ENkSqsGnpqoXy9kt0Fe1hCtlmU6kVFBNaonY"",""ORDER BOOKING REPORT 2025-26!C:CV""),{58,65,72},0))))"),3546868.94)</f>
        <v>3546868.94</v>
      </c>
      <c r="BR96" s="311">
        <f>IFERROR(__xludf.DUMMYFUNCTION("IFERROR(ArrayFormula(SUM(VLOOKUP($C96,importrange(""1PTkkEa_ENkSqsGnpqoXy9kt0Fe1hCtlmU6kVFBNaonY"",""ORDER BOOKING REPORT 2025-26!C:CV""),{79,86,93},0))))"),2185941.82)</f>
        <v>2185941.82</v>
      </c>
      <c r="BS96" s="322">
        <f t="shared" si="15"/>
        <v>0</v>
      </c>
      <c r="BT96" s="322" t="str">
        <f t="shared" si="16"/>
        <v/>
      </c>
      <c r="BU96" s="287">
        <f t="shared" si="17"/>
        <v>0</v>
      </c>
      <c r="BV96" s="320">
        <v>69400.0</v>
      </c>
      <c r="BW96" s="321" t="s">
        <v>486</v>
      </c>
      <c r="BX96" s="320">
        <v>1087.0</v>
      </c>
      <c r="BY96" s="287">
        <f t="shared" si="18"/>
        <v>0</v>
      </c>
      <c r="BZ96" s="10"/>
      <c r="CA96" s="10"/>
      <c r="CB96" s="10"/>
      <c r="CC96" s="10"/>
      <c r="CD96" s="10"/>
      <c r="CE96" s="10"/>
      <c r="CF96" s="10"/>
      <c r="CG96" s="318" t="str">
        <f t="shared" si="21"/>
        <v> </v>
      </c>
      <c r="CH96" s="318" t="str">
        <f t="shared" si="28"/>
        <v>Not 50%</v>
      </c>
      <c r="CI96" s="322">
        <f t="shared" si="22"/>
        <v>0</v>
      </c>
      <c r="CJ96" s="323"/>
      <c r="CK96" s="323"/>
      <c r="CL96" s="323"/>
      <c r="CM96" s="324">
        <f t="shared" si="23"/>
        <v>8</v>
      </c>
      <c r="CN96" s="325"/>
      <c r="CO96" s="6"/>
      <c r="CP96" s="6"/>
      <c r="CQ96" s="327"/>
      <c r="CR96" s="6"/>
      <c r="CS96" s="6"/>
      <c r="CT96" s="6"/>
      <c r="CU96" s="6"/>
      <c r="CV96" s="6"/>
      <c r="CW96" s="327">
        <f t="shared" si="27"/>
        <v>0</v>
      </c>
      <c r="CX96" s="270"/>
      <c r="CY96" s="6"/>
      <c r="CZ96" s="6"/>
    </row>
    <row r="97" hidden="1">
      <c r="A97" s="307" t="s">
        <v>273</v>
      </c>
      <c r="B97" s="307" t="s">
        <v>528</v>
      </c>
      <c r="C97" s="307" t="s">
        <v>285</v>
      </c>
      <c r="D97" s="307" t="s">
        <v>555</v>
      </c>
      <c r="E97" s="307" t="s">
        <v>277</v>
      </c>
      <c r="F97" s="329">
        <v>45446.0</v>
      </c>
      <c r="G97" s="309">
        <v>0.0</v>
      </c>
      <c r="H97" s="309">
        <v>4200000.0</v>
      </c>
      <c r="I97" s="287">
        <v>2267165.0</v>
      </c>
      <c r="J97" s="287">
        <v>0.0</v>
      </c>
      <c r="K97" s="284">
        <v>58.0</v>
      </c>
      <c r="L97" s="284">
        <v>47.0</v>
      </c>
      <c r="M97" s="284">
        <v>2.0</v>
      </c>
      <c r="N97" s="284">
        <v>60.0</v>
      </c>
      <c r="O97" s="284">
        <v>13.0</v>
      </c>
      <c r="P97" s="287">
        <v>2245023.17</v>
      </c>
      <c r="Q97" s="287">
        <v>22142.08</v>
      </c>
      <c r="R97" s="284">
        <v>17.0</v>
      </c>
      <c r="S97" s="284">
        <v>2.0</v>
      </c>
      <c r="T97" s="284">
        <v>19.0</v>
      </c>
      <c r="U97" s="284">
        <v>0.0</v>
      </c>
      <c r="V97" s="284">
        <v>55.0</v>
      </c>
      <c r="W97" s="284">
        <v>68.0</v>
      </c>
      <c r="X97" s="284">
        <v>182.0</v>
      </c>
      <c r="Y97" s="284">
        <v>7.0</v>
      </c>
      <c r="Z97" s="284">
        <v>47.0</v>
      </c>
      <c r="AA97" s="284">
        <v>0.0</v>
      </c>
      <c r="AB97" s="284">
        <v>0.0</v>
      </c>
      <c r="AC97" s="284">
        <v>1.0</v>
      </c>
      <c r="AD97" s="284">
        <v>3.0</v>
      </c>
      <c r="AE97" s="284">
        <v>167.0</v>
      </c>
      <c r="AF97" s="284">
        <v>285.0</v>
      </c>
      <c r="AG97" s="284">
        <v>71.0</v>
      </c>
      <c r="AH97" s="309">
        <f t="shared" si="2"/>
        <v>31931.90141</v>
      </c>
      <c r="AI97" s="309">
        <f t="shared" si="3"/>
        <v>4.014084507</v>
      </c>
      <c r="AJ97" s="311">
        <v>39837.0</v>
      </c>
      <c r="AK97" s="309">
        <f t="shared" si="33"/>
        <v>119511</v>
      </c>
      <c r="AL97" s="312"/>
      <c r="AM97" s="313">
        <f t="shared" si="5"/>
        <v>0.05271385188</v>
      </c>
      <c r="AN97" s="309">
        <f t="shared" si="6"/>
        <v>119324.4737</v>
      </c>
      <c r="AO97" s="314">
        <f t="shared" si="7"/>
        <v>0.5398011905</v>
      </c>
      <c r="AP97" s="315">
        <v>0.0</v>
      </c>
      <c r="AQ97" s="284">
        <v>35.0</v>
      </c>
      <c r="AR97" s="284">
        <v>701.0</v>
      </c>
      <c r="AS97" s="284">
        <v>5382.26</v>
      </c>
      <c r="AT97" s="284">
        <v>2.0</v>
      </c>
      <c r="AU97" s="284">
        <v>115.0</v>
      </c>
      <c r="AV97" s="284">
        <v>19.0</v>
      </c>
      <c r="AW97" s="284">
        <v>28.0</v>
      </c>
      <c r="AX97" s="284">
        <v>13.0</v>
      </c>
      <c r="AY97" s="309">
        <v>2267164.0</v>
      </c>
      <c r="AZ97" s="316"/>
      <c r="BA97" s="307" t="str">
        <f t="shared" si="8"/>
        <v>Active</v>
      </c>
      <c r="BB97" s="307" t="str">
        <f t="shared" si="9"/>
        <v>Old</v>
      </c>
      <c r="BC97" s="307" t="str">
        <f t="shared" si="10"/>
        <v>50%-70%</v>
      </c>
      <c r="BD97" s="286">
        <f t="shared" si="35"/>
        <v>3</v>
      </c>
      <c r="BE97" s="328">
        <v>1400000.0</v>
      </c>
      <c r="BF97" s="284">
        <f t="shared" si="12"/>
        <v>0</v>
      </c>
      <c r="BG97" s="307" t="s">
        <v>488</v>
      </c>
      <c r="BH97" s="272">
        <f>IFERROR(__xludf.DUMMYFUNCTION("""COMPUTED_VALUE"""),9386900.0)</f>
        <v>9386900</v>
      </c>
      <c r="BI97" s="272">
        <f>IFERROR(__xludf.DUMMYFUNCTION("""COMPUTED_VALUE"""),9948476.829999998)</f>
        <v>9948476.83</v>
      </c>
      <c r="BJ97" s="273"/>
      <c r="BK97" s="274"/>
      <c r="BL97" s="319">
        <f t="shared" si="34"/>
        <v>0</v>
      </c>
      <c r="BM97" s="319">
        <f t="shared" si="14"/>
        <v>4200000</v>
      </c>
      <c r="BN97" s="274"/>
      <c r="BO97" s="311">
        <f>IFERROR(__xludf.DUMMYFUNCTION("IFERROR(ArrayFormula(SUM(VLOOKUP($C97,importrange(""1PTkkEa_ENkSqsGnpqoXy9kt0Fe1hCtlmU6kVFBNaonY"",""ORDER BOOKING REPORT 2025-26!C:CV""),{16,23,30},0))))"),1470047.979999999)</f>
        <v>1470047.98</v>
      </c>
      <c r="BP97" s="311">
        <f>IFERROR(__xludf.DUMMYFUNCTION("IFERROR(ArrayFormula(SUM(VLOOKUP($C97,importrange(""1PTkkEa_ENkSqsGnpqoXy9kt0Fe1hCtlmU6kVFBNaonY"",""ORDER BOOKING REPORT 2025-26!C:CV""),{37,44,51},0))))"),3831530.83)</f>
        <v>3831530.83</v>
      </c>
      <c r="BQ97" s="311">
        <f>IFERROR(__xludf.DUMMYFUNCTION("IFERROR(ArrayFormula(SUM(VLOOKUP($C97,importrange(""1PTkkEa_ENkSqsGnpqoXy9kt0Fe1hCtlmU6kVFBNaonY"",""ORDER BOOKING REPORT 2025-26!C:CV""),{58,65,72},0))))"),2692591.45)</f>
        <v>2692591.45</v>
      </c>
      <c r="BR97" s="311">
        <f>IFERROR(__xludf.DUMMYFUNCTION("IFERROR(ArrayFormula(SUM(VLOOKUP($C97,importrange(""1PTkkEa_ENkSqsGnpqoXy9kt0Fe1hCtlmU6kVFBNaonY"",""ORDER BOOKING REPORT 2025-26!C:CV""),{79,86,93},0))))"),1954306.5699999998)</f>
        <v>1954306.57</v>
      </c>
      <c r="BS97" s="322">
        <f t="shared" si="15"/>
        <v>0.5398009524</v>
      </c>
      <c r="BT97" s="322">
        <f t="shared" si="16"/>
        <v>0.05271387513</v>
      </c>
      <c r="BU97" s="287">
        <f t="shared" si="17"/>
        <v>0</v>
      </c>
      <c r="BV97" s="320">
        <v>39837.0</v>
      </c>
      <c r="BW97" s="321" t="s">
        <v>502</v>
      </c>
      <c r="BX97" s="320">
        <v>1101.0</v>
      </c>
      <c r="BY97" s="287">
        <f t="shared" si="18"/>
        <v>0</v>
      </c>
      <c r="BZ97" s="10"/>
      <c r="CA97" s="10"/>
      <c r="CB97" s="10"/>
      <c r="CC97" s="10"/>
      <c r="CD97" s="10"/>
      <c r="CE97" s="10"/>
      <c r="CF97" s="10"/>
      <c r="CG97" s="318" t="str">
        <f t="shared" si="21"/>
        <v> </v>
      </c>
      <c r="CH97" s="318" t="str">
        <f t="shared" si="28"/>
        <v>Not 50%</v>
      </c>
      <c r="CI97" s="322">
        <f t="shared" si="22"/>
        <v>0.3166666667</v>
      </c>
      <c r="CJ97" s="323"/>
      <c r="CK97" s="323"/>
      <c r="CL97" s="323"/>
      <c r="CM97" s="324">
        <f t="shared" si="23"/>
        <v>167</v>
      </c>
      <c r="CN97" s="325"/>
      <c r="CO97" s="6"/>
      <c r="CP97" s="6"/>
      <c r="CQ97" s="327"/>
      <c r="CR97" s="6"/>
      <c r="CS97" s="6"/>
      <c r="CT97" s="6"/>
      <c r="CU97" s="6"/>
      <c r="CV97" s="6"/>
      <c r="CW97" s="327">
        <f t="shared" si="27"/>
        <v>0</v>
      </c>
      <c r="CX97" s="270"/>
      <c r="CY97" s="6"/>
      <c r="CZ97" s="6"/>
    </row>
    <row r="98" hidden="1">
      <c r="A98" s="307" t="s">
        <v>160</v>
      </c>
      <c r="B98" s="307" t="s">
        <v>535</v>
      </c>
      <c r="C98" s="307" t="s">
        <v>268</v>
      </c>
      <c r="D98" s="307" t="s">
        <v>536</v>
      </c>
      <c r="E98" s="307" t="s">
        <v>269</v>
      </c>
      <c r="F98" s="308">
        <v>45453.0</v>
      </c>
      <c r="G98" s="309">
        <v>0.0</v>
      </c>
      <c r="H98" s="309">
        <v>4500000.0</v>
      </c>
      <c r="I98" s="287">
        <v>2704831.0</v>
      </c>
      <c r="J98" s="287">
        <v>0.0</v>
      </c>
      <c r="K98" s="284">
        <v>142.0</v>
      </c>
      <c r="L98" s="284">
        <v>121.0</v>
      </c>
      <c r="M98" s="284">
        <v>0.0</v>
      </c>
      <c r="N98" s="284">
        <v>142.0</v>
      </c>
      <c r="O98" s="284">
        <v>21.0</v>
      </c>
      <c r="P98" s="287">
        <v>2704830.65</v>
      </c>
      <c r="Q98" s="287">
        <v>0.0</v>
      </c>
      <c r="R98" s="284">
        <v>43.0</v>
      </c>
      <c r="S98" s="284">
        <v>0.0</v>
      </c>
      <c r="T98" s="284">
        <v>43.0</v>
      </c>
      <c r="U98" s="284">
        <v>0.0</v>
      </c>
      <c r="V98" s="284">
        <v>17.0</v>
      </c>
      <c r="W98" s="284">
        <v>38.0</v>
      </c>
      <c r="X98" s="284">
        <v>209.0</v>
      </c>
      <c r="Y98" s="284">
        <v>1.0</v>
      </c>
      <c r="Z98" s="284">
        <v>1.0</v>
      </c>
      <c r="AA98" s="284">
        <v>0.0</v>
      </c>
      <c r="AB98" s="284">
        <v>0.0</v>
      </c>
      <c r="AC98" s="284">
        <v>0.0</v>
      </c>
      <c r="AD98" s="284">
        <v>0.0</v>
      </c>
      <c r="AE98" s="284">
        <v>460.0</v>
      </c>
      <c r="AF98" s="284">
        <v>499.0</v>
      </c>
      <c r="AG98" s="284">
        <v>66.0</v>
      </c>
      <c r="AH98" s="309">
        <f t="shared" si="2"/>
        <v>40982.28788</v>
      </c>
      <c r="AI98" s="309">
        <f t="shared" si="3"/>
        <v>7.560606061</v>
      </c>
      <c r="AJ98" s="311">
        <v>36925.0</v>
      </c>
      <c r="AK98" s="309">
        <f t="shared" si="33"/>
        <v>110775</v>
      </c>
      <c r="AL98" s="286"/>
      <c r="AM98" s="313">
        <f t="shared" si="5"/>
        <v>0.04095449956</v>
      </c>
      <c r="AN98" s="309">
        <f t="shared" si="6"/>
        <v>62903.04651</v>
      </c>
      <c r="AO98" s="314">
        <f t="shared" si="7"/>
        <v>0.6010735556</v>
      </c>
      <c r="AP98" s="315">
        <v>0.0</v>
      </c>
      <c r="AQ98" s="284">
        <v>94.0</v>
      </c>
      <c r="AR98" s="284">
        <v>814.0</v>
      </c>
      <c r="AS98" s="284">
        <v>7164.27</v>
      </c>
      <c r="AT98" s="284">
        <v>0.0</v>
      </c>
      <c r="AU98" s="284">
        <v>59.0</v>
      </c>
      <c r="AV98" s="284">
        <v>43.0</v>
      </c>
      <c r="AW98" s="284">
        <v>79.0</v>
      </c>
      <c r="AX98" s="284">
        <v>20.0</v>
      </c>
      <c r="AY98" s="309">
        <v>1724122.0</v>
      </c>
      <c r="AZ98" s="316"/>
      <c r="BA98" s="307" t="str">
        <f t="shared" si="8"/>
        <v>Active</v>
      </c>
      <c r="BB98" s="307" t="str">
        <f t="shared" si="9"/>
        <v>Old</v>
      </c>
      <c r="BC98" s="307" t="str">
        <f t="shared" si="10"/>
        <v>50%-70%</v>
      </c>
      <c r="BD98" s="286">
        <f t="shared" si="35"/>
        <v>3</v>
      </c>
      <c r="BE98" s="328">
        <v>1500000.0</v>
      </c>
      <c r="BF98" s="284">
        <f t="shared" si="12"/>
        <v>0</v>
      </c>
      <c r="BG98" s="307" t="s">
        <v>488</v>
      </c>
      <c r="BH98" s="272">
        <f>IFERROR(__xludf.DUMMYFUNCTION("""COMPUTED_VALUE"""),7435566.1899999995)</f>
        <v>7435566.19</v>
      </c>
      <c r="BI98" s="272">
        <f>IFERROR(__xludf.DUMMYFUNCTION("""COMPUTED_VALUE"""),9775545.81)</f>
        <v>9775545.81</v>
      </c>
      <c r="BJ98" s="273"/>
      <c r="BK98" s="274"/>
      <c r="BL98" s="319">
        <f t="shared" si="34"/>
        <v>0</v>
      </c>
      <c r="BM98" s="319">
        <f t="shared" si="14"/>
        <v>4500000</v>
      </c>
      <c r="BN98" s="274"/>
      <c r="BO98" s="311">
        <f>IFERROR(__xludf.DUMMYFUNCTION("IFERROR(ArrayFormula(SUM(VLOOKUP($C98,importrange(""1PTkkEa_ENkSqsGnpqoXy9kt0Fe1hCtlmU6kVFBNaonY"",""ORDER BOOKING REPORT 2025-26!C:CV""),{16,23,30},0))))"),2947658.1)</f>
        <v>2947658.1</v>
      </c>
      <c r="BP98" s="311">
        <f>IFERROR(__xludf.DUMMYFUNCTION("IFERROR(ArrayFormula(SUM(VLOOKUP($C98,importrange(""1PTkkEa_ENkSqsGnpqoXy9kt0Fe1hCtlmU6kVFBNaonY"",""ORDER BOOKING REPORT 2025-26!C:CV""),{37,44,51},0))))"),2198464.95)</f>
        <v>2198464.95</v>
      </c>
      <c r="BQ98" s="311">
        <f>IFERROR(__xludf.DUMMYFUNCTION("IFERROR(ArrayFormula(SUM(VLOOKUP($C98,importrange(""1PTkkEa_ENkSqsGnpqoXy9kt0Fe1hCtlmU6kVFBNaonY"",""ORDER BOOKING REPORT 2025-26!C:CV""),{58,65,72},0))))"),2516948.56)</f>
        <v>2516948.56</v>
      </c>
      <c r="BR98" s="311">
        <f>IFERROR(__xludf.DUMMYFUNCTION("IFERROR(ArrayFormula(SUM(VLOOKUP($C98,importrange(""1PTkkEa_ENkSqsGnpqoXy9kt0Fe1hCtlmU6kVFBNaonY"",""ORDER BOOKING REPORT 2025-26!C:CV""),{79,86,93},0))))"),2112474.2)</f>
        <v>2112474.2</v>
      </c>
      <c r="BS98" s="322">
        <f t="shared" si="15"/>
        <v>0.3831382222</v>
      </c>
      <c r="BT98" s="322">
        <f t="shared" si="16"/>
        <v>0.06425009367</v>
      </c>
      <c r="BU98" s="287">
        <f t="shared" si="17"/>
        <v>0</v>
      </c>
      <c r="BV98" s="320">
        <v>36925.0</v>
      </c>
      <c r="BW98" s="321" t="s">
        <v>526</v>
      </c>
      <c r="BX98" s="320">
        <v>1103.0</v>
      </c>
      <c r="BY98" s="287">
        <f t="shared" si="18"/>
        <v>0</v>
      </c>
      <c r="BZ98" s="10"/>
      <c r="CA98" s="10"/>
      <c r="CB98" s="10"/>
      <c r="CC98" s="10"/>
      <c r="CD98" s="10"/>
      <c r="CE98" s="10"/>
      <c r="CF98" s="10"/>
      <c r="CG98" s="318" t="str">
        <f t="shared" si="21"/>
        <v> </v>
      </c>
      <c r="CH98" s="318" t="str">
        <f t="shared" si="28"/>
        <v>Not 50%</v>
      </c>
      <c r="CI98" s="322">
        <f t="shared" si="22"/>
        <v>0.3028169014</v>
      </c>
      <c r="CJ98" s="323"/>
      <c r="CK98" s="323"/>
      <c r="CL98" s="323"/>
      <c r="CM98" s="324">
        <f t="shared" si="23"/>
        <v>460</v>
      </c>
      <c r="CN98" s="337"/>
      <c r="CO98" s="152"/>
      <c r="CP98" s="152"/>
      <c r="CQ98" s="327"/>
      <c r="CR98" s="152"/>
      <c r="CS98" s="152"/>
      <c r="CT98" s="152"/>
      <c r="CU98" s="152"/>
      <c r="CV98" s="152"/>
      <c r="CW98" s="327">
        <f t="shared" si="27"/>
        <v>0</v>
      </c>
      <c r="CX98" s="270"/>
      <c r="CY98" s="152"/>
      <c r="CZ98" s="152"/>
    </row>
    <row r="99" hidden="1">
      <c r="A99" s="307" t="s">
        <v>160</v>
      </c>
      <c r="B99" s="307" t="s">
        <v>483</v>
      </c>
      <c r="C99" s="307" t="s">
        <v>232</v>
      </c>
      <c r="D99" s="307" t="s">
        <v>484</v>
      </c>
      <c r="E99" s="307" t="s">
        <v>233</v>
      </c>
      <c r="F99" s="308">
        <v>45460.0</v>
      </c>
      <c r="G99" s="309">
        <v>0.0</v>
      </c>
      <c r="H99" s="309">
        <v>1.2500001E7</v>
      </c>
      <c r="I99" s="287">
        <v>6682208.0</v>
      </c>
      <c r="J99" s="287">
        <v>0.0</v>
      </c>
      <c r="K99" s="284">
        <v>81.0</v>
      </c>
      <c r="L99" s="284">
        <v>66.0</v>
      </c>
      <c r="M99" s="284">
        <v>5.0</v>
      </c>
      <c r="N99" s="284">
        <v>86.0</v>
      </c>
      <c r="O99" s="284">
        <v>20.0</v>
      </c>
      <c r="P99" s="287">
        <v>6024794.37</v>
      </c>
      <c r="Q99" s="287">
        <v>657413.8</v>
      </c>
      <c r="R99" s="284">
        <v>32.0</v>
      </c>
      <c r="S99" s="284">
        <v>4.0</v>
      </c>
      <c r="T99" s="284">
        <v>36.0</v>
      </c>
      <c r="U99" s="284">
        <v>0.0</v>
      </c>
      <c r="V99" s="284">
        <v>5.0</v>
      </c>
      <c r="W99" s="284">
        <v>6.0</v>
      </c>
      <c r="X99" s="284">
        <v>72.0</v>
      </c>
      <c r="Y99" s="284">
        <v>3.0</v>
      </c>
      <c r="Z99" s="284">
        <v>27.0</v>
      </c>
      <c r="AA99" s="284">
        <v>0.0</v>
      </c>
      <c r="AB99" s="284">
        <v>0.0</v>
      </c>
      <c r="AC99" s="284">
        <v>0.0</v>
      </c>
      <c r="AD99" s="284">
        <v>0.0</v>
      </c>
      <c r="AE99" s="284">
        <v>278.0</v>
      </c>
      <c r="AF99" s="284">
        <v>311.0</v>
      </c>
      <c r="AG99" s="284">
        <v>79.0</v>
      </c>
      <c r="AH99" s="309">
        <f t="shared" si="2"/>
        <v>84584.91139</v>
      </c>
      <c r="AI99" s="309">
        <f t="shared" si="3"/>
        <v>3.936708861</v>
      </c>
      <c r="AJ99" s="345">
        <v>29900.0</v>
      </c>
      <c r="AK99" s="309">
        <f t="shared" si="33"/>
        <v>89700</v>
      </c>
      <c r="AL99" s="312"/>
      <c r="AM99" s="313">
        <f t="shared" si="5"/>
        <v>0.01342370666</v>
      </c>
      <c r="AN99" s="309">
        <f t="shared" si="6"/>
        <v>185616.8889</v>
      </c>
      <c r="AO99" s="314">
        <f t="shared" si="7"/>
        <v>0.5345765972</v>
      </c>
      <c r="AP99" s="315">
        <v>0.0</v>
      </c>
      <c r="AQ99" s="284">
        <v>91.0</v>
      </c>
      <c r="AR99" s="284">
        <v>857.0</v>
      </c>
      <c r="AS99" s="284">
        <v>7058.58</v>
      </c>
      <c r="AT99" s="284">
        <v>4.0</v>
      </c>
      <c r="AU99" s="284">
        <v>107.0</v>
      </c>
      <c r="AV99" s="284">
        <v>36.0</v>
      </c>
      <c r="AW99" s="284">
        <v>30.0</v>
      </c>
      <c r="AX99" s="284">
        <v>20.0</v>
      </c>
      <c r="AY99" s="309">
        <v>5912262.0</v>
      </c>
      <c r="AZ99" s="316"/>
      <c r="BA99" s="307" t="str">
        <f t="shared" si="8"/>
        <v>Active</v>
      </c>
      <c r="BB99" s="307" t="str">
        <f t="shared" si="9"/>
        <v>Old</v>
      </c>
      <c r="BC99" s="307" t="str">
        <f t="shared" si="10"/>
        <v>50%-70%</v>
      </c>
      <c r="BD99" s="286">
        <f t="shared" si="35"/>
        <v>3</v>
      </c>
      <c r="BE99" s="328">
        <v>4166667.0</v>
      </c>
      <c r="BF99" s="284">
        <f t="shared" si="12"/>
        <v>1</v>
      </c>
      <c r="BG99" s="307" t="s">
        <v>488</v>
      </c>
      <c r="BH99" s="272">
        <f>IFERROR(__xludf.DUMMYFUNCTION("""COMPUTED_VALUE"""),1.5309253E7)</f>
        <v>15309253</v>
      </c>
      <c r="BI99" s="272">
        <f>IFERROR(__xludf.DUMMYFUNCTION("""COMPUTED_VALUE"""),1.8000674859999996E7)</f>
        <v>18000674.86</v>
      </c>
      <c r="BJ99" s="273"/>
      <c r="BK99" s="274"/>
      <c r="BL99" s="319">
        <f t="shared" si="34"/>
        <v>0</v>
      </c>
      <c r="BM99" s="319">
        <f t="shared" si="14"/>
        <v>12500001</v>
      </c>
      <c r="BN99" s="274"/>
      <c r="BO99" s="311">
        <f>IFERROR(__xludf.DUMMYFUNCTION("IFERROR(ArrayFormula(SUM(VLOOKUP($C99,importrange(""1PTkkEa_ENkSqsGnpqoXy9kt0Fe1hCtlmU6kVFBNaonY"",""ORDER BOOKING REPORT 2025-26!C:CV""),{16,23,30},0))))"),4364040.1899999995)</f>
        <v>4364040.19</v>
      </c>
      <c r="BP99" s="311">
        <f>IFERROR(__xludf.DUMMYFUNCTION("IFERROR(ArrayFormula(SUM(VLOOKUP($C99,importrange(""1PTkkEa_ENkSqsGnpqoXy9kt0Fe1hCtlmU6kVFBNaonY"",""ORDER BOOKING REPORT 2025-26!C:CV""),{37,44,51},0))))"),4285925.87)</f>
        <v>4285925.87</v>
      </c>
      <c r="BQ99" s="311">
        <f>IFERROR(__xludf.DUMMYFUNCTION("IFERROR(ArrayFormula(SUM(VLOOKUP($C99,importrange(""1PTkkEa_ENkSqsGnpqoXy9kt0Fe1hCtlmU6kVFBNaonY"",""ORDER BOOKING REPORT 2025-26!C:CV""),{58,65,72},0))))"),4111888.6399999997)</f>
        <v>4111888.64</v>
      </c>
      <c r="BR99" s="311">
        <f>IFERROR(__xludf.DUMMYFUNCTION("IFERROR(ArrayFormula(SUM(VLOOKUP($C99,importrange(""1PTkkEa_ENkSqsGnpqoXy9kt0Fe1hCtlmU6kVFBNaonY"",""ORDER BOOKING REPORT 2025-26!C:CV""),{79,86,93},0))))"),5238820.16)</f>
        <v>5238820.16</v>
      </c>
      <c r="BS99" s="322">
        <f t="shared" si="15"/>
        <v>0.4729809222</v>
      </c>
      <c r="BT99" s="322">
        <f t="shared" si="16"/>
        <v>0.01517185808</v>
      </c>
      <c r="BU99" s="287">
        <f t="shared" si="17"/>
        <v>0</v>
      </c>
      <c r="BV99" s="320">
        <v>29900.0</v>
      </c>
      <c r="BW99" s="321" t="s">
        <v>592</v>
      </c>
      <c r="BX99" s="320">
        <v>1104.0</v>
      </c>
      <c r="BY99" s="287">
        <f t="shared" si="18"/>
        <v>0</v>
      </c>
      <c r="BZ99" s="10"/>
      <c r="CA99" s="10"/>
      <c r="CB99" s="10"/>
      <c r="CC99" s="10"/>
      <c r="CD99" s="10"/>
      <c r="CE99" s="10"/>
      <c r="CF99" s="10"/>
      <c r="CG99" s="318" t="str">
        <f t="shared" si="21"/>
        <v> </v>
      </c>
      <c r="CH99" s="318" t="str">
        <f t="shared" si="28"/>
        <v>Not 50%</v>
      </c>
      <c r="CI99" s="322">
        <f t="shared" si="22"/>
        <v>0.4186046512</v>
      </c>
      <c r="CJ99" s="323"/>
      <c r="CK99" s="323"/>
      <c r="CL99" s="323"/>
      <c r="CM99" s="324">
        <f t="shared" si="23"/>
        <v>278</v>
      </c>
      <c r="CN99" s="325"/>
      <c r="CO99" s="6"/>
      <c r="CP99" s="6"/>
      <c r="CQ99" s="327"/>
      <c r="CR99" s="6"/>
      <c r="CS99" s="6"/>
      <c r="CT99" s="6"/>
      <c r="CU99" s="6"/>
      <c r="CV99" s="6"/>
      <c r="CW99" s="327">
        <f t="shared" si="27"/>
        <v>0</v>
      </c>
      <c r="CX99" s="270"/>
      <c r="CY99" s="6"/>
      <c r="CZ99" s="6"/>
    </row>
    <row r="100" hidden="1">
      <c r="A100" s="307" t="s">
        <v>103</v>
      </c>
      <c r="B100" s="307" t="s">
        <v>492</v>
      </c>
      <c r="C100" s="307" t="s">
        <v>138</v>
      </c>
      <c r="D100" s="307" t="s">
        <v>492</v>
      </c>
      <c r="E100" s="307" t="s">
        <v>139</v>
      </c>
      <c r="F100" s="329">
        <v>45482.0</v>
      </c>
      <c r="G100" s="309">
        <v>0.0</v>
      </c>
      <c r="H100" s="309">
        <v>5700000.0</v>
      </c>
      <c r="I100" s="287">
        <v>3773259.0</v>
      </c>
      <c r="J100" s="287">
        <v>0.0</v>
      </c>
      <c r="K100" s="284">
        <v>58.0</v>
      </c>
      <c r="L100" s="284">
        <v>53.0</v>
      </c>
      <c r="M100" s="284">
        <v>3.0</v>
      </c>
      <c r="N100" s="284">
        <v>61.0</v>
      </c>
      <c r="O100" s="284">
        <v>8.0</v>
      </c>
      <c r="P100" s="287">
        <v>3497214.91</v>
      </c>
      <c r="Q100" s="287">
        <v>276043.78</v>
      </c>
      <c r="R100" s="284">
        <v>31.0</v>
      </c>
      <c r="S100" s="284">
        <v>3.0</v>
      </c>
      <c r="T100" s="284">
        <v>34.0</v>
      </c>
      <c r="U100" s="284">
        <v>0.0</v>
      </c>
      <c r="V100" s="284">
        <v>34.0</v>
      </c>
      <c r="W100" s="284">
        <v>41.0</v>
      </c>
      <c r="X100" s="284">
        <v>242.0</v>
      </c>
      <c r="Y100" s="284">
        <v>1.0</v>
      </c>
      <c r="Z100" s="284">
        <v>25.0</v>
      </c>
      <c r="AA100" s="284">
        <v>0.0</v>
      </c>
      <c r="AB100" s="284">
        <v>0.0</v>
      </c>
      <c r="AC100" s="284">
        <v>0.0</v>
      </c>
      <c r="AD100" s="284">
        <v>0.0</v>
      </c>
      <c r="AE100" s="284">
        <v>233.0</v>
      </c>
      <c r="AF100" s="284">
        <v>299.0</v>
      </c>
      <c r="AG100" s="284">
        <v>74.0</v>
      </c>
      <c r="AH100" s="309">
        <f t="shared" si="2"/>
        <v>50989.98649</v>
      </c>
      <c r="AI100" s="309">
        <f t="shared" si="3"/>
        <v>4.040540541</v>
      </c>
      <c r="AJ100" s="311">
        <v>28940.0</v>
      </c>
      <c r="AK100" s="309">
        <f t="shared" si="33"/>
        <v>86820</v>
      </c>
      <c r="AL100" s="286"/>
      <c r="AM100" s="313">
        <f t="shared" si="5"/>
        <v>0.0230092872</v>
      </c>
      <c r="AN100" s="309">
        <f t="shared" si="6"/>
        <v>110978.2059</v>
      </c>
      <c r="AO100" s="314">
        <f t="shared" si="7"/>
        <v>0.6619752632</v>
      </c>
      <c r="AP100" s="315">
        <v>0.0</v>
      </c>
      <c r="AQ100" s="284">
        <v>133.0</v>
      </c>
      <c r="AR100" s="284">
        <v>608.0</v>
      </c>
      <c r="AS100" s="284">
        <v>5002.23</v>
      </c>
      <c r="AT100" s="284">
        <v>3.0</v>
      </c>
      <c r="AU100" s="284">
        <v>94.0</v>
      </c>
      <c r="AV100" s="284">
        <v>34.0</v>
      </c>
      <c r="AW100" s="284">
        <v>19.0</v>
      </c>
      <c r="AX100" s="284">
        <v>8.0</v>
      </c>
      <c r="AY100" s="309">
        <v>2738915.0</v>
      </c>
      <c r="AZ100" s="316"/>
      <c r="BA100" s="307" t="str">
        <f t="shared" si="8"/>
        <v>Active</v>
      </c>
      <c r="BB100" s="307" t="str">
        <f t="shared" si="9"/>
        <v>Old</v>
      </c>
      <c r="BC100" s="307" t="str">
        <f t="shared" si="10"/>
        <v>50%-70%</v>
      </c>
      <c r="BD100" s="286">
        <f t="shared" si="35"/>
        <v>3</v>
      </c>
      <c r="BE100" s="328">
        <v>1900000.0</v>
      </c>
      <c r="BF100" s="284">
        <f t="shared" si="12"/>
        <v>0</v>
      </c>
      <c r="BG100" s="307" t="s">
        <v>488</v>
      </c>
      <c r="BH100" s="272">
        <f>IFERROR(__xludf.DUMMYFUNCTION("""COMPUTED_VALUE"""),1.343893E7)</f>
        <v>13438930</v>
      </c>
      <c r="BI100" s="272">
        <f>IFERROR(__xludf.DUMMYFUNCTION("""COMPUTED_VALUE"""),1.3646292250000002E7)</f>
        <v>13646292.25</v>
      </c>
      <c r="BJ100" s="273"/>
      <c r="BK100" s="274"/>
      <c r="BL100" s="319">
        <f t="shared" si="34"/>
        <v>0</v>
      </c>
      <c r="BM100" s="319">
        <f t="shared" si="14"/>
        <v>5700000</v>
      </c>
      <c r="BN100" s="274"/>
      <c r="BO100" s="311">
        <f>IFERROR(__xludf.DUMMYFUNCTION("IFERROR(ArrayFormula(SUM(VLOOKUP($C100,importrange(""1PTkkEa_ENkSqsGnpqoXy9kt0Fe1hCtlmU6kVFBNaonY"",""ORDER BOOKING REPORT 2025-26!C:CV""),{16,23,30},0))))"),2700424.55)</f>
        <v>2700424.55</v>
      </c>
      <c r="BP100" s="311">
        <f>IFERROR(__xludf.DUMMYFUNCTION("IFERROR(ArrayFormula(SUM(VLOOKUP($C100,importrange(""1PTkkEa_ENkSqsGnpqoXy9kt0Fe1hCtlmU6kVFBNaonY"",""ORDER BOOKING REPORT 2025-26!C:CV""),{37,44,51},0))))"),3817067.9499999997)</f>
        <v>3817067.95</v>
      </c>
      <c r="BQ100" s="311">
        <f>IFERROR(__xludf.DUMMYFUNCTION("IFERROR(ArrayFormula(SUM(VLOOKUP($C100,importrange(""1PTkkEa_ENkSqsGnpqoXy9kt0Fe1hCtlmU6kVFBNaonY"",""ORDER BOOKING REPORT 2025-26!C:CV""),{58,65,72},0))))"),3304161.74)</f>
        <v>3304161.74</v>
      </c>
      <c r="BR100" s="311">
        <f>IFERROR(__xludf.DUMMYFUNCTION("IFERROR(ArrayFormula(SUM(VLOOKUP($C100,importrange(""1PTkkEa_ENkSqsGnpqoXy9kt0Fe1hCtlmU6kVFBNaonY"",""ORDER BOOKING REPORT 2025-26!C:CV""),{79,86,93},0))))"),3824638.01)</f>
        <v>3824638.01</v>
      </c>
      <c r="BS100" s="322">
        <f t="shared" si="15"/>
        <v>0.4805114035</v>
      </c>
      <c r="BT100" s="322">
        <f t="shared" si="16"/>
        <v>0.0316986836</v>
      </c>
      <c r="BU100" s="287">
        <f t="shared" si="17"/>
        <v>0</v>
      </c>
      <c r="BV100" s="320">
        <v>28940.0</v>
      </c>
      <c r="BW100" s="321" t="s">
        <v>526</v>
      </c>
      <c r="BX100" s="320">
        <v>1141.0</v>
      </c>
      <c r="BY100" s="287">
        <f t="shared" si="18"/>
        <v>0</v>
      </c>
      <c r="BZ100" s="10"/>
      <c r="CA100" s="10"/>
      <c r="CB100" s="10"/>
      <c r="CC100" s="10"/>
      <c r="CD100" s="10"/>
      <c r="CE100" s="10"/>
      <c r="CF100" s="10"/>
      <c r="CG100" s="318" t="str">
        <f t="shared" si="21"/>
        <v> </v>
      </c>
      <c r="CH100" s="318" t="str">
        <f t="shared" si="28"/>
        <v>Business Achieved 50%</v>
      </c>
      <c r="CI100" s="322">
        <f t="shared" si="22"/>
        <v>0.5573770492</v>
      </c>
      <c r="CJ100" s="323"/>
      <c r="CK100" s="323"/>
      <c r="CL100" s="323"/>
      <c r="CM100" s="324">
        <f t="shared" si="23"/>
        <v>233</v>
      </c>
      <c r="CN100" s="337"/>
      <c r="CO100" s="152"/>
      <c r="CP100" s="152"/>
      <c r="CQ100" s="327"/>
      <c r="CR100" s="152"/>
      <c r="CS100" s="152"/>
      <c r="CT100" s="152"/>
      <c r="CU100" s="152"/>
      <c r="CV100" s="152"/>
      <c r="CW100" s="327">
        <f t="shared" si="27"/>
        <v>0</v>
      </c>
      <c r="CX100" s="270"/>
      <c r="CY100" s="152"/>
      <c r="CZ100" s="152"/>
    </row>
    <row r="101" hidden="1">
      <c r="A101" s="307" t="s">
        <v>273</v>
      </c>
      <c r="B101" s="307" t="s">
        <v>528</v>
      </c>
      <c r="C101" s="307" t="s">
        <v>286</v>
      </c>
      <c r="D101" s="307" t="s">
        <v>555</v>
      </c>
      <c r="E101" s="307" t="s">
        <v>287</v>
      </c>
      <c r="F101" s="308">
        <v>45483.0</v>
      </c>
      <c r="G101" s="309">
        <v>0.0</v>
      </c>
      <c r="H101" s="309">
        <v>3600000.0</v>
      </c>
      <c r="I101" s="287">
        <v>1860924.0</v>
      </c>
      <c r="J101" s="287">
        <v>0.0</v>
      </c>
      <c r="K101" s="284">
        <v>84.0</v>
      </c>
      <c r="L101" s="284">
        <v>70.0</v>
      </c>
      <c r="M101" s="284">
        <v>11.0</v>
      </c>
      <c r="N101" s="284">
        <v>95.0</v>
      </c>
      <c r="O101" s="284">
        <v>25.0</v>
      </c>
      <c r="P101" s="287">
        <v>1821762.78</v>
      </c>
      <c r="Q101" s="287">
        <v>39161.6</v>
      </c>
      <c r="R101" s="284">
        <v>46.0</v>
      </c>
      <c r="S101" s="284">
        <v>5.0</v>
      </c>
      <c r="T101" s="284">
        <v>51.0</v>
      </c>
      <c r="U101" s="284">
        <v>0.0</v>
      </c>
      <c r="V101" s="284">
        <v>67.0</v>
      </c>
      <c r="W101" s="284">
        <v>94.0</v>
      </c>
      <c r="X101" s="284">
        <v>181.0</v>
      </c>
      <c r="Y101" s="284">
        <v>3.0</v>
      </c>
      <c r="Z101" s="284">
        <v>32.0</v>
      </c>
      <c r="AA101" s="284">
        <v>0.0</v>
      </c>
      <c r="AB101" s="284">
        <v>0.0</v>
      </c>
      <c r="AC101" s="284">
        <v>0.0</v>
      </c>
      <c r="AD101" s="284">
        <v>0.0</v>
      </c>
      <c r="AE101" s="284">
        <v>203.0</v>
      </c>
      <c r="AF101" s="284">
        <v>329.0</v>
      </c>
      <c r="AG101" s="284">
        <v>72.0</v>
      </c>
      <c r="AH101" s="309">
        <f t="shared" si="2"/>
        <v>25846.16667</v>
      </c>
      <c r="AI101" s="309">
        <f t="shared" si="3"/>
        <v>4.569444444</v>
      </c>
      <c r="AJ101" s="345">
        <v>42475.0</v>
      </c>
      <c r="AK101" s="309">
        <f t="shared" si="33"/>
        <v>127425</v>
      </c>
      <c r="AL101" s="312"/>
      <c r="AM101" s="313">
        <f t="shared" si="5"/>
        <v>0.06847404838</v>
      </c>
      <c r="AN101" s="309">
        <f t="shared" si="6"/>
        <v>36488.70588</v>
      </c>
      <c r="AO101" s="314">
        <f t="shared" si="7"/>
        <v>0.5169233333</v>
      </c>
      <c r="AP101" s="315">
        <v>0.0</v>
      </c>
      <c r="AQ101" s="284">
        <v>102.0</v>
      </c>
      <c r="AR101" s="284">
        <v>658.0</v>
      </c>
      <c r="AS101" s="284">
        <v>6887.86</v>
      </c>
      <c r="AT101" s="284">
        <v>5.0</v>
      </c>
      <c r="AU101" s="284">
        <v>98.0</v>
      </c>
      <c r="AV101" s="284">
        <v>51.0</v>
      </c>
      <c r="AW101" s="284">
        <v>21.0</v>
      </c>
      <c r="AX101" s="284">
        <v>23.0</v>
      </c>
      <c r="AY101" s="309">
        <v>1757524.0</v>
      </c>
      <c r="AZ101" s="316"/>
      <c r="BA101" s="307" t="str">
        <f t="shared" si="8"/>
        <v>Active</v>
      </c>
      <c r="BB101" s="307" t="str">
        <f t="shared" si="9"/>
        <v>Old</v>
      </c>
      <c r="BC101" s="307" t="str">
        <f t="shared" si="10"/>
        <v>50%-70%</v>
      </c>
      <c r="BD101" s="286">
        <f t="shared" si="35"/>
        <v>3</v>
      </c>
      <c r="BE101" s="328">
        <v>1200000.0</v>
      </c>
      <c r="BF101" s="284">
        <f t="shared" si="12"/>
        <v>6</v>
      </c>
      <c r="BG101" s="307" t="s">
        <v>488</v>
      </c>
      <c r="BH101" s="272">
        <f>IFERROR(__xludf.DUMMYFUNCTION("""COMPUTED_VALUE"""),6647527.0)</f>
        <v>6647527</v>
      </c>
      <c r="BI101" s="272">
        <f>IFERROR(__xludf.DUMMYFUNCTION("""COMPUTED_VALUE"""),7287331.7299999995)</f>
        <v>7287331.73</v>
      </c>
      <c r="BJ101" s="273"/>
      <c r="BK101" s="274"/>
      <c r="BL101" s="319">
        <f t="shared" si="34"/>
        <v>0</v>
      </c>
      <c r="BM101" s="319">
        <f t="shared" si="14"/>
        <v>3600000</v>
      </c>
      <c r="BN101" s="274"/>
      <c r="BO101" s="311">
        <f>IFERROR(__xludf.DUMMYFUNCTION("IFERROR(ArrayFormula(SUM(VLOOKUP($C101,importrange(""1PTkkEa_ENkSqsGnpqoXy9kt0Fe1hCtlmU6kVFBNaonY"",""ORDER BOOKING REPORT 2025-26!C:CV""),{16,23,30},0))))"),1022739.5)</f>
        <v>1022739.5</v>
      </c>
      <c r="BP101" s="311">
        <f>IFERROR(__xludf.DUMMYFUNCTION("IFERROR(ArrayFormula(SUM(VLOOKUP($C101,importrange(""1PTkkEa_ENkSqsGnpqoXy9kt0Fe1hCtlmU6kVFBNaonY"",""ORDER BOOKING REPORT 2025-26!C:CV""),{37,44,51},0))))"),1720505.04)</f>
        <v>1720505.04</v>
      </c>
      <c r="BQ101" s="311">
        <f>IFERROR(__xludf.DUMMYFUNCTION("IFERROR(ArrayFormula(SUM(VLOOKUP($C101,importrange(""1PTkkEa_ENkSqsGnpqoXy9kt0Fe1hCtlmU6kVFBNaonY"",""ORDER BOOKING REPORT 2025-26!C:CV""),{58,65,72},0))))"),1648104.7999999998)</f>
        <v>1648104.8</v>
      </c>
      <c r="BR101" s="311">
        <f>IFERROR(__xludf.DUMMYFUNCTION("IFERROR(ArrayFormula(SUM(VLOOKUP($C101,importrange(""1PTkkEa_ENkSqsGnpqoXy9kt0Fe1hCtlmU6kVFBNaonY"",""ORDER BOOKING REPORT 2025-26!C:CV""),{79,86,93},0))))"),2895982.3899999997)</f>
        <v>2895982.39</v>
      </c>
      <c r="BS101" s="322">
        <f t="shared" si="15"/>
        <v>0.4882011111</v>
      </c>
      <c r="BT101" s="322">
        <f t="shared" si="16"/>
        <v>0.07250256611</v>
      </c>
      <c r="BU101" s="287">
        <f t="shared" si="17"/>
        <v>0</v>
      </c>
      <c r="BV101" s="320">
        <v>42475.0</v>
      </c>
      <c r="BW101" s="321" t="s">
        <v>592</v>
      </c>
      <c r="BX101" s="320">
        <v>1142.0</v>
      </c>
      <c r="BY101" s="287">
        <f t="shared" si="18"/>
        <v>0</v>
      </c>
      <c r="BZ101" s="10"/>
      <c r="CA101" s="10"/>
      <c r="CB101" s="10"/>
      <c r="CC101" s="10"/>
      <c r="CD101" s="10"/>
      <c r="CE101" s="10"/>
      <c r="CF101" s="10"/>
      <c r="CG101" s="318" t="str">
        <f t="shared" si="21"/>
        <v> </v>
      </c>
      <c r="CH101" s="318" t="str">
        <f t="shared" si="28"/>
        <v>Business Achieved 50%</v>
      </c>
      <c r="CI101" s="322">
        <f t="shared" si="22"/>
        <v>0.5368421053</v>
      </c>
      <c r="CJ101" s="323"/>
      <c r="CK101" s="323"/>
      <c r="CL101" s="323"/>
      <c r="CM101" s="324">
        <f t="shared" si="23"/>
        <v>203</v>
      </c>
      <c r="CN101" s="325"/>
      <c r="CO101" s="6"/>
      <c r="CP101" s="6"/>
      <c r="CQ101" s="327"/>
      <c r="CR101" s="6"/>
      <c r="CS101" s="6"/>
      <c r="CT101" s="6"/>
      <c r="CU101" s="6"/>
      <c r="CV101" s="6"/>
      <c r="CW101" s="327">
        <f t="shared" si="27"/>
        <v>0</v>
      </c>
      <c r="CX101" s="270"/>
      <c r="CY101" s="6"/>
      <c r="CZ101" s="6"/>
    </row>
    <row r="102" hidden="1">
      <c r="A102" s="307" t="s">
        <v>72</v>
      </c>
      <c r="B102" s="307" t="s">
        <v>527</v>
      </c>
      <c r="C102" s="307" t="s">
        <v>76</v>
      </c>
      <c r="D102" s="307" t="s">
        <v>559</v>
      </c>
      <c r="E102" s="307" t="s">
        <v>77</v>
      </c>
      <c r="F102" s="308">
        <v>45488.0</v>
      </c>
      <c r="G102" s="309">
        <v>0.0</v>
      </c>
      <c r="H102" s="309">
        <v>3600000.0</v>
      </c>
      <c r="I102" s="287">
        <v>1827897.0</v>
      </c>
      <c r="J102" s="287">
        <v>0.0</v>
      </c>
      <c r="K102" s="284">
        <v>101.0</v>
      </c>
      <c r="L102" s="284">
        <v>99.0</v>
      </c>
      <c r="M102" s="284">
        <v>4.0</v>
      </c>
      <c r="N102" s="284">
        <v>105.0</v>
      </c>
      <c r="O102" s="284">
        <v>6.0</v>
      </c>
      <c r="P102" s="287">
        <v>1693371.0</v>
      </c>
      <c r="Q102" s="287">
        <v>134526.0</v>
      </c>
      <c r="R102" s="284">
        <v>50.0</v>
      </c>
      <c r="S102" s="284">
        <v>4.0</v>
      </c>
      <c r="T102" s="284">
        <v>54.0</v>
      </c>
      <c r="U102" s="284">
        <v>0.0</v>
      </c>
      <c r="V102" s="284">
        <v>34.0</v>
      </c>
      <c r="W102" s="284">
        <v>55.0</v>
      </c>
      <c r="X102" s="284">
        <v>17.0</v>
      </c>
      <c r="Y102" s="284">
        <v>2.0</v>
      </c>
      <c r="Z102" s="284">
        <v>10.0</v>
      </c>
      <c r="AA102" s="284">
        <v>0.0</v>
      </c>
      <c r="AB102" s="284">
        <v>0.0</v>
      </c>
      <c r="AC102" s="284">
        <v>0.0</v>
      </c>
      <c r="AD102" s="284">
        <v>0.0</v>
      </c>
      <c r="AE102" s="284">
        <v>367.0</v>
      </c>
      <c r="AF102" s="284">
        <v>432.0</v>
      </c>
      <c r="AG102" s="284">
        <v>71.0</v>
      </c>
      <c r="AH102" s="309">
        <f t="shared" si="2"/>
        <v>25745.02817</v>
      </c>
      <c r="AI102" s="309">
        <f t="shared" si="3"/>
        <v>6.084507042</v>
      </c>
      <c r="AJ102" s="311">
        <v>20000.0</v>
      </c>
      <c r="AK102" s="309">
        <f t="shared" si="33"/>
        <v>60000</v>
      </c>
      <c r="AL102" s="286"/>
      <c r="AM102" s="313">
        <f t="shared" si="5"/>
        <v>0.03282460664</v>
      </c>
      <c r="AN102" s="309">
        <f t="shared" si="6"/>
        <v>33849.94444</v>
      </c>
      <c r="AO102" s="314">
        <f t="shared" si="7"/>
        <v>0.5077491667</v>
      </c>
      <c r="AP102" s="315">
        <v>0.0</v>
      </c>
      <c r="AQ102" s="284">
        <v>104.0</v>
      </c>
      <c r="AR102" s="284">
        <v>617.0</v>
      </c>
      <c r="AS102" s="284">
        <v>6511.48</v>
      </c>
      <c r="AT102" s="284">
        <v>4.0</v>
      </c>
      <c r="AU102" s="284">
        <v>66.0</v>
      </c>
      <c r="AV102" s="284">
        <v>54.0</v>
      </c>
      <c r="AW102" s="284">
        <v>45.0</v>
      </c>
      <c r="AX102" s="284">
        <v>6.0</v>
      </c>
      <c r="AY102" s="309">
        <v>2277465.0</v>
      </c>
      <c r="AZ102" s="316"/>
      <c r="BA102" s="307" t="str">
        <f t="shared" si="8"/>
        <v>Active</v>
      </c>
      <c r="BB102" s="307" t="str">
        <f t="shared" si="9"/>
        <v>Old</v>
      </c>
      <c r="BC102" s="307" t="str">
        <f t="shared" si="10"/>
        <v>50%-70%</v>
      </c>
      <c r="BD102" s="286">
        <f t="shared" si="35"/>
        <v>3</v>
      </c>
      <c r="BE102" s="319">
        <v>825000.0</v>
      </c>
      <c r="BF102" s="284">
        <f t="shared" si="12"/>
        <v>0</v>
      </c>
      <c r="BG102" s="307" t="s">
        <v>488</v>
      </c>
      <c r="BH102" s="272">
        <f>IFERROR(__xludf.DUMMYFUNCTION("""COMPUTED_VALUE"""),1.0090804E7)</f>
        <v>10090804</v>
      </c>
      <c r="BI102" s="272">
        <f>IFERROR(__xludf.DUMMYFUNCTION("""COMPUTED_VALUE"""),6662120.4)</f>
        <v>6662120.4</v>
      </c>
      <c r="BJ102" s="273"/>
      <c r="BK102" s="274"/>
      <c r="BL102" s="319">
        <f t="shared" si="34"/>
        <v>0</v>
      </c>
      <c r="BM102" s="319">
        <f t="shared" si="14"/>
        <v>3600000</v>
      </c>
      <c r="BN102" s="274"/>
      <c r="BO102" s="311">
        <f>IFERROR(__xludf.DUMMYFUNCTION("IFERROR(ArrayFormula(SUM(VLOOKUP($C102,importrange(""1PTkkEa_ENkSqsGnpqoXy9kt0Fe1hCtlmU6kVFBNaonY"",""ORDER BOOKING REPORT 2025-26!C:CV""),{16,23,30},0))))"),1889067.0)</f>
        <v>1889067</v>
      </c>
      <c r="BP102" s="311">
        <f>IFERROR(__xludf.DUMMYFUNCTION("IFERROR(ArrayFormula(SUM(VLOOKUP($C102,importrange(""1PTkkEa_ENkSqsGnpqoXy9kt0Fe1hCtlmU6kVFBNaonY"",""ORDER BOOKING REPORT 2025-26!C:CV""),{37,44,51},0))))"),1972205.4000000001)</f>
        <v>1972205.4</v>
      </c>
      <c r="BQ102" s="311">
        <f>IFERROR(__xludf.DUMMYFUNCTION("IFERROR(ArrayFormula(SUM(VLOOKUP($C102,importrange(""1PTkkEa_ENkSqsGnpqoXy9kt0Fe1hCtlmU6kVFBNaonY"",""ORDER BOOKING REPORT 2025-26!C:CV""),{58,65,72},0))))"),1221339.6)</f>
        <v>1221339.6</v>
      </c>
      <c r="BR102" s="311">
        <f>IFERROR(__xludf.DUMMYFUNCTION("IFERROR(ArrayFormula(SUM(VLOOKUP($C102,importrange(""1PTkkEa_ENkSqsGnpqoXy9kt0Fe1hCtlmU6kVFBNaonY"",""ORDER BOOKING REPORT 2025-26!C:CV""),{79,86,93},0))))"),1579508.4)</f>
        <v>1579508.4</v>
      </c>
      <c r="BS102" s="322">
        <f t="shared" si="15"/>
        <v>0.6326291667</v>
      </c>
      <c r="BT102" s="322">
        <f t="shared" si="16"/>
        <v>0.02634508104</v>
      </c>
      <c r="BU102" s="287">
        <f t="shared" si="17"/>
        <v>0</v>
      </c>
      <c r="BV102" s="349"/>
      <c r="BW102" s="349"/>
      <c r="BX102" s="349"/>
      <c r="BY102" s="287">
        <f t="shared" si="18"/>
        <v>-20000</v>
      </c>
      <c r="BZ102" s="10"/>
      <c r="CA102" s="10"/>
      <c r="CB102" s="10"/>
      <c r="CC102" s="10"/>
      <c r="CD102" s="10"/>
      <c r="CE102" s="10"/>
      <c r="CF102" s="10"/>
      <c r="CG102" s="318" t="str">
        <f t="shared" si="21"/>
        <v> </v>
      </c>
      <c r="CH102" s="318" t="str">
        <f t="shared" si="28"/>
        <v>Business Achieved 50%</v>
      </c>
      <c r="CI102" s="322">
        <f t="shared" si="22"/>
        <v>0.5142857143</v>
      </c>
      <c r="CJ102" s="323"/>
      <c r="CK102" s="323"/>
      <c r="CL102" s="323"/>
      <c r="CM102" s="324">
        <f t="shared" si="23"/>
        <v>367</v>
      </c>
      <c r="CN102" s="337"/>
      <c r="CO102" s="152"/>
      <c r="CP102" s="152"/>
      <c r="CQ102" s="327"/>
      <c r="CR102" s="152"/>
      <c r="CS102" s="152"/>
      <c r="CT102" s="152"/>
      <c r="CU102" s="152"/>
      <c r="CV102" s="152"/>
      <c r="CW102" s="327">
        <f t="shared" si="27"/>
        <v>0</v>
      </c>
      <c r="CX102" s="270"/>
      <c r="CY102" s="152"/>
      <c r="CZ102" s="152"/>
    </row>
    <row r="103" hidden="1">
      <c r="A103" s="307" t="s">
        <v>273</v>
      </c>
      <c r="B103" s="307" t="s">
        <v>528</v>
      </c>
      <c r="C103" s="307" t="s">
        <v>288</v>
      </c>
      <c r="D103" s="307" t="s">
        <v>555</v>
      </c>
      <c r="E103" s="307" t="s">
        <v>593</v>
      </c>
      <c r="F103" s="308">
        <v>45516.0</v>
      </c>
      <c r="G103" s="309">
        <v>0.0</v>
      </c>
      <c r="H103" s="309">
        <v>3600000.0</v>
      </c>
      <c r="I103" s="287">
        <v>2030107.0</v>
      </c>
      <c r="J103" s="287">
        <v>0.0</v>
      </c>
      <c r="K103" s="284">
        <v>106.0</v>
      </c>
      <c r="L103" s="284">
        <v>77.0</v>
      </c>
      <c r="M103" s="284">
        <v>0.0</v>
      </c>
      <c r="N103" s="284">
        <v>106.0</v>
      </c>
      <c r="O103" s="284">
        <v>29.0</v>
      </c>
      <c r="P103" s="287">
        <v>2030106.66</v>
      </c>
      <c r="Q103" s="287">
        <v>0.0</v>
      </c>
      <c r="R103" s="284">
        <v>46.0</v>
      </c>
      <c r="S103" s="284">
        <v>0.0</v>
      </c>
      <c r="T103" s="284">
        <v>46.0</v>
      </c>
      <c r="U103" s="284">
        <v>0.0</v>
      </c>
      <c r="V103" s="284">
        <v>161.0</v>
      </c>
      <c r="W103" s="284">
        <v>180.0</v>
      </c>
      <c r="X103" s="284">
        <v>282.0</v>
      </c>
      <c r="Y103" s="284">
        <v>1.0</v>
      </c>
      <c r="Z103" s="284">
        <v>4.0</v>
      </c>
      <c r="AA103" s="284">
        <v>0.0</v>
      </c>
      <c r="AB103" s="284">
        <v>0.0</v>
      </c>
      <c r="AC103" s="284">
        <v>0.0</v>
      </c>
      <c r="AD103" s="284">
        <v>0.0</v>
      </c>
      <c r="AE103" s="284">
        <v>153.0</v>
      </c>
      <c r="AF103" s="284">
        <v>337.0</v>
      </c>
      <c r="AG103" s="284">
        <v>73.0</v>
      </c>
      <c r="AH103" s="309">
        <f t="shared" si="2"/>
        <v>27809.68493</v>
      </c>
      <c r="AI103" s="309">
        <f t="shared" si="3"/>
        <v>4.616438356</v>
      </c>
      <c r="AJ103" s="345">
        <v>27260.0</v>
      </c>
      <c r="AK103" s="309">
        <f t="shared" si="33"/>
        <v>81780</v>
      </c>
      <c r="AL103" s="312"/>
      <c r="AM103" s="313">
        <f t="shared" si="5"/>
        <v>0.04028359096</v>
      </c>
      <c r="AN103" s="309">
        <f t="shared" si="6"/>
        <v>44132.76087</v>
      </c>
      <c r="AO103" s="314">
        <f t="shared" si="7"/>
        <v>0.5639186111</v>
      </c>
      <c r="AP103" s="315">
        <v>0.0</v>
      </c>
      <c r="AQ103" s="284">
        <v>106.0</v>
      </c>
      <c r="AR103" s="284">
        <v>746.0</v>
      </c>
      <c r="AS103" s="284">
        <v>6181.62</v>
      </c>
      <c r="AT103" s="284">
        <v>0.0</v>
      </c>
      <c r="AU103" s="284">
        <v>80.0</v>
      </c>
      <c r="AV103" s="284">
        <v>46.0</v>
      </c>
      <c r="AW103" s="284">
        <v>39.0</v>
      </c>
      <c r="AX103" s="284">
        <v>21.0</v>
      </c>
      <c r="AY103" s="309">
        <v>2009813.0</v>
      </c>
      <c r="AZ103" s="316"/>
      <c r="BA103" s="307" t="str">
        <f t="shared" si="8"/>
        <v>Active</v>
      </c>
      <c r="BB103" s="307" t="str">
        <f t="shared" si="9"/>
        <v>Old</v>
      </c>
      <c r="BC103" s="307" t="str">
        <f t="shared" si="10"/>
        <v>50%-70%</v>
      </c>
      <c r="BD103" s="286">
        <f t="shared" si="35"/>
        <v>3</v>
      </c>
      <c r="BE103" s="328">
        <v>1200000.0</v>
      </c>
      <c r="BF103" s="284">
        <f t="shared" si="12"/>
        <v>0</v>
      </c>
      <c r="BG103" s="307" t="s">
        <v>488</v>
      </c>
      <c r="BH103" s="272">
        <f>IFERROR(__xludf.DUMMYFUNCTION("""COMPUTED_VALUE"""),6239646.0)</f>
        <v>6239646</v>
      </c>
      <c r="BI103" s="272">
        <f>IFERROR(__xludf.DUMMYFUNCTION("""COMPUTED_VALUE"""),6205273.289999999)</f>
        <v>6205273.29</v>
      </c>
      <c r="BJ103" s="273"/>
      <c r="BK103" s="274"/>
      <c r="BL103" s="319">
        <f t="shared" si="34"/>
        <v>0</v>
      </c>
      <c r="BM103" s="319">
        <f t="shared" si="14"/>
        <v>3600000</v>
      </c>
      <c r="BN103" s="274"/>
      <c r="BO103" s="311">
        <f>IFERROR(__xludf.DUMMYFUNCTION("IFERROR(ArrayFormula(SUM(VLOOKUP($C103,importrange(""1PTkkEa_ENkSqsGnpqoXy9kt0Fe1hCtlmU6kVFBNaonY"",""ORDER BOOKING REPORT 2025-26!C:CV""),{16,23,30},0))))"),1073586.4)</f>
        <v>1073586.4</v>
      </c>
      <c r="BP103" s="311">
        <f>IFERROR(__xludf.DUMMYFUNCTION("IFERROR(ArrayFormula(SUM(VLOOKUP($C103,importrange(""1PTkkEa_ENkSqsGnpqoXy9kt0Fe1hCtlmU6kVFBNaonY"",""ORDER BOOKING REPORT 2025-26!C:CV""),{37,44,51},0))))"),1566592.5399999998)</f>
        <v>1566592.54</v>
      </c>
      <c r="BQ103" s="311">
        <f>IFERROR(__xludf.DUMMYFUNCTION("IFERROR(ArrayFormula(SUM(VLOOKUP($C103,importrange(""1PTkkEa_ENkSqsGnpqoXy9kt0Fe1hCtlmU6kVFBNaonY"",""ORDER BOOKING REPORT 2025-26!C:CV""),{58,65,72},0))))"),1406967.75)</f>
        <v>1406967.75</v>
      </c>
      <c r="BR103" s="311">
        <f>IFERROR(__xludf.DUMMYFUNCTION("IFERROR(ArrayFormula(SUM(VLOOKUP($C103,importrange(""1PTkkEa_ENkSqsGnpqoXy9kt0Fe1hCtlmU6kVFBNaonY"",""ORDER BOOKING REPORT 2025-26!C:CV""),{79,86,93},0))))"),2158126.6)</f>
        <v>2158126.6</v>
      </c>
      <c r="BS103" s="322">
        <f t="shared" si="15"/>
        <v>0.5582813889</v>
      </c>
      <c r="BT103" s="322">
        <f t="shared" si="16"/>
        <v>0.04069035278</v>
      </c>
      <c r="BU103" s="287">
        <f t="shared" si="17"/>
        <v>0</v>
      </c>
      <c r="BV103" s="320">
        <v>27260.0</v>
      </c>
      <c r="BW103" s="321" t="s">
        <v>592</v>
      </c>
      <c r="BX103" s="320">
        <v>1164.0</v>
      </c>
      <c r="BY103" s="287">
        <f t="shared" si="18"/>
        <v>0</v>
      </c>
      <c r="BZ103" s="10"/>
      <c r="CA103" s="10"/>
      <c r="CB103" s="10"/>
      <c r="CC103" s="10"/>
      <c r="CD103" s="10"/>
      <c r="CE103" s="10"/>
      <c r="CF103" s="10"/>
      <c r="CG103" s="318" t="str">
        <f t="shared" si="21"/>
        <v> </v>
      </c>
      <c r="CH103" s="318" t="str">
        <f t="shared" si="28"/>
        <v>Not 50%</v>
      </c>
      <c r="CI103" s="322">
        <f t="shared" si="22"/>
        <v>0.4339622642</v>
      </c>
      <c r="CJ103" s="323"/>
      <c r="CK103" s="323"/>
      <c r="CL103" s="323"/>
      <c r="CM103" s="324">
        <f t="shared" si="23"/>
        <v>153</v>
      </c>
      <c r="CN103" s="325"/>
      <c r="CO103" s="6"/>
      <c r="CP103" s="6"/>
      <c r="CQ103" s="327"/>
      <c r="CR103" s="6"/>
      <c r="CS103" s="6"/>
      <c r="CT103" s="6"/>
      <c r="CU103" s="6"/>
      <c r="CV103" s="6"/>
      <c r="CW103" s="327">
        <f t="shared" si="27"/>
        <v>0</v>
      </c>
      <c r="CX103" s="270"/>
      <c r="CY103" s="6"/>
      <c r="CZ103" s="6"/>
    </row>
    <row r="104" hidden="1">
      <c r="A104" s="307" t="s">
        <v>48</v>
      </c>
      <c r="B104" s="307" t="s">
        <v>539</v>
      </c>
      <c r="C104" s="307" t="s">
        <v>51</v>
      </c>
      <c r="D104" s="307" t="s">
        <v>589</v>
      </c>
      <c r="E104" s="307" t="s">
        <v>52</v>
      </c>
      <c r="F104" s="308">
        <v>45518.0</v>
      </c>
      <c r="G104" s="309">
        <v>0.0</v>
      </c>
      <c r="H104" s="309">
        <v>2400000.0</v>
      </c>
      <c r="I104" s="287">
        <v>669564.0</v>
      </c>
      <c r="J104" s="287">
        <v>0.0</v>
      </c>
      <c r="K104" s="284">
        <v>86.0</v>
      </c>
      <c r="L104" s="284">
        <v>76.0</v>
      </c>
      <c r="M104" s="284">
        <v>2.0</v>
      </c>
      <c r="N104" s="284">
        <v>88.0</v>
      </c>
      <c r="O104" s="284">
        <v>12.0</v>
      </c>
      <c r="P104" s="287">
        <v>616628.48</v>
      </c>
      <c r="Q104" s="287">
        <v>52935.68</v>
      </c>
      <c r="R104" s="284">
        <v>35.0</v>
      </c>
      <c r="S104" s="284">
        <v>2.0</v>
      </c>
      <c r="T104" s="284">
        <v>37.0</v>
      </c>
      <c r="U104" s="284">
        <v>0.0</v>
      </c>
      <c r="V104" s="284">
        <v>62.0</v>
      </c>
      <c r="W104" s="284">
        <v>72.0</v>
      </c>
      <c r="X104" s="284">
        <v>223.0</v>
      </c>
      <c r="Y104" s="284">
        <v>2.0</v>
      </c>
      <c r="Z104" s="284">
        <v>63.0</v>
      </c>
      <c r="AA104" s="284">
        <v>0.0</v>
      </c>
      <c r="AB104" s="284">
        <v>0.0</v>
      </c>
      <c r="AC104" s="284">
        <v>0.0</v>
      </c>
      <c r="AD104" s="284">
        <v>0.0</v>
      </c>
      <c r="AE104" s="284">
        <v>341.0</v>
      </c>
      <c r="AF104" s="284">
        <v>476.0</v>
      </c>
      <c r="AG104" s="284">
        <v>72.0</v>
      </c>
      <c r="AH104" s="309">
        <f t="shared" si="2"/>
        <v>9299.5</v>
      </c>
      <c r="AI104" s="309">
        <f t="shared" si="3"/>
        <v>6.611111111</v>
      </c>
      <c r="AJ104" s="345">
        <v>23570.0</v>
      </c>
      <c r="AK104" s="309">
        <f t="shared" si="33"/>
        <v>70710</v>
      </c>
      <c r="AL104" s="312"/>
      <c r="AM104" s="313">
        <f t="shared" si="5"/>
        <v>0.1056060362</v>
      </c>
      <c r="AN104" s="309">
        <f t="shared" si="6"/>
        <v>18096.32432</v>
      </c>
      <c r="AO104" s="314">
        <f t="shared" si="7"/>
        <v>0.278985</v>
      </c>
      <c r="AP104" s="315">
        <v>0.0</v>
      </c>
      <c r="AQ104" s="284">
        <v>46.0</v>
      </c>
      <c r="AR104" s="284">
        <v>613.0</v>
      </c>
      <c r="AS104" s="284">
        <v>7869.53</v>
      </c>
      <c r="AT104" s="284">
        <v>2.0</v>
      </c>
      <c r="AU104" s="284">
        <v>104.0</v>
      </c>
      <c r="AV104" s="284">
        <v>37.0</v>
      </c>
      <c r="AW104" s="284">
        <v>40.0</v>
      </c>
      <c r="AX104" s="284">
        <v>11.0</v>
      </c>
      <c r="AY104" s="309">
        <v>250654.0</v>
      </c>
      <c r="AZ104" s="316"/>
      <c r="BA104" s="307" t="str">
        <f t="shared" si="8"/>
        <v>Active</v>
      </c>
      <c r="BB104" s="307" t="str">
        <f t="shared" si="9"/>
        <v>Old</v>
      </c>
      <c r="BC104" s="307" t="str">
        <f t="shared" si="10"/>
        <v>Below 50%</v>
      </c>
      <c r="BD104" s="286">
        <f t="shared" si="35"/>
        <v>3</v>
      </c>
      <c r="BE104" s="328">
        <v>800000.0</v>
      </c>
      <c r="BF104" s="284">
        <f t="shared" si="12"/>
        <v>0</v>
      </c>
      <c r="BG104" s="307" t="s">
        <v>488</v>
      </c>
      <c r="BH104" s="272">
        <f>IFERROR(__xludf.DUMMYFUNCTION("""COMPUTED_VALUE"""),515244.0)</f>
        <v>515244</v>
      </c>
      <c r="BI104" s="272">
        <f>IFERROR(__xludf.DUMMYFUNCTION("""COMPUTED_VALUE"""),2887869.8400000003)</f>
        <v>2887869.84</v>
      </c>
      <c r="BJ104" s="273"/>
      <c r="BK104" s="274"/>
      <c r="BL104" s="319">
        <f t="shared" si="34"/>
        <v>0</v>
      </c>
      <c r="BM104" s="319">
        <f t="shared" si="14"/>
        <v>2400000</v>
      </c>
      <c r="BN104" s="274"/>
      <c r="BO104" s="311">
        <f>IFERROR(__xludf.DUMMYFUNCTION("IFERROR(ArrayFormula(SUM(VLOOKUP($C104,importrange(""1PTkkEa_ENkSqsGnpqoXy9kt0Fe1hCtlmU6kVFBNaonY"",""ORDER BOOKING REPORT 2025-26!C:CV""),{16,23,30},0))))"),676891.8999999999)</f>
        <v>676891.9</v>
      </c>
      <c r="BP104" s="311">
        <f>IFERROR(__xludf.DUMMYFUNCTION("IFERROR(ArrayFormula(SUM(VLOOKUP($C104,importrange(""1PTkkEa_ENkSqsGnpqoXy9kt0Fe1hCtlmU6kVFBNaonY"",""ORDER BOOKING REPORT 2025-26!C:CV""),{37,44,51},0))))"),873303.3399999999)</f>
        <v>873303.34</v>
      </c>
      <c r="BQ104" s="311">
        <f>IFERROR(__xludf.DUMMYFUNCTION("IFERROR(ArrayFormula(SUM(VLOOKUP($C104,importrange(""1PTkkEa_ENkSqsGnpqoXy9kt0Fe1hCtlmU6kVFBNaonY"",""ORDER BOOKING REPORT 2025-26!C:CV""),{58,65,72},0))))"),717115.8)</f>
        <v>717115.8</v>
      </c>
      <c r="BR104" s="311">
        <f>IFERROR(__xludf.DUMMYFUNCTION("IFERROR(ArrayFormula(SUM(VLOOKUP($C104,importrange(""1PTkkEa_ENkSqsGnpqoXy9kt0Fe1hCtlmU6kVFBNaonY"",""ORDER BOOKING REPORT 2025-26!C:CV""),{79,86,93},0))))"),620558.8)</f>
        <v>620558.8</v>
      </c>
      <c r="BS104" s="322">
        <f t="shared" si="15"/>
        <v>0.1044391667</v>
      </c>
      <c r="BT104" s="322">
        <f t="shared" si="16"/>
        <v>0.2821020211</v>
      </c>
      <c r="BU104" s="287">
        <f t="shared" si="17"/>
        <v>0</v>
      </c>
      <c r="BV104" s="320">
        <v>23570.0</v>
      </c>
      <c r="BW104" s="321" t="s">
        <v>592</v>
      </c>
      <c r="BX104" s="320">
        <v>1166.0</v>
      </c>
      <c r="BY104" s="287">
        <f t="shared" si="18"/>
        <v>0</v>
      </c>
      <c r="BZ104" s="10"/>
      <c r="CA104" s="10"/>
      <c r="CB104" s="10"/>
      <c r="CC104" s="10"/>
      <c r="CD104" s="10"/>
      <c r="CE104" s="10"/>
      <c r="CF104" s="10"/>
      <c r="CG104" s="318" t="str">
        <f t="shared" si="21"/>
        <v> </v>
      </c>
      <c r="CH104" s="318" t="str">
        <f t="shared" si="28"/>
        <v>Not 50%</v>
      </c>
      <c r="CI104" s="322">
        <f t="shared" si="22"/>
        <v>0.4204545455</v>
      </c>
      <c r="CJ104" s="323"/>
      <c r="CK104" s="323"/>
      <c r="CL104" s="323"/>
      <c r="CM104" s="324">
        <f t="shared" si="23"/>
        <v>341</v>
      </c>
      <c r="CN104" s="325"/>
      <c r="CO104" s="6"/>
      <c r="CP104" s="6"/>
      <c r="CQ104" s="327"/>
      <c r="CR104" s="6"/>
      <c r="CS104" s="6"/>
      <c r="CT104" s="6"/>
      <c r="CU104" s="6"/>
      <c r="CV104" s="6"/>
      <c r="CW104" s="327">
        <f t="shared" si="27"/>
        <v>0</v>
      </c>
      <c r="CX104" s="270"/>
      <c r="CY104" s="6"/>
      <c r="CZ104" s="6"/>
    </row>
    <row r="105" hidden="1">
      <c r="A105" s="307" t="s">
        <v>23</v>
      </c>
      <c r="B105" s="307" t="s">
        <v>27</v>
      </c>
      <c r="C105" s="307" t="s">
        <v>28</v>
      </c>
      <c r="D105" s="307" t="s">
        <v>594</v>
      </c>
      <c r="E105" s="307" t="s">
        <v>29</v>
      </c>
      <c r="F105" s="308">
        <v>45551.0</v>
      </c>
      <c r="G105" s="309">
        <v>0.0</v>
      </c>
      <c r="H105" s="309">
        <v>4200000.0</v>
      </c>
      <c r="I105" s="287">
        <v>2657739.0</v>
      </c>
      <c r="J105" s="287">
        <v>0.0</v>
      </c>
      <c r="K105" s="284">
        <v>94.0</v>
      </c>
      <c r="L105" s="284">
        <v>81.0</v>
      </c>
      <c r="M105" s="284">
        <v>0.0</v>
      </c>
      <c r="N105" s="284">
        <v>94.0</v>
      </c>
      <c r="O105" s="284">
        <v>13.0</v>
      </c>
      <c r="P105" s="287">
        <v>2657738.96</v>
      </c>
      <c r="Q105" s="287">
        <v>0.0</v>
      </c>
      <c r="R105" s="284">
        <v>71.0</v>
      </c>
      <c r="S105" s="284">
        <v>0.0</v>
      </c>
      <c r="T105" s="284">
        <v>71.0</v>
      </c>
      <c r="U105" s="284">
        <v>0.0</v>
      </c>
      <c r="V105" s="284">
        <v>32.0</v>
      </c>
      <c r="W105" s="284">
        <v>42.0</v>
      </c>
      <c r="X105" s="284">
        <v>166.0</v>
      </c>
      <c r="Y105" s="284">
        <v>1.0</v>
      </c>
      <c r="Z105" s="284">
        <v>30.0</v>
      </c>
      <c r="AA105" s="284">
        <v>0.0</v>
      </c>
      <c r="AB105" s="284">
        <v>0.0</v>
      </c>
      <c r="AC105" s="284">
        <v>1.0</v>
      </c>
      <c r="AD105" s="284">
        <v>1.0</v>
      </c>
      <c r="AE105" s="284">
        <v>313.0</v>
      </c>
      <c r="AF105" s="284">
        <v>386.0</v>
      </c>
      <c r="AG105" s="284">
        <v>64.0</v>
      </c>
      <c r="AH105" s="309">
        <f t="shared" si="2"/>
        <v>41527.17188</v>
      </c>
      <c r="AI105" s="309">
        <f t="shared" si="3"/>
        <v>6.03125</v>
      </c>
      <c r="AJ105" s="311">
        <v>28310.0</v>
      </c>
      <c r="AK105" s="309">
        <f t="shared" si="33"/>
        <v>84930</v>
      </c>
      <c r="AL105" s="286"/>
      <c r="AM105" s="313">
        <f t="shared" si="5"/>
        <v>0.0319557338</v>
      </c>
      <c r="AN105" s="309">
        <f t="shared" si="6"/>
        <v>37432.94366</v>
      </c>
      <c r="AO105" s="314">
        <f t="shared" si="7"/>
        <v>0.632795</v>
      </c>
      <c r="AP105" s="315">
        <v>0.0</v>
      </c>
      <c r="AQ105" s="284">
        <v>115.0</v>
      </c>
      <c r="AR105" s="284">
        <v>659.0</v>
      </c>
      <c r="AS105" s="284">
        <v>2231.21</v>
      </c>
      <c r="AT105" s="284">
        <v>0.0</v>
      </c>
      <c r="AU105" s="284">
        <v>28.0</v>
      </c>
      <c r="AV105" s="284">
        <v>71.0</v>
      </c>
      <c r="AW105" s="284">
        <v>13.0</v>
      </c>
      <c r="AX105" s="284">
        <v>10.0</v>
      </c>
      <c r="AY105" s="309">
        <v>2840220.01</v>
      </c>
      <c r="AZ105" s="316"/>
      <c r="BA105" s="307" t="str">
        <f t="shared" si="8"/>
        <v>Active</v>
      </c>
      <c r="BB105" s="307" t="str">
        <f t="shared" si="9"/>
        <v>Old</v>
      </c>
      <c r="BC105" s="307" t="str">
        <f t="shared" si="10"/>
        <v>50%-70%</v>
      </c>
      <c r="BD105" s="286">
        <f t="shared" si="35"/>
        <v>3</v>
      </c>
      <c r="BE105" s="328">
        <v>1400000.0</v>
      </c>
      <c r="BF105" s="284">
        <f t="shared" si="12"/>
        <v>0</v>
      </c>
      <c r="BG105" s="307" t="s">
        <v>488</v>
      </c>
      <c r="BH105" s="272">
        <f>IFERROR(__xludf.DUMMYFUNCTION("""COMPUTED_VALUE"""),1.1379341E7)</f>
        <v>11379341</v>
      </c>
      <c r="BI105" s="272">
        <f>IFERROR(__xludf.DUMMYFUNCTION("""COMPUTED_VALUE"""),1.1338113370000001E7)</f>
        <v>11338113.37</v>
      </c>
      <c r="BJ105" s="273"/>
      <c r="BK105" s="274"/>
      <c r="BL105" s="319">
        <f t="shared" si="34"/>
        <v>0</v>
      </c>
      <c r="BM105" s="319">
        <f t="shared" si="14"/>
        <v>4200000</v>
      </c>
      <c r="BN105" s="274"/>
      <c r="BO105" s="311">
        <f>IFERROR(__xludf.DUMMYFUNCTION("IFERROR(ArrayFormula(SUM(VLOOKUP($C105,importrange(""1PTkkEa_ENkSqsGnpqoXy9kt0Fe1hCtlmU6kVFBNaonY"",""ORDER BOOKING REPORT 2025-26!C:CV""),{16,23,30},0))))"),2640913.2600000002)</f>
        <v>2640913.26</v>
      </c>
      <c r="BP105" s="311">
        <f>IFERROR(__xludf.DUMMYFUNCTION("IFERROR(ArrayFormula(SUM(VLOOKUP($C105,importrange(""1PTkkEa_ENkSqsGnpqoXy9kt0Fe1hCtlmU6kVFBNaonY"",""ORDER BOOKING REPORT 2025-26!C:CV""),{37,44,51},0))))"),2955072.0600000005)</f>
        <v>2955072.06</v>
      </c>
      <c r="BQ105" s="311">
        <f>IFERROR(__xludf.DUMMYFUNCTION("IFERROR(ArrayFormula(SUM(VLOOKUP($C105,importrange(""1PTkkEa_ENkSqsGnpqoXy9kt0Fe1hCtlmU6kVFBNaonY"",""ORDER BOOKING REPORT 2025-26!C:CV""),{58,65,72},0))))"),2940171.83)</f>
        <v>2940171.83</v>
      </c>
      <c r="BR105" s="311">
        <f>IFERROR(__xludf.DUMMYFUNCTION("IFERROR(ArrayFormula(SUM(VLOOKUP($C105,importrange(""1PTkkEa_ENkSqsGnpqoXy9kt0Fe1hCtlmU6kVFBNaonY"",""ORDER BOOKING REPORT 2025-26!C:CV""),{79,86,93},0))))"),2801956.22)</f>
        <v>2801956.22</v>
      </c>
      <c r="BS105" s="322">
        <f t="shared" si="15"/>
        <v>0.6762428595</v>
      </c>
      <c r="BT105" s="322">
        <f t="shared" si="16"/>
        <v>0.02990261307</v>
      </c>
      <c r="BU105" s="287">
        <f t="shared" si="17"/>
        <v>0</v>
      </c>
      <c r="BV105" s="320">
        <v>28310.0</v>
      </c>
      <c r="BW105" s="321" t="s">
        <v>526</v>
      </c>
      <c r="BX105" s="320">
        <v>1171.0</v>
      </c>
      <c r="BY105" s="287">
        <f t="shared" si="18"/>
        <v>0</v>
      </c>
      <c r="BZ105" s="10"/>
      <c r="CA105" s="10"/>
      <c r="CB105" s="10"/>
      <c r="CC105" s="10"/>
      <c r="CD105" s="10"/>
      <c r="CE105" s="10"/>
      <c r="CF105" s="10"/>
      <c r="CG105" s="318" t="str">
        <f t="shared" si="21"/>
        <v> </v>
      </c>
      <c r="CH105" s="318" t="str">
        <f t="shared" si="28"/>
        <v>Business Achieved 50%</v>
      </c>
      <c r="CI105" s="322">
        <f t="shared" si="22"/>
        <v>0.7553191489</v>
      </c>
      <c r="CJ105" s="323"/>
      <c r="CK105" s="323"/>
      <c r="CL105" s="323"/>
      <c r="CM105" s="324">
        <f t="shared" si="23"/>
        <v>313</v>
      </c>
      <c r="CN105" s="337"/>
      <c r="CO105" s="152"/>
      <c r="CP105" s="152"/>
      <c r="CQ105" s="327"/>
      <c r="CR105" s="152"/>
      <c r="CS105" s="152"/>
      <c r="CT105" s="152"/>
      <c r="CU105" s="152"/>
      <c r="CV105" s="152"/>
      <c r="CW105" s="327">
        <f t="shared" si="27"/>
        <v>0</v>
      </c>
      <c r="CX105" s="270"/>
      <c r="CY105" s="152"/>
      <c r="CZ105" s="152"/>
    </row>
    <row r="106" hidden="1">
      <c r="A106" s="307" t="s">
        <v>23</v>
      </c>
      <c r="B106" s="307" t="s">
        <v>545</v>
      </c>
      <c r="C106" s="307" t="s">
        <v>30</v>
      </c>
      <c r="D106" s="307" t="s">
        <v>595</v>
      </c>
      <c r="E106" s="307" t="s">
        <v>31</v>
      </c>
      <c r="F106" s="329">
        <v>45568.0</v>
      </c>
      <c r="G106" s="309">
        <v>0.0</v>
      </c>
      <c r="H106" s="309">
        <v>4200000.0</v>
      </c>
      <c r="I106" s="287">
        <v>3015628.0</v>
      </c>
      <c r="J106" s="287">
        <v>0.0</v>
      </c>
      <c r="K106" s="284">
        <v>26.0</v>
      </c>
      <c r="L106" s="284">
        <v>31.0</v>
      </c>
      <c r="M106" s="284">
        <v>5.0</v>
      </c>
      <c r="N106" s="284">
        <v>31.0</v>
      </c>
      <c r="O106" s="284">
        <v>0.0</v>
      </c>
      <c r="P106" s="287">
        <v>2367318.17</v>
      </c>
      <c r="Q106" s="287">
        <v>648309.77</v>
      </c>
      <c r="R106" s="284">
        <v>17.0</v>
      </c>
      <c r="S106" s="284">
        <v>5.0</v>
      </c>
      <c r="T106" s="284">
        <v>22.0</v>
      </c>
      <c r="U106" s="284">
        <v>0.0</v>
      </c>
      <c r="V106" s="284">
        <v>116.0</v>
      </c>
      <c r="W106" s="284">
        <v>210.0</v>
      </c>
      <c r="X106" s="284">
        <v>98.0</v>
      </c>
      <c r="Y106" s="284">
        <v>1.0</v>
      </c>
      <c r="Z106" s="284">
        <v>29.0</v>
      </c>
      <c r="AA106" s="284">
        <v>4.0</v>
      </c>
      <c r="AB106" s="284">
        <v>8.0</v>
      </c>
      <c r="AC106" s="284">
        <v>0.0</v>
      </c>
      <c r="AD106" s="284">
        <v>0.0</v>
      </c>
      <c r="AE106" s="284">
        <v>190.0</v>
      </c>
      <c r="AF106" s="284">
        <v>437.0</v>
      </c>
      <c r="AG106" s="284">
        <v>75.0</v>
      </c>
      <c r="AH106" s="309">
        <f t="shared" si="2"/>
        <v>40208.37333</v>
      </c>
      <c r="AI106" s="309">
        <f t="shared" si="3"/>
        <v>5.826666667</v>
      </c>
      <c r="AJ106" s="311">
        <v>30405.0</v>
      </c>
      <c r="AK106" s="309">
        <f t="shared" si="33"/>
        <v>91215</v>
      </c>
      <c r="AL106" s="286"/>
      <c r="AM106" s="313">
        <f t="shared" si="5"/>
        <v>0.03024743105</v>
      </c>
      <c r="AN106" s="309">
        <f t="shared" si="6"/>
        <v>137074</v>
      </c>
      <c r="AO106" s="314">
        <f t="shared" si="7"/>
        <v>0.7180066667</v>
      </c>
      <c r="AP106" s="315">
        <v>0.0</v>
      </c>
      <c r="AQ106" s="284">
        <v>48.0</v>
      </c>
      <c r="AR106" s="284">
        <v>608.0</v>
      </c>
      <c r="AS106" s="284">
        <v>5166.18</v>
      </c>
      <c r="AT106" s="284">
        <v>5.0</v>
      </c>
      <c r="AU106" s="284">
        <v>167.0</v>
      </c>
      <c r="AV106" s="284">
        <v>22.0</v>
      </c>
      <c r="AW106" s="284">
        <v>9.0</v>
      </c>
      <c r="AX106" s="284">
        <v>0.0</v>
      </c>
      <c r="AY106" s="309">
        <v>2891303.0</v>
      </c>
      <c r="AZ106" s="316"/>
      <c r="BA106" s="307" t="str">
        <f t="shared" si="8"/>
        <v>Active</v>
      </c>
      <c r="BB106" s="307" t="str">
        <f t="shared" si="9"/>
        <v>Old</v>
      </c>
      <c r="BC106" s="307" t="str">
        <f t="shared" si="10"/>
        <v>70%-90%</v>
      </c>
      <c r="BD106" s="286">
        <f t="shared" si="35"/>
        <v>3</v>
      </c>
      <c r="BE106" s="328">
        <v>1400000.0</v>
      </c>
      <c r="BF106" s="284">
        <f t="shared" si="12"/>
        <v>0</v>
      </c>
      <c r="BG106" s="307" t="s">
        <v>488</v>
      </c>
      <c r="BH106" s="272">
        <f>IFERROR(__xludf.DUMMYFUNCTION("""COMPUTED_VALUE"""),1.1376999E7)</f>
        <v>11376999</v>
      </c>
      <c r="BI106" s="272">
        <f>IFERROR(__xludf.DUMMYFUNCTION("""COMPUTED_VALUE"""),1.099360711E7)</f>
        <v>10993607.11</v>
      </c>
      <c r="BJ106" s="273"/>
      <c r="BK106" s="319"/>
      <c r="BL106" s="319">
        <f t="shared" si="34"/>
        <v>0</v>
      </c>
      <c r="BM106" s="319">
        <f t="shared" si="14"/>
        <v>4200000</v>
      </c>
      <c r="BN106" s="274"/>
      <c r="BO106" s="311">
        <f>IFERROR(__xludf.DUMMYFUNCTION("IFERROR(ArrayFormula(SUM(VLOOKUP($C106,importrange(""1PTkkEa_ENkSqsGnpqoXy9kt0Fe1hCtlmU6kVFBNaonY"",""ORDER BOOKING REPORT 2025-26!C:CV""),{16,23,30},0))))"),2579807.87)</f>
        <v>2579807.87</v>
      </c>
      <c r="BP106" s="311">
        <f>IFERROR(__xludf.DUMMYFUNCTION("IFERROR(ArrayFormula(SUM(VLOOKUP($C106,importrange(""1PTkkEa_ENkSqsGnpqoXy9kt0Fe1hCtlmU6kVFBNaonY"",""ORDER BOOKING REPORT 2025-26!C:CV""),{37,44,51},0))))"),2742269.91)</f>
        <v>2742269.91</v>
      </c>
      <c r="BQ106" s="311">
        <f>IFERROR(__xludf.DUMMYFUNCTION("IFERROR(ArrayFormula(SUM(VLOOKUP($C106,importrange(""1PTkkEa_ENkSqsGnpqoXy9kt0Fe1hCtlmU6kVFBNaonY"",""ORDER BOOKING REPORT 2025-26!C:CV""),{58,65,72},0))))"),2581519.9699999997)</f>
        <v>2581519.97</v>
      </c>
      <c r="BR106" s="311">
        <f>IFERROR(__xludf.DUMMYFUNCTION("IFERROR(ArrayFormula(SUM(VLOOKUP($C106,importrange(""1PTkkEa_ENkSqsGnpqoXy9kt0Fe1hCtlmU6kVFBNaonY"",""ORDER BOOKING REPORT 2025-26!C:CV""),{79,86,93},0))))"),3090009.36)</f>
        <v>3090009.36</v>
      </c>
      <c r="BS106" s="322">
        <f t="shared" si="15"/>
        <v>0.6884054762</v>
      </c>
      <c r="BT106" s="322">
        <f t="shared" si="16"/>
        <v>0.03154805982</v>
      </c>
      <c r="BU106" s="287">
        <f t="shared" si="17"/>
        <v>0</v>
      </c>
      <c r="BV106" s="320">
        <v>30405.0</v>
      </c>
      <c r="BW106" s="321" t="s">
        <v>526</v>
      </c>
      <c r="BX106" s="320">
        <v>1174.0</v>
      </c>
      <c r="BY106" s="287">
        <f t="shared" si="18"/>
        <v>0</v>
      </c>
      <c r="BZ106" s="10"/>
      <c r="CA106" s="10"/>
      <c r="CB106" s="10"/>
      <c r="CC106" s="10"/>
      <c r="CD106" s="10"/>
      <c r="CE106" s="10"/>
      <c r="CF106" s="10"/>
      <c r="CG106" s="318" t="str">
        <f t="shared" si="21"/>
        <v>Below 60</v>
      </c>
      <c r="CH106" s="318" t="str">
        <f t="shared" si="28"/>
        <v>Business Achieved 50%</v>
      </c>
      <c r="CI106" s="322">
        <f t="shared" si="22"/>
        <v>0.7096774194</v>
      </c>
      <c r="CJ106" s="323"/>
      <c r="CK106" s="323"/>
      <c r="CL106" s="323"/>
      <c r="CM106" s="324">
        <f t="shared" si="23"/>
        <v>190</v>
      </c>
      <c r="CN106" s="337"/>
      <c r="CO106" s="152"/>
      <c r="CP106" s="152"/>
      <c r="CQ106" s="327"/>
      <c r="CR106" s="152"/>
      <c r="CS106" s="152"/>
      <c r="CT106" s="152"/>
      <c r="CU106" s="152"/>
      <c r="CV106" s="152"/>
      <c r="CW106" s="327">
        <f t="shared" si="27"/>
        <v>0</v>
      </c>
      <c r="CX106" s="270"/>
      <c r="CY106" s="152"/>
      <c r="CZ106" s="152"/>
    </row>
    <row r="107" hidden="1">
      <c r="A107" s="307" t="s">
        <v>160</v>
      </c>
      <c r="B107" s="307" t="s">
        <v>522</v>
      </c>
      <c r="C107" s="307" t="s">
        <v>342</v>
      </c>
      <c r="D107" s="307" t="s">
        <v>596</v>
      </c>
      <c r="E107" s="307" t="s">
        <v>100</v>
      </c>
      <c r="F107" s="329">
        <v>45569.0</v>
      </c>
      <c r="G107" s="309">
        <v>0.0</v>
      </c>
      <c r="H107" s="309" t="s">
        <v>485</v>
      </c>
      <c r="I107" s="287">
        <v>0.0</v>
      </c>
      <c r="J107" s="287">
        <v>0.0</v>
      </c>
      <c r="K107" s="284">
        <v>9.0</v>
      </c>
      <c r="L107" s="284">
        <v>36.0</v>
      </c>
      <c r="M107" s="284">
        <v>28.0</v>
      </c>
      <c r="N107" s="284">
        <v>37.0</v>
      </c>
      <c r="O107" s="284">
        <v>1.0</v>
      </c>
      <c r="P107" s="287">
        <v>0.0</v>
      </c>
      <c r="Q107" s="287">
        <v>0.0</v>
      </c>
      <c r="R107" s="284">
        <v>0.0</v>
      </c>
      <c r="S107" s="284">
        <v>0.0</v>
      </c>
      <c r="T107" s="284">
        <v>0.0</v>
      </c>
      <c r="U107" s="284">
        <v>0.0</v>
      </c>
      <c r="V107" s="284">
        <v>65.0</v>
      </c>
      <c r="W107" s="284">
        <v>103.0</v>
      </c>
      <c r="X107" s="284">
        <v>36.0</v>
      </c>
      <c r="Y107" s="284">
        <v>4.0</v>
      </c>
      <c r="Z107" s="284">
        <v>15.0</v>
      </c>
      <c r="AA107" s="284">
        <v>0.0</v>
      </c>
      <c r="AB107" s="284">
        <v>0.0</v>
      </c>
      <c r="AC107" s="284">
        <v>56.0</v>
      </c>
      <c r="AD107" s="284">
        <v>140.0</v>
      </c>
      <c r="AE107" s="284">
        <v>81.0</v>
      </c>
      <c r="AF107" s="284">
        <v>339.0</v>
      </c>
      <c r="AG107" s="284">
        <v>66.0</v>
      </c>
      <c r="AH107" s="309">
        <f t="shared" si="2"/>
        <v>0</v>
      </c>
      <c r="AI107" s="309">
        <f t="shared" si="3"/>
        <v>5.136363636</v>
      </c>
      <c r="AJ107" s="311">
        <v>151013.0</v>
      </c>
      <c r="AK107" s="309">
        <f t="shared" si="33"/>
        <v>453039</v>
      </c>
      <c r="AL107" s="286"/>
      <c r="AM107" s="334" t="str">
        <f t="shared" si="5"/>
        <v/>
      </c>
      <c r="AN107" s="231" t="str">
        <f t="shared" si="6"/>
        <v/>
      </c>
      <c r="AO107" s="314" t="str">
        <f t="shared" si="7"/>
        <v/>
      </c>
      <c r="AP107" s="315">
        <v>0.0</v>
      </c>
      <c r="AQ107" s="284">
        <v>0.0</v>
      </c>
      <c r="AR107" s="284">
        <v>725.0</v>
      </c>
      <c r="AS107" s="284">
        <v>8136.5</v>
      </c>
      <c r="AT107" s="284">
        <v>0.0</v>
      </c>
      <c r="AU107" s="284">
        <v>226.0</v>
      </c>
      <c r="AV107" s="284">
        <v>0.0</v>
      </c>
      <c r="AW107" s="284">
        <v>36.0</v>
      </c>
      <c r="AX107" s="284">
        <v>1.0</v>
      </c>
      <c r="AY107" s="231"/>
      <c r="AZ107" s="316"/>
      <c r="BA107" s="307" t="str">
        <f t="shared" si="8"/>
        <v>Active</v>
      </c>
      <c r="BB107" s="307" t="str">
        <f t="shared" si="9"/>
        <v>Old</v>
      </c>
      <c r="BC107" s="307" t="str">
        <f t="shared" si="10"/>
        <v>Below 50%</v>
      </c>
      <c r="BD107" s="286">
        <f t="shared" si="35"/>
        <v>3</v>
      </c>
      <c r="BE107" s="335"/>
      <c r="BF107" s="284">
        <f t="shared" si="12"/>
        <v>28</v>
      </c>
      <c r="BG107" s="318" t="s">
        <v>485</v>
      </c>
      <c r="BH107" s="271"/>
      <c r="BI107" s="271"/>
      <c r="BJ107" s="273"/>
      <c r="BK107" s="274"/>
      <c r="BL107" s="319">
        <f t="shared" si="34"/>
        <v>0</v>
      </c>
      <c r="BM107" s="319" t="str">
        <f t="shared" si="14"/>
        <v/>
      </c>
      <c r="BN107" s="274"/>
      <c r="BO107" s="311" t="str">
        <f>IFERROR(__xludf.DUMMYFUNCTION("IFERROR(ArrayFormula(SUM(VLOOKUP($C107,importrange(""1PTkkEa_ENkSqsGnpqoXy9kt0Fe1hCtlmU6kVFBNaonY"",""ORDER BOOKING REPORT 2025-26!C:CV""),{16,23,30},0))))"),"")</f>
        <v/>
      </c>
      <c r="BP107" s="311" t="str">
        <f>IFERROR(__xludf.DUMMYFUNCTION("IFERROR(ArrayFormula(SUM(VLOOKUP($C107,importrange(""1PTkkEa_ENkSqsGnpqoXy9kt0Fe1hCtlmU6kVFBNaonY"",""ORDER BOOKING REPORT 2025-26!C:CV""),{37,44,51},0))))"),"")</f>
        <v/>
      </c>
      <c r="BQ107" s="311" t="str">
        <f>IFERROR(__xludf.DUMMYFUNCTION("IFERROR(ArrayFormula(SUM(VLOOKUP($C107,importrange(""1PTkkEa_ENkSqsGnpqoXy9kt0Fe1hCtlmU6kVFBNaonY"",""ORDER BOOKING REPORT 2025-26!C:CV""),{58,65,72},0))))"),"")</f>
        <v/>
      </c>
      <c r="BR107" s="311" t="str">
        <f>IFERROR(__xludf.DUMMYFUNCTION("IFERROR(ArrayFormula(SUM(VLOOKUP($C107,importrange(""1PTkkEa_ENkSqsGnpqoXy9kt0Fe1hCtlmU6kVFBNaonY"",""ORDER BOOKING REPORT 2025-26!C:CV""),{79,86,93},0))))"),"")</f>
        <v/>
      </c>
      <c r="BS107" s="152" t="str">
        <f t="shared" si="15"/>
        <v/>
      </c>
      <c r="BT107" s="152" t="str">
        <f t="shared" si="16"/>
        <v/>
      </c>
      <c r="BU107" s="287">
        <f t="shared" si="17"/>
        <v>0</v>
      </c>
      <c r="BV107" s="320">
        <v>151013.0</v>
      </c>
      <c r="BW107" s="321" t="s">
        <v>494</v>
      </c>
      <c r="BX107" s="320">
        <v>1175.0</v>
      </c>
      <c r="BY107" s="287">
        <f t="shared" si="18"/>
        <v>0</v>
      </c>
      <c r="BZ107" s="10"/>
      <c r="CA107" s="10"/>
      <c r="CB107" s="10"/>
      <c r="CC107" s="10"/>
      <c r="CD107" s="10"/>
      <c r="CE107" s="10"/>
      <c r="CF107" s="10"/>
      <c r="CG107" s="318" t="str">
        <f t="shared" si="21"/>
        <v>Below 60</v>
      </c>
      <c r="CH107" s="318" t="str">
        <f t="shared" si="28"/>
        <v>Not 50%</v>
      </c>
      <c r="CI107" s="322">
        <f t="shared" si="22"/>
        <v>0</v>
      </c>
      <c r="CJ107" s="336"/>
      <c r="CK107" s="336"/>
      <c r="CL107" s="336"/>
      <c r="CM107" s="324">
        <f t="shared" si="23"/>
        <v>81</v>
      </c>
      <c r="CN107" s="337"/>
      <c r="CO107" s="152"/>
      <c r="CP107" s="152"/>
      <c r="CQ107" s="327"/>
      <c r="CR107" s="152"/>
      <c r="CS107" s="152"/>
      <c r="CT107" s="152"/>
      <c r="CU107" s="152"/>
      <c r="CV107" s="152"/>
      <c r="CW107" s="327">
        <f t="shared" si="27"/>
        <v>0</v>
      </c>
      <c r="CX107" s="270"/>
      <c r="CY107" s="152"/>
      <c r="CZ107" s="152"/>
    </row>
    <row r="108" hidden="1">
      <c r="A108" s="307" t="s">
        <v>103</v>
      </c>
      <c r="B108" s="307" t="s">
        <v>492</v>
      </c>
      <c r="C108" s="307" t="s">
        <v>142</v>
      </c>
      <c r="D108" s="307" t="s">
        <v>492</v>
      </c>
      <c r="E108" s="307" t="s">
        <v>124</v>
      </c>
      <c r="F108" s="329">
        <v>45600.0</v>
      </c>
      <c r="G108" s="309">
        <v>0.0</v>
      </c>
      <c r="H108" s="309">
        <v>7500000.0</v>
      </c>
      <c r="I108" s="287">
        <v>5626948.0</v>
      </c>
      <c r="J108" s="287">
        <v>0.0</v>
      </c>
      <c r="K108" s="284">
        <v>87.0</v>
      </c>
      <c r="L108" s="284">
        <v>80.0</v>
      </c>
      <c r="M108" s="284">
        <v>4.0</v>
      </c>
      <c r="N108" s="284">
        <v>91.0</v>
      </c>
      <c r="O108" s="284">
        <v>11.0</v>
      </c>
      <c r="P108" s="287">
        <v>5317703.12</v>
      </c>
      <c r="Q108" s="287">
        <v>309244.52</v>
      </c>
      <c r="R108" s="284">
        <v>44.0</v>
      </c>
      <c r="S108" s="284">
        <v>3.0</v>
      </c>
      <c r="T108" s="284">
        <v>47.0</v>
      </c>
      <c r="U108" s="284">
        <v>0.0</v>
      </c>
      <c r="V108" s="284">
        <v>7.0</v>
      </c>
      <c r="W108" s="284">
        <v>10.0</v>
      </c>
      <c r="X108" s="284">
        <v>75.0</v>
      </c>
      <c r="Y108" s="284">
        <v>1.0</v>
      </c>
      <c r="Z108" s="284">
        <v>22.0</v>
      </c>
      <c r="AA108" s="284">
        <v>0.0</v>
      </c>
      <c r="AB108" s="284">
        <v>0.0</v>
      </c>
      <c r="AC108" s="284">
        <v>0.0</v>
      </c>
      <c r="AD108" s="284">
        <v>0.0</v>
      </c>
      <c r="AE108" s="284">
        <v>296.0</v>
      </c>
      <c r="AF108" s="284">
        <v>328.0</v>
      </c>
      <c r="AG108" s="284">
        <v>79.0</v>
      </c>
      <c r="AH108" s="309">
        <f t="shared" si="2"/>
        <v>71227.18987</v>
      </c>
      <c r="AI108" s="309">
        <f t="shared" si="3"/>
        <v>4.151898734</v>
      </c>
      <c r="AJ108" s="311">
        <v>51910.0</v>
      </c>
      <c r="AK108" s="309">
        <f t="shared" si="33"/>
        <v>155730</v>
      </c>
      <c r="AL108" s="286"/>
      <c r="AM108" s="313">
        <f t="shared" si="5"/>
        <v>0.02767574891</v>
      </c>
      <c r="AN108" s="309">
        <f t="shared" si="6"/>
        <v>119722.2979</v>
      </c>
      <c r="AO108" s="314">
        <f t="shared" si="7"/>
        <v>0.7502597333</v>
      </c>
      <c r="AP108" s="315">
        <v>0.0</v>
      </c>
      <c r="AQ108" s="284">
        <v>86.0</v>
      </c>
      <c r="AR108" s="284">
        <v>579.0</v>
      </c>
      <c r="AS108" s="284">
        <v>6756.02</v>
      </c>
      <c r="AT108" s="284">
        <v>3.0</v>
      </c>
      <c r="AU108" s="284">
        <v>84.0</v>
      </c>
      <c r="AV108" s="284">
        <v>47.0</v>
      </c>
      <c r="AW108" s="284">
        <v>34.0</v>
      </c>
      <c r="AX108" s="284">
        <v>10.0</v>
      </c>
      <c r="AY108" s="309">
        <v>3543936.0</v>
      </c>
      <c r="AZ108" s="316"/>
      <c r="BA108" s="307" t="str">
        <f t="shared" si="8"/>
        <v>Active</v>
      </c>
      <c r="BB108" s="307" t="str">
        <f t="shared" si="9"/>
        <v>Old</v>
      </c>
      <c r="BC108" s="307" t="str">
        <f t="shared" si="10"/>
        <v>70%-90%</v>
      </c>
      <c r="BD108" s="286">
        <f t="shared" si="35"/>
        <v>3</v>
      </c>
      <c r="BE108" s="328">
        <v>2500000.0</v>
      </c>
      <c r="BF108" s="284">
        <f t="shared" si="12"/>
        <v>1</v>
      </c>
      <c r="BG108" s="307" t="s">
        <v>488</v>
      </c>
      <c r="BH108" s="272">
        <f>IFERROR(__xludf.DUMMYFUNCTION("""COMPUTED_VALUE"""),1.9840808E7)</f>
        <v>19840808</v>
      </c>
      <c r="BI108" s="272">
        <f>IFERROR(__xludf.DUMMYFUNCTION("""COMPUTED_VALUE"""),2.0009612560000002E7)</f>
        <v>20009612.56</v>
      </c>
      <c r="BJ108" s="273"/>
      <c r="BK108" s="274"/>
      <c r="BL108" s="319">
        <f t="shared" si="34"/>
        <v>0</v>
      </c>
      <c r="BM108" s="319">
        <f t="shared" si="14"/>
        <v>7500000</v>
      </c>
      <c r="BN108" s="274"/>
      <c r="BO108" s="311">
        <f>IFERROR(__xludf.DUMMYFUNCTION("IFERROR(ArrayFormula(SUM(VLOOKUP($C108,importrange(""1PTkkEa_ENkSqsGnpqoXy9kt0Fe1hCtlmU6kVFBNaonY"",""ORDER BOOKING REPORT 2025-26!C:CV""),{16,23,30},0))))"),4656988.84)</f>
        <v>4656988.84</v>
      </c>
      <c r="BP108" s="311">
        <f>IFERROR(__xludf.DUMMYFUNCTION("IFERROR(ArrayFormula(SUM(VLOOKUP($C108,importrange(""1PTkkEa_ENkSqsGnpqoXy9kt0Fe1hCtlmU6kVFBNaonY"",""ORDER BOOKING REPORT 2025-26!C:CV""),{37,44,51},0))))"),7145672.8500000015)</f>
        <v>7145672.85</v>
      </c>
      <c r="BQ108" s="311">
        <f>IFERROR(__xludf.DUMMYFUNCTION("IFERROR(ArrayFormula(SUM(VLOOKUP($C108,importrange(""1PTkkEa_ENkSqsGnpqoXy9kt0Fe1hCtlmU6kVFBNaonY"",""ORDER BOOKING REPORT 2025-26!C:CV""),{58,65,72},0))))"),4047121.15)</f>
        <v>4047121.15</v>
      </c>
      <c r="BR108" s="311">
        <f>IFERROR(__xludf.DUMMYFUNCTION("IFERROR(ArrayFormula(SUM(VLOOKUP($C108,importrange(""1PTkkEa_ENkSqsGnpqoXy9kt0Fe1hCtlmU6kVFBNaonY"",""ORDER BOOKING REPORT 2025-26!C:CV""),{79,86,93},0))))"),4159829.72)</f>
        <v>4159829.72</v>
      </c>
      <c r="BS108" s="322">
        <f t="shared" si="15"/>
        <v>0.4725248</v>
      </c>
      <c r="BT108" s="322">
        <f t="shared" si="16"/>
        <v>0.04394266714</v>
      </c>
      <c r="BU108" s="287">
        <f t="shared" si="17"/>
        <v>0</v>
      </c>
      <c r="BV108" s="320">
        <v>51910.0</v>
      </c>
      <c r="BW108" s="321" t="s">
        <v>514</v>
      </c>
      <c r="BX108" s="320">
        <v>1182.0</v>
      </c>
      <c r="BY108" s="287">
        <f t="shared" si="18"/>
        <v>0</v>
      </c>
      <c r="BZ108" s="10"/>
      <c r="CA108" s="10"/>
      <c r="CB108" s="10"/>
      <c r="CC108" s="10"/>
      <c r="CD108" s="10"/>
      <c r="CE108" s="10"/>
      <c r="CF108" s="10"/>
      <c r="CG108" s="318" t="str">
        <f t="shared" si="21"/>
        <v> </v>
      </c>
      <c r="CH108" s="318" t="str">
        <f t="shared" si="28"/>
        <v>Business Achieved 50%</v>
      </c>
      <c r="CI108" s="322">
        <f t="shared" si="22"/>
        <v>0.5164835165</v>
      </c>
      <c r="CJ108" s="323"/>
      <c r="CK108" s="323"/>
      <c r="CL108" s="323"/>
      <c r="CM108" s="324">
        <f t="shared" si="23"/>
        <v>296</v>
      </c>
      <c r="CN108" s="337"/>
      <c r="CO108" s="152"/>
      <c r="CP108" s="152"/>
      <c r="CQ108" s="327"/>
      <c r="CR108" s="152"/>
      <c r="CS108" s="152"/>
      <c r="CT108" s="152"/>
      <c r="CU108" s="152"/>
      <c r="CV108" s="152"/>
      <c r="CW108" s="327">
        <f t="shared" si="27"/>
        <v>0</v>
      </c>
      <c r="CX108" s="270"/>
      <c r="CY108" s="152"/>
      <c r="CZ108" s="152"/>
    </row>
    <row r="109" hidden="1">
      <c r="A109" s="307" t="s">
        <v>103</v>
      </c>
      <c r="B109" s="307" t="s">
        <v>492</v>
      </c>
      <c r="C109" s="307" t="s">
        <v>143</v>
      </c>
      <c r="D109" s="307" t="s">
        <v>492</v>
      </c>
      <c r="E109" s="307" t="s">
        <v>124</v>
      </c>
      <c r="F109" s="308">
        <v>45607.0</v>
      </c>
      <c r="G109" s="309">
        <v>0.0</v>
      </c>
      <c r="H109" s="309">
        <v>6489999.0</v>
      </c>
      <c r="I109" s="287">
        <v>2936889.0</v>
      </c>
      <c r="J109" s="287">
        <v>0.0</v>
      </c>
      <c r="K109" s="284">
        <v>119.0</v>
      </c>
      <c r="L109" s="284">
        <v>91.0</v>
      </c>
      <c r="M109" s="284">
        <v>5.0</v>
      </c>
      <c r="N109" s="284">
        <v>124.0</v>
      </c>
      <c r="O109" s="284">
        <v>33.0</v>
      </c>
      <c r="P109" s="287">
        <v>2838200.93</v>
      </c>
      <c r="Q109" s="287">
        <v>98688.4</v>
      </c>
      <c r="R109" s="284">
        <v>37.0</v>
      </c>
      <c r="S109" s="284">
        <v>4.0</v>
      </c>
      <c r="T109" s="284">
        <v>41.0</v>
      </c>
      <c r="U109" s="284">
        <v>0.0</v>
      </c>
      <c r="V109" s="284">
        <v>19.0</v>
      </c>
      <c r="W109" s="284">
        <v>20.0</v>
      </c>
      <c r="X109" s="284">
        <v>142.0</v>
      </c>
      <c r="Y109" s="284">
        <v>2.0</v>
      </c>
      <c r="Z109" s="284">
        <v>32.0</v>
      </c>
      <c r="AA109" s="284">
        <v>0.0</v>
      </c>
      <c r="AB109" s="284">
        <v>0.0</v>
      </c>
      <c r="AC109" s="284">
        <v>0.0</v>
      </c>
      <c r="AD109" s="284">
        <v>0.0</v>
      </c>
      <c r="AE109" s="284">
        <v>303.0</v>
      </c>
      <c r="AF109" s="284">
        <v>355.0</v>
      </c>
      <c r="AG109" s="284">
        <v>72.0</v>
      </c>
      <c r="AH109" s="309">
        <f t="shared" si="2"/>
        <v>40790.125</v>
      </c>
      <c r="AI109" s="309">
        <f t="shared" si="3"/>
        <v>4.930555556</v>
      </c>
      <c r="AJ109" s="311">
        <v>33043.0</v>
      </c>
      <c r="AK109" s="309">
        <f t="shared" si="33"/>
        <v>99129</v>
      </c>
      <c r="AL109" s="286"/>
      <c r="AM109" s="313">
        <f t="shared" si="5"/>
        <v>0.03375306319</v>
      </c>
      <c r="AN109" s="309">
        <f t="shared" si="6"/>
        <v>71631.43902</v>
      </c>
      <c r="AO109" s="314">
        <f t="shared" si="7"/>
        <v>0.4525253394</v>
      </c>
      <c r="AP109" s="315">
        <v>0.0</v>
      </c>
      <c r="AQ109" s="284">
        <v>101.0</v>
      </c>
      <c r="AR109" s="284">
        <v>676.0</v>
      </c>
      <c r="AS109" s="284">
        <v>3286.96</v>
      </c>
      <c r="AT109" s="284">
        <v>4.0</v>
      </c>
      <c r="AU109" s="284">
        <v>36.0</v>
      </c>
      <c r="AV109" s="284">
        <v>41.0</v>
      </c>
      <c r="AW109" s="284">
        <v>53.0</v>
      </c>
      <c r="AX109" s="284">
        <v>30.0</v>
      </c>
      <c r="AY109" s="309">
        <v>1911332.0</v>
      </c>
      <c r="AZ109" s="316"/>
      <c r="BA109" s="307" t="str">
        <f t="shared" si="8"/>
        <v>Active</v>
      </c>
      <c r="BB109" s="307" t="str">
        <f t="shared" si="9"/>
        <v>Old</v>
      </c>
      <c r="BC109" s="307" t="str">
        <f t="shared" si="10"/>
        <v>Below 50%</v>
      </c>
      <c r="BD109" s="286">
        <f t="shared" si="35"/>
        <v>3</v>
      </c>
      <c r="BE109" s="328">
        <v>2163333.0</v>
      </c>
      <c r="BF109" s="284">
        <f t="shared" si="12"/>
        <v>1</v>
      </c>
      <c r="BG109" s="307" t="s">
        <v>488</v>
      </c>
      <c r="BH109" s="272">
        <f>IFERROR(__xludf.DUMMYFUNCTION("""COMPUTED_VALUE"""),1.0365932E7)</f>
        <v>10365932</v>
      </c>
      <c r="BI109" s="272">
        <f>IFERROR(__xludf.DUMMYFUNCTION("""COMPUTED_VALUE"""),1.0214659799999999E7)</f>
        <v>10214659.8</v>
      </c>
      <c r="BJ109" s="273"/>
      <c r="BK109" s="274"/>
      <c r="BL109" s="319">
        <f t="shared" si="34"/>
        <v>0</v>
      </c>
      <c r="BM109" s="319">
        <f t="shared" si="14"/>
        <v>6489999</v>
      </c>
      <c r="BN109" s="274"/>
      <c r="BO109" s="311">
        <f>IFERROR(__xludf.DUMMYFUNCTION("IFERROR(ArrayFormula(SUM(VLOOKUP($C109,importrange(""1PTkkEa_ENkSqsGnpqoXy9kt0Fe1hCtlmU6kVFBNaonY"",""ORDER BOOKING REPORT 2025-26!C:CV""),{16,23,30},0))))"),1724453.9)</f>
        <v>1724453.9</v>
      </c>
      <c r="BP109" s="311">
        <f>IFERROR(__xludf.DUMMYFUNCTION("IFERROR(ArrayFormula(SUM(VLOOKUP($C109,importrange(""1PTkkEa_ENkSqsGnpqoXy9kt0Fe1hCtlmU6kVFBNaonY"",""ORDER BOOKING REPORT 2025-26!C:CV""),{37,44,51},0))))"),2406114.4699999997)</f>
        <v>2406114.47</v>
      </c>
      <c r="BQ109" s="311">
        <f>IFERROR(__xludf.DUMMYFUNCTION("IFERROR(ArrayFormula(SUM(VLOOKUP($C109,importrange(""1PTkkEa_ENkSqsGnpqoXy9kt0Fe1hCtlmU6kVFBNaonY"",""ORDER BOOKING REPORT 2025-26!C:CV""),{58,65,72},0))))"),2631594.4799999995)</f>
        <v>2631594.48</v>
      </c>
      <c r="BR109" s="311">
        <f>IFERROR(__xludf.DUMMYFUNCTION("IFERROR(ArrayFormula(SUM(VLOOKUP($C109,importrange(""1PTkkEa_ENkSqsGnpqoXy9kt0Fe1hCtlmU6kVFBNaonY"",""ORDER BOOKING REPORT 2025-26!C:CV""),{79,86,93},0))))"),3452496.95)</f>
        <v>3452496.95</v>
      </c>
      <c r="BS109" s="322">
        <f t="shared" si="15"/>
        <v>0.2945042056</v>
      </c>
      <c r="BT109" s="322">
        <f t="shared" si="16"/>
        <v>0.05186383109</v>
      </c>
      <c r="BU109" s="287">
        <f t="shared" si="17"/>
        <v>0</v>
      </c>
      <c r="BV109" s="320">
        <v>33043.0</v>
      </c>
      <c r="BW109" s="321" t="s">
        <v>502</v>
      </c>
      <c r="BX109" s="320">
        <v>1184.0</v>
      </c>
      <c r="BY109" s="287">
        <f t="shared" si="18"/>
        <v>0</v>
      </c>
      <c r="BZ109" s="10"/>
      <c r="CA109" s="10"/>
      <c r="CB109" s="10"/>
      <c r="CC109" s="10"/>
      <c r="CD109" s="10"/>
      <c r="CE109" s="10"/>
      <c r="CF109" s="10"/>
      <c r="CG109" s="318" t="str">
        <f t="shared" si="21"/>
        <v> </v>
      </c>
      <c r="CH109" s="318" t="str">
        <f t="shared" si="28"/>
        <v>Not 50%</v>
      </c>
      <c r="CI109" s="322">
        <f t="shared" si="22"/>
        <v>0.3306451613</v>
      </c>
      <c r="CJ109" s="323"/>
      <c r="CK109" s="323"/>
      <c r="CL109" s="323"/>
      <c r="CM109" s="324">
        <f t="shared" si="23"/>
        <v>303</v>
      </c>
      <c r="CN109" s="337"/>
      <c r="CO109" s="152"/>
      <c r="CP109" s="152"/>
      <c r="CQ109" s="327"/>
      <c r="CR109" s="152"/>
      <c r="CS109" s="152"/>
      <c r="CT109" s="152"/>
      <c r="CU109" s="152"/>
      <c r="CV109" s="152"/>
      <c r="CW109" s="327">
        <f t="shared" si="27"/>
        <v>0</v>
      </c>
      <c r="CX109" s="270"/>
      <c r="CY109" s="152"/>
      <c r="CZ109" s="152"/>
    </row>
    <row r="110" hidden="1">
      <c r="A110" s="307" t="s">
        <v>160</v>
      </c>
      <c r="B110" s="307" t="s">
        <v>491</v>
      </c>
      <c r="C110" s="307" t="s">
        <v>234</v>
      </c>
      <c r="D110" s="307" t="s">
        <v>504</v>
      </c>
      <c r="E110" s="307" t="s">
        <v>235</v>
      </c>
      <c r="F110" s="329">
        <v>45628.0</v>
      </c>
      <c r="G110" s="309">
        <v>0.0</v>
      </c>
      <c r="H110" s="309">
        <v>6249999.0</v>
      </c>
      <c r="I110" s="287">
        <v>5992994.0</v>
      </c>
      <c r="J110" s="287">
        <v>0.0</v>
      </c>
      <c r="K110" s="284">
        <v>83.0</v>
      </c>
      <c r="L110" s="284">
        <v>68.0</v>
      </c>
      <c r="M110" s="284">
        <v>2.0</v>
      </c>
      <c r="N110" s="284">
        <v>85.0</v>
      </c>
      <c r="O110" s="284">
        <v>17.0</v>
      </c>
      <c r="P110" s="287">
        <v>5902240.18</v>
      </c>
      <c r="Q110" s="287">
        <v>90754.3</v>
      </c>
      <c r="R110" s="284">
        <v>44.0</v>
      </c>
      <c r="S110" s="284">
        <v>2.0</v>
      </c>
      <c r="T110" s="284">
        <v>46.0</v>
      </c>
      <c r="U110" s="284">
        <v>0.0</v>
      </c>
      <c r="V110" s="284">
        <v>42.0</v>
      </c>
      <c r="W110" s="284">
        <v>63.0</v>
      </c>
      <c r="X110" s="284">
        <v>137.0</v>
      </c>
      <c r="Y110" s="284">
        <v>1.0</v>
      </c>
      <c r="Z110" s="284">
        <v>35.0</v>
      </c>
      <c r="AA110" s="284">
        <v>0.0</v>
      </c>
      <c r="AB110" s="284">
        <v>0.0</v>
      </c>
      <c r="AC110" s="284">
        <v>0.0</v>
      </c>
      <c r="AD110" s="284">
        <v>0.0</v>
      </c>
      <c r="AE110" s="284">
        <v>242.0</v>
      </c>
      <c r="AF110" s="284">
        <v>340.0</v>
      </c>
      <c r="AG110" s="284">
        <v>67.0</v>
      </c>
      <c r="AH110" s="309">
        <f t="shared" si="2"/>
        <v>89447.67164</v>
      </c>
      <c r="AI110" s="309">
        <f t="shared" si="3"/>
        <v>5.074626866</v>
      </c>
      <c r="AJ110" s="345">
        <v>26755.0</v>
      </c>
      <c r="AK110" s="309">
        <f t="shared" si="33"/>
        <v>80265</v>
      </c>
      <c r="AL110" s="312"/>
      <c r="AM110" s="313">
        <f t="shared" si="5"/>
        <v>0.01339313872</v>
      </c>
      <c r="AN110" s="309">
        <f t="shared" si="6"/>
        <v>130282.4783</v>
      </c>
      <c r="AO110" s="314">
        <f t="shared" si="7"/>
        <v>0.9588791934</v>
      </c>
      <c r="AP110" s="315">
        <v>0.0</v>
      </c>
      <c r="AQ110" s="284">
        <v>87.0</v>
      </c>
      <c r="AR110" s="284">
        <v>623.0</v>
      </c>
      <c r="AS110" s="284">
        <v>4969.69</v>
      </c>
      <c r="AT110" s="284">
        <v>2.0</v>
      </c>
      <c r="AU110" s="284">
        <v>73.0</v>
      </c>
      <c r="AV110" s="284">
        <v>46.0</v>
      </c>
      <c r="AW110" s="284">
        <v>27.0</v>
      </c>
      <c r="AX110" s="284">
        <v>12.0</v>
      </c>
      <c r="AY110" s="309">
        <v>3416889.0</v>
      </c>
      <c r="AZ110" s="316"/>
      <c r="BA110" s="307" t="str">
        <f t="shared" si="8"/>
        <v>Active</v>
      </c>
      <c r="BB110" s="307" t="str">
        <f t="shared" si="9"/>
        <v>Old</v>
      </c>
      <c r="BC110" s="307" t="str">
        <f t="shared" si="10"/>
        <v>90%-100%</v>
      </c>
      <c r="BD110" s="286">
        <f t="shared" si="35"/>
        <v>3</v>
      </c>
      <c r="BE110" s="328">
        <v>2083333.0</v>
      </c>
      <c r="BF110" s="284">
        <f t="shared" si="12"/>
        <v>0</v>
      </c>
      <c r="BG110" s="307" t="s">
        <v>488</v>
      </c>
      <c r="BH110" s="272">
        <f>IFERROR(__xludf.DUMMYFUNCTION("""COMPUTED_VALUE"""),1.7400833E7)</f>
        <v>17400833</v>
      </c>
      <c r="BI110" s="272">
        <f>IFERROR(__xludf.DUMMYFUNCTION("""COMPUTED_VALUE"""),1.610422026E7)</f>
        <v>16104220.26</v>
      </c>
      <c r="BJ110" s="273"/>
      <c r="BK110" s="274"/>
      <c r="BL110" s="319">
        <f t="shared" si="34"/>
        <v>0</v>
      </c>
      <c r="BM110" s="319">
        <f t="shared" si="14"/>
        <v>6249999</v>
      </c>
      <c r="BN110" s="274"/>
      <c r="BO110" s="311">
        <f>IFERROR(__xludf.DUMMYFUNCTION("IFERROR(ArrayFormula(SUM(VLOOKUP($C110,importrange(""1PTkkEa_ENkSqsGnpqoXy9kt0Fe1hCtlmU6kVFBNaonY"",""ORDER BOOKING REPORT 2025-26!C:CV""),{16,23,30},0))))"),2456025.2)</f>
        <v>2456025.2</v>
      </c>
      <c r="BP110" s="311">
        <f>IFERROR(__xludf.DUMMYFUNCTION("IFERROR(ArrayFormula(SUM(VLOOKUP($C110,importrange(""1PTkkEa_ENkSqsGnpqoXy9kt0Fe1hCtlmU6kVFBNaonY"",""ORDER BOOKING REPORT 2025-26!C:CV""),{37,44,51},0))))"),3537233.16)</f>
        <v>3537233.16</v>
      </c>
      <c r="BQ110" s="311">
        <f>IFERROR(__xludf.DUMMYFUNCTION("IFERROR(ArrayFormula(SUM(VLOOKUP($C110,importrange(""1PTkkEa_ENkSqsGnpqoXy9kt0Fe1hCtlmU6kVFBNaonY"",""ORDER BOOKING REPORT 2025-26!C:CV""),{58,65,72},0))))"),4254089.91)</f>
        <v>4254089.91</v>
      </c>
      <c r="BR110" s="311">
        <f>IFERROR(__xludf.DUMMYFUNCTION("IFERROR(ArrayFormula(SUM(VLOOKUP($C110,importrange(""1PTkkEa_ENkSqsGnpqoXy9kt0Fe1hCtlmU6kVFBNaonY"",""ORDER BOOKING REPORT 2025-26!C:CV""),{79,86,93},0))))"),5856871.989999999)</f>
        <v>5856871.99</v>
      </c>
      <c r="BS110" s="322">
        <f t="shared" si="15"/>
        <v>0.5467023275</v>
      </c>
      <c r="BT110" s="322">
        <f t="shared" si="16"/>
        <v>0.02349066651</v>
      </c>
      <c r="BU110" s="287">
        <f t="shared" si="17"/>
        <v>0</v>
      </c>
      <c r="BV110" s="320">
        <v>26755.0</v>
      </c>
      <c r="BW110" s="321" t="s">
        <v>526</v>
      </c>
      <c r="BX110" s="320">
        <v>1196.0</v>
      </c>
      <c r="BY110" s="287">
        <f t="shared" si="18"/>
        <v>0</v>
      </c>
      <c r="BZ110" s="10"/>
      <c r="CA110" s="10"/>
      <c r="CB110" s="10"/>
      <c r="CC110" s="10"/>
      <c r="CD110" s="10"/>
      <c r="CE110" s="10"/>
      <c r="CF110" s="10"/>
      <c r="CG110" s="318" t="str">
        <f t="shared" si="21"/>
        <v> </v>
      </c>
      <c r="CH110" s="318" t="str">
        <f t="shared" si="28"/>
        <v>Business Achieved 50%</v>
      </c>
      <c r="CI110" s="322">
        <f t="shared" si="22"/>
        <v>0.5411764706</v>
      </c>
      <c r="CJ110" s="323"/>
      <c r="CK110" s="323"/>
      <c r="CL110" s="323"/>
      <c r="CM110" s="324">
        <f t="shared" si="23"/>
        <v>242</v>
      </c>
      <c r="CN110" s="325"/>
      <c r="CO110" s="6"/>
      <c r="CP110" s="6"/>
      <c r="CQ110" s="327"/>
      <c r="CR110" s="6"/>
      <c r="CS110" s="6"/>
      <c r="CT110" s="6"/>
      <c r="CU110" s="6"/>
      <c r="CV110" s="6"/>
      <c r="CW110" s="327">
        <f t="shared" si="27"/>
        <v>0</v>
      </c>
      <c r="CX110" s="270"/>
      <c r="CY110" s="6"/>
      <c r="CZ110" s="6"/>
    </row>
    <row r="111" hidden="1">
      <c r="A111" s="307" t="s">
        <v>72</v>
      </c>
      <c r="B111" s="307" t="s">
        <v>540</v>
      </c>
      <c r="C111" s="307" t="s">
        <v>89</v>
      </c>
      <c r="D111" s="307" t="s">
        <v>548</v>
      </c>
      <c r="E111" s="307" t="s">
        <v>90</v>
      </c>
      <c r="F111" s="329">
        <v>45635.0</v>
      </c>
      <c r="G111" s="309">
        <v>0.0</v>
      </c>
      <c r="H111" s="309">
        <v>3750000.0</v>
      </c>
      <c r="I111" s="287">
        <v>2951596.0</v>
      </c>
      <c r="J111" s="287">
        <v>0.0</v>
      </c>
      <c r="K111" s="284">
        <v>112.0</v>
      </c>
      <c r="L111" s="284">
        <v>90.0</v>
      </c>
      <c r="M111" s="284">
        <v>12.0</v>
      </c>
      <c r="N111" s="284">
        <v>124.0</v>
      </c>
      <c r="O111" s="284">
        <v>34.0</v>
      </c>
      <c r="P111" s="287">
        <v>2741305.7</v>
      </c>
      <c r="Q111" s="287">
        <v>210290.3</v>
      </c>
      <c r="R111" s="284">
        <v>65.0</v>
      </c>
      <c r="S111" s="284">
        <v>9.0</v>
      </c>
      <c r="T111" s="284">
        <v>74.0</v>
      </c>
      <c r="U111" s="284">
        <v>0.0</v>
      </c>
      <c r="V111" s="284">
        <v>49.0</v>
      </c>
      <c r="W111" s="284">
        <v>87.0</v>
      </c>
      <c r="X111" s="284">
        <v>74.0</v>
      </c>
      <c r="Y111" s="284">
        <v>5.0</v>
      </c>
      <c r="Z111" s="284">
        <v>84.0</v>
      </c>
      <c r="AA111" s="284">
        <v>1.0</v>
      </c>
      <c r="AB111" s="284">
        <v>2.0</v>
      </c>
      <c r="AC111" s="284">
        <v>2.0</v>
      </c>
      <c r="AD111" s="284">
        <v>6.0</v>
      </c>
      <c r="AE111" s="284">
        <v>466.0</v>
      </c>
      <c r="AF111" s="284">
        <v>645.0</v>
      </c>
      <c r="AG111" s="284">
        <v>72.0</v>
      </c>
      <c r="AH111" s="309">
        <f t="shared" si="2"/>
        <v>40994.38889</v>
      </c>
      <c r="AI111" s="309">
        <f t="shared" si="3"/>
        <v>8.958333333</v>
      </c>
      <c r="AJ111" s="311">
        <v>36188.0</v>
      </c>
      <c r="AK111" s="309">
        <f t="shared" si="33"/>
        <v>108564</v>
      </c>
      <c r="AL111" s="286"/>
      <c r="AM111" s="313">
        <f t="shared" si="5"/>
        <v>0.03678145654</v>
      </c>
      <c r="AN111" s="309">
        <f t="shared" si="6"/>
        <v>39886.43243</v>
      </c>
      <c r="AO111" s="314">
        <f t="shared" si="7"/>
        <v>0.7870922667</v>
      </c>
      <c r="AP111" s="315">
        <v>0.0</v>
      </c>
      <c r="AQ111" s="284">
        <v>200.0</v>
      </c>
      <c r="AR111" s="284">
        <v>877.0</v>
      </c>
      <c r="AS111" s="284">
        <v>8733.71</v>
      </c>
      <c r="AT111" s="284">
        <v>9.0</v>
      </c>
      <c r="AU111" s="284">
        <v>97.0</v>
      </c>
      <c r="AV111" s="284">
        <v>74.0</v>
      </c>
      <c r="AW111" s="284">
        <v>29.0</v>
      </c>
      <c r="AX111" s="284">
        <v>21.0</v>
      </c>
      <c r="AY111" s="309">
        <v>2794310.0</v>
      </c>
      <c r="AZ111" s="316"/>
      <c r="BA111" s="307" t="str">
        <f t="shared" si="8"/>
        <v>Active</v>
      </c>
      <c r="BB111" s="307" t="str">
        <f t="shared" si="9"/>
        <v>Old</v>
      </c>
      <c r="BC111" s="307" t="str">
        <f t="shared" si="10"/>
        <v>70%-90%</v>
      </c>
      <c r="BD111" s="286">
        <f t="shared" si="35"/>
        <v>3</v>
      </c>
      <c r="BE111" s="328">
        <v>1250000.0</v>
      </c>
      <c r="BF111" s="284">
        <f t="shared" si="12"/>
        <v>3</v>
      </c>
      <c r="BG111" s="307" t="s">
        <v>488</v>
      </c>
      <c r="BH111" s="272">
        <f>IFERROR(__xludf.DUMMYFUNCTION("""COMPUTED_VALUE"""),1.03625649E7)</f>
        <v>10362564.9</v>
      </c>
      <c r="BI111" s="272">
        <f>IFERROR(__xludf.DUMMYFUNCTION("""COMPUTED_VALUE"""),1.06093001E7)</f>
        <v>10609300.1</v>
      </c>
      <c r="BJ111" s="273"/>
      <c r="BK111" s="274"/>
      <c r="BL111" s="319">
        <f t="shared" si="34"/>
        <v>0</v>
      </c>
      <c r="BM111" s="319">
        <f t="shared" si="14"/>
        <v>3750000</v>
      </c>
      <c r="BN111" s="274"/>
      <c r="BO111" s="311">
        <f>IFERROR(__xludf.DUMMYFUNCTION("IFERROR(ArrayFormula(SUM(VLOOKUP($C111,importrange(""1PTkkEa_ENkSqsGnpqoXy9kt0Fe1hCtlmU6kVFBNaonY"",""ORDER BOOKING REPORT 2025-26!C:CV""),{16,23,30},0))))"),1691427.5)</f>
        <v>1691427.5</v>
      </c>
      <c r="BP111" s="311">
        <f>IFERROR(__xludf.DUMMYFUNCTION("IFERROR(ArrayFormula(SUM(VLOOKUP($C111,importrange(""1PTkkEa_ENkSqsGnpqoXy9kt0Fe1hCtlmU6kVFBNaonY"",""ORDER BOOKING REPORT 2025-26!C:CV""),{37,44,51},0))))"),3151505.7)</f>
        <v>3151505.7</v>
      </c>
      <c r="BQ111" s="311">
        <f>IFERROR(__xludf.DUMMYFUNCTION("IFERROR(ArrayFormula(SUM(VLOOKUP($C111,importrange(""1PTkkEa_ENkSqsGnpqoXy9kt0Fe1hCtlmU6kVFBNaonY"",""ORDER BOOKING REPORT 2025-26!C:CV""),{58,65,72},0))))"),2697024.5999999996)</f>
        <v>2697024.6</v>
      </c>
      <c r="BR111" s="311">
        <f>IFERROR(__xludf.DUMMYFUNCTION("IFERROR(ArrayFormula(SUM(VLOOKUP($C111,importrange(""1PTkkEa_ENkSqsGnpqoXy9kt0Fe1hCtlmU6kVFBNaonY"",""ORDER BOOKING REPORT 2025-26!C:CV""),{79,86,93},0))))"),3069342.3000000003)</f>
        <v>3069342.3</v>
      </c>
      <c r="BS111" s="322">
        <f t="shared" si="15"/>
        <v>0.7451493333</v>
      </c>
      <c r="BT111" s="322">
        <f t="shared" si="16"/>
        <v>0.03885180957</v>
      </c>
      <c r="BU111" s="287">
        <f t="shared" si="17"/>
        <v>0</v>
      </c>
      <c r="BV111" s="320">
        <v>36188.0</v>
      </c>
      <c r="BW111" s="321" t="s">
        <v>502</v>
      </c>
      <c r="BX111" s="320">
        <v>1197.0</v>
      </c>
      <c r="BY111" s="287">
        <f t="shared" si="18"/>
        <v>0</v>
      </c>
      <c r="BZ111" s="10"/>
      <c r="CA111" s="10"/>
      <c r="CB111" s="10"/>
      <c r="CC111" s="10"/>
      <c r="CD111" s="10"/>
      <c r="CE111" s="10"/>
      <c r="CF111" s="10"/>
      <c r="CG111" s="318" t="str">
        <f t="shared" si="21"/>
        <v> </v>
      </c>
      <c r="CH111" s="318" t="str">
        <f t="shared" si="28"/>
        <v>Business Achieved 50%</v>
      </c>
      <c r="CI111" s="322">
        <f t="shared" si="22"/>
        <v>0.5967741935</v>
      </c>
      <c r="CJ111" s="323"/>
      <c r="CK111" s="323"/>
      <c r="CL111" s="323"/>
      <c r="CM111" s="324">
        <f t="shared" si="23"/>
        <v>466</v>
      </c>
      <c r="CN111" s="337"/>
      <c r="CO111" s="152"/>
      <c r="CP111" s="152"/>
      <c r="CQ111" s="327"/>
      <c r="CR111" s="152"/>
      <c r="CS111" s="152"/>
      <c r="CT111" s="152"/>
      <c r="CU111" s="152"/>
      <c r="CV111" s="152"/>
      <c r="CW111" s="327">
        <f t="shared" si="27"/>
        <v>0</v>
      </c>
      <c r="CX111" s="270"/>
      <c r="CY111" s="152"/>
      <c r="CZ111" s="152"/>
    </row>
    <row r="112" hidden="1">
      <c r="A112" s="307" t="s">
        <v>160</v>
      </c>
      <c r="B112" s="307" t="s">
        <v>535</v>
      </c>
      <c r="C112" s="307" t="s">
        <v>270</v>
      </c>
      <c r="D112" s="307" t="s">
        <v>536</v>
      </c>
      <c r="E112" s="307" t="s">
        <v>271</v>
      </c>
      <c r="F112" s="308">
        <v>45636.0</v>
      </c>
      <c r="G112" s="309">
        <v>0.0</v>
      </c>
      <c r="H112" s="309">
        <v>5400000.0</v>
      </c>
      <c r="I112" s="287">
        <v>5379421.0</v>
      </c>
      <c r="J112" s="287">
        <v>0.0</v>
      </c>
      <c r="K112" s="284">
        <v>200.0</v>
      </c>
      <c r="L112" s="284">
        <v>134.0</v>
      </c>
      <c r="M112" s="284">
        <v>10.0</v>
      </c>
      <c r="N112" s="284">
        <v>210.0</v>
      </c>
      <c r="O112" s="284">
        <v>76.0</v>
      </c>
      <c r="P112" s="287">
        <v>5047004.54</v>
      </c>
      <c r="Q112" s="287">
        <v>332416.26</v>
      </c>
      <c r="R112" s="284">
        <v>61.0</v>
      </c>
      <c r="S112" s="284">
        <v>10.0</v>
      </c>
      <c r="T112" s="284">
        <v>71.0</v>
      </c>
      <c r="U112" s="284">
        <v>0.0</v>
      </c>
      <c r="V112" s="284">
        <v>84.0</v>
      </c>
      <c r="W112" s="284">
        <v>122.0</v>
      </c>
      <c r="X112" s="284">
        <v>349.0</v>
      </c>
      <c r="Y112" s="284">
        <v>2.0</v>
      </c>
      <c r="Z112" s="284">
        <v>28.0</v>
      </c>
      <c r="AA112" s="284">
        <v>0.0</v>
      </c>
      <c r="AB112" s="284">
        <v>0.0</v>
      </c>
      <c r="AC112" s="284">
        <v>3.0</v>
      </c>
      <c r="AD112" s="284">
        <v>7.0</v>
      </c>
      <c r="AE112" s="284">
        <v>334.0</v>
      </c>
      <c r="AF112" s="284">
        <v>491.0</v>
      </c>
      <c r="AG112" s="284">
        <v>69.0</v>
      </c>
      <c r="AH112" s="309">
        <f t="shared" si="2"/>
        <v>77962.62319</v>
      </c>
      <c r="AI112" s="309">
        <f t="shared" si="3"/>
        <v>7.115942029</v>
      </c>
      <c r="AJ112" s="311">
        <v>51910.0</v>
      </c>
      <c r="AK112" s="309">
        <f t="shared" si="33"/>
        <v>155730</v>
      </c>
      <c r="AL112" s="286"/>
      <c r="AM112" s="313">
        <f t="shared" si="5"/>
        <v>0.02894921219</v>
      </c>
      <c r="AN112" s="309">
        <f t="shared" si="6"/>
        <v>75766.49296</v>
      </c>
      <c r="AO112" s="314">
        <f t="shared" si="7"/>
        <v>0.9961890741</v>
      </c>
      <c r="AP112" s="315">
        <v>0.0</v>
      </c>
      <c r="AQ112" s="284">
        <v>105.0</v>
      </c>
      <c r="AR112" s="284">
        <v>803.0</v>
      </c>
      <c r="AS112" s="284">
        <v>8195.46</v>
      </c>
      <c r="AT112" s="284">
        <v>10.0</v>
      </c>
      <c r="AU112" s="284">
        <v>61.0</v>
      </c>
      <c r="AV112" s="284">
        <v>71.0</v>
      </c>
      <c r="AW112" s="284">
        <v>76.0</v>
      </c>
      <c r="AX112" s="284">
        <v>63.0</v>
      </c>
      <c r="AY112" s="309">
        <v>6422299.0</v>
      </c>
      <c r="AZ112" s="316"/>
      <c r="BA112" s="307" t="str">
        <f t="shared" si="8"/>
        <v>Active</v>
      </c>
      <c r="BB112" s="307" t="str">
        <f t="shared" si="9"/>
        <v>Old</v>
      </c>
      <c r="BC112" s="307" t="str">
        <f t="shared" si="10"/>
        <v>90%-100%</v>
      </c>
      <c r="BD112" s="286">
        <f t="shared" si="35"/>
        <v>3</v>
      </c>
      <c r="BE112" s="328">
        <v>1800000.0</v>
      </c>
      <c r="BF112" s="284">
        <f t="shared" si="12"/>
        <v>0</v>
      </c>
      <c r="BG112" s="307" t="s">
        <v>488</v>
      </c>
      <c r="BH112" s="272">
        <f>IFERROR(__xludf.DUMMYFUNCTION("""COMPUTED_VALUE"""),1.7200892E7)</f>
        <v>17200892</v>
      </c>
      <c r="BI112" s="272">
        <f>IFERROR(__xludf.DUMMYFUNCTION("""COMPUTED_VALUE"""),2.071891915E7)</f>
        <v>20718919.15</v>
      </c>
      <c r="BJ112" s="341">
        <f>17/31</f>
        <v>0.5483870968</v>
      </c>
      <c r="BK112" s="274"/>
      <c r="BL112" s="319">
        <f t="shared" si="34"/>
        <v>0</v>
      </c>
      <c r="BM112" s="319">
        <f t="shared" si="14"/>
        <v>5400000</v>
      </c>
      <c r="BN112" s="342"/>
      <c r="BO112" s="311">
        <f>IFERROR(__xludf.DUMMYFUNCTION("IFERROR(ArrayFormula(SUM(VLOOKUP($C112,importrange(""1PTkkEa_ENkSqsGnpqoXy9kt0Fe1hCtlmU6kVFBNaonY"",""ORDER BOOKING REPORT 2025-26!C:CV""),{16,23,30},0))))"),4106921.16)</f>
        <v>4106921.16</v>
      </c>
      <c r="BP112" s="311">
        <f>IFERROR(__xludf.DUMMYFUNCTION("IFERROR(ArrayFormula(SUM(VLOOKUP($C112,importrange(""1PTkkEa_ENkSqsGnpqoXy9kt0Fe1hCtlmU6kVFBNaonY"",""ORDER BOOKING REPORT 2025-26!C:CV""),{37,44,51},0))))"),3422805.13)</f>
        <v>3422805.13</v>
      </c>
      <c r="BQ112" s="311">
        <f>IFERROR(__xludf.DUMMYFUNCTION("IFERROR(ArrayFormula(SUM(VLOOKUP($C112,importrange(""1PTkkEa_ENkSqsGnpqoXy9kt0Fe1hCtlmU6kVFBNaonY"",""ORDER BOOKING REPORT 2025-26!C:CV""),{58,65,72},0))))"),6518707.119999999)</f>
        <v>6518707.12</v>
      </c>
      <c r="BR112" s="311">
        <f>IFERROR(__xludf.DUMMYFUNCTION("IFERROR(ArrayFormula(SUM(VLOOKUP($C112,importrange(""1PTkkEa_ENkSqsGnpqoXy9kt0Fe1hCtlmU6kVFBNaonY"",""ORDER BOOKING REPORT 2025-26!C:CV""),{79,86,93},0))))"),6670485.74)</f>
        <v>6670485.74</v>
      </c>
      <c r="BS112" s="322">
        <f t="shared" si="15"/>
        <v>1.18931463</v>
      </c>
      <c r="BT112" s="322">
        <f t="shared" si="16"/>
        <v>0.02424832603</v>
      </c>
      <c r="BU112" s="287">
        <f t="shared" si="17"/>
        <v>0</v>
      </c>
      <c r="BV112" s="320">
        <v>51910.0</v>
      </c>
      <c r="BW112" s="321" t="s">
        <v>489</v>
      </c>
      <c r="BX112" s="320">
        <v>1198.0</v>
      </c>
      <c r="BY112" s="287">
        <f t="shared" si="18"/>
        <v>0</v>
      </c>
      <c r="BZ112" s="10"/>
      <c r="CA112" s="10"/>
      <c r="CB112" s="10"/>
      <c r="CC112" s="10"/>
      <c r="CD112" s="10"/>
      <c r="CE112" s="10"/>
      <c r="CF112" s="10"/>
      <c r="CG112" s="318" t="str">
        <f t="shared" si="21"/>
        <v> </v>
      </c>
      <c r="CH112" s="318" t="str">
        <f t="shared" si="28"/>
        <v>Not 50%</v>
      </c>
      <c r="CI112" s="322">
        <f t="shared" si="22"/>
        <v>0.3380952381</v>
      </c>
      <c r="CJ112" s="323"/>
      <c r="CK112" s="323"/>
      <c r="CL112" s="323"/>
      <c r="CM112" s="324">
        <f t="shared" si="23"/>
        <v>334</v>
      </c>
      <c r="CN112" s="337"/>
      <c r="CO112" s="152"/>
      <c r="CP112" s="152"/>
      <c r="CQ112" s="327"/>
      <c r="CR112" s="152"/>
      <c r="CS112" s="152"/>
      <c r="CT112" s="152"/>
      <c r="CU112" s="152"/>
      <c r="CV112" s="152"/>
      <c r="CW112" s="327">
        <f t="shared" si="27"/>
        <v>0</v>
      </c>
      <c r="CX112" s="270"/>
      <c r="CY112" s="152"/>
      <c r="CZ112" s="152"/>
    </row>
    <row r="113" hidden="1">
      <c r="A113" s="307" t="s">
        <v>160</v>
      </c>
      <c r="B113" s="307" t="s">
        <v>483</v>
      </c>
      <c r="C113" s="307" t="s">
        <v>236</v>
      </c>
      <c r="D113" s="307" t="s">
        <v>484</v>
      </c>
      <c r="E113" s="307" t="s">
        <v>237</v>
      </c>
      <c r="F113" s="308">
        <v>45637.0</v>
      </c>
      <c r="G113" s="309">
        <v>0.0</v>
      </c>
      <c r="H113" s="309">
        <v>1.5E7</v>
      </c>
      <c r="I113" s="287">
        <v>1.5050245E7</v>
      </c>
      <c r="J113" s="287">
        <v>0.0</v>
      </c>
      <c r="K113" s="284">
        <v>66.0</v>
      </c>
      <c r="L113" s="284">
        <v>61.0</v>
      </c>
      <c r="M113" s="284">
        <v>0.0</v>
      </c>
      <c r="N113" s="284">
        <v>66.0</v>
      </c>
      <c r="O113" s="284">
        <v>5.0</v>
      </c>
      <c r="P113" s="287">
        <v>1.505024544E7</v>
      </c>
      <c r="Q113" s="287">
        <v>0.0</v>
      </c>
      <c r="R113" s="284">
        <v>38.0</v>
      </c>
      <c r="S113" s="284">
        <v>0.0</v>
      </c>
      <c r="T113" s="284">
        <v>38.0</v>
      </c>
      <c r="U113" s="284">
        <v>0.0</v>
      </c>
      <c r="V113" s="284">
        <v>0.0</v>
      </c>
      <c r="W113" s="284">
        <v>0.0</v>
      </c>
      <c r="X113" s="284">
        <v>36.0</v>
      </c>
      <c r="Y113" s="284">
        <v>1.0</v>
      </c>
      <c r="Z113" s="284">
        <v>8.0</v>
      </c>
      <c r="AA113" s="284">
        <v>0.0</v>
      </c>
      <c r="AB113" s="284">
        <v>0.0</v>
      </c>
      <c r="AC113" s="284">
        <v>0.0</v>
      </c>
      <c r="AD113" s="284">
        <v>0.0</v>
      </c>
      <c r="AE113" s="284">
        <v>330.0</v>
      </c>
      <c r="AF113" s="284">
        <v>338.0</v>
      </c>
      <c r="AG113" s="284">
        <v>74.0</v>
      </c>
      <c r="AH113" s="309">
        <f t="shared" si="2"/>
        <v>203381.6892</v>
      </c>
      <c r="AI113" s="309">
        <f t="shared" si="3"/>
        <v>4.567567568</v>
      </c>
      <c r="AJ113" s="345">
        <v>34090.0</v>
      </c>
      <c r="AK113" s="309">
        <f t="shared" si="33"/>
        <v>102270</v>
      </c>
      <c r="AL113" s="312"/>
      <c r="AM113" s="313">
        <f t="shared" si="5"/>
        <v>0.006795238217</v>
      </c>
      <c r="AN113" s="309">
        <f t="shared" si="6"/>
        <v>396059.0789</v>
      </c>
      <c r="AO113" s="314">
        <f t="shared" si="7"/>
        <v>1.003349667</v>
      </c>
      <c r="AP113" s="315">
        <v>0.0</v>
      </c>
      <c r="AQ113" s="284">
        <v>93.0</v>
      </c>
      <c r="AR113" s="284">
        <v>815.0</v>
      </c>
      <c r="AS113" s="284">
        <v>7780.35</v>
      </c>
      <c r="AT113" s="284">
        <v>0.0</v>
      </c>
      <c r="AU113" s="284">
        <v>128.0</v>
      </c>
      <c r="AV113" s="284">
        <v>38.0</v>
      </c>
      <c r="AW113" s="284">
        <v>24.0</v>
      </c>
      <c r="AX113" s="284">
        <v>4.0</v>
      </c>
      <c r="AY113" s="309">
        <v>1.1037433E7</v>
      </c>
      <c r="AZ113" s="316"/>
      <c r="BA113" s="307" t="str">
        <f t="shared" si="8"/>
        <v>Active</v>
      </c>
      <c r="BB113" s="307" t="str">
        <f t="shared" si="9"/>
        <v>Old</v>
      </c>
      <c r="BC113" s="307" t="str">
        <f t="shared" si="10"/>
        <v>Above 100%</v>
      </c>
      <c r="BD113" s="286">
        <f t="shared" si="35"/>
        <v>3</v>
      </c>
      <c r="BE113" s="328">
        <v>5000000.0</v>
      </c>
      <c r="BF113" s="284">
        <f t="shared" si="12"/>
        <v>0</v>
      </c>
      <c r="BG113" s="307" t="s">
        <v>488</v>
      </c>
      <c r="BH113" s="272">
        <f>IFERROR(__xludf.DUMMYFUNCTION("""COMPUTED_VALUE"""),4.2058964E7)</f>
        <v>42058964</v>
      </c>
      <c r="BI113" s="272">
        <f>IFERROR(__xludf.DUMMYFUNCTION("""COMPUTED_VALUE"""),3.972471294E7)</f>
        <v>39724712.94</v>
      </c>
      <c r="BJ113" s="273"/>
      <c r="BK113" s="274"/>
      <c r="BL113" s="319">
        <f t="shared" si="34"/>
        <v>0</v>
      </c>
      <c r="BM113" s="319">
        <f t="shared" si="14"/>
        <v>15000000</v>
      </c>
      <c r="BN113" s="274"/>
      <c r="BO113" s="311">
        <f>IFERROR(__xludf.DUMMYFUNCTION("IFERROR(ArrayFormula(SUM(VLOOKUP($C113,importrange(""1PTkkEa_ENkSqsGnpqoXy9kt0Fe1hCtlmU6kVFBNaonY"",""ORDER BOOKING REPORT 2025-26!C:CV""),{16,23,30},0))))"),9444850.9)</f>
        <v>9444850.9</v>
      </c>
      <c r="BP113" s="311">
        <f>IFERROR(__xludf.DUMMYFUNCTION("IFERROR(ArrayFormula(SUM(VLOOKUP($C113,importrange(""1PTkkEa_ENkSqsGnpqoXy9kt0Fe1hCtlmU6kVFBNaonY"",""ORDER BOOKING REPORT 2025-26!C:CV""),{37,44,51},0))))"),7811685.579999999)</f>
        <v>7811685.58</v>
      </c>
      <c r="BQ113" s="311">
        <f>IFERROR(__xludf.DUMMYFUNCTION("IFERROR(ArrayFormula(SUM(VLOOKUP($C113,importrange(""1PTkkEa_ENkSqsGnpqoXy9kt0Fe1hCtlmU6kVFBNaonY"",""ORDER BOOKING REPORT 2025-26!C:CV""),{58,65,72},0))))"),9611341.71)</f>
        <v>9611341.71</v>
      </c>
      <c r="BR113" s="311">
        <f>IFERROR(__xludf.DUMMYFUNCTION("IFERROR(ArrayFormula(SUM(VLOOKUP($C113,importrange(""1PTkkEa_ENkSqsGnpqoXy9kt0Fe1hCtlmU6kVFBNaonY"",""ORDER BOOKING REPORT 2025-26!C:CV""),{79,86,93},0))))"),1.285683475E7)</f>
        <v>12856834.75</v>
      </c>
      <c r="BS113" s="322">
        <f t="shared" si="15"/>
        <v>0.7358288667</v>
      </c>
      <c r="BT113" s="322">
        <f t="shared" si="16"/>
        <v>0.009265741409</v>
      </c>
      <c r="BU113" s="287">
        <f t="shared" si="17"/>
        <v>0</v>
      </c>
      <c r="BV113" s="320">
        <v>34090.0</v>
      </c>
      <c r="BW113" s="321" t="s">
        <v>526</v>
      </c>
      <c r="BX113" s="320">
        <v>1199.0</v>
      </c>
      <c r="BY113" s="287">
        <f t="shared" si="18"/>
        <v>0</v>
      </c>
      <c r="BZ113" s="10"/>
      <c r="CA113" s="10"/>
      <c r="CB113" s="10"/>
      <c r="CC113" s="10"/>
      <c r="CD113" s="10"/>
      <c r="CE113" s="10"/>
      <c r="CF113" s="10"/>
      <c r="CG113" s="318" t="str">
        <f t="shared" si="21"/>
        <v> </v>
      </c>
      <c r="CH113" s="318" t="str">
        <f t="shared" si="28"/>
        <v>Business Achieved 50%</v>
      </c>
      <c r="CI113" s="322">
        <f t="shared" si="22"/>
        <v>0.5757575758</v>
      </c>
      <c r="CJ113" s="323"/>
      <c r="CK113" s="323"/>
      <c r="CL113" s="323"/>
      <c r="CM113" s="324">
        <f t="shared" si="23"/>
        <v>330</v>
      </c>
      <c r="CN113" s="325"/>
      <c r="CO113" s="6"/>
      <c r="CP113" s="6"/>
      <c r="CQ113" s="327"/>
      <c r="CR113" s="6"/>
      <c r="CS113" s="6"/>
      <c r="CT113" s="6"/>
      <c r="CU113" s="6"/>
      <c r="CV113" s="6"/>
      <c r="CW113" s="327">
        <f t="shared" si="27"/>
        <v>0</v>
      </c>
      <c r="CX113" s="270"/>
      <c r="CY113" s="6"/>
      <c r="CZ113" s="6"/>
    </row>
    <row r="114" hidden="1">
      <c r="A114" s="307" t="s">
        <v>301</v>
      </c>
      <c r="B114" s="307" t="s">
        <v>506</v>
      </c>
      <c r="C114" s="307" t="s">
        <v>355</v>
      </c>
      <c r="D114" s="307" t="s">
        <v>531</v>
      </c>
      <c r="E114" s="307" t="s">
        <v>356</v>
      </c>
      <c r="F114" s="308">
        <v>45638.0</v>
      </c>
      <c r="G114" s="309">
        <v>0.0</v>
      </c>
      <c r="H114" s="309" t="s">
        <v>485</v>
      </c>
      <c r="I114" s="287">
        <v>55356.0</v>
      </c>
      <c r="J114" s="287">
        <v>0.0</v>
      </c>
      <c r="K114" s="284">
        <v>104.0</v>
      </c>
      <c r="L114" s="284">
        <v>8.0</v>
      </c>
      <c r="M114" s="284">
        <v>0.0</v>
      </c>
      <c r="N114" s="284">
        <v>104.0</v>
      </c>
      <c r="O114" s="284">
        <v>96.0</v>
      </c>
      <c r="P114" s="287">
        <v>55356.4</v>
      </c>
      <c r="Q114" s="287">
        <v>0.0</v>
      </c>
      <c r="R114" s="284">
        <v>3.0</v>
      </c>
      <c r="S114" s="284">
        <v>0.0</v>
      </c>
      <c r="T114" s="284">
        <v>3.0</v>
      </c>
      <c r="U114" s="284">
        <v>0.0</v>
      </c>
      <c r="V114" s="284">
        <v>60.0</v>
      </c>
      <c r="W114" s="284">
        <v>175.0</v>
      </c>
      <c r="X114" s="284">
        <v>299.0</v>
      </c>
      <c r="Y114" s="284">
        <v>3.0</v>
      </c>
      <c r="Z114" s="284">
        <v>10.0</v>
      </c>
      <c r="AA114" s="284">
        <v>0.0</v>
      </c>
      <c r="AB114" s="284">
        <v>0.0</v>
      </c>
      <c r="AC114" s="284">
        <v>1.0</v>
      </c>
      <c r="AD114" s="284">
        <v>1.0</v>
      </c>
      <c r="AE114" s="284">
        <v>18.0</v>
      </c>
      <c r="AF114" s="284">
        <v>204.0</v>
      </c>
      <c r="AG114" s="284">
        <v>72.0</v>
      </c>
      <c r="AH114" s="309">
        <f t="shared" si="2"/>
        <v>768.8333333</v>
      </c>
      <c r="AI114" s="309">
        <f t="shared" si="3"/>
        <v>2.833333333</v>
      </c>
      <c r="AJ114" s="345">
        <v>47720.0</v>
      </c>
      <c r="AK114" s="309">
        <f t="shared" si="33"/>
        <v>143160</v>
      </c>
      <c r="AL114" s="312"/>
      <c r="AM114" s="313">
        <f t="shared" si="5"/>
        <v>2.586169521</v>
      </c>
      <c r="AN114" s="309">
        <f t="shared" si="6"/>
        <v>18452</v>
      </c>
      <c r="AO114" s="314" t="str">
        <f t="shared" si="7"/>
        <v/>
      </c>
      <c r="AP114" s="315">
        <v>0.0</v>
      </c>
      <c r="AQ114" s="284">
        <v>3.0</v>
      </c>
      <c r="AR114" s="284">
        <v>786.0</v>
      </c>
      <c r="AS114" s="284">
        <v>5419.14</v>
      </c>
      <c r="AT114" s="284">
        <v>0.0</v>
      </c>
      <c r="AU114" s="284">
        <v>677.0</v>
      </c>
      <c r="AV114" s="284">
        <v>3.0</v>
      </c>
      <c r="AW114" s="284">
        <v>8.0</v>
      </c>
      <c r="AX114" s="284">
        <v>93.0</v>
      </c>
      <c r="AY114" s="309"/>
      <c r="AZ114" s="316"/>
      <c r="BA114" s="307" t="str">
        <f t="shared" si="8"/>
        <v>Active</v>
      </c>
      <c r="BB114" s="307" t="str">
        <f t="shared" si="9"/>
        <v>Old</v>
      </c>
      <c r="BC114" s="307" t="str">
        <f t="shared" si="10"/>
        <v>Below 50%</v>
      </c>
      <c r="BD114" s="286">
        <f t="shared" si="35"/>
        <v>3</v>
      </c>
      <c r="BE114" s="328"/>
      <c r="BF114" s="284">
        <f t="shared" si="12"/>
        <v>0</v>
      </c>
      <c r="BG114" s="318" t="s">
        <v>485</v>
      </c>
      <c r="BH114" s="272">
        <f>IFERROR(__xludf.DUMMYFUNCTION("""COMPUTED_VALUE"""),0.0)</f>
        <v>0</v>
      </c>
      <c r="BI114" s="272">
        <f>IFERROR(__xludf.DUMMYFUNCTION("""COMPUTED_VALUE"""),244183.86)</f>
        <v>244183.86</v>
      </c>
      <c r="BJ114" s="273"/>
      <c r="BK114" s="274"/>
      <c r="BL114" s="319">
        <f t="shared" si="34"/>
        <v>0</v>
      </c>
      <c r="BM114" s="319" t="str">
        <f t="shared" si="14"/>
        <v/>
      </c>
      <c r="BN114" s="274"/>
      <c r="BO114" s="311">
        <f>IFERROR(__xludf.DUMMYFUNCTION("IFERROR(ArrayFormula(SUM(VLOOKUP($C114,importrange(""1PTkkEa_ENkSqsGnpqoXy9kt0Fe1hCtlmU6kVFBNaonY"",""ORDER BOOKING REPORT 2025-26!C:CV""),{16,23,30},0))))"),0.0)</f>
        <v>0</v>
      </c>
      <c r="BP114" s="311">
        <f>IFERROR(__xludf.DUMMYFUNCTION("IFERROR(ArrayFormula(SUM(VLOOKUP($C114,importrange(""1PTkkEa_ENkSqsGnpqoXy9kt0Fe1hCtlmU6kVFBNaonY"",""ORDER BOOKING REPORT 2025-26!C:CV""),{37,44,51},0))))"),199589.86)</f>
        <v>199589.86</v>
      </c>
      <c r="BQ114" s="311">
        <f>IFERROR(__xludf.DUMMYFUNCTION("IFERROR(ArrayFormula(SUM(VLOOKUP($C114,importrange(""1PTkkEa_ENkSqsGnpqoXy9kt0Fe1hCtlmU6kVFBNaonY"",""ORDER BOOKING REPORT 2025-26!C:CV""),{58,65,72},0))))"),0.0)</f>
        <v>0</v>
      </c>
      <c r="BR114" s="311">
        <f>IFERROR(__xludf.DUMMYFUNCTION("IFERROR(ArrayFormula(SUM(VLOOKUP($C114,importrange(""1PTkkEa_ENkSqsGnpqoXy9kt0Fe1hCtlmU6kVFBNaonY"",""ORDER BOOKING REPORT 2025-26!C:CV""),{79,86,93},0))))"),44594.0)</f>
        <v>44594</v>
      </c>
      <c r="BS114" s="322" t="str">
        <f t="shared" si="15"/>
        <v/>
      </c>
      <c r="BT114" s="152" t="str">
        <f t="shared" si="16"/>
        <v/>
      </c>
      <c r="BU114" s="287">
        <f t="shared" si="17"/>
        <v>0</v>
      </c>
      <c r="BV114" s="320">
        <v>47720.0</v>
      </c>
      <c r="BW114" s="321" t="s">
        <v>489</v>
      </c>
      <c r="BX114" s="320">
        <v>1200.0</v>
      </c>
      <c r="BY114" s="287">
        <f t="shared" si="18"/>
        <v>0</v>
      </c>
      <c r="BZ114" s="10"/>
      <c r="CA114" s="10"/>
      <c r="CB114" s="10"/>
      <c r="CC114" s="10"/>
      <c r="CD114" s="10"/>
      <c r="CE114" s="10"/>
      <c r="CF114" s="10"/>
      <c r="CG114" s="318" t="str">
        <f t="shared" si="21"/>
        <v> </v>
      </c>
      <c r="CH114" s="318" t="str">
        <f t="shared" si="28"/>
        <v>Not 50%</v>
      </c>
      <c r="CI114" s="322">
        <f t="shared" si="22"/>
        <v>0.02884615385</v>
      </c>
      <c r="CJ114" s="323"/>
      <c r="CK114" s="323"/>
      <c r="CL114" s="323"/>
      <c r="CM114" s="324">
        <f t="shared" si="23"/>
        <v>18</v>
      </c>
      <c r="CN114" s="325"/>
      <c r="CO114" s="6"/>
      <c r="CP114" s="6"/>
      <c r="CQ114" s="327"/>
      <c r="CR114" s="6"/>
      <c r="CS114" s="6"/>
      <c r="CT114" s="6"/>
      <c r="CU114" s="6"/>
      <c r="CV114" s="6"/>
      <c r="CW114" s="327">
        <f t="shared" si="27"/>
        <v>0</v>
      </c>
      <c r="CX114" s="270"/>
      <c r="CY114" s="6"/>
      <c r="CZ114" s="6"/>
    </row>
    <row r="115" hidden="1">
      <c r="A115" s="307" t="s">
        <v>160</v>
      </c>
      <c r="B115" s="307" t="s">
        <v>518</v>
      </c>
      <c r="C115" s="307" t="s">
        <v>238</v>
      </c>
      <c r="D115" s="307" t="s">
        <v>551</v>
      </c>
      <c r="E115" s="307" t="s">
        <v>239</v>
      </c>
      <c r="F115" s="308">
        <v>45639.0</v>
      </c>
      <c r="G115" s="309">
        <v>0.0</v>
      </c>
      <c r="H115" s="309">
        <v>8000001.0</v>
      </c>
      <c r="I115" s="287">
        <v>6503662.0</v>
      </c>
      <c r="J115" s="287">
        <v>0.0</v>
      </c>
      <c r="K115" s="284">
        <v>82.0</v>
      </c>
      <c r="L115" s="284">
        <v>70.0</v>
      </c>
      <c r="M115" s="284">
        <v>6.0</v>
      </c>
      <c r="N115" s="284">
        <v>88.0</v>
      </c>
      <c r="O115" s="284">
        <v>18.0</v>
      </c>
      <c r="P115" s="287">
        <v>5479781.53</v>
      </c>
      <c r="Q115" s="287">
        <v>1023880.15</v>
      </c>
      <c r="R115" s="284">
        <v>39.0</v>
      </c>
      <c r="S115" s="284">
        <v>6.0</v>
      </c>
      <c r="T115" s="284">
        <v>45.0</v>
      </c>
      <c r="U115" s="284">
        <v>0.0</v>
      </c>
      <c r="V115" s="284">
        <v>59.0</v>
      </c>
      <c r="W115" s="284">
        <v>93.0</v>
      </c>
      <c r="X115" s="284">
        <v>192.0</v>
      </c>
      <c r="Y115" s="284">
        <v>1.0</v>
      </c>
      <c r="Z115" s="284">
        <v>18.0</v>
      </c>
      <c r="AA115" s="284">
        <v>0.0</v>
      </c>
      <c r="AB115" s="284">
        <v>0.0</v>
      </c>
      <c r="AC115" s="284">
        <v>0.0</v>
      </c>
      <c r="AD115" s="284">
        <v>0.0</v>
      </c>
      <c r="AE115" s="284">
        <v>220.0</v>
      </c>
      <c r="AF115" s="284">
        <v>331.0</v>
      </c>
      <c r="AG115" s="284">
        <v>76.0</v>
      </c>
      <c r="AH115" s="309">
        <f t="shared" si="2"/>
        <v>85574.5</v>
      </c>
      <c r="AI115" s="309">
        <f t="shared" si="3"/>
        <v>4.355263158</v>
      </c>
      <c r="AJ115" s="311">
        <v>33568.0</v>
      </c>
      <c r="AK115" s="309">
        <f t="shared" si="33"/>
        <v>100704</v>
      </c>
      <c r="AL115" s="312"/>
      <c r="AM115" s="313">
        <f t="shared" si="5"/>
        <v>0.01548419952</v>
      </c>
      <c r="AN115" s="309">
        <f t="shared" si="6"/>
        <v>144525.8222</v>
      </c>
      <c r="AO115" s="314">
        <f t="shared" si="7"/>
        <v>0.8129576484</v>
      </c>
      <c r="AP115" s="315">
        <v>0.0</v>
      </c>
      <c r="AQ115" s="284">
        <v>108.0</v>
      </c>
      <c r="AR115" s="284">
        <v>708.0</v>
      </c>
      <c r="AS115" s="284">
        <v>4478.17</v>
      </c>
      <c r="AT115" s="284">
        <v>6.0</v>
      </c>
      <c r="AU115" s="284">
        <v>64.0</v>
      </c>
      <c r="AV115" s="284">
        <v>45.0</v>
      </c>
      <c r="AW115" s="284">
        <v>31.0</v>
      </c>
      <c r="AX115" s="284">
        <v>12.0</v>
      </c>
      <c r="AY115" s="309">
        <v>6159476.8</v>
      </c>
      <c r="AZ115" s="316"/>
      <c r="BA115" s="307" t="str">
        <f t="shared" si="8"/>
        <v>Active</v>
      </c>
      <c r="BB115" s="307" t="str">
        <f t="shared" si="9"/>
        <v>Old</v>
      </c>
      <c r="BC115" s="307" t="str">
        <f t="shared" si="10"/>
        <v>70%-90%</v>
      </c>
      <c r="BD115" s="286">
        <f t="shared" si="35"/>
        <v>3</v>
      </c>
      <c r="BE115" s="328">
        <v>2666667.0</v>
      </c>
      <c r="BF115" s="284">
        <f t="shared" si="12"/>
        <v>0</v>
      </c>
      <c r="BG115" s="307" t="s">
        <v>488</v>
      </c>
      <c r="BH115" s="272">
        <f>IFERROR(__xludf.DUMMYFUNCTION("""COMPUTED_VALUE"""),2.13418086E7)</f>
        <v>21341808.6</v>
      </c>
      <c r="BI115" s="272">
        <f>IFERROR(__xludf.DUMMYFUNCTION("""COMPUTED_VALUE"""),2.0736408149999995E7)</f>
        <v>20736408.15</v>
      </c>
      <c r="BJ115" s="273"/>
      <c r="BK115" s="274"/>
      <c r="BL115" s="319">
        <f t="shared" si="34"/>
        <v>0</v>
      </c>
      <c r="BM115" s="319">
        <f t="shared" si="14"/>
        <v>8000001</v>
      </c>
      <c r="BN115" s="274"/>
      <c r="BO115" s="311">
        <f>IFERROR(__xludf.DUMMYFUNCTION("IFERROR(ArrayFormula(SUM(VLOOKUP($C115,importrange(""1PTkkEa_ENkSqsGnpqoXy9kt0Fe1hCtlmU6kVFBNaonY"",""ORDER BOOKING REPORT 2025-26!C:CV""),{16,23,30},0))))"),3695241.42)</f>
        <v>3695241.42</v>
      </c>
      <c r="BP115" s="311">
        <f>IFERROR(__xludf.DUMMYFUNCTION("IFERROR(ArrayFormula(SUM(VLOOKUP($C115,importrange(""1PTkkEa_ENkSqsGnpqoXy9kt0Fe1hCtlmU6kVFBNaonY"",""ORDER BOOKING REPORT 2025-26!C:CV""),{37,44,51},0))))"),4718496.61)</f>
        <v>4718496.61</v>
      </c>
      <c r="BQ115" s="311">
        <f>IFERROR(__xludf.DUMMYFUNCTION("IFERROR(ArrayFormula(SUM(VLOOKUP($C115,importrange(""1PTkkEa_ENkSqsGnpqoXy9kt0Fe1hCtlmU6kVFBNaonY"",""ORDER BOOKING REPORT 2025-26!C:CV""),{58,65,72},0))))"),5901962.069999999)</f>
        <v>5901962.07</v>
      </c>
      <c r="BR115" s="311">
        <f>IFERROR(__xludf.DUMMYFUNCTION("IFERROR(ArrayFormula(SUM(VLOOKUP($C115,importrange(""1PTkkEa_ENkSqsGnpqoXy9kt0Fe1hCtlmU6kVFBNaonY"",""ORDER BOOKING REPORT 2025-26!C:CV""),{79,86,93},0))))"),6420708.050000001)</f>
        <v>6420708.05</v>
      </c>
      <c r="BS115" s="322">
        <f t="shared" si="15"/>
        <v>0.7699345038</v>
      </c>
      <c r="BT115" s="322">
        <f t="shared" si="16"/>
        <v>0.01634944059</v>
      </c>
      <c r="BU115" s="287">
        <f t="shared" si="17"/>
        <v>0</v>
      </c>
      <c r="BV115" s="320">
        <v>33568.0</v>
      </c>
      <c r="BW115" s="321" t="s">
        <v>526</v>
      </c>
      <c r="BX115" s="320">
        <v>1202.0</v>
      </c>
      <c r="BY115" s="287">
        <f t="shared" si="18"/>
        <v>0</v>
      </c>
      <c r="BZ115" s="10"/>
      <c r="CA115" s="10"/>
      <c r="CB115" s="10"/>
      <c r="CC115" s="10"/>
      <c r="CD115" s="10"/>
      <c r="CE115" s="10"/>
      <c r="CF115" s="10"/>
      <c r="CG115" s="318" t="str">
        <f t="shared" si="21"/>
        <v> </v>
      </c>
      <c r="CH115" s="318" t="str">
        <f t="shared" si="28"/>
        <v>Business Achieved 50%</v>
      </c>
      <c r="CI115" s="322">
        <f t="shared" si="22"/>
        <v>0.5113636364</v>
      </c>
      <c r="CJ115" s="323"/>
      <c r="CK115" s="323"/>
      <c r="CL115" s="323"/>
      <c r="CM115" s="324">
        <f t="shared" si="23"/>
        <v>220</v>
      </c>
      <c r="CN115" s="325"/>
      <c r="CO115" s="6"/>
      <c r="CP115" s="6"/>
      <c r="CQ115" s="327"/>
      <c r="CR115" s="6"/>
      <c r="CS115" s="6"/>
      <c r="CT115" s="6"/>
      <c r="CU115" s="6"/>
      <c r="CV115" s="6"/>
      <c r="CW115" s="327">
        <f t="shared" si="27"/>
        <v>0</v>
      </c>
      <c r="CX115" s="270"/>
      <c r="CY115" s="6"/>
      <c r="CZ115" s="6"/>
    </row>
    <row r="116" hidden="1">
      <c r="A116" s="307" t="s">
        <v>160</v>
      </c>
      <c r="B116" s="307" t="s">
        <v>491</v>
      </c>
      <c r="C116" s="307" t="s">
        <v>240</v>
      </c>
      <c r="D116" s="307" t="s">
        <v>504</v>
      </c>
      <c r="E116" s="307" t="s">
        <v>241</v>
      </c>
      <c r="F116" s="308">
        <v>45640.0</v>
      </c>
      <c r="G116" s="309">
        <v>0.0</v>
      </c>
      <c r="H116" s="309">
        <v>6500001.0</v>
      </c>
      <c r="I116" s="287">
        <v>3336168.0</v>
      </c>
      <c r="J116" s="287">
        <v>0.0</v>
      </c>
      <c r="K116" s="284">
        <v>23.0</v>
      </c>
      <c r="L116" s="284">
        <v>22.0</v>
      </c>
      <c r="M116" s="284">
        <v>0.0</v>
      </c>
      <c r="N116" s="284">
        <v>23.0</v>
      </c>
      <c r="O116" s="284">
        <v>1.0</v>
      </c>
      <c r="P116" s="287">
        <v>3336168.24</v>
      </c>
      <c r="Q116" s="287">
        <v>0.0</v>
      </c>
      <c r="R116" s="284">
        <v>16.0</v>
      </c>
      <c r="S116" s="284">
        <v>0.0</v>
      </c>
      <c r="T116" s="284">
        <v>16.0</v>
      </c>
      <c r="U116" s="284">
        <v>0.0</v>
      </c>
      <c r="V116" s="284">
        <v>21.0</v>
      </c>
      <c r="W116" s="284">
        <v>26.0</v>
      </c>
      <c r="X116" s="284">
        <v>97.0</v>
      </c>
      <c r="Y116" s="284">
        <v>1.0</v>
      </c>
      <c r="Z116" s="284">
        <v>3.0</v>
      </c>
      <c r="AA116" s="284">
        <v>0.0</v>
      </c>
      <c r="AB116" s="284">
        <v>0.0</v>
      </c>
      <c r="AC116" s="284">
        <v>0.0</v>
      </c>
      <c r="AD116" s="284">
        <v>0.0</v>
      </c>
      <c r="AE116" s="284">
        <v>174.0</v>
      </c>
      <c r="AF116" s="284">
        <v>203.0</v>
      </c>
      <c r="AG116" s="284">
        <v>63.0</v>
      </c>
      <c r="AH116" s="309">
        <f t="shared" si="2"/>
        <v>52955.04762</v>
      </c>
      <c r="AI116" s="309">
        <f t="shared" si="3"/>
        <v>3.222222222</v>
      </c>
      <c r="AJ116" s="345">
        <v>28850.0</v>
      </c>
      <c r="AK116" s="309">
        <f t="shared" si="33"/>
        <v>86550</v>
      </c>
      <c r="AL116" s="312"/>
      <c r="AM116" s="313">
        <f t="shared" si="5"/>
        <v>0.02594293813</v>
      </c>
      <c r="AN116" s="309">
        <f t="shared" si="6"/>
        <v>208510.5</v>
      </c>
      <c r="AO116" s="314">
        <f t="shared" si="7"/>
        <v>0.5132565364</v>
      </c>
      <c r="AP116" s="315">
        <v>0.0</v>
      </c>
      <c r="AQ116" s="284">
        <v>51.0</v>
      </c>
      <c r="AR116" s="284">
        <v>697.0</v>
      </c>
      <c r="AS116" s="284">
        <v>4009.02</v>
      </c>
      <c r="AT116" s="284">
        <v>0.0</v>
      </c>
      <c r="AU116" s="284">
        <v>182.0</v>
      </c>
      <c r="AV116" s="284">
        <v>16.0</v>
      </c>
      <c r="AW116" s="284">
        <v>6.0</v>
      </c>
      <c r="AX116" s="284">
        <v>1.0</v>
      </c>
      <c r="AY116" s="309">
        <v>3336738.0</v>
      </c>
      <c r="AZ116" s="316"/>
      <c r="BA116" s="307" t="str">
        <f t="shared" si="8"/>
        <v>Active</v>
      </c>
      <c r="BB116" s="307" t="str">
        <f t="shared" si="9"/>
        <v>Old</v>
      </c>
      <c r="BC116" s="307" t="str">
        <f t="shared" si="10"/>
        <v>50%-70%</v>
      </c>
      <c r="BD116" s="286">
        <f t="shared" si="35"/>
        <v>3</v>
      </c>
      <c r="BE116" s="328">
        <v>2166667.0</v>
      </c>
      <c r="BF116" s="284">
        <f t="shared" si="12"/>
        <v>0</v>
      </c>
      <c r="BG116" s="307" t="s">
        <v>488</v>
      </c>
      <c r="BH116" s="272">
        <f>IFERROR(__xludf.DUMMYFUNCTION("""COMPUTED_VALUE"""),1.997261582E7)</f>
        <v>19972615.82</v>
      </c>
      <c r="BI116" s="272">
        <f>IFERROR(__xludf.DUMMYFUNCTION("""COMPUTED_VALUE"""),1.814205358E7)</f>
        <v>18142053.58</v>
      </c>
      <c r="BJ116" s="273"/>
      <c r="BK116" s="274"/>
      <c r="BL116" s="319">
        <f t="shared" si="34"/>
        <v>0</v>
      </c>
      <c r="BM116" s="319">
        <f t="shared" si="14"/>
        <v>6500001</v>
      </c>
      <c r="BN116" s="274"/>
      <c r="BO116" s="311">
        <f>IFERROR(__xludf.DUMMYFUNCTION("IFERROR(ArrayFormula(SUM(VLOOKUP($C116,importrange(""1PTkkEa_ENkSqsGnpqoXy9kt0Fe1hCtlmU6kVFBNaonY"",""ORDER BOOKING REPORT 2025-26!C:CV""),{16,23,30},0))))"),3448292.1000000006)</f>
        <v>3448292.1</v>
      </c>
      <c r="BP116" s="311">
        <f>IFERROR(__xludf.DUMMYFUNCTION("IFERROR(ArrayFormula(SUM(VLOOKUP($C116,importrange(""1PTkkEa_ENkSqsGnpqoXy9kt0Fe1hCtlmU6kVFBNaonY"",""ORDER BOOKING REPORT 2025-26!C:CV""),{37,44,51},0))))"),3577695.17)</f>
        <v>3577695.17</v>
      </c>
      <c r="BQ116" s="311">
        <f>IFERROR(__xludf.DUMMYFUNCTION("IFERROR(ArrayFormula(SUM(VLOOKUP($C116,importrange(""1PTkkEa_ENkSqsGnpqoXy9kt0Fe1hCtlmU6kVFBNaonY"",""ORDER BOOKING REPORT 2025-26!C:CV""),{58,65,72},0))))"),4910016.81)</f>
        <v>4910016.81</v>
      </c>
      <c r="BR116" s="311">
        <f>IFERROR(__xludf.DUMMYFUNCTION("IFERROR(ArrayFormula(SUM(VLOOKUP($C116,importrange(""1PTkkEa_ENkSqsGnpqoXy9kt0Fe1hCtlmU6kVFBNaonY"",""ORDER BOOKING REPORT 2025-26!C:CV""),{79,86,93},0))))"),6206049.5)</f>
        <v>6206049.5</v>
      </c>
      <c r="BS116" s="322">
        <f t="shared" si="15"/>
        <v>0.5133442287</v>
      </c>
      <c r="BT116" s="322">
        <f t="shared" si="16"/>
        <v>0.02593850641</v>
      </c>
      <c r="BU116" s="287">
        <f t="shared" si="17"/>
        <v>0</v>
      </c>
      <c r="BV116" s="320">
        <v>28850.0</v>
      </c>
      <c r="BW116" s="321" t="s">
        <v>526</v>
      </c>
      <c r="BX116" s="320">
        <v>1204.0</v>
      </c>
      <c r="BY116" s="287">
        <f t="shared" si="18"/>
        <v>0</v>
      </c>
      <c r="BZ116" s="10"/>
      <c r="CA116" s="10"/>
      <c r="CB116" s="10"/>
      <c r="CC116" s="10"/>
      <c r="CD116" s="10"/>
      <c r="CE116" s="10"/>
      <c r="CF116" s="10"/>
      <c r="CG116" s="318" t="str">
        <f t="shared" si="21"/>
        <v>Below 60</v>
      </c>
      <c r="CH116" s="318" t="str">
        <f t="shared" si="28"/>
        <v>Business Achieved 50%</v>
      </c>
      <c r="CI116" s="322">
        <f t="shared" si="22"/>
        <v>0.6956521739</v>
      </c>
      <c r="CJ116" s="323"/>
      <c r="CK116" s="323"/>
      <c r="CL116" s="323"/>
      <c r="CM116" s="324">
        <f t="shared" si="23"/>
        <v>174</v>
      </c>
      <c r="CN116" s="325"/>
      <c r="CO116" s="6"/>
      <c r="CP116" s="6"/>
      <c r="CQ116" s="327"/>
      <c r="CR116" s="6"/>
      <c r="CS116" s="6"/>
      <c r="CT116" s="6"/>
      <c r="CU116" s="6"/>
      <c r="CV116" s="6"/>
      <c r="CW116" s="327">
        <f t="shared" si="27"/>
        <v>0</v>
      </c>
      <c r="CX116" s="270"/>
      <c r="CY116" s="6"/>
      <c r="CZ116" s="6"/>
    </row>
    <row r="117" hidden="1">
      <c r="A117" s="307" t="s">
        <v>23</v>
      </c>
      <c r="B117" s="307" t="s">
        <v>543</v>
      </c>
      <c r="C117" s="307" t="s">
        <v>32</v>
      </c>
      <c r="D117" s="307" t="s">
        <v>597</v>
      </c>
      <c r="E117" s="307" t="s">
        <v>33</v>
      </c>
      <c r="F117" s="329">
        <v>45658.0</v>
      </c>
      <c r="G117" s="309">
        <v>0.0</v>
      </c>
      <c r="H117" s="309">
        <v>4200000.0</v>
      </c>
      <c r="I117" s="287">
        <v>1633199.0</v>
      </c>
      <c r="J117" s="287">
        <v>491489.19</v>
      </c>
      <c r="K117" s="284">
        <v>86.0</v>
      </c>
      <c r="L117" s="284">
        <v>80.0</v>
      </c>
      <c r="M117" s="284">
        <v>12.0</v>
      </c>
      <c r="N117" s="284">
        <v>98.0</v>
      </c>
      <c r="O117" s="284">
        <v>18.0</v>
      </c>
      <c r="P117" s="287">
        <v>1319259.92</v>
      </c>
      <c r="Q117" s="287">
        <v>313939.0</v>
      </c>
      <c r="R117" s="284">
        <v>35.0</v>
      </c>
      <c r="S117" s="284">
        <v>12.0</v>
      </c>
      <c r="T117" s="284">
        <v>47.0</v>
      </c>
      <c r="U117" s="284">
        <v>1.0</v>
      </c>
      <c r="V117" s="284">
        <v>87.0</v>
      </c>
      <c r="W117" s="284">
        <v>112.0</v>
      </c>
      <c r="X117" s="284">
        <v>187.0</v>
      </c>
      <c r="Y117" s="284">
        <v>6.0</v>
      </c>
      <c r="Z117" s="284">
        <v>32.0</v>
      </c>
      <c r="AA117" s="284">
        <v>2.0</v>
      </c>
      <c r="AB117" s="284">
        <v>3.0</v>
      </c>
      <c r="AC117" s="284">
        <v>38.0</v>
      </c>
      <c r="AD117" s="284">
        <v>77.0</v>
      </c>
      <c r="AE117" s="284">
        <v>192.0</v>
      </c>
      <c r="AF117" s="284">
        <v>416.0</v>
      </c>
      <c r="AG117" s="284">
        <v>72.0</v>
      </c>
      <c r="AH117" s="309">
        <f t="shared" si="2"/>
        <v>29509.55819</v>
      </c>
      <c r="AI117" s="309">
        <f t="shared" si="3"/>
        <v>5.777777778</v>
      </c>
      <c r="AJ117" s="311">
        <v>31455.0</v>
      </c>
      <c r="AK117" s="309">
        <f t="shared" si="33"/>
        <v>94365</v>
      </c>
      <c r="AL117" s="286"/>
      <c r="AM117" s="313">
        <f t="shared" si="5"/>
        <v>0.04441357581</v>
      </c>
      <c r="AN117" s="309">
        <f t="shared" si="6"/>
        <v>34748.91489</v>
      </c>
      <c r="AO117" s="314">
        <f t="shared" si="7"/>
        <v>0.5058781405</v>
      </c>
      <c r="AP117" s="315">
        <v>0.0</v>
      </c>
      <c r="AQ117" s="284">
        <v>68.0</v>
      </c>
      <c r="AR117" s="284">
        <v>727.0</v>
      </c>
      <c r="AS117" s="284">
        <v>8079.81</v>
      </c>
      <c r="AT117" s="284">
        <v>12.0</v>
      </c>
      <c r="AU117" s="284">
        <v>101.0</v>
      </c>
      <c r="AV117" s="284">
        <v>47.0</v>
      </c>
      <c r="AW117" s="284">
        <v>36.0</v>
      </c>
      <c r="AX117" s="284">
        <v>15.0</v>
      </c>
      <c r="AY117" s="309">
        <v>2329983.0</v>
      </c>
      <c r="AZ117" s="316"/>
      <c r="BA117" s="307" t="str">
        <f t="shared" si="8"/>
        <v>Active</v>
      </c>
      <c r="BB117" s="307" t="str">
        <f t="shared" si="9"/>
        <v>Old</v>
      </c>
      <c r="BC117" s="307" t="str">
        <f t="shared" si="10"/>
        <v>50%-70%</v>
      </c>
      <c r="BD117" s="286">
        <f t="shared" si="35"/>
        <v>3</v>
      </c>
      <c r="BE117" s="328">
        <v>1400000.0</v>
      </c>
      <c r="BF117" s="284">
        <f t="shared" si="12"/>
        <v>0</v>
      </c>
      <c r="BG117" s="307" t="s">
        <v>488</v>
      </c>
      <c r="BH117" s="272">
        <f>IFERROR(__xludf.DUMMYFUNCTION("""COMPUTED_VALUE"""),7122755.0)</f>
        <v>7122755</v>
      </c>
      <c r="BI117" s="272">
        <f>IFERROR(__xludf.DUMMYFUNCTION("""COMPUTED_VALUE"""),7218770.52)</f>
        <v>7218770.52</v>
      </c>
      <c r="BJ117" s="273"/>
      <c r="BK117" s="274"/>
      <c r="BL117" s="319">
        <f t="shared" si="34"/>
        <v>0</v>
      </c>
      <c r="BM117" s="319">
        <f t="shared" si="14"/>
        <v>4200000</v>
      </c>
      <c r="BN117" s="274"/>
      <c r="BO117" s="311">
        <f>IFERROR(__xludf.DUMMYFUNCTION("IFERROR(ArrayFormula(SUM(VLOOKUP($C117,importrange(""1PTkkEa_ENkSqsGnpqoXy9kt0Fe1hCtlmU6kVFBNaonY"",""ORDER BOOKING REPORT 2025-26!C:CV""),{16,23,30},0))))"),579076.74)</f>
        <v>579076.74</v>
      </c>
      <c r="BP117" s="311">
        <f>IFERROR(__xludf.DUMMYFUNCTION("IFERROR(ArrayFormula(SUM(VLOOKUP($C117,importrange(""1PTkkEa_ENkSqsGnpqoXy9kt0Fe1hCtlmU6kVFBNaonY"",""ORDER BOOKING REPORT 2025-26!C:CV""),{37,44,51},0))))"),2303434.5300000003)</f>
        <v>2303434.53</v>
      </c>
      <c r="BQ117" s="311">
        <f>IFERROR(__xludf.DUMMYFUNCTION("IFERROR(ArrayFormula(SUM(VLOOKUP($C117,importrange(""1PTkkEa_ENkSqsGnpqoXy9kt0Fe1hCtlmU6kVFBNaonY"",""ORDER BOOKING REPORT 2025-26!C:CV""),{58,65,72},0))))"),2005506.8599999999)</f>
        <v>2005506.86</v>
      </c>
      <c r="BR117" s="311">
        <f>IFERROR(__xludf.DUMMYFUNCTION("IFERROR(ArrayFormula(SUM(VLOOKUP($C117,importrange(""1PTkkEa_ENkSqsGnpqoXy9kt0Fe1hCtlmU6kVFBNaonY"",""ORDER BOOKING REPORT 2025-26!C:CV""),{79,86,93},0))))"),2330752.3899999997)</f>
        <v>2330752.39</v>
      </c>
      <c r="BS117" s="322">
        <f t="shared" si="15"/>
        <v>0.5547578571</v>
      </c>
      <c r="BT117" s="322">
        <f t="shared" si="16"/>
        <v>0.0405002955</v>
      </c>
      <c r="BU117" s="287">
        <f t="shared" si="17"/>
        <v>0</v>
      </c>
      <c r="BV117" s="320">
        <v>31455.0</v>
      </c>
      <c r="BW117" s="321" t="s">
        <v>526</v>
      </c>
      <c r="BX117" s="320">
        <v>1211.0</v>
      </c>
      <c r="BY117" s="287">
        <f t="shared" si="18"/>
        <v>0</v>
      </c>
      <c r="BZ117" s="10"/>
      <c r="CA117" s="10"/>
      <c r="CB117" s="10"/>
      <c r="CC117" s="10"/>
      <c r="CD117" s="10"/>
      <c r="CE117" s="10"/>
      <c r="CF117" s="10"/>
      <c r="CG117" s="318" t="str">
        <f t="shared" si="21"/>
        <v> </v>
      </c>
      <c r="CH117" s="318" t="str">
        <f t="shared" si="28"/>
        <v>Not 50%</v>
      </c>
      <c r="CI117" s="322">
        <f t="shared" si="22"/>
        <v>0.4795918367</v>
      </c>
      <c r="CJ117" s="323"/>
      <c r="CK117" s="323"/>
      <c r="CL117" s="323"/>
      <c r="CM117" s="324">
        <f t="shared" si="23"/>
        <v>192</v>
      </c>
      <c r="CN117" s="337"/>
      <c r="CO117" s="152"/>
      <c r="CP117" s="152"/>
      <c r="CQ117" s="327"/>
      <c r="CR117" s="152"/>
      <c r="CS117" s="152"/>
      <c r="CT117" s="152"/>
      <c r="CU117" s="152"/>
      <c r="CV117" s="152"/>
      <c r="CW117" s="327">
        <f t="shared" si="27"/>
        <v>0</v>
      </c>
      <c r="CX117" s="270"/>
      <c r="CY117" s="152"/>
      <c r="CZ117" s="152"/>
    </row>
    <row r="118" hidden="1">
      <c r="A118" s="307" t="s">
        <v>103</v>
      </c>
      <c r="B118" s="307" t="s">
        <v>519</v>
      </c>
      <c r="C118" s="307" t="s">
        <v>144</v>
      </c>
      <c r="D118" s="307" t="s">
        <v>520</v>
      </c>
      <c r="E118" s="307" t="s">
        <v>112</v>
      </c>
      <c r="F118" s="329">
        <v>45658.0</v>
      </c>
      <c r="G118" s="309">
        <v>0.0</v>
      </c>
      <c r="H118" s="309">
        <v>3600000.0</v>
      </c>
      <c r="I118" s="287">
        <v>1321966.0</v>
      </c>
      <c r="J118" s="287">
        <v>0.0</v>
      </c>
      <c r="K118" s="284">
        <v>58.0</v>
      </c>
      <c r="L118" s="284">
        <v>51.0</v>
      </c>
      <c r="M118" s="284">
        <v>1.0</v>
      </c>
      <c r="N118" s="284">
        <v>59.0</v>
      </c>
      <c r="O118" s="284">
        <v>8.0</v>
      </c>
      <c r="P118" s="287">
        <v>1242574.77</v>
      </c>
      <c r="Q118" s="287">
        <v>79391.69</v>
      </c>
      <c r="R118" s="284">
        <v>18.0</v>
      </c>
      <c r="S118" s="284">
        <v>1.0</v>
      </c>
      <c r="T118" s="284">
        <v>19.0</v>
      </c>
      <c r="U118" s="284">
        <v>0.0</v>
      </c>
      <c r="V118" s="284">
        <v>63.0</v>
      </c>
      <c r="W118" s="284">
        <v>110.0</v>
      </c>
      <c r="X118" s="284">
        <v>268.0</v>
      </c>
      <c r="Y118" s="284">
        <v>1.0</v>
      </c>
      <c r="Z118" s="284">
        <v>7.0</v>
      </c>
      <c r="AA118" s="284">
        <v>0.0</v>
      </c>
      <c r="AB118" s="284">
        <v>0.0</v>
      </c>
      <c r="AC118" s="284">
        <v>0.0</v>
      </c>
      <c r="AD118" s="284">
        <v>0.0</v>
      </c>
      <c r="AE118" s="284">
        <v>217.0</v>
      </c>
      <c r="AF118" s="284">
        <v>334.0</v>
      </c>
      <c r="AG118" s="284">
        <v>72.0</v>
      </c>
      <c r="AH118" s="309">
        <f t="shared" si="2"/>
        <v>18360.63889</v>
      </c>
      <c r="AI118" s="309">
        <f t="shared" si="3"/>
        <v>4.638888889</v>
      </c>
      <c r="AJ118" s="311">
        <v>36188.0</v>
      </c>
      <c r="AK118" s="309">
        <f t="shared" si="33"/>
        <v>108564</v>
      </c>
      <c r="AL118" s="286"/>
      <c r="AM118" s="313">
        <f t="shared" si="5"/>
        <v>0.08212314084</v>
      </c>
      <c r="AN118" s="309">
        <f t="shared" si="6"/>
        <v>69577.15789</v>
      </c>
      <c r="AO118" s="314">
        <f t="shared" si="7"/>
        <v>0.3672127778</v>
      </c>
      <c r="AP118" s="315">
        <v>0.0</v>
      </c>
      <c r="AQ118" s="284">
        <v>43.0</v>
      </c>
      <c r="AR118" s="284">
        <v>512.0</v>
      </c>
      <c r="AS118" s="284">
        <v>5434.88</v>
      </c>
      <c r="AT118" s="284">
        <v>1.0</v>
      </c>
      <c r="AU118" s="284">
        <v>107.0</v>
      </c>
      <c r="AV118" s="284">
        <v>19.0</v>
      </c>
      <c r="AW118" s="284">
        <v>34.0</v>
      </c>
      <c r="AX118" s="284">
        <v>6.0</v>
      </c>
      <c r="AY118" s="309">
        <v>549105.0</v>
      </c>
      <c r="AZ118" s="316"/>
      <c r="BA118" s="307" t="str">
        <f t="shared" si="8"/>
        <v>Active</v>
      </c>
      <c r="BB118" s="307" t="str">
        <f t="shared" si="9"/>
        <v>Old</v>
      </c>
      <c r="BC118" s="307" t="str">
        <f t="shared" si="10"/>
        <v>Below 50%</v>
      </c>
      <c r="BD118" s="286">
        <f t="shared" si="35"/>
        <v>3</v>
      </c>
      <c r="BE118" s="328">
        <v>1200000.0</v>
      </c>
      <c r="BF118" s="284">
        <f t="shared" si="12"/>
        <v>0</v>
      </c>
      <c r="BG118" s="307" t="s">
        <v>488</v>
      </c>
      <c r="BH118" s="272">
        <f>IFERROR(__xludf.DUMMYFUNCTION("""COMPUTED_VALUE"""),5232734.0)</f>
        <v>5232734</v>
      </c>
      <c r="BI118" s="272">
        <f>IFERROR(__xludf.DUMMYFUNCTION("""COMPUTED_VALUE"""),6786619.64)</f>
        <v>6786619.64</v>
      </c>
      <c r="BJ118" s="273"/>
      <c r="BK118" s="274"/>
      <c r="BL118" s="319">
        <f t="shared" si="34"/>
        <v>0</v>
      </c>
      <c r="BM118" s="319">
        <f t="shared" si="14"/>
        <v>3600000</v>
      </c>
      <c r="BN118" s="274"/>
      <c r="BO118" s="311">
        <f>IFERROR(__xludf.DUMMYFUNCTION("IFERROR(ArrayFormula(SUM(VLOOKUP($C118,importrange(""1PTkkEa_ENkSqsGnpqoXy9kt0Fe1hCtlmU6kVFBNaonY"",""ORDER BOOKING REPORT 2025-26!C:CV""),{16,23,30},0))))"),1388846.46)</f>
        <v>1388846.46</v>
      </c>
      <c r="BP118" s="311">
        <f>IFERROR(__xludf.DUMMYFUNCTION("IFERROR(ArrayFormula(SUM(VLOOKUP($C118,importrange(""1PTkkEa_ENkSqsGnpqoXy9kt0Fe1hCtlmU6kVFBNaonY"",""ORDER BOOKING REPORT 2025-26!C:CV""),{37,44,51},0))))"),1249646.5)</f>
        <v>1249646.5</v>
      </c>
      <c r="BQ118" s="311">
        <f>IFERROR(__xludf.DUMMYFUNCTION("IFERROR(ArrayFormula(SUM(VLOOKUP($C118,importrange(""1PTkkEa_ENkSqsGnpqoXy9kt0Fe1hCtlmU6kVFBNaonY"",""ORDER BOOKING REPORT 2025-26!C:CV""),{58,65,72},0))))"),1684117.72)</f>
        <v>1684117.72</v>
      </c>
      <c r="BR118" s="311">
        <f>IFERROR(__xludf.DUMMYFUNCTION("IFERROR(ArrayFormula(SUM(VLOOKUP($C118,importrange(""1PTkkEa_ENkSqsGnpqoXy9kt0Fe1hCtlmU6kVFBNaonY"",""ORDER BOOKING REPORT 2025-26!C:CV""),{79,86,93},0))))"),2464008.96)</f>
        <v>2464008.96</v>
      </c>
      <c r="BS118" s="322">
        <f t="shared" si="15"/>
        <v>0.1525291667</v>
      </c>
      <c r="BT118" s="322">
        <f t="shared" si="16"/>
        <v>0.1977108203</v>
      </c>
      <c r="BU118" s="287">
        <f t="shared" si="17"/>
        <v>0</v>
      </c>
      <c r="BV118" s="320">
        <v>36188.0</v>
      </c>
      <c r="BW118" s="321" t="s">
        <v>502</v>
      </c>
      <c r="BX118" s="320">
        <v>1212.0</v>
      </c>
      <c r="BY118" s="287">
        <f t="shared" si="18"/>
        <v>0</v>
      </c>
      <c r="BZ118" s="10"/>
      <c r="CA118" s="10"/>
      <c r="CB118" s="10"/>
      <c r="CC118" s="10"/>
      <c r="CD118" s="10"/>
      <c r="CE118" s="10"/>
      <c r="CF118" s="10"/>
      <c r="CG118" s="318" t="str">
        <f t="shared" si="21"/>
        <v>Below 60</v>
      </c>
      <c r="CH118" s="318" t="str">
        <f t="shared" si="28"/>
        <v>Not 50%</v>
      </c>
      <c r="CI118" s="322">
        <f t="shared" si="22"/>
        <v>0.3220338983</v>
      </c>
      <c r="CJ118" s="323"/>
      <c r="CK118" s="323"/>
      <c r="CL118" s="323"/>
      <c r="CM118" s="324">
        <f t="shared" si="23"/>
        <v>217</v>
      </c>
      <c r="CN118" s="337"/>
      <c r="CO118" s="152"/>
      <c r="CP118" s="152"/>
      <c r="CQ118" s="327"/>
      <c r="CR118" s="152"/>
      <c r="CS118" s="152"/>
      <c r="CT118" s="152"/>
      <c r="CU118" s="152"/>
      <c r="CV118" s="152"/>
      <c r="CW118" s="327">
        <f t="shared" si="27"/>
        <v>0</v>
      </c>
      <c r="CX118" s="270"/>
      <c r="CY118" s="152"/>
      <c r="CZ118" s="152"/>
    </row>
    <row r="119" hidden="1">
      <c r="A119" s="307" t="s">
        <v>43</v>
      </c>
      <c r="B119" s="307" t="s">
        <v>512</v>
      </c>
      <c r="C119" s="307" t="s">
        <v>340</v>
      </c>
      <c r="D119" s="307" t="s">
        <v>598</v>
      </c>
      <c r="E119" s="307" t="s">
        <v>341</v>
      </c>
      <c r="F119" s="329">
        <v>45663.0</v>
      </c>
      <c r="G119" s="309">
        <v>0.0</v>
      </c>
      <c r="H119" s="309" t="s">
        <v>485</v>
      </c>
      <c r="I119" s="287">
        <v>0.0</v>
      </c>
      <c r="J119" s="287">
        <v>0.0</v>
      </c>
      <c r="K119" s="284">
        <v>44.0</v>
      </c>
      <c r="L119" s="284">
        <v>29.0</v>
      </c>
      <c r="M119" s="284">
        <v>0.0</v>
      </c>
      <c r="N119" s="284">
        <v>44.0</v>
      </c>
      <c r="O119" s="284">
        <v>15.0</v>
      </c>
      <c r="P119" s="287">
        <v>0.0</v>
      </c>
      <c r="Q119" s="287">
        <v>0.0</v>
      </c>
      <c r="R119" s="284">
        <v>0.0</v>
      </c>
      <c r="S119" s="284">
        <v>0.0</v>
      </c>
      <c r="T119" s="284">
        <v>0.0</v>
      </c>
      <c r="U119" s="284">
        <v>0.0</v>
      </c>
      <c r="V119" s="284">
        <v>56.0</v>
      </c>
      <c r="W119" s="284">
        <v>71.0</v>
      </c>
      <c r="X119" s="284">
        <v>101.0</v>
      </c>
      <c r="Y119" s="284">
        <v>3.0</v>
      </c>
      <c r="Z119" s="284">
        <v>45.0</v>
      </c>
      <c r="AA119" s="284">
        <v>0.0</v>
      </c>
      <c r="AB119" s="284">
        <v>0.0</v>
      </c>
      <c r="AC119" s="284">
        <v>61.0</v>
      </c>
      <c r="AD119" s="284">
        <v>133.0</v>
      </c>
      <c r="AE119" s="284">
        <v>61.0</v>
      </c>
      <c r="AF119" s="284">
        <v>310.0</v>
      </c>
      <c r="AG119" s="284">
        <v>74.0</v>
      </c>
      <c r="AH119" s="309">
        <f t="shared" si="2"/>
        <v>0</v>
      </c>
      <c r="AI119" s="309">
        <f t="shared" si="3"/>
        <v>4.189189189</v>
      </c>
      <c r="AJ119" s="311">
        <v>66667.0</v>
      </c>
      <c r="AK119" s="309">
        <f t="shared" si="33"/>
        <v>200001</v>
      </c>
      <c r="AL119" s="286"/>
      <c r="AM119" s="334" t="str">
        <f t="shared" si="5"/>
        <v/>
      </c>
      <c r="AN119" s="231" t="str">
        <f t="shared" si="6"/>
        <v/>
      </c>
      <c r="AO119" s="314" t="str">
        <f t="shared" si="7"/>
        <v/>
      </c>
      <c r="AP119" s="315">
        <v>0.0</v>
      </c>
      <c r="AQ119" s="284">
        <v>0.0</v>
      </c>
      <c r="AR119" s="284">
        <v>800.0</v>
      </c>
      <c r="AS119" s="284">
        <v>8268.35</v>
      </c>
      <c r="AT119" s="284">
        <v>0.0</v>
      </c>
      <c r="AU119" s="284">
        <v>285.0</v>
      </c>
      <c r="AV119" s="284">
        <v>0.0</v>
      </c>
      <c r="AW119" s="284">
        <v>29.0</v>
      </c>
      <c r="AX119" s="284">
        <v>15.0</v>
      </c>
      <c r="AY119" s="231"/>
      <c r="AZ119" s="316"/>
      <c r="BA119" s="307" t="str">
        <f t="shared" si="8"/>
        <v>Active</v>
      </c>
      <c r="BB119" s="307" t="str">
        <f t="shared" si="9"/>
        <v>Old</v>
      </c>
      <c r="BC119" s="307" t="str">
        <f t="shared" si="10"/>
        <v>Below 50%</v>
      </c>
      <c r="BD119" s="286">
        <f t="shared" si="35"/>
        <v>3</v>
      </c>
      <c r="BE119" s="335"/>
      <c r="BF119" s="284">
        <f t="shared" si="12"/>
        <v>0</v>
      </c>
      <c r="BG119" s="318" t="s">
        <v>485</v>
      </c>
      <c r="BH119" s="271"/>
      <c r="BI119" s="271"/>
      <c r="BJ119" s="273"/>
      <c r="BK119" s="274"/>
      <c r="BL119" s="319">
        <f t="shared" si="34"/>
        <v>0</v>
      </c>
      <c r="BM119" s="319" t="str">
        <f t="shared" si="14"/>
        <v/>
      </c>
      <c r="BN119" s="274"/>
      <c r="BO119" s="311" t="str">
        <f>IFERROR(__xludf.DUMMYFUNCTION("IFERROR(ArrayFormula(SUM(VLOOKUP($C119,importrange(""1PTkkEa_ENkSqsGnpqoXy9kt0Fe1hCtlmU6kVFBNaonY"",""ORDER BOOKING REPORT 2025-26!C:CV""),{16,23,30},0))))"),"")</f>
        <v/>
      </c>
      <c r="BP119" s="311" t="str">
        <f>IFERROR(__xludf.DUMMYFUNCTION("IFERROR(ArrayFormula(SUM(VLOOKUP($C119,importrange(""1PTkkEa_ENkSqsGnpqoXy9kt0Fe1hCtlmU6kVFBNaonY"",""ORDER BOOKING REPORT 2025-26!C:CV""),{37,44,51},0))))"),"")</f>
        <v/>
      </c>
      <c r="BQ119" s="311" t="str">
        <f>IFERROR(__xludf.DUMMYFUNCTION("IFERROR(ArrayFormula(SUM(VLOOKUP($C119,importrange(""1PTkkEa_ENkSqsGnpqoXy9kt0Fe1hCtlmU6kVFBNaonY"",""ORDER BOOKING REPORT 2025-26!C:CV""),{58,65,72},0))))"),"")</f>
        <v/>
      </c>
      <c r="BR119" s="311" t="str">
        <f>IFERROR(__xludf.DUMMYFUNCTION("IFERROR(ArrayFormula(SUM(VLOOKUP($C119,importrange(""1PTkkEa_ENkSqsGnpqoXy9kt0Fe1hCtlmU6kVFBNaonY"",""ORDER BOOKING REPORT 2025-26!C:CV""),{79,86,93},0))))"),"")</f>
        <v/>
      </c>
      <c r="BS119" s="152" t="str">
        <f t="shared" si="15"/>
        <v/>
      </c>
      <c r="BT119" s="152" t="str">
        <f t="shared" si="16"/>
        <v/>
      </c>
      <c r="BU119" s="287">
        <f t="shared" si="17"/>
        <v>0</v>
      </c>
      <c r="BV119" s="320">
        <v>66667.0</v>
      </c>
      <c r="BW119" s="321" t="s">
        <v>494</v>
      </c>
      <c r="BX119" s="320">
        <v>1216.0</v>
      </c>
      <c r="BY119" s="287">
        <f t="shared" si="18"/>
        <v>0</v>
      </c>
      <c r="BZ119" s="10"/>
      <c r="CA119" s="10"/>
      <c r="CB119" s="10"/>
      <c r="CC119" s="10"/>
      <c r="CD119" s="10"/>
      <c r="CE119" s="10"/>
      <c r="CF119" s="10"/>
      <c r="CG119" s="318" t="str">
        <f t="shared" si="21"/>
        <v>Below 60</v>
      </c>
      <c r="CH119" s="318" t="str">
        <f t="shared" si="28"/>
        <v>Not 50%</v>
      </c>
      <c r="CI119" s="322">
        <f t="shared" si="22"/>
        <v>0</v>
      </c>
      <c r="CJ119" s="336"/>
      <c r="CK119" s="336"/>
      <c r="CL119" s="336"/>
      <c r="CM119" s="324">
        <f t="shared" si="23"/>
        <v>61</v>
      </c>
      <c r="CN119" s="337"/>
      <c r="CO119" s="152"/>
      <c r="CP119" s="152"/>
      <c r="CQ119" s="327"/>
      <c r="CR119" s="152"/>
      <c r="CS119" s="152"/>
      <c r="CT119" s="152"/>
      <c r="CU119" s="152"/>
      <c r="CV119" s="152"/>
      <c r="CW119" s="327">
        <f t="shared" si="27"/>
        <v>0</v>
      </c>
      <c r="CX119" s="270"/>
      <c r="CY119" s="152"/>
      <c r="CZ119" s="152"/>
    </row>
    <row r="120" hidden="1">
      <c r="A120" s="307" t="s">
        <v>43</v>
      </c>
      <c r="B120" s="307" t="s">
        <v>512</v>
      </c>
      <c r="C120" s="307" t="s">
        <v>338</v>
      </c>
      <c r="D120" s="307" t="s">
        <v>598</v>
      </c>
      <c r="E120" s="307" t="s">
        <v>339</v>
      </c>
      <c r="F120" s="329">
        <v>45663.0</v>
      </c>
      <c r="G120" s="309">
        <v>0.0</v>
      </c>
      <c r="H120" s="309" t="s">
        <v>485</v>
      </c>
      <c r="I120" s="287">
        <v>112904.0</v>
      </c>
      <c r="J120" s="287">
        <v>0.0</v>
      </c>
      <c r="K120" s="284">
        <v>9.0</v>
      </c>
      <c r="L120" s="284">
        <v>6.0</v>
      </c>
      <c r="M120" s="284">
        <v>0.0</v>
      </c>
      <c r="N120" s="284">
        <v>9.0</v>
      </c>
      <c r="O120" s="284">
        <v>3.0</v>
      </c>
      <c r="P120" s="287">
        <v>112904.3</v>
      </c>
      <c r="Q120" s="287">
        <v>0.0</v>
      </c>
      <c r="R120" s="284">
        <v>2.0</v>
      </c>
      <c r="S120" s="284">
        <v>0.0</v>
      </c>
      <c r="T120" s="284">
        <v>2.0</v>
      </c>
      <c r="U120" s="284">
        <v>0.0</v>
      </c>
      <c r="V120" s="284">
        <v>35.0</v>
      </c>
      <c r="W120" s="284">
        <v>50.0</v>
      </c>
      <c r="X120" s="284">
        <v>81.0</v>
      </c>
      <c r="Y120" s="284">
        <v>5.0</v>
      </c>
      <c r="Z120" s="284">
        <v>58.0</v>
      </c>
      <c r="AA120" s="284">
        <v>0.0</v>
      </c>
      <c r="AB120" s="284">
        <v>0.0</v>
      </c>
      <c r="AC120" s="284">
        <v>49.0</v>
      </c>
      <c r="AD120" s="284">
        <v>139.0</v>
      </c>
      <c r="AE120" s="284">
        <v>27.0</v>
      </c>
      <c r="AF120" s="284">
        <v>274.0</v>
      </c>
      <c r="AG120" s="284">
        <v>75.0</v>
      </c>
      <c r="AH120" s="309">
        <f t="shared" si="2"/>
        <v>1505.386667</v>
      </c>
      <c r="AI120" s="309">
        <f t="shared" si="3"/>
        <v>3.653333333</v>
      </c>
      <c r="AJ120" s="311">
        <v>62500.0</v>
      </c>
      <c r="AK120" s="309">
        <f t="shared" si="33"/>
        <v>187500</v>
      </c>
      <c r="AL120" s="286"/>
      <c r="AM120" s="313">
        <f t="shared" si="5"/>
        <v>1.660702898</v>
      </c>
      <c r="AN120" s="309">
        <f t="shared" si="6"/>
        <v>56452</v>
      </c>
      <c r="AO120" s="314" t="str">
        <f t="shared" si="7"/>
        <v/>
      </c>
      <c r="AP120" s="315">
        <v>0.0</v>
      </c>
      <c r="AQ120" s="284">
        <v>4.0</v>
      </c>
      <c r="AR120" s="284">
        <v>761.0</v>
      </c>
      <c r="AS120" s="284">
        <v>6086.74</v>
      </c>
      <c r="AT120" s="284">
        <v>0.0</v>
      </c>
      <c r="AU120" s="284">
        <v>1014.0</v>
      </c>
      <c r="AV120" s="284">
        <v>2.0</v>
      </c>
      <c r="AW120" s="284">
        <v>4.0</v>
      </c>
      <c r="AX120" s="284">
        <v>3.0</v>
      </c>
      <c r="AY120" s="231"/>
      <c r="AZ120" s="316"/>
      <c r="BA120" s="307" t="str">
        <f t="shared" si="8"/>
        <v>Active</v>
      </c>
      <c r="BB120" s="307" t="str">
        <f t="shared" si="9"/>
        <v>Old</v>
      </c>
      <c r="BC120" s="307" t="str">
        <f t="shared" si="10"/>
        <v>Below 50%</v>
      </c>
      <c r="BD120" s="286">
        <f t="shared" si="35"/>
        <v>3</v>
      </c>
      <c r="BE120" s="335"/>
      <c r="BF120" s="284">
        <f t="shared" si="12"/>
        <v>0</v>
      </c>
      <c r="BG120" s="318" t="s">
        <v>485</v>
      </c>
      <c r="BH120" s="271"/>
      <c r="BI120" s="271"/>
      <c r="BJ120" s="273"/>
      <c r="BK120" s="274"/>
      <c r="BL120" s="319">
        <f t="shared" si="34"/>
        <v>0</v>
      </c>
      <c r="BM120" s="319" t="str">
        <f t="shared" si="14"/>
        <v/>
      </c>
      <c r="BN120" s="274"/>
      <c r="BO120" s="311" t="str">
        <f>IFERROR(__xludf.DUMMYFUNCTION("IFERROR(ArrayFormula(SUM(VLOOKUP($C120,importrange(""1PTkkEa_ENkSqsGnpqoXy9kt0Fe1hCtlmU6kVFBNaonY"",""ORDER BOOKING REPORT 2025-26!C:CV""),{16,23,30},0))))"),"")</f>
        <v/>
      </c>
      <c r="BP120" s="311" t="str">
        <f>IFERROR(__xludf.DUMMYFUNCTION("IFERROR(ArrayFormula(SUM(VLOOKUP($C120,importrange(""1PTkkEa_ENkSqsGnpqoXy9kt0Fe1hCtlmU6kVFBNaonY"",""ORDER BOOKING REPORT 2025-26!C:CV""),{37,44,51},0))))"),"")</f>
        <v/>
      </c>
      <c r="BQ120" s="311" t="str">
        <f>IFERROR(__xludf.DUMMYFUNCTION("IFERROR(ArrayFormula(SUM(VLOOKUP($C120,importrange(""1PTkkEa_ENkSqsGnpqoXy9kt0Fe1hCtlmU6kVFBNaonY"",""ORDER BOOKING REPORT 2025-26!C:CV""),{58,65,72},0))))"),"")</f>
        <v/>
      </c>
      <c r="BR120" s="311" t="str">
        <f>IFERROR(__xludf.DUMMYFUNCTION("IFERROR(ArrayFormula(SUM(VLOOKUP($C120,importrange(""1PTkkEa_ENkSqsGnpqoXy9kt0Fe1hCtlmU6kVFBNaonY"",""ORDER BOOKING REPORT 2025-26!C:CV""),{79,86,93},0))))"),"")</f>
        <v/>
      </c>
      <c r="BS120" s="152" t="str">
        <f t="shared" si="15"/>
        <v/>
      </c>
      <c r="BT120" s="152" t="str">
        <f t="shared" si="16"/>
        <v/>
      </c>
      <c r="BU120" s="287">
        <f t="shared" si="17"/>
        <v>0</v>
      </c>
      <c r="BV120" s="320">
        <v>62500.0</v>
      </c>
      <c r="BW120" s="321" t="s">
        <v>494</v>
      </c>
      <c r="BX120" s="320">
        <v>1215.0</v>
      </c>
      <c r="BY120" s="287">
        <f t="shared" si="18"/>
        <v>0</v>
      </c>
      <c r="BZ120" s="10"/>
      <c r="CA120" s="10"/>
      <c r="CB120" s="10"/>
      <c r="CC120" s="10"/>
      <c r="CD120" s="10"/>
      <c r="CE120" s="10"/>
      <c r="CF120" s="10"/>
      <c r="CG120" s="318" t="str">
        <f t="shared" si="21"/>
        <v>Below 60</v>
      </c>
      <c r="CH120" s="318" t="str">
        <f t="shared" si="28"/>
        <v>Not 50%</v>
      </c>
      <c r="CI120" s="322">
        <f t="shared" si="22"/>
        <v>0.2222222222</v>
      </c>
      <c r="CJ120" s="336"/>
      <c r="CK120" s="336"/>
      <c r="CL120" s="336"/>
      <c r="CM120" s="324">
        <f t="shared" si="23"/>
        <v>27</v>
      </c>
      <c r="CN120" s="337"/>
      <c r="CO120" s="152"/>
      <c r="CP120" s="152"/>
      <c r="CQ120" s="327"/>
      <c r="CR120" s="152"/>
      <c r="CS120" s="152"/>
      <c r="CT120" s="152"/>
      <c r="CU120" s="152"/>
      <c r="CV120" s="152"/>
      <c r="CW120" s="327">
        <f t="shared" si="27"/>
        <v>0</v>
      </c>
      <c r="CX120" s="270"/>
      <c r="CY120" s="152"/>
      <c r="CZ120" s="152"/>
    </row>
    <row r="121" hidden="1">
      <c r="A121" s="307" t="s">
        <v>160</v>
      </c>
      <c r="B121" s="307" t="s">
        <v>483</v>
      </c>
      <c r="C121" s="307" t="s">
        <v>242</v>
      </c>
      <c r="D121" s="307" t="s">
        <v>484</v>
      </c>
      <c r="E121" s="307" t="s">
        <v>243</v>
      </c>
      <c r="F121" s="308">
        <v>45670.0</v>
      </c>
      <c r="G121" s="309">
        <v>0.0</v>
      </c>
      <c r="H121" s="309">
        <v>7500000.0</v>
      </c>
      <c r="I121" s="287">
        <v>2296146.0</v>
      </c>
      <c r="J121" s="287">
        <v>0.0</v>
      </c>
      <c r="K121" s="284">
        <v>37.0</v>
      </c>
      <c r="L121" s="284">
        <v>37.0</v>
      </c>
      <c r="M121" s="284">
        <v>2.0</v>
      </c>
      <c r="N121" s="284">
        <v>39.0</v>
      </c>
      <c r="O121" s="284">
        <v>2.0</v>
      </c>
      <c r="P121" s="287">
        <v>2065657.34</v>
      </c>
      <c r="Q121" s="287">
        <v>230488.43</v>
      </c>
      <c r="R121" s="284">
        <v>21.0</v>
      </c>
      <c r="S121" s="284">
        <v>2.0</v>
      </c>
      <c r="T121" s="284">
        <v>23.0</v>
      </c>
      <c r="U121" s="284">
        <v>0.0</v>
      </c>
      <c r="V121" s="284">
        <v>11.0</v>
      </c>
      <c r="W121" s="284">
        <v>13.0</v>
      </c>
      <c r="X121" s="284">
        <v>138.0</v>
      </c>
      <c r="Y121" s="284">
        <v>2.0</v>
      </c>
      <c r="Z121" s="284">
        <v>52.0</v>
      </c>
      <c r="AA121" s="284">
        <v>0.0</v>
      </c>
      <c r="AB121" s="284">
        <v>0.0</v>
      </c>
      <c r="AC121" s="284">
        <v>0.0</v>
      </c>
      <c r="AD121" s="284">
        <v>0.0</v>
      </c>
      <c r="AE121" s="284">
        <v>146.0</v>
      </c>
      <c r="AF121" s="284">
        <v>211.0</v>
      </c>
      <c r="AG121" s="284">
        <v>71.0</v>
      </c>
      <c r="AH121" s="309">
        <f t="shared" si="2"/>
        <v>32340.08451</v>
      </c>
      <c r="AI121" s="309">
        <f t="shared" si="3"/>
        <v>2.971830986</v>
      </c>
      <c r="AJ121" s="345">
        <v>29375.0</v>
      </c>
      <c r="AK121" s="309">
        <f t="shared" si="33"/>
        <v>88125</v>
      </c>
      <c r="AL121" s="312"/>
      <c r="AM121" s="313">
        <f t="shared" si="5"/>
        <v>0.03837952813</v>
      </c>
      <c r="AN121" s="309">
        <f t="shared" si="6"/>
        <v>99832.43478</v>
      </c>
      <c r="AO121" s="314">
        <f t="shared" si="7"/>
        <v>0.3061528</v>
      </c>
      <c r="AP121" s="315">
        <v>0.0</v>
      </c>
      <c r="AQ121" s="284">
        <v>43.0</v>
      </c>
      <c r="AR121" s="284">
        <v>851.0</v>
      </c>
      <c r="AS121" s="284">
        <v>3159.04</v>
      </c>
      <c r="AT121" s="284">
        <v>2.0</v>
      </c>
      <c r="AU121" s="284">
        <v>85.0</v>
      </c>
      <c r="AV121" s="284">
        <v>23.0</v>
      </c>
      <c r="AW121" s="284">
        <v>14.0</v>
      </c>
      <c r="AX121" s="284">
        <v>2.0</v>
      </c>
      <c r="AY121" s="309">
        <v>1213738.8900000001</v>
      </c>
      <c r="AZ121" s="316"/>
      <c r="BA121" s="307" t="str">
        <f t="shared" si="8"/>
        <v>Active</v>
      </c>
      <c r="BB121" s="307" t="str">
        <f t="shared" si="9"/>
        <v>Old</v>
      </c>
      <c r="BC121" s="307" t="str">
        <f t="shared" si="10"/>
        <v>Below 50%</v>
      </c>
      <c r="BD121" s="286">
        <f t="shared" si="35"/>
        <v>3</v>
      </c>
      <c r="BE121" s="328">
        <v>2500000.0</v>
      </c>
      <c r="BF121" s="284">
        <f t="shared" si="12"/>
        <v>0</v>
      </c>
      <c r="BG121" s="307" t="s">
        <v>488</v>
      </c>
      <c r="BH121" s="272">
        <f>IFERROR(__xludf.DUMMYFUNCTION("""COMPUTED_VALUE"""),1.29158764E7)</f>
        <v>12915876.4</v>
      </c>
      <c r="BI121" s="272">
        <f>IFERROR(__xludf.DUMMYFUNCTION("""COMPUTED_VALUE"""),1.291897293E7)</f>
        <v>12918972.93</v>
      </c>
      <c r="BJ121" s="273"/>
      <c r="BK121" s="274"/>
      <c r="BL121" s="319">
        <f t="shared" si="34"/>
        <v>0</v>
      </c>
      <c r="BM121" s="319">
        <f t="shared" si="14"/>
        <v>7500000</v>
      </c>
      <c r="BN121" s="274"/>
      <c r="BO121" s="311">
        <f>IFERROR(__xludf.DUMMYFUNCTION("IFERROR(ArrayFormula(SUM(VLOOKUP($C121,importrange(""1PTkkEa_ENkSqsGnpqoXy9kt0Fe1hCtlmU6kVFBNaonY"",""ORDER BOOKING REPORT 2025-26!C:CV""),{16,23,30},0))))"),2688891.5)</f>
        <v>2688891.5</v>
      </c>
      <c r="BP121" s="311">
        <f>IFERROR(__xludf.DUMMYFUNCTION("IFERROR(ArrayFormula(SUM(VLOOKUP($C121,importrange(""1PTkkEa_ENkSqsGnpqoXy9kt0Fe1hCtlmU6kVFBNaonY"",""ORDER BOOKING REPORT 2025-26!C:CV""),{37,44,51},0))))"),3562351.5900000003)</f>
        <v>3562351.59</v>
      </c>
      <c r="BQ121" s="311">
        <f>IFERROR(__xludf.DUMMYFUNCTION("IFERROR(ArrayFormula(SUM(VLOOKUP($C121,importrange(""1PTkkEa_ENkSqsGnpqoXy9kt0Fe1hCtlmU6kVFBNaonY"",""ORDER BOOKING REPORT 2025-26!C:CV""),{58,65,72},0))))"),2910850.33)</f>
        <v>2910850.33</v>
      </c>
      <c r="BR121" s="311">
        <f>IFERROR(__xludf.DUMMYFUNCTION("IFERROR(ArrayFormula(SUM(VLOOKUP($C121,importrange(""1PTkkEa_ENkSqsGnpqoXy9kt0Fe1hCtlmU6kVFBNaonY"",""ORDER BOOKING REPORT 2025-26!C:CV""),{79,86,93},0))))"),3756879.5100000002)</f>
        <v>3756879.51</v>
      </c>
      <c r="BS121" s="322">
        <f t="shared" si="15"/>
        <v>0.161831852</v>
      </c>
      <c r="BT121" s="322">
        <f t="shared" si="16"/>
        <v>0.07260622587</v>
      </c>
      <c r="BU121" s="287">
        <f t="shared" si="17"/>
        <v>0</v>
      </c>
      <c r="BV121" s="320">
        <v>29375.0</v>
      </c>
      <c r="BW121" s="321" t="s">
        <v>526</v>
      </c>
      <c r="BX121" s="320">
        <v>1217.0</v>
      </c>
      <c r="BY121" s="287">
        <f t="shared" si="18"/>
        <v>0</v>
      </c>
      <c r="BZ121" s="10"/>
      <c r="CA121" s="10"/>
      <c r="CB121" s="10"/>
      <c r="CC121" s="10"/>
      <c r="CD121" s="10"/>
      <c r="CE121" s="10"/>
      <c r="CF121" s="10"/>
      <c r="CG121" s="318" t="str">
        <f t="shared" si="21"/>
        <v>Below 60</v>
      </c>
      <c r="CH121" s="318" t="str">
        <f t="shared" si="28"/>
        <v>Business Achieved 50%</v>
      </c>
      <c r="CI121" s="322">
        <f t="shared" si="22"/>
        <v>0.5897435897</v>
      </c>
      <c r="CJ121" s="323"/>
      <c r="CK121" s="323"/>
      <c r="CL121" s="323"/>
      <c r="CM121" s="324">
        <f t="shared" si="23"/>
        <v>146</v>
      </c>
      <c r="CN121" s="325"/>
      <c r="CO121" s="6"/>
      <c r="CP121" s="6"/>
      <c r="CQ121" s="327"/>
      <c r="CR121" s="6"/>
      <c r="CS121" s="6"/>
      <c r="CT121" s="6"/>
      <c r="CU121" s="6"/>
      <c r="CV121" s="6"/>
      <c r="CW121" s="327">
        <f t="shared" si="27"/>
        <v>0</v>
      </c>
      <c r="CX121" s="270"/>
      <c r="CY121" s="6"/>
      <c r="CZ121" s="6"/>
    </row>
    <row r="122" hidden="1">
      <c r="A122" s="307" t="s">
        <v>72</v>
      </c>
      <c r="B122" s="307" t="s">
        <v>527</v>
      </c>
      <c r="C122" s="307" t="s">
        <v>78</v>
      </c>
      <c r="D122" s="307" t="s">
        <v>559</v>
      </c>
      <c r="E122" s="307" t="s">
        <v>79</v>
      </c>
      <c r="F122" s="329">
        <v>45719.0</v>
      </c>
      <c r="G122" s="309">
        <v>0.0</v>
      </c>
      <c r="H122" s="309">
        <v>4212000.0</v>
      </c>
      <c r="I122" s="287">
        <v>4774210.0</v>
      </c>
      <c r="J122" s="287">
        <v>0.0</v>
      </c>
      <c r="K122" s="284">
        <v>72.0</v>
      </c>
      <c r="L122" s="284">
        <v>70.0</v>
      </c>
      <c r="M122" s="284">
        <v>2.0</v>
      </c>
      <c r="N122" s="284">
        <v>74.0</v>
      </c>
      <c r="O122" s="284">
        <v>4.0</v>
      </c>
      <c r="P122" s="287">
        <v>4684155.6</v>
      </c>
      <c r="Q122" s="287">
        <v>90054.0</v>
      </c>
      <c r="R122" s="284">
        <v>41.0</v>
      </c>
      <c r="S122" s="284">
        <v>2.0</v>
      </c>
      <c r="T122" s="284">
        <v>43.0</v>
      </c>
      <c r="U122" s="284">
        <v>0.0</v>
      </c>
      <c r="V122" s="284">
        <v>6.0</v>
      </c>
      <c r="W122" s="284">
        <v>16.0</v>
      </c>
      <c r="X122" s="284">
        <v>5.0</v>
      </c>
      <c r="Y122" s="284">
        <v>1.0</v>
      </c>
      <c r="Z122" s="284">
        <v>6.0</v>
      </c>
      <c r="AA122" s="284">
        <v>0.0</v>
      </c>
      <c r="AB122" s="284">
        <v>0.0</v>
      </c>
      <c r="AC122" s="284">
        <v>0.0</v>
      </c>
      <c r="AD122" s="284">
        <v>0.0</v>
      </c>
      <c r="AE122" s="284">
        <v>573.0</v>
      </c>
      <c r="AF122" s="284">
        <v>595.0</v>
      </c>
      <c r="AG122" s="284">
        <v>71.0</v>
      </c>
      <c r="AH122" s="309">
        <f t="shared" si="2"/>
        <v>67242.39437</v>
      </c>
      <c r="AI122" s="309">
        <f t="shared" si="3"/>
        <v>8.38028169</v>
      </c>
      <c r="AJ122" s="345">
        <v>23000.0</v>
      </c>
      <c r="AK122" s="309">
        <f t="shared" si="33"/>
        <v>69000</v>
      </c>
      <c r="AL122" s="286"/>
      <c r="AM122" s="313">
        <f t="shared" si="5"/>
        <v>0.0144526529</v>
      </c>
      <c r="AN122" s="309">
        <f t="shared" si="6"/>
        <v>111028.1395</v>
      </c>
      <c r="AO122" s="314">
        <f t="shared" si="7"/>
        <v>1.133478158</v>
      </c>
      <c r="AP122" s="315">
        <v>0.0</v>
      </c>
      <c r="AQ122" s="284">
        <v>95.0</v>
      </c>
      <c r="AR122" s="284">
        <v>654.0</v>
      </c>
      <c r="AS122" s="284">
        <v>5477.79</v>
      </c>
      <c r="AT122" s="284">
        <v>2.0</v>
      </c>
      <c r="AU122" s="284">
        <v>78.0</v>
      </c>
      <c r="AV122" s="284">
        <v>43.0</v>
      </c>
      <c r="AW122" s="284">
        <v>27.0</v>
      </c>
      <c r="AX122" s="284">
        <v>4.0</v>
      </c>
      <c r="AY122" s="309">
        <v>1489142.0</v>
      </c>
      <c r="AZ122" s="316"/>
      <c r="BA122" s="307" t="str">
        <f t="shared" si="8"/>
        <v>Active</v>
      </c>
      <c r="BB122" s="307" t="str">
        <f t="shared" si="9"/>
        <v>Old</v>
      </c>
      <c r="BC122" s="307" t="str">
        <f t="shared" si="10"/>
        <v>Above 100%</v>
      </c>
      <c r="BD122" s="286">
        <f t="shared" si="35"/>
        <v>3</v>
      </c>
      <c r="BE122" s="319">
        <v>965250.0</v>
      </c>
      <c r="BF122" s="284">
        <f t="shared" si="12"/>
        <v>0</v>
      </c>
      <c r="BG122" s="307" t="s">
        <v>488</v>
      </c>
      <c r="BH122" s="272">
        <f>IFERROR(__xludf.DUMMYFUNCTION("""COMPUTED_VALUE"""),1.222577477E7)</f>
        <v>12225774.77</v>
      </c>
      <c r="BI122" s="272">
        <f>IFERROR(__xludf.DUMMYFUNCTION("""COMPUTED_VALUE"""),1.415497478E7)</f>
        <v>14154974.78</v>
      </c>
      <c r="BJ122" s="273"/>
      <c r="BK122" s="274"/>
      <c r="BL122" s="319">
        <f t="shared" si="34"/>
        <v>0</v>
      </c>
      <c r="BM122" s="319">
        <f t="shared" si="14"/>
        <v>4212000</v>
      </c>
      <c r="BN122" s="274"/>
      <c r="BO122" s="311">
        <f>IFERROR(__xludf.DUMMYFUNCTION("IFERROR(ArrayFormula(SUM(VLOOKUP($C122,importrange(""1PTkkEa_ENkSqsGnpqoXy9kt0Fe1hCtlmU6kVFBNaonY"",""ORDER BOOKING REPORT 2025-26!C:CV""),{16,23,30},0))))"),3847291.0)</f>
        <v>3847291</v>
      </c>
      <c r="BP122" s="311">
        <f>IFERROR(__xludf.DUMMYFUNCTION("IFERROR(ArrayFormula(SUM(VLOOKUP($C122,importrange(""1PTkkEa_ENkSqsGnpqoXy9kt0Fe1hCtlmU6kVFBNaonY"",""ORDER BOOKING REPORT 2025-26!C:CV""),{37,44,51},0))))"),2774024.99)</f>
        <v>2774024.99</v>
      </c>
      <c r="BQ122" s="311">
        <f>IFERROR(__xludf.DUMMYFUNCTION("IFERROR(ArrayFormula(SUM(VLOOKUP($C122,importrange(""1PTkkEa_ENkSqsGnpqoXy9kt0Fe1hCtlmU6kVFBNaonY"",""ORDER BOOKING REPORT 2025-26!C:CV""),{58,65,72},0))))"),2777280.0)</f>
        <v>2777280</v>
      </c>
      <c r="BR122" s="311">
        <f>IFERROR(__xludf.DUMMYFUNCTION("IFERROR(ArrayFormula(SUM(VLOOKUP($C122,importrange(""1PTkkEa_ENkSqsGnpqoXy9kt0Fe1hCtlmU6kVFBNaonY"",""ORDER BOOKING REPORT 2025-26!C:CV""),{79,86,93},0))))"),4756378.79)</f>
        <v>4756378.79</v>
      </c>
      <c r="BS122" s="322">
        <f t="shared" si="15"/>
        <v>0.3535474834</v>
      </c>
      <c r="BT122" s="322">
        <f t="shared" si="16"/>
        <v>0.04633540656</v>
      </c>
      <c r="BU122" s="287">
        <f t="shared" si="17"/>
        <v>0</v>
      </c>
      <c r="BV122" s="349"/>
      <c r="BW122" s="349"/>
      <c r="BX122" s="349"/>
      <c r="BY122" s="287">
        <f t="shared" si="18"/>
        <v>-23000</v>
      </c>
      <c r="BZ122" s="10"/>
      <c r="CA122" s="10"/>
      <c r="CB122" s="10"/>
      <c r="CC122" s="10"/>
      <c r="CD122" s="10"/>
      <c r="CE122" s="10"/>
      <c r="CF122" s="10"/>
      <c r="CG122" s="318" t="str">
        <f t="shared" si="21"/>
        <v> </v>
      </c>
      <c r="CH122" s="318" t="str">
        <f t="shared" si="28"/>
        <v>Business Achieved 50%</v>
      </c>
      <c r="CI122" s="322">
        <f t="shared" si="22"/>
        <v>0.5810810811</v>
      </c>
      <c r="CJ122" s="323"/>
      <c r="CK122" s="323"/>
      <c r="CL122" s="323"/>
      <c r="CM122" s="324">
        <f t="shared" si="23"/>
        <v>573</v>
      </c>
      <c r="CN122" s="337"/>
      <c r="CO122" s="152"/>
      <c r="CP122" s="152"/>
      <c r="CQ122" s="327"/>
      <c r="CR122" s="152"/>
      <c r="CS122" s="152"/>
      <c r="CT122" s="152"/>
      <c r="CU122" s="152"/>
      <c r="CV122" s="152"/>
      <c r="CW122" s="327">
        <f t="shared" si="27"/>
        <v>0</v>
      </c>
      <c r="CX122" s="270"/>
      <c r="CY122" s="152"/>
      <c r="CZ122" s="152"/>
    </row>
    <row r="123" hidden="1">
      <c r="A123" s="307" t="s">
        <v>48</v>
      </c>
      <c r="B123" s="307" t="s">
        <v>539</v>
      </c>
      <c r="C123" s="307" t="s">
        <v>55</v>
      </c>
      <c r="D123" s="307" t="s">
        <v>589</v>
      </c>
      <c r="E123" s="307" t="s">
        <v>56</v>
      </c>
      <c r="F123" s="308">
        <v>45733.0</v>
      </c>
      <c r="G123" s="309">
        <v>0.0</v>
      </c>
      <c r="H123" s="309">
        <v>4500000.0</v>
      </c>
      <c r="I123" s="287">
        <v>2661537.0</v>
      </c>
      <c r="J123" s="287">
        <v>0.0</v>
      </c>
      <c r="K123" s="284">
        <v>86.0</v>
      </c>
      <c r="L123" s="284">
        <v>75.0</v>
      </c>
      <c r="M123" s="284">
        <v>7.0</v>
      </c>
      <c r="N123" s="284">
        <v>93.0</v>
      </c>
      <c r="O123" s="284">
        <v>18.0</v>
      </c>
      <c r="P123" s="287">
        <v>1953639.45</v>
      </c>
      <c r="Q123" s="287">
        <v>707897.24</v>
      </c>
      <c r="R123" s="284">
        <v>20.0</v>
      </c>
      <c r="S123" s="284">
        <v>7.0</v>
      </c>
      <c r="T123" s="284">
        <v>27.0</v>
      </c>
      <c r="U123" s="284">
        <v>0.0</v>
      </c>
      <c r="V123" s="284">
        <v>52.0</v>
      </c>
      <c r="W123" s="284">
        <v>63.0</v>
      </c>
      <c r="X123" s="284">
        <v>180.0</v>
      </c>
      <c r="Y123" s="284">
        <v>7.0</v>
      </c>
      <c r="Z123" s="284">
        <v>59.0</v>
      </c>
      <c r="AA123" s="284">
        <v>1.0</v>
      </c>
      <c r="AB123" s="284">
        <v>1.0</v>
      </c>
      <c r="AC123" s="284">
        <v>15.0</v>
      </c>
      <c r="AD123" s="284">
        <v>40.0</v>
      </c>
      <c r="AE123" s="284">
        <v>267.0</v>
      </c>
      <c r="AF123" s="284">
        <v>430.0</v>
      </c>
      <c r="AG123" s="284">
        <v>76.0</v>
      </c>
      <c r="AH123" s="309">
        <f t="shared" si="2"/>
        <v>35020.22368</v>
      </c>
      <c r="AI123" s="309">
        <f t="shared" si="3"/>
        <v>5.657894737</v>
      </c>
      <c r="AJ123" s="345">
        <v>33550.0</v>
      </c>
      <c r="AK123" s="309">
        <f t="shared" si="33"/>
        <v>100650</v>
      </c>
      <c r="AL123" s="312"/>
      <c r="AM123" s="313">
        <f t="shared" si="5"/>
        <v>0.03781649475</v>
      </c>
      <c r="AN123" s="309">
        <f t="shared" si="6"/>
        <v>98575.44444</v>
      </c>
      <c r="AO123" s="314">
        <f t="shared" si="7"/>
        <v>0.5914526667</v>
      </c>
      <c r="AP123" s="315">
        <v>0.0</v>
      </c>
      <c r="AQ123" s="284">
        <v>44.0</v>
      </c>
      <c r="AR123" s="284">
        <v>778.0</v>
      </c>
      <c r="AS123" s="284">
        <v>11867.89</v>
      </c>
      <c r="AT123" s="284">
        <v>7.0</v>
      </c>
      <c r="AU123" s="284">
        <v>158.0</v>
      </c>
      <c r="AV123" s="284">
        <v>27.0</v>
      </c>
      <c r="AW123" s="284">
        <v>49.0</v>
      </c>
      <c r="AX123" s="284">
        <v>17.0</v>
      </c>
      <c r="AY123" s="309">
        <v>2390308.0</v>
      </c>
      <c r="AZ123" s="316"/>
      <c r="BA123" s="307" t="str">
        <f t="shared" si="8"/>
        <v>Active</v>
      </c>
      <c r="BB123" s="307" t="str">
        <f t="shared" si="9"/>
        <v>Old</v>
      </c>
      <c r="BC123" s="307" t="str">
        <f t="shared" si="10"/>
        <v>50%-70%</v>
      </c>
      <c r="BD123" s="286">
        <f t="shared" si="35"/>
        <v>3</v>
      </c>
      <c r="BE123" s="319">
        <v>1500000.0</v>
      </c>
      <c r="BF123" s="284">
        <f t="shared" si="12"/>
        <v>0</v>
      </c>
      <c r="BG123" s="307" t="s">
        <v>488</v>
      </c>
      <c r="BH123" s="271">
        <f>IFERROR(__xludf.DUMMYFUNCTION("""COMPUTED_VALUE"""),6240886.0)</f>
        <v>6240886</v>
      </c>
      <c r="BI123" s="271">
        <f>IFERROR(__xludf.DUMMYFUNCTION("""COMPUTED_VALUE"""),8305428.6000000015)</f>
        <v>8305428.6</v>
      </c>
      <c r="BJ123" s="273"/>
      <c r="BK123" s="274"/>
      <c r="BL123" s="319">
        <f t="shared" si="34"/>
        <v>0</v>
      </c>
      <c r="BM123" s="319">
        <f t="shared" si="14"/>
        <v>4500000</v>
      </c>
      <c r="BN123" s="274"/>
      <c r="BO123" s="311">
        <f>IFERROR(__xludf.DUMMYFUNCTION("IFERROR(ArrayFormula(SUM(VLOOKUP($C123,importrange(""1PTkkEa_ENkSqsGnpqoXy9kt0Fe1hCtlmU6kVFBNaonY"",""ORDER BOOKING REPORT 2025-26!C:CV""),{16,23,30},0))))"),3051986.4200000004)</f>
        <v>3051986.42</v>
      </c>
      <c r="BP123" s="311">
        <f>IFERROR(__xludf.DUMMYFUNCTION("IFERROR(ArrayFormula(SUM(VLOOKUP($C123,importrange(""1PTkkEa_ENkSqsGnpqoXy9kt0Fe1hCtlmU6kVFBNaonY"",""ORDER BOOKING REPORT 2025-26!C:CV""),{37,44,51},0))))"),2078331.1300000001)</f>
        <v>2078331.13</v>
      </c>
      <c r="BQ123" s="311">
        <f>IFERROR(__xludf.DUMMYFUNCTION("IFERROR(ArrayFormula(SUM(VLOOKUP($C123,importrange(""1PTkkEa_ENkSqsGnpqoXy9kt0Fe1hCtlmU6kVFBNaonY"",""ORDER BOOKING REPORT 2025-26!C:CV""),{58,65,72},0))))"),1733714.6699999997)</f>
        <v>1733714.67</v>
      </c>
      <c r="BR123" s="311">
        <f>IFERROR(__xludf.DUMMYFUNCTION("IFERROR(ArrayFormula(SUM(VLOOKUP($C123,importrange(""1PTkkEa_ENkSqsGnpqoXy9kt0Fe1hCtlmU6kVFBNaonY"",""ORDER BOOKING REPORT 2025-26!C:CV""),{79,86,93},0))))"),1441396.3800000001)</f>
        <v>1441396.38</v>
      </c>
      <c r="BS123" s="322">
        <f t="shared" si="15"/>
        <v>0.5311795556</v>
      </c>
      <c r="BT123" s="322">
        <f t="shared" si="16"/>
        <v>0.0421075443</v>
      </c>
      <c r="BU123" s="287">
        <f t="shared" si="17"/>
        <v>0</v>
      </c>
      <c r="BV123" s="349"/>
      <c r="BW123" s="349"/>
      <c r="BX123" s="349"/>
      <c r="BY123" s="287">
        <f t="shared" si="18"/>
        <v>-33550</v>
      </c>
      <c r="BZ123" s="10"/>
      <c r="CA123" s="10"/>
      <c r="CB123" s="10"/>
      <c r="CC123" s="10"/>
      <c r="CD123" s="10"/>
      <c r="CE123" s="10"/>
      <c r="CF123" s="10"/>
      <c r="CG123" s="318" t="str">
        <f t="shared" si="21"/>
        <v> </v>
      </c>
      <c r="CH123" s="318" t="str">
        <f t="shared" si="28"/>
        <v>Not 50%</v>
      </c>
      <c r="CI123" s="322">
        <f t="shared" si="22"/>
        <v>0.2903225806</v>
      </c>
      <c r="CJ123" s="323"/>
      <c r="CK123" s="323"/>
      <c r="CL123" s="323"/>
      <c r="CM123" s="324">
        <f t="shared" si="23"/>
        <v>267</v>
      </c>
      <c r="CN123" s="325"/>
      <c r="CO123" s="6"/>
      <c r="CP123" s="6"/>
      <c r="CQ123" s="327"/>
      <c r="CR123" s="6"/>
      <c r="CS123" s="6"/>
      <c r="CT123" s="6"/>
      <c r="CU123" s="6"/>
      <c r="CV123" s="6"/>
      <c r="CW123" s="327">
        <f t="shared" si="27"/>
        <v>0</v>
      </c>
      <c r="CX123" s="270"/>
      <c r="CY123" s="6"/>
      <c r="CZ123" s="6"/>
    </row>
    <row r="124" hidden="1">
      <c r="A124" s="307" t="s">
        <v>23</v>
      </c>
      <c r="B124" s="307" t="s">
        <v>498</v>
      </c>
      <c r="C124" s="307" t="s">
        <v>34</v>
      </c>
      <c r="D124" s="307" t="s">
        <v>498</v>
      </c>
      <c r="E124" s="307" t="s">
        <v>35</v>
      </c>
      <c r="F124" s="308">
        <v>45736.0</v>
      </c>
      <c r="G124" s="309">
        <v>300000.0</v>
      </c>
      <c r="H124" s="309">
        <v>3750000.0</v>
      </c>
      <c r="I124" s="287">
        <v>56708.0</v>
      </c>
      <c r="J124" s="287">
        <v>171300.22</v>
      </c>
      <c r="K124" s="284">
        <v>33.0</v>
      </c>
      <c r="L124" s="284">
        <v>27.0</v>
      </c>
      <c r="M124" s="284">
        <v>1.0</v>
      </c>
      <c r="N124" s="284">
        <v>34.0</v>
      </c>
      <c r="O124" s="284">
        <v>7.0</v>
      </c>
      <c r="P124" s="287">
        <v>56707.86</v>
      </c>
      <c r="Q124" s="287">
        <v>0.0</v>
      </c>
      <c r="R124" s="284">
        <v>4.0</v>
      </c>
      <c r="S124" s="284">
        <v>0.0</v>
      </c>
      <c r="T124" s="284">
        <v>4.0</v>
      </c>
      <c r="U124" s="284">
        <v>1.0</v>
      </c>
      <c r="V124" s="284">
        <v>77.0</v>
      </c>
      <c r="W124" s="284">
        <v>125.0</v>
      </c>
      <c r="X124" s="284">
        <v>257.0</v>
      </c>
      <c r="Y124" s="284">
        <v>3.0</v>
      </c>
      <c r="Z124" s="284">
        <v>7.0</v>
      </c>
      <c r="AA124" s="284">
        <v>4.0</v>
      </c>
      <c r="AB124" s="284">
        <v>6.0</v>
      </c>
      <c r="AC124" s="284">
        <v>5.0</v>
      </c>
      <c r="AD124" s="284">
        <v>10.0</v>
      </c>
      <c r="AE124" s="284">
        <v>114.0</v>
      </c>
      <c r="AF124" s="284">
        <v>262.0</v>
      </c>
      <c r="AG124" s="284">
        <v>46.0</v>
      </c>
      <c r="AH124" s="309">
        <f t="shared" si="2"/>
        <v>4956.700435</v>
      </c>
      <c r="AI124" s="309">
        <f t="shared" si="3"/>
        <v>5.695652174</v>
      </c>
      <c r="AJ124" s="311">
        <v>27260.0</v>
      </c>
      <c r="AK124" s="309">
        <f t="shared" si="33"/>
        <v>81780</v>
      </c>
      <c r="AL124" s="286"/>
      <c r="AM124" s="313">
        <f t="shared" si="5"/>
        <v>0.3586712795</v>
      </c>
      <c r="AN124" s="309">
        <f t="shared" si="6"/>
        <v>14177</v>
      </c>
      <c r="AO124" s="314">
        <f t="shared" si="7"/>
        <v>0.05629832593</v>
      </c>
      <c r="AP124" s="315">
        <v>0.57</v>
      </c>
      <c r="AQ124" s="284">
        <v>4.0</v>
      </c>
      <c r="AR124" s="284">
        <v>409.0</v>
      </c>
      <c r="AS124" s="284">
        <v>2068.0</v>
      </c>
      <c r="AT124" s="284">
        <v>0.0</v>
      </c>
      <c r="AU124" s="284">
        <v>77.0</v>
      </c>
      <c r="AV124" s="284">
        <v>4.0</v>
      </c>
      <c r="AW124" s="284">
        <v>23.0</v>
      </c>
      <c r="AX124" s="284">
        <v>7.0</v>
      </c>
      <c r="AY124" s="309">
        <v>0.0</v>
      </c>
      <c r="AZ124" s="316"/>
      <c r="BA124" s="307" t="str">
        <f t="shared" si="8"/>
        <v>Active</v>
      </c>
      <c r="BB124" s="307" t="str">
        <f t="shared" si="9"/>
        <v>Old</v>
      </c>
      <c r="BC124" s="307" t="str">
        <f t="shared" si="10"/>
        <v>Below 50%</v>
      </c>
      <c r="BD124" s="286">
        <f t="shared" si="35"/>
        <v>3</v>
      </c>
      <c r="BE124" s="328">
        <v>1350000.0</v>
      </c>
      <c r="BF124" s="284">
        <f t="shared" si="12"/>
        <v>1</v>
      </c>
      <c r="BG124" s="307" t="s">
        <v>488</v>
      </c>
      <c r="BH124" s="272">
        <f>IFERROR(__xludf.DUMMYFUNCTION("""COMPUTED_VALUE"""),4593238.0)</f>
        <v>4593238</v>
      </c>
      <c r="BI124" s="272">
        <f>IFERROR(__xludf.DUMMYFUNCTION("""COMPUTED_VALUE"""),5077211.3100000005)</f>
        <v>5077211.31</v>
      </c>
      <c r="BJ124" s="273"/>
      <c r="BK124" s="330">
        <v>100000.0</v>
      </c>
      <c r="BL124" s="319">
        <f t="shared" si="34"/>
        <v>300000</v>
      </c>
      <c r="BM124" s="319">
        <f t="shared" si="14"/>
        <v>4050000</v>
      </c>
      <c r="BN124" s="274"/>
      <c r="BO124" s="311">
        <f>IFERROR(__xludf.DUMMYFUNCTION("IFERROR(ArrayFormula(SUM(VLOOKUP($C124,importrange(""1PTkkEa_ENkSqsGnpqoXy9kt0Fe1hCtlmU6kVFBNaonY"",""ORDER BOOKING REPORT 2025-26!C:CV""),{16,23,30},0))))"),929858.3300000001)</f>
        <v>929858.33</v>
      </c>
      <c r="BP124" s="311">
        <f>IFERROR(__xludf.DUMMYFUNCTION("IFERROR(ArrayFormula(SUM(VLOOKUP($C124,importrange(""1PTkkEa_ENkSqsGnpqoXy9kt0Fe1hCtlmU6kVFBNaonY"",""ORDER BOOKING REPORT 2025-26!C:CV""),{37,44,51},0))))"),2463020.24)</f>
        <v>2463020.24</v>
      </c>
      <c r="BQ124" s="311">
        <f>IFERROR(__xludf.DUMMYFUNCTION("IFERROR(ArrayFormula(SUM(VLOOKUP($C124,importrange(""1PTkkEa_ENkSqsGnpqoXy9kt0Fe1hCtlmU6kVFBNaonY"",""ORDER BOOKING REPORT 2025-26!C:CV""),{58,65,72},0))))"),1049160.53)</f>
        <v>1049160.53</v>
      </c>
      <c r="BR124" s="311">
        <f>IFERROR(__xludf.DUMMYFUNCTION("IFERROR(ArrayFormula(SUM(VLOOKUP($C124,importrange(""1PTkkEa_ENkSqsGnpqoXy9kt0Fe1hCtlmU6kVFBNaonY"",""ORDER BOOKING REPORT 2025-26!C:CV""),{79,86,93},0))))"),635172.21)</f>
        <v>635172.21</v>
      </c>
      <c r="BS124" s="322">
        <f t="shared" si="15"/>
        <v>0</v>
      </c>
      <c r="BT124" s="322" t="str">
        <f t="shared" si="16"/>
        <v/>
      </c>
      <c r="BU124" s="287">
        <f t="shared" si="17"/>
        <v>0</v>
      </c>
      <c r="BV124" s="320">
        <v>27260.0</v>
      </c>
      <c r="BW124" s="321" t="s">
        <v>526</v>
      </c>
      <c r="BX124" s="320">
        <v>1231.0</v>
      </c>
      <c r="BY124" s="287">
        <f t="shared" si="18"/>
        <v>0</v>
      </c>
      <c r="BZ124" s="10"/>
      <c r="CA124" s="10"/>
      <c r="CB124" s="10"/>
      <c r="CC124" s="10"/>
      <c r="CD124" s="10"/>
      <c r="CE124" s="10"/>
      <c r="CF124" s="10"/>
      <c r="CG124" s="318" t="str">
        <f t="shared" si="21"/>
        <v>Below 60</v>
      </c>
      <c r="CH124" s="318" t="str">
        <f t="shared" si="28"/>
        <v>Not 50%</v>
      </c>
      <c r="CI124" s="322">
        <f t="shared" si="22"/>
        <v>0.1176470588</v>
      </c>
      <c r="CJ124" s="323"/>
      <c r="CK124" s="323"/>
      <c r="CL124" s="323"/>
      <c r="CM124" s="324">
        <f t="shared" si="23"/>
        <v>114</v>
      </c>
      <c r="CN124" s="337"/>
      <c r="CO124" s="152"/>
      <c r="CP124" s="152"/>
      <c r="CQ124" s="327"/>
      <c r="CR124" s="152"/>
      <c r="CS124" s="152"/>
      <c r="CT124" s="152"/>
      <c r="CU124" s="152"/>
      <c r="CV124" s="152"/>
      <c r="CW124" s="327">
        <f t="shared" si="27"/>
        <v>0</v>
      </c>
      <c r="CX124" s="270"/>
      <c r="CY124" s="152"/>
      <c r="CZ124" s="152"/>
    </row>
    <row r="125" hidden="1">
      <c r="A125" s="307" t="s">
        <v>273</v>
      </c>
      <c r="B125" s="307" t="s">
        <v>528</v>
      </c>
      <c r="C125" s="307" t="s">
        <v>599</v>
      </c>
      <c r="D125" s="307" t="s">
        <v>555</v>
      </c>
      <c r="E125" s="307" t="s">
        <v>291</v>
      </c>
      <c r="F125" s="333">
        <v>45778.0</v>
      </c>
      <c r="G125" s="309">
        <v>0.0</v>
      </c>
      <c r="H125" s="309">
        <v>4200000.0</v>
      </c>
      <c r="I125" s="287">
        <v>3231997.0</v>
      </c>
      <c r="J125" s="287">
        <v>0.0</v>
      </c>
      <c r="K125" s="284">
        <v>83.0</v>
      </c>
      <c r="L125" s="284">
        <v>56.0</v>
      </c>
      <c r="M125" s="284">
        <v>1.0</v>
      </c>
      <c r="N125" s="284">
        <v>84.0</v>
      </c>
      <c r="O125" s="284">
        <v>28.0</v>
      </c>
      <c r="P125" s="287">
        <v>3231997.43</v>
      </c>
      <c r="Q125" s="287">
        <v>0.0</v>
      </c>
      <c r="R125" s="284">
        <v>35.0</v>
      </c>
      <c r="S125" s="284">
        <v>0.0</v>
      </c>
      <c r="T125" s="284">
        <v>35.0</v>
      </c>
      <c r="U125" s="284">
        <v>0.0</v>
      </c>
      <c r="V125" s="284">
        <v>47.0</v>
      </c>
      <c r="W125" s="284">
        <v>72.0</v>
      </c>
      <c r="X125" s="284">
        <v>141.0</v>
      </c>
      <c r="Y125" s="284">
        <v>7.0</v>
      </c>
      <c r="Z125" s="284">
        <v>25.0</v>
      </c>
      <c r="AA125" s="284">
        <v>2.0</v>
      </c>
      <c r="AB125" s="284">
        <v>9.0</v>
      </c>
      <c r="AC125" s="284">
        <v>0.0</v>
      </c>
      <c r="AD125" s="284">
        <v>0.0</v>
      </c>
      <c r="AE125" s="284">
        <v>153.0</v>
      </c>
      <c r="AF125" s="284">
        <v>259.0</v>
      </c>
      <c r="AG125" s="284">
        <v>67.0</v>
      </c>
      <c r="AH125" s="309">
        <f t="shared" si="2"/>
        <v>48238.76119</v>
      </c>
      <c r="AI125" s="309">
        <f t="shared" si="3"/>
        <v>3.865671642</v>
      </c>
      <c r="AJ125" s="311">
        <v>47173.0</v>
      </c>
      <c r="AK125" s="309">
        <f t="shared" si="33"/>
        <v>141519</v>
      </c>
      <c r="AL125" s="312"/>
      <c r="AM125" s="313">
        <f t="shared" si="5"/>
        <v>0.04378685995</v>
      </c>
      <c r="AN125" s="309">
        <f t="shared" si="6"/>
        <v>92342.77143</v>
      </c>
      <c r="AO125" s="314">
        <f t="shared" si="7"/>
        <v>0.7695230952</v>
      </c>
      <c r="AP125" s="315">
        <v>0.0</v>
      </c>
      <c r="AQ125" s="284">
        <v>62.0</v>
      </c>
      <c r="AR125" s="284">
        <v>575.0</v>
      </c>
      <c r="AS125" s="284">
        <v>4593.58</v>
      </c>
      <c r="AT125" s="284">
        <v>0.0</v>
      </c>
      <c r="AU125" s="284">
        <v>82.0</v>
      </c>
      <c r="AV125" s="284">
        <v>35.0</v>
      </c>
      <c r="AW125" s="284">
        <v>32.0</v>
      </c>
      <c r="AX125" s="284">
        <v>17.0</v>
      </c>
      <c r="AY125" s="309">
        <v>3231999.0</v>
      </c>
      <c r="AZ125" s="316"/>
      <c r="BA125" s="307" t="str">
        <f t="shared" si="8"/>
        <v>Active</v>
      </c>
      <c r="BB125" s="307" t="str">
        <f t="shared" si="9"/>
        <v>Old</v>
      </c>
      <c r="BC125" s="307" t="str">
        <f t="shared" si="10"/>
        <v>70%-90%</v>
      </c>
      <c r="BD125" s="286">
        <f t="shared" si="35"/>
        <v>3</v>
      </c>
      <c r="BE125" s="328">
        <v>1400000.0</v>
      </c>
      <c r="BF125" s="284">
        <f t="shared" si="12"/>
        <v>1</v>
      </c>
      <c r="BG125" s="307" t="s">
        <v>488</v>
      </c>
      <c r="BH125" s="271">
        <f>IFERROR(__xludf.DUMMYFUNCTION("""COMPUTED_VALUE"""),1.0577645E7)</f>
        <v>10577645</v>
      </c>
      <c r="BI125" s="271">
        <f>IFERROR(__xludf.DUMMYFUNCTION("""COMPUTED_VALUE"""),1.0664561009999998E7)</f>
        <v>10664561.01</v>
      </c>
      <c r="BJ125" s="273"/>
      <c r="BK125" s="274"/>
      <c r="BL125" s="319">
        <f t="shared" si="34"/>
        <v>0</v>
      </c>
      <c r="BM125" s="319">
        <f t="shared" si="14"/>
        <v>4200000</v>
      </c>
      <c r="BN125" s="274"/>
      <c r="BO125" s="311">
        <f>IFERROR(__xludf.DUMMYFUNCTION("IFERROR(ArrayFormula(SUM(VLOOKUP($C125,importrange(""1PTkkEa_ENkSqsGnpqoXy9kt0Fe1hCtlmU6kVFBNaonY"",""ORDER BOOKING REPORT 2025-26!C:CV""),{16,23,30},0))))"),922461.9999999988)</f>
        <v>922462</v>
      </c>
      <c r="BP125" s="311">
        <f>IFERROR(__xludf.DUMMYFUNCTION("IFERROR(ArrayFormula(SUM(VLOOKUP($C125,importrange(""1PTkkEa_ENkSqsGnpqoXy9kt0Fe1hCtlmU6kVFBNaonY"",""ORDER BOOKING REPORT 2025-26!C:CV""),{37,44,51},0))))"),1989153.9799999997)</f>
        <v>1989153.98</v>
      </c>
      <c r="BQ125" s="311">
        <f>IFERROR(__xludf.DUMMYFUNCTION("IFERROR(ArrayFormula(SUM(VLOOKUP($C125,importrange(""1PTkkEa_ENkSqsGnpqoXy9kt0Fe1hCtlmU6kVFBNaonY"",""ORDER BOOKING REPORT 2025-26!C:CV""),{58,65,72},0))))"),3683757.58)</f>
        <v>3683757.58</v>
      </c>
      <c r="BR125" s="311">
        <f>IFERROR(__xludf.DUMMYFUNCTION("IFERROR(ArrayFormula(SUM(VLOOKUP($C125,importrange(""1PTkkEa_ENkSqsGnpqoXy9kt0Fe1hCtlmU6kVFBNaonY"",""ORDER BOOKING REPORT 2025-26!C:CV""),{79,86,93},0))))"),4069187.45)</f>
        <v>4069187.45</v>
      </c>
      <c r="BS125" s="322">
        <f t="shared" si="15"/>
        <v>0.7695235714</v>
      </c>
      <c r="BT125" s="322">
        <f t="shared" si="16"/>
        <v>0.04378683285</v>
      </c>
      <c r="BU125" s="287">
        <f t="shared" si="17"/>
        <v>0</v>
      </c>
      <c r="BV125" s="320">
        <v>47173.0</v>
      </c>
      <c r="BW125" s="321" t="s">
        <v>502</v>
      </c>
      <c r="BX125" s="320">
        <v>1242.0</v>
      </c>
      <c r="BY125" s="287">
        <f t="shared" si="18"/>
        <v>0</v>
      </c>
      <c r="BZ125" s="10"/>
      <c r="CA125" s="10"/>
      <c r="CB125" s="10"/>
      <c r="CC125" s="10"/>
      <c r="CD125" s="10"/>
      <c r="CE125" s="10"/>
      <c r="CF125" s="10"/>
      <c r="CG125" s="318" t="str">
        <f t="shared" si="21"/>
        <v> </v>
      </c>
      <c r="CH125" s="318" t="str">
        <f t="shared" si="28"/>
        <v>Not 50%</v>
      </c>
      <c r="CI125" s="322">
        <f t="shared" si="22"/>
        <v>0.4166666667</v>
      </c>
      <c r="CJ125" s="323"/>
      <c r="CK125" s="323"/>
      <c r="CL125" s="323"/>
      <c r="CM125" s="324">
        <f t="shared" si="23"/>
        <v>153</v>
      </c>
      <c r="CN125" s="325"/>
      <c r="CO125" s="6"/>
      <c r="CP125" s="6"/>
      <c r="CQ125" s="327"/>
      <c r="CR125" s="6"/>
      <c r="CS125" s="6"/>
      <c r="CT125" s="6"/>
      <c r="CU125" s="6"/>
      <c r="CV125" s="6"/>
      <c r="CW125" s="327">
        <f t="shared" si="27"/>
        <v>0</v>
      </c>
      <c r="CX125" s="270"/>
      <c r="CY125" s="6"/>
      <c r="CZ125" s="6"/>
    </row>
    <row r="126" hidden="1">
      <c r="A126" s="307" t="s">
        <v>43</v>
      </c>
      <c r="B126" s="307" t="s">
        <v>538</v>
      </c>
      <c r="C126" s="307" t="s">
        <v>336</v>
      </c>
      <c r="D126" s="307" t="s">
        <v>588</v>
      </c>
      <c r="E126" s="307" t="s">
        <v>337</v>
      </c>
      <c r="F126" s="333">
        <v>45782.0</v>
      </c>
      <c r="G126" s="309">
        <v>0.0</v>
      </c>
      <c r="H126" s="309" t="s">
        <v>485</v>
      </c>
      <c r="I126" s="287">
        <v>0.0</v>
      </c>
      <c r="J126" s="287">
        <v>0.0</v>
      </c>
      <c r="K126" s="284">
        <v>6.0</v>
      </c>
      <c r="L126" s="284">
        <v>4.0</v>
      </c>
      <c r="M126" s="284">
        <v>0.0</v>
      </c>
      <c r="N126" s="284">
        <v>6.0</v>
      </c>
      <c r="O126" s="284">
        <v>2.0</v>
      </c>
      <c r="P126" s="287">
        <v>0.0</v>
      </c>
      <c r="Q126" s="287">
        <v>0.0</v>
      </c>
      <c r="R126" s="284">
        <v>0.0</v>
      </c>
      <c r="S126" s="284">
        <v>0.0</v>
      </c>
      <c r="T126" s="284">
        <v>0.0</v>
      </c>
      <c r="U126" s="284">
        <v>0.0</v>
      </c>
      <c r="V126" s="284">
        <v>7.0</v>
      </c>
      <c r="W126" s="284">
        <v>7.0</v>
      </c>
      <c r="X126" s="284">
        <v>12.0</v>
      </c>
      <c r="Y126" s="284">
        <v>4.0</v>
      </c>
      <c r="Z126" s="284">
        <v>15.0</v>
      </c>
      <c r="AA126" s="284">
        <v>0.0</v>
      </c>
      <c r="AB126" s="284">
        <v>0.0</v>
      </c>
      <c r="AC126" s="284">
        <v>72.0</v>
      </c>
      <c r="AD126" s="284">
        <v>219.0</v>
      </c>
      <c r="AE126" s="284">
        <v>4.0</v>
      </c>
      <c r="AF126" s="284">
        <v>245.0</v>
      </c>
      <c r="AG126" s="284">
        <v>72.0</v>
      </c>
      <c r="AH126" s="309">
        <f t="shared" si="2"/>
        <v>0</v>
      </c>
      <c r="AI126" s="309">
        <f t="shared" si="3"/>
        <v>3.402777778</v>
      </c>
      <c r="AJ126" s="311">
        <v>64580.0</v>
      </c>
      <c r="AK126" s="309">
        <f t="shared" si="33"/>
        <v>193740</v>
      </c>
      <c r="AL126" s="286"/>
      <c r="AM126" s="334" t="str">
        <f t="shared" si="5"/>
        <v/>
      </c>
      <c r="AN126" s="231" t="str">
        <f t="shared" si="6"/>
        <v/>
      </c>
      <c r="AO126" s="314" t="str">
        <f t="shared" si="7"/>
        <v/>
      </c>
      <c r="AP126" s="315">
        <v>0.0</v>
      </c>
      <c r="AQ126" s="284">
        <v>0.0</v>
      </c>
      <c r="AR126" s="284">
        <v>858.0</v>
      </c>
      <c r="AS126" s="284">
        <v>15091.53</v>
      </c>
      <c r="AT126" s="284">
        <v>0.0</v>
      </c>
      <c r="AU126" s="284">
        <v>3773.0</v>
      </c>
      <c r="AV126" s="284">
        <v>0.0</v>
      </c>
      <c r="AW126" s="284">
        <v>4.0</v>
      </c>
      <c r="AX126" s="284">
        <v>2.0</v>
      </c>
      <c r="AY126" s="231"/>
      <c r="AZ126" s="316"/>
      <c r="BA126" s="307" t="str">
        <f t="shared" si="8"/>
        <v>Active</v>
      </c>
      <c r="BB126" s="307" t="str">
        <f t="shared" si="9"/>
        <v>Old</v>
      </c>
      <c r="BC126" s="307" t="str">
        <f t="shared" si="10"/>
        <v>Below 50%</v>
      </c>
      <c r="BD126" s="286">
        <f t="shared" si="35"/>
        <v>3</v>
      </c>
      <c r="BE126" s="335"/>
      <c r="BF126" s="284">
        <f t="shared" si="12"/>
        <v>0</v>
      </c>
      <c r="BG126" s="318" t="s">
        <v>485</v>
      </c>
      <c r="BH126" s="271"/>
      <c r="BI126" s="271"/>
      <c r="BJ126" s="273"/>
      <c r="BK126" s="274"/>
      <c r="BL126" s="319">
        <f t="shared" si="34"/>
        <v>0</v>
      </c>
      <c r="BM126" s="319" t="str">
        <f t="shared" si="14"/>
        <v/>
      </c>
      <c r="BN126" s="274"/>
      <c r="BO126" s="311" t="str">
        <f>IFERROR(__xludf.DUMMYFUNCTION("IFERROR(ArrayFormula(SUM(VLOOKUP($C126,importrange(""1PTkkEa_ENkSqsGnpqoXy9kt0Fe1hCtlmU6kVFBNaonY"",""ORDER BOOKING REPORT 2025-26!C:CV""),{16,23,30},0))))"),"")</f>
        <v/>
      </c>
      <c r="BP126" s="311" t="str">
        <f>IFERROR(__xludf.DUMMYFUNCTION("IFERROR(ArrayFormula(SUM(VLOOKUP($C126,importrange(""1PTkkEa_ENkSqsGnpqoXy9kt0Fe1hCtlmU6kVFBNaonY"",""ORDER BOOKING REPORT 2025-26!C:CV""),{37,44,51},0))))"),"")</f>
        <v/>
      </c>
      <c r="BQ126" s="311" t="str">
        <f>IFERROR(__xludf.DUMMYFUNCTION("IFERROR(ArrayFormula(SUM(VLOOKUP($C126,importrange(""1PTkkEa_ENkSqsGnpqoXy9kt0Fe1hCtlmU6kVFBNaonY"",""ORDER BOOKING REPORT 2025-26!C:CV""),{58,65,72},0))))"),"")</f>
        <v/>
      </c>
      <c r="BR126" s="311" t="str">
        <f>IFERROR(__xludf.DUMMYFUNCTION("IFERROR(ArrayFormula(SUM(VLOOKUP($C126,importrange(""1PTkkEa_ENkSqsGnpqoXy9kt0Fe1hCtlmU6kVFBNaonY"",""ORDER BOOKING REPORT 2025-26!C:CV""),{79,86,93},0))))"),"")</f>
        <v/>
      </c>
      <c r="BS126" s="152" t="str">
        <f t="shared" si="15"/>
        <v/>
      </c>
      <c r="BT126" s="152" t="str">
        <f t="shared" si="16"/>
        <v/>
      </c>
      <c r="BU126" s="287">
        <f t="shared" si="17"/>
        <v>0</v>
      </c>
      <c r="BV126" s="320">
        <v>64580.0</v>
      </c>
      <c r="BW126" s="321" t="s">
        <v>600</v>
      </c>
      <c r="BX126" s="320">
        <v>1243.0</v>
      </c>
      <c r="BY126" s="287">
        <f t="shared" si="18"/>
        <v>0</v>
      </c>
      <c r="BZ126" s="10"/>
      <c r="CA126" s="10"/>
      <c r="CB126" s="10"/>
      <c r="CC126" s="10"/>
      <c r="CD126" s="10"/>
      <c r="CE126" s="10"/>
      <c r="CF126" s="10"/>
      <c r="CG126" s="318" t="str">
        <f t="shared" si="21"/>
        <v>Below 60</v>
      </c>
      <c r="CH126" s="318" t="str">
        <f t="shared" si="28"/>
        <v>Not 50%</v>
      </c>
      <c r="CI126" s="322">
        <f t="shared" si="22"/>
        <v>0</v>
      </c>
      <c r="CJ126" s="336"/>
      <c r="CK126" s="336"/>
      <c r="CL126" s="336"/>
      <c r="CM126" s="324">
        <f t="shared" si="23"/>
        <v>4</v>
      </c>
      <c r="CN126" s="337"/>
      <c r="CO126" s="152"/>
      <c r="CP126" s="152"/>
      <c r="CQ126" s="327"/>
      <c r="CR126" s="152"/>
      <c r="CS126" s="152"/>
      <c r="CT126" s="152"/>
      <c r="CU126" s="152"/>
      <c r="CV126" s="152"/>
      <c r="CW126" s="327">
        <f t="shared" si="27"/>
        <v>0</v>
      </c>
      <c r="CX126" s="270"/>
      <c r="CY126" s="152"/>
      <c r="CZ126" s="152"/>
    </row>
    <row r="127" hidden="1">
      <c r="A127" s="307" t="s">
        <v>160</v>
      </c>
      <c r="B127" s="307" t="s">
        <v>483</v>
      </c>
      <c r="C127" s="307" t="s">
        <v>244</v>
      </c>
      <c r="D127" s="307" t="s">
        <v>484</v>
      </c>
      <c r="E127" s="307" t="s">
        <v>601</v>
      </c>
      <c r="F127" s="333">
        <v>45784.0</v>
      </c>
      <c r="G127" s="309">
        <v>0.0</v>
      </c>
      <c r="H127" s="309">
        <v>9999999.0</v>
      </c>
      <c r="I127" s="287">
        <v>5113525.0</v>
      </c>
      <c r="J127" s="287">
        <v>0.0</v>
      </c>
      <c r="K127" s="284">
        <v>40.0</v>
      </c>
      <c r="L127" s="284">
        <v>34.0</v>
      </c>
      <c r="M127" s="284">
        <v>1.0</v>
      </c>
      <c r="N127" s="284">
        <v>41.0</v>
      </c>
      <c r="O127" s="284">
        <v>7.0</v>
      </c>
      <c r="P127" s="287">
        <v>4789251.62</v>
      </c>
      <c r="Q127" s="287">
        <v>324273.56</v>
      </c>
      <c r="R127" s="284">
        <v>21.0</v>
      </c>
      <c r="S127" s="284">
        <v>1.0</v>
      </c>
      <c r="T127" s="284">
        <v>22.0</v>
      </c>
      <c r="U127" s="284">
        <v>0.0</v>
      </c>
      <c r="V127" s="284">
        <v>5.0</v>
      </c>
      <c r="W127" s="284">
        <v>12.0</v>
      </c>
      <c r="X127" s="284">
        <v>28.0</v>
      </c>
      <c r="Y127" s="284">
        <v>1.0</v>
      </c>
      <c r="Z127" s="284">
        <v>3.0</v>
      </c>
      <c r="AA127" s="284">
        <v>0.0</v>
      </c>
      <c r="AB127" s="284">
        <v>0.0</v>
      </c>
      <c r="AC127" s="284">
        <v>0.0</v>
      </c>
      <c r="AD127" s="284">
        <v>0.0</v>
      </c>
      <c r="AE127" s="284">
        <v>294.0</v>
      </c>
      <c r="AF127" s="284">
        <v>309.0</v>
      </c>
      <c r="AG127" s="284">
        <v>69.0</v>
      </c>
      <c r="AH127" s="309">
        <f t="shared" si="2"/>
        <v>74109.05797</v>
      </c>
      <c r="AI127" s="309">
        <f t="shared" si="3"/>
        <v>4.47826087</v>
      </c>
      <c r="AJ127" s="311">
        <v>25985.0</v>
      </c>
      <c r="AK127" s="309">
        <f t="shared" si="33"/>
        <v>77955</v>
      </c>
      <c r="AL127" s="312"/>
      <c r="AM127" s="313">
        <f t="shared" si="5"/>
        <v>0.01524486533</v>
      </c>
      <c r="AN127" s="309">
        <f t="shared" si="6"/>
        <v>232432.9545</v>
      </c>
      <c r="AO127" s="314">
        <f t="shared" si="7"/>
        <v>0.5113525511</v>
      </c>
      <c r="AP127" s="315">
        <v>0.0</v>
      </c>
      <c r="AQ127" s="284">
        <v>76.0</v>
      </c>
      <c r="AR127" s="284">
        <v>759.0</v>
      </c>
      <c r="AS127" s="284">
        <v>5909.9</v>
      </c>
      <c r="AT127" s="284">
        <v>1.0</v>
      </c>
      <c r="AU127" s="284">
        <v>174.0</v>
      </c>
      <c r="AV127" s="284">
        <v>22.0</v>
      </c>
      <c r="AW127" s="284">
        <v>14.0</v>
      </c>
      <c r="AX127" s="284">
        <v>5.0</v>
      </c>
      <c r="AY127" s="309">
        <v>6692734.1499999985</v>
      </c>
      <c r="AZ127" s="316"/>
      <c r="BA127" s="307" t="str">
        <f t="shared" si="8"/>
        <v>Active</v>
      </c>
      <c r="BB127" s="307" t="str">
        <f t="shared" si="9"/>
        <v>Old</v>
      </c>
      <c r="BC127" s="307" t="str">
        <f t="shared" si="10"/>
        <v>50%-70%</v>
      </c>
      <c r="BD127" s="286">
        <f t="shared" si="35"/>
        <v>3</v>
      </c>
      <c r="BE127" s="328">
        <v>3333333.0</v>
      </c>
      <c r="BF127" s="284">
        <f t="shared" si="12"/>
        <v>0</v>
      </c>
      <c r="BG127" s="307" t="s">
        <v>488</v>
      </c>
      <c r="BH127" s="271">
        <f>IFERROR(__xludf.DUMMYFUNCTION("""COMPUTED_VALUE"""),2.9763299360000003E7)</f>
        <v>29763299.36</v>
      </c>
      <c r="BI127" s="271">
        <f>IFERROR(__xludf.DUMMYFUNCTION("""COMPUTED_VALUE"""),2.726609972E7)</f>
        <v>27266099.72</v>
      </c>
      <c r="BJ127" s="273"/>
      <c r="BK127" s="274"/>
      <c r="BL127" s="319">
        <f t="shared" si="34"/>
        <v>0</v>
      </c>
      <c r="BM127" s="319">
        <f t="shared" si="14"/>
        <v>9999999</v>
      </c>
      <c r="BN127" s="274"/>
      <c r="BO127" s="311">
        <f>IFERROR(__xludf.DUMMYFUNCTION("IFERROR(ArrayFormula(SUM(VLOOKUP($C127,importrange(""1PTkkEa_ENkSqsGnpqoXy9kt0Fe1hCtlmU6kVFBNaonY"",""ORDER BOOKING REPORT 2025-26!C:CV""),{16,23,30},0))))"),2067540.6199999996)</f>
        <v>2067540.62</v>
      </c>
      <c r="BP127" s="311">
        <f>IFERROR(__xludf.DUMMYFUNCTION("IFERROR(ArrayFormula(SUM(VLOOKUP($C127,importrange(""1PTkkEa_ENkSqsGnpqoXy9kt0Fe1hCtlmU6kVFBNaonY"",""ORDER BOOKING REPORT 2025-26!C:CV""),{37,44,51},0))))"),6323740.219999999)</f>
        <v>6323740.22</v>
      </c>
      <c r="BQ127" s="311">
        <f>IFERROR(__xludf.DUMMYFUNCTION("IFERROR(ArrayFormula(SUM(VLOOKUP($C127,importrange(""1PTkkEa_ENkSqsGnpqoXy9kt0Fe1hCtlmU6kVFBNaonY"",""ORDER BOOKING REPORT 2025-26!C:CV""),{58,65,72},0))))"),7038967.18)</f>
        <v>7038967.18</v>
      </c>
      <c r="BR127" s="311">
        <f>IFERROR(__xludf.DUMMYFUNCTION("IFERROR(ArrayFormula(SUM(VLOOKUP($C127,importrange(""1PTkkEa_ENkSqsGnpqoXy9kt0Fe1hCtlmU6kVFBNaonY"",""ORDER BOOKING REPORT 2025-26!C:CV""),{79,86,93},0))))"),1.1835851700000001E7)</f>
        <v>11835851.7</v>
      </c>
      <c r="BS127" s="322">
        <f t="shared" si="15"/>
        <v>0.6692734819</v>
      </c>
      <c r="BT127" s="322">
        <f t="shared" si="16"/>
        <v>0.01164770604</v>
      </c>
      <c r="BU127" s="287">
        <f t="shared" si="17"/>
        <v>0</v>
      </c>
      <c r="BV127" s="320">
        <v>25985.0</v>
      </c>
      <c r="BW127" s="321" t="s">
        <v>526</v>
      </c>
      <c r="BX127" s="320">
        <v>1244.0</v>
      </c>
      <c r="BY127" s="287">
        <f t="shared" si="18"/>
        <v>0</v>
      </c>
      <c r="BZ127" s="10"/>
      <c r="CA127" s="10"/>
      <c r="CB127" s="10"/>
      <c r="CC127" s="10"/>
      <c r="CD127" s="10"/>
      <c r="CE127" s="10"/>
      <c r="CF127" s="10"/>
      <c r="CG127" s="318" t="str">
        <f t="shared" si="21"/>
        <v>Below 60</v>
      </c>
      <c r="CH127" s="318" t="str">
        <f t="shared" si="28"/>
        <v>Business Achieved 50%</v>
      </c>
      <c r="CI127" s="322">
        <f t="shared" si="22"/>
        <v>0.5365853659</v>
      </c>
      <c r="CJ127" s="323"/>
      <c r="CK127" s="323"/>
      <c r="CL127" s="323"/>
      <c r="CM127" s="324">
        <f t="shared" si="23"/>
        <v>294</v>
      </c>
      <c r="CN127" s="325"/>
      <c r="CO127" s="6"/>
      <c r="CP127" s="6"/>
      <c r="CQ127" s="327"/>
      <c r="CR127" s="6"/>
      <c r="CS127" s="6"/>
      <c r="CT127" s="6"/>
      <c r="CU127" s="6"/>
      <c r="CV127" s="6"/>
      <c r="CW127" s="327">
        <f t="shared" si="27"/>
        <v>0</v>
      </c>
      <c r="CX127" s="270"/>
      <c r="CY127" s="6"/>
      <c r="CZ127" s="6"/>
    </row>
    <row r="128" hidden="1">
      <c r="A128" s="307" t="s">
        <v>72</v>
      </c>
      <c r="B128" s="307" t="s">
        <v>527</v>
      </c>
      <c r="C128" s="307" t="s">
        <v>80</v>
      </c>
      <c r="D128" s="307" t="s">
        <v>559</v>
      </c>
      <c r="E128" s="307" t="s">
        <v>81</v>
      </c>
      <c r="F128" s="346">
        <v>45793.0</v>
      </c>
      <c r="G128" s="309">
        <v>0.0</v>
      </c>
      <c r="H128" s="309">
        <v>4200000.0</v>
      </c>
      <c r="I128" s="287">
        <v>4890677.0</v>
      </c>
      <c r="J128" s="287">
        <v>0.0</v>
      </c>
      <c r="K128" s="284">
        <v>74.0</v>
      </c>
      <c r="L128" s="284">
        <v>66.0</v>
      </c>
      <c r="M128" s="284">
        <v>2.0</v>
      </c>
      <c r="N128" s="284">
        <v>76.0</v>
      </c>
      <c r="O128" s="284">
        <v>10.0</v>
      </c>
      <c r="P128" s="287">
        <v>4418512.81</v>
      </c>
      <c r="Q128" s="287">
        <v>472164.0</v>
      </c>
      <c r="R128" s="284">
        <v>42.0</v>
      </c>
      <c r="S128" s="284">
        <v>2.0</v>
      </c>
      <c r="T128" s="284">
        <v>44.0</v>
      </c>
      <c r="U128" s="284">
        <v>0.0</v>
      </c>
      <c r="V128" s="284">
        <v>3.0</v>
      </c>
      <c r="W128" s="284">
        <v>3.0</v>
      </c>
      <c r="X128" s="284">
        <v>3.0</v>
      </c>
      <c r="Y128" s="284">
        <v>1.0</v>
      </c>
      <c r="Z128" s="284">
        <v>7.0</v>
      </c>
      <c r="AA128" s="284">
        <v>0.0</v>
      </c>
      <c r="AB128" s="284">
        <v>0.0</v>
      </c>
      <c r="AC128" s="284">
        <v>0.0</v>
      </c>
      <c r="AD128" s="284">
        <v>0.0</v>
      </c>
      <c r="AE128" s="284">
        <v>465.0</v>
      </c>
      <c r="AF128" s="284">
        <v>475.0</v>
      </c>
      <c r="AG128" s="284">
        <v>72.0</v>
      </c>
      <c r="AH128" s="309">
        <f t="shared" si="2"/>
        <v>67926.06944</v>
      </c>
      <c r="AI128" s="309">
        <f t="shared" si="3"/>
        <v>6.597222222</v>
      </c>
      <c r="AJ128" s="345">
        <v>27000.0</v>
      </c>
      <c r="AK128" s="309">
        <f t="shared" si="33"/>
        <v>81000</v>
      </c>
      <c r="AL128" s="286"/>
      <c r="AM128" s="313">
        <f t="shared" si="5"/>
        <v>0.01656212422</v>
      </c>
      <c r="AN128" s="309">
        <f t="shared" si="6"/>
        <v>111151.75</v>
      </c>
      <c r="AO128" s="314">
        <f t="shared" si="7"/>
        <v>1.164446905</v>
      </c>
      <c r="AP128" s="315">
        <v>0.0</v>
      </c>
      <c r="AQ128" s="284">
        <v>94.0</v>
      </c>
      <c r="AR128" s="284">
        <v>644.0</v>
      </c>
      <c r="AS128" s="284">
        <v>4290.84</v>
      </c>
      <c r="AT128" s="284">
        <v>2.0</v>
      </c>
      <c r="AU128" s="284">
        <v>65.0</v>
      </c>
      <c r="AV128" s="284">
        <v>44.0</v>
      </c>
      <c r="AW128" s="284">
        <v>23.0</v>
      </c>
      <c r="AX128" s="284">
        <v>9.0</v>
      </c>
      <c r="AY128" s="309">
        <v>1502887.29</v>
      </c>
      <c r="AZ128" s="316"/>
      <c r="BA128" s="307" t="str">
        <f t="shared" si="8"/>
        <v>Active</v>
      </c>
      <c r="BB128" s="307" t="str">
        <f t="shared" si="9"/>
        <v>Old</v>
      </c>
      <c r="BC128" s="307" t="str">
        <f t="shared" si="10"/>
        <v>Above 100%</v>
      </c>
      <c r="BD128" s="286">
        <f t="shared" si="35"/>
        <v>3</v>
      </c>
      <c r="BE128" s="319">
        <v>962500.0</v>
      </c>
      <c r="BF128" s="284">
        <f t="shared" si="12"/>
        <v>0</v>
      </c>
      <c r="BG128" s="307" t="s">
        <v>488</v>
      </c>
      <c r="BH128" s="271">
        <f>IFERROR(__xludf.DUMMYFUNCTION("""COMPUTED_VALUE"""),8652964.229999999)</f>
        <v>8652964.23</v>
      </c>
      <c r="BI128" s="271">
        <f>IFERROR(__xludf.DUMMYFUNCTION("""COMPUTED_VALUE"""),1.0690030200585939E7)</f>
        <v>10690030.2</v>
      </c>
      <c r="BJ128" s="341">
        <f>15/31</f>
        <v>0.4838709677</v>
      </c>
      <c r="BK128" s="274"/>
      <c r="BL128" s="319">
        <f t="shared" si="34"/>
        <v>0</v>
      </c>
      <c r="BM128" s="319">
        <f t="shared" si="14"/>
        <v>4200000</v>
      </c>
      <c r="BN128" s="274"/>
      <c r="BO128" s="311">
        <f>IFERROR(__xludf.DUMMYFUNCTION("IFERROR(ArrayFormula(SUM(VLOOKUP($C128,importrange(""1PTkkEa_ENkSqsGnpqoXy9kt0Fe1hCtlmU6kVFBNaonY"",""ORDER BOOKING REPORT 2025-26!C:CV""),{16,23,30},0))))"),1024185.0005859374)</f>
        <v>1024185.001</v>
      </c>
      <c r="BP128" s="311">
        <f>IFERROR(__xludf.DUMMYFUNCTION("IFERROR(ArrayFormula(SUM(VLOOKUP($C128,importrange(""1PTkkEa_ENkSqsGnpqoXy9kt0Fe1hCtlmU6kVFBNaonY"",""ORDER BOOKING REPORT 2025-26!C:CV""),{37,44,51},0))))"),2931753.0)</f>
        <v>2931753</v>
      </c>
      <c r="BQ128" s="311">
        <f>IFERROR(__xludf.DUMMYFUNCTION("IFERROR(ArrayFormula(SUM(VLOOKUP($C128,importrange(""1PTkkEa_ENkSqsGnpqoXy9kt0Fe1hCtlmU6kVFBNaonY"",""ORDER BOOKING REPORT 2025-26!C:CV""),{58,65,72},0))))"),2878869.6000000006)</f>
        <v>2878869.6</v>
      </c>
      <c r="BR128" s="311">
        <f>IFERROR(__xludf.DUMMYFUNCTION("IFERROR(ArrayFormula(SUM(VLOOKUP($C128,importrange(""1PTkkEa_ENkSqsGnpqoXy9kt0Fe1hCtlmU6kVFBNaonY"",""ORDER BOOKING REPORT 2025-26!C:CV""),{79,86,93},0))))"),3855222.6000000006)</f>
        <v>3855222.6</v>
      </c>
      <c r="BS128" s="322">
        <f t="shared" si="15"/>
        <v>0.3578303071</v>
      </c>
      <c r="BT128" s="322">
        <f t="shared" si="16"/>
        <v>0.05389625725</v>
      </c>
      <c r="BU128" s="287">
        <f t="shared" si="17"/>
        <v>0</v>
      </c>
      <c r="BV128" s="349"/>
      <c r="BW128" s="349"/>
      <c r="BX128" s="349"/>
      <c r="BY128" s="287">
        <f t="shared" si="18"/>
        <v>-27000</v>
      </c>
      <c r="BZ128" s="10"/>
      <c r="CA128" s="10"/>
      <c r="CB128" s="10"/>
      <c r="CC128" s="10"/>
      <c r="CD128" s="10"/>
      <c r="CE128" s="10"/>
      <c r="CF128" s="10"/>
      <c r="CG128" s="318" t="str">
        <f t="shared" si="21"/>
        <v> </v>
      </c>
      <c r="CH128" s="318" t="str">
        <f t="shared" si="28"/>
        <v>Business Achieved 50%</v>
      </c>
      <c r="CI128" s="322">
        <f t="shared" si="22"/>
        <v>0.5789473684</v>
      </c>
      <c r="CJ128" s="323"/>
      <c r="CK128" s="323"/>
      <c r="CL128" s="323"/>
      <c r="CM128" s="324">
        <f t="shared" si="23"/>
        <v>465</v>
      </c>
      <c r="CN128" s="337"/>
      <c r="CO128" s="152"/>
      <c r="CP128" s="152"/>
      <c r="CQ128" s="327"/>
      <c r="CR128" s="152"/>
      <c r="CS128" s="152"/>
      <c r="CT128" s="152"/>
      <c r="CU128" s="152"/>
      <c r="CV128" s="152"/>
      <c r="CW128" s="327">
        <f t="shared" si="27"/>
        <v>0</v>
      </c>
      <c r="CX128" s="270"/>
      <c r="CY128" s="152"/>
      <c r="CZ128" s="152"/>
    </row>
    <row r="129" hidden="1">
      <c r="A129" s="307" t="s">
        <v>301</v>
      </c>
      <c r="B129" s="307" t="s">
        <v>506</v>
      </c>
      <c r="C129" s="307" t="s">
        <v>304</v>
      </c>
      <c r="D129" s="307" t="s">
        <v>531</v>
      </c>
      <c r="E129" s="307" t="s">
        <v>305</v>
      </c>
      <c r="F129" s="329">
        <v>45810.0</v>
      </c>
      <c r="G129" s="309">
        <v>0.0</v>
      </c>
      <c r="H129" s="309">
        <v>3750000.0</v>
      </c>
      <c r="I129" s="287">
        <v>1081845.0</v>
      </c>
      <c r="J129" s="287">
        <v>0.0</v>
      </c>
      <c r="K129" s="284">
        <v>47.0</v>
      </c>
      <c r="L129" s="284">
        <v>40.0</v>
      </c>
      <c r="M129" s="284">
        <v>6.0</v>
      </c>
      <c r="N129" s="284">
        <v>53.0</v>
      </c>
      <c r="O129" s="284">
        <v>13.0</v>
      </c>
      <c r="P129" s="287">
        <v>748877.82</v>
      </c>
      <c r="Q129" s="287">
        <v>332966.88</v>
      </c>
      <c r="R129" s="284">
        <v>21.0</v>
      </c>
      <c r="S129" s="284">
        <v>6.0</v>
      </c>
      <c r="T129" s="284">
        <v>27.0</v>
      </c>
      <c r="U129" s="284">
        <v>0.0</v>
      </c>
      <c r="V129" s="284">
        <v>41.0</v>
      </c>
      <c r="W129" s="284">
        <v>69.0</v>
      </c>
      <c r="X129" s="284">
        <v>87.0</v>
      </c>
      <c r="Y129" s="284">
        <v>1.0</v>
      </c>
      <c r="Z129" s="284">
        <v>9.0</v>
      </c>
      <c r="AA129" s="284">
        <v>0.0</v>
      </c>
      <c r="AB129" s="284">
        <v>0.0</v>
      </c>
      <c r="AC129" s="284">
        <v>1.0</v>
      </c>
      <c r="AD129" s="284">
        <v>1.0</v>
      </c>
      <c r="AE129" s="284">
        <v>194.0</v>
      </c>
      <c r="AF129" s="284">
        <v>273.0</v>
      </c>
      <c r="AG129" s="284">
        <v>72.0</v>
      </c>
      <c r="AH129" s="309">
        <f t="shared" si="2"/>
        <v>15025.625</v>
      </c>
      <c r="AI129" s="309">
        <f t="shared" si="3"/>
        <v>3.791666667</v>
      </c>
      <c r="AJ129" s="345">
        <v>38285.0</v>
      </c>
      <c r="AK129" s="309">
        <f t="shared" si="33"/>
        <v>114855</v>
      </c>
      <c r="AL129" s="312"/>
      <c r="AM129" s="313">
        <f t="shared" si="5"/>
        <v>0.1061658556</v>
      </c>
      <c r="AN129" s="309">
        <f t="shared" si="6"/>
        <v>40068.33333</v>
      </c>
      <c r="AO129" s="314">
        <f t="shared" si="7"/>
        <v>0.288492</v>
      </c>
      <c r="AP129" s="315">
        <v>0.0</v>
      </c>
      <c r="AQ129" s="284">
        <v>61.0</v>
      </c>
      <c r="AR129" s="284">
        <v>555.0</v>
      </c>
      <c r="AS129" s="284">
        <v>2056.66</v>
      </c>
      <c r="AT129" s="284">
        <v>6.0</v>
      </c>
      <c r="AU129" s="284">
        <v>51.0</v>
      </c>
      <c r="AV129" s="284">
        <v>27.0</v>
      </c>
      <c r="AW129" s="284">
        <v>14.0</v>
      </c>
      <c r="AX129" s="284">
        <v>12.0</v>
      </c>
      <c r="AY129" s="309">
        <v>0.0</v>
      </c>
      <c r="AZ129" s="316"/>
      <c r="BA129" s="307" t="str">
        <f t="shared" si="8"/>
        <v>Active</v>
      </c>
      <c r="BB129" s="307" t="str">
        <f t="shared" si="9"/>
        <v>Old</v>
      </c>
      <c r="BC129" s="307" t="str">
        <f t="shared" si="10"/>
        <v>Below 50%</v>
      </c>
      <c r="BD129" s="286">
        <f t="shared" si="35"/>
        <v>3</v>
      </c>
      <c r="BE129" s="328">
        <v>1250000.0</v>
      </c>
      <c r="BF129" s="284">
        <f t="shared" si="12"/>
        <v>0</v>
      </c>
      <c r="BG129" s="307" t="s">
        <v>488</v>
      </c>
      <c r="BH129" s="271">
        <f>IFERROR(__xludf.DUMMYFUNCTION("""COMPUTED_VALUE"""),0.0)</f>
        <v>0</v>
      </c>
      <c r="BI129" s="271">
        <f>IFERROR(__xludf.DUMMYFUNCTION("""COMPUTED_VALUE"""),2939713.64)</f>
        <v>2939713.64</v>
      </c>
      <c r="BJ129" s="350"/>
      <c r="BK129" s="274"/>
      <c r="BL129" s="319">
        <f t="shared" si="34"/>
        <v>0</v>
      </c>
      <c r="BM129" s="319">
        <f t="shared" si="14"/>
        <v>3750000</v>
      </c>
      <c r="BN129" s="274"/>
      <c r="BO129" s="311">
        <f>IFERROR(__xludf.DUMMYFUNCTION("IFERROR(ArrayFormula(SUM(VLOOKUP($C129,importrange(""1PTkkEa_ENkSqsGnpqoXy9kt0Fe1hCtlmU6kVFBNaonY"",""ORDER BOOKING REPORT 2025-26!C:CV""),{16,23,30},0))))"),47444.28)</f>
        <v>47444.28</v>
      </c>
      <c r="BP129" s="311">
        <f>IFERROR(__xludf.DUMMYFUNCTION("IFERROR(ArrayFormula(SUM(VLOOKUP($C129,importrange(""1PTkkEa_ENkSqsGnpqoXy9kt0Fe1hCtlmU6kVFBNaonY"",""ORDER BOOKING REPORT 2025-26!C:CV""),{37,44,51},0))))"),615905.0299999999)</f>
        <v>615905.03</v>
      </c>
      <c r="BQ129" s="311">
        <f>IFERROR(__xludf.DUMMYFUNCTION("IFERROR(ArrayFormula(SUM(VLOOKUP($C129,importrange(""1PTkkEa_ENkSqsGnpqoXy9kt0Fe1hCtlmU6kVFBNaonY"",""ORDER BOOKING REPORT 2025-26!C:CV""),{58,65,72},0))))"),716437.66)</f>
        <v>716437.66</v>
      </c>
      <c r="BR129" s="311">
        <f>IFERROR(__xludf.DUMMYFUNCTION("IFERROR(ArrayFormula(SUM(VLOOKUP($C129,importrange(""1PTkkEa_ENkSqsGnpqoXy9kt0Fe1hCtlmU6kVFBNaonY"",""ORDER BOOKING REPORT 2025-26!C:CV""),{79,86,93},0))))"),1559926.67)</f>
        <v>1559926.67</v>
      </c>
      <c r="BS129" s="322">
        <f t="shared" si="15"/>
        <v>0</v>
      </c>
      <c r="BT129" s="152" t="str">
        <f t="shared" si="16"/>
        <v/>
      </c>
      <c r="BU129" s="287">
        <f t="shared" si="17"/>
        <v>0</v>
      </c>
      <c r="BV129" s="320">
        <v>38285.0</v>
      </c>
      <c r="BW129" s="321" t="s">
        <v>489</v>
      </c>
      <c r="BX129" s="320">
        <v>1261.0</v>
      </c>
      <c r="BY129" s="287">
        <f t="shared" si="18"/>
        <v>0</v>
      </c>
      <c r="BZ129" s="10"/>
      <c r="CA129" s="10"/>
      <c r="CB129" s="10"/>
      <c r="CC129" s="10"/>
      <c r="CD129" s="10"/>
      <c r="CE129" s="10"/>
      <c r="CF129" s="10"/>
      <c r="CG129" s="318" t="str">
        <f t="shared" si="21"/>
        <v>Below 60</v>
      </c>
      <c r="CH129" s="318" t="str">
        <f t="shared" si="28"/>
        <v>Business Achieved 50%</v>
      </c>
      <c r="CI129" s="322">
        <f t="shared" si="22"/>
        <v>0.5094339623</v>
      </c>
      <c r="CJ129" s="323"/>
      <c r="CK129" s="323"/>
      <c r="CL129" s="323"/>
      <c r="CM129" s="324">
        <f t="shared" si="23"/>
        <v>194</v>
      </c>
      <c r="CN129" s="325"/>
      <c r="CO129" s="6"/>
      <c r="CP129" s="6"/>
      <c r="CQ129" s="327"/>
      <c r="CR129" s="6"/>
      <c r="CS129" s="6"/>
      <c r="CT129" s="6"/>
      <c r="CU129" s="6"/>
      <c r="CV129" s="6"/>
      <c r="CW129" s="327">
        <f t="shared" si="27"/>
        <v>0</v>
      </c>
      <c r="CX129" s="270"/>
      <c r="CY129" s="6"/>
      <c r="CZ129" s="6"/>
    </row>
    <row r="130" hidden="1">
      <c r="A130" s="307" t="s">
        <v>160</v>
      </c>
      <c r="B130" s="307" t="s">
        <v>483</v>
      </c>
      <c r="C130" s="307" t="s">
        <v>246</v>
      </c>
      <c r="D130" s="307" t="s">
        <v>484</v>
      </c>
      <c r="E130" s="307" t="s">
        <v>162</v>
      </c>
      <c r="F130" s="329">
        <v>45817.0</v>
      </c>
      <c r="G130" s="309">
        <v>0.0</v>
      </c>
      <c r="H130" s="309">
        <v>6249999.0</v>
      </c>
      <c r="I130" s="287">
        <v>2862123.0</v>
      </c>
      <c r="J130" s="287">
        <v>0.0</v>
      </c>
      <c r="K130" s="284">
        <v>79.0</v>
      </c>
      <c r="L130" s="284">
        <v>53.0</v>
      </c>
      <c r="M130" s="284">
        <v>4.0</v>
      </c>
      <c r="N130" s="284">
        <v>83.0</v>
      </c>
      <c r="O130" s="284">
        <v>30.0</v>
      </c>
      <c r="P130" s="287">
        <v>2786700.66</v>
      </c>
      <c r="Q130" s="287">
        <v>75422.7</v>
      </c>
      <c r="R130" s="284">
        <v>24.0</v>
      </c>
      <c r="S130" s="284">
        <v>2.0</v>
      </c>
      <c r="T130" s="284">
        <v>26.0</v>
      </c>
      <c r="U130" s="284">
        <v>0.0</v>
      </c>
      <c r="V130" s="284">
        <v>53.0</v>
      </c>
      <c r="W130" s="284">
        <v>74.0</v>
      </c>
      <c r="X130" s="284">
        <v>166.0</v>
      </c>
      <c r="Y130" s="284">
        <v>1.0</v>
      </c>
      <c r="Z130" s="284">
        <v>4.0</v>
      </c>
      <c r="AA130" s="284">
        <v>0.0</v>
      </c>
      <c r="AB130" s="284">
        <v>0.0</v>
      </c>
      <c r="AC130" s="284">
        <v>0.0</v>
      </c>
      <c r="AD130" s="284">
        <v>0.0</v>
      </c>
      <c r="AE130" s="284">
        <v>200.0</v>
      </c>
      <c r="AF130" s="284">
        <v>278.0</v>
      </c>
      <c r="AG130" s="284">
        <v>72.0</v>
      </c>
      <c r="AH130" s="309">
        <f t="shared" si="2"/>
        <v>39751.70833</v>
      </c>
      <c r="AI130" s="309">
        <f t="shared" si="3"/>
        <v>3.861111111</v>
      </c>
      <c r="AJ130" s="345">
        <v>32500.0</v>
      </c>
      <c r="AK130" s="309">
        <f t="shared" si="33"/>
        <v>97500</v>
      </c>
      <c r="AL130" s="312"/>
      <c r="AM130" s="313">
        <f t="shared" si="5"/>
        <v>0.03406562192</v>
      </c>
      <c r="AN130" s="309">
        <f t="shared" si="6"/>
        <v>110081.6538</v>
      </c>
      <c r="AO130" s="314">
        <f t="shared" si="7"/>
        <v>0.4579397533</v>
      </c>
      <c r="AP130" s="315">
        <v>0.0</v>
      </c>
      <c r="AQ130" s="284">
        <v>43.0</v>
      </c>
      <c r="AR130" s="284">
        <v>715.0</v>
      </c>
      <c r="AS130" s="284">
        <v>5487.16</v>
      </c>
      <c r="AT130" s="284">
        <v>2.0</v>
      </c>
      <c r="AU130" s="284">
        <v>104.0</v>
      </c>
      <c r="AV130" s="284">
        <v>26.0</v>
      </c>
      <c r="AW130" s="284">
        <v>27.0</v>
      </c>
      <c r="AX130" s="284">
        <v>30.0</v>
      </c>
      <c r="AY130" s="309">
        <v>1592702.0</v>
      </c>
      <c r="AZ130" s="316"/>
      <c r="BA130" s="307" t="str">
        <f t="shared" si="8"/>
        <v>Active</v>
      </c>
      <c r="BB130" s="307" t="str">
        <f t="shared" si="9"/>
        <v>Old</v>
      </c>
      <c r="BC130" s="307" t="str">
        <f t="shared" si="10"/>
        <v>Below 50%</v>
      </c>
      <c r="BD130" s="286">
        <f t="shared" si="35"/>
        <v>3</v>
      </c>
      <c r="BE130" s="328">
        <v>2083333.0</v>
      </c>
      <c r="BF130" s="284">
        <f t="shared" si="12"/>
        <v>2</v>
      </c>
      <c r="BG130" s="307" t="s">
        <v>488</v>
      </c>
      <c r="BH130" s="271">
        <f>IFERROR(__xludf.DUMMYFUNCTION("""COMPUTED_VALUE"""),4094227.0)</f>
        <v>4094227</v>
      </c>
      <c r="BI130" s="271">
        <f>IFERROR(__xludf.DUMMYFUNCTION("""COMPUTED_VALUE"""),4564361.16)</f>
        <v>4564361.16</v>
      </c>
      <c r="BJ130" s="273"/>
      <c r="BK130" s="274"/>
      <c r="BL130" s="319">
        <f t="shared" si="34"/>
        <v>0</v>
      </c>
      <c r="BM130" s="319">
        <f t="shared" si="14"/>
        <v>6249999</v>
      </c>
      <c r="BN130" s="274"/>
      <c r="BO130" s="311">
        <f>IFERROR(__xludf.DUMMYFUNCTION("IFERROR(ArrayFormula(SUM(VLOOKUP($C130,importrange(""1PTkkEa_ENkSqsGnpqoXy9kt0Fe1hCtlmU6kVFBNaonY"",""ORDER BOOKING REPORT 2025-26!C:CV""),{16,23,30},0))))"),56499.0)</f>
        <v>56499</v>
      </c>
      <c r="BP130" s="311">
        <f>IFERROR(__xludf.DUMMYFUNCTION("IFERROR(ArrayFormula(SUM(VLOOKUP($C130,importrange(""1PTkkEa_ENkSqsGnpqoXy9kt0Fe1hCtlmU6kVFBNaonY"",""ORDER BOOKING REPORT 2025-26!C:CV""),{37,44,51},0))))"),1006481.48)</f>
        <v>1006481.48</v>
      </c>
      <c r="BQ130" s="311">
        <f>IFERROR(__xludf.DUMMYFUNCTION("IFERROR(ArrayFormula(SUM(VLOOKUP($C130,importrange(""1PTkkEa_ENkSqsGnpqoXy9kt0Fe1hCtlmU6kVFBNaonY"",""ORDER BOOKING REPORT 2025-26!C:CV""),{58,65,72},0))))"),1502730.94)</f>
        <v>1502730.94</v>
      </c>
      <c r="BR130" s="311">
        <f>IFERROR(__xludf.DUMMYFUNCTION("IFERROR(ArrayFormula(SUM(VLOOKUP($C130,importrange(""1PTkkEa_ENkSqsGnpqoXy9kt0Fe1hCtlmU6kVFBNaonY"",""ORDER BOOKING REPORT 2025-26!C:CV""),{79,86,93},0))))"),1998649.74)</f>
        <v>1998649.74</v>
      </c>
      <c r="BS130" s="322">
        <f t="shared" si="15"/>
        <v>0.2548323608</v>
      </c>
      <c r="BT130" s="322">
        <f t="shared" si="16"/>
        <v>0.06121672479</v>
      </c>
      <c r="BU130" s="287">
        <f t="shared" si="17"/>
        <v>0</v>
      </c>
      <c r="BV130" s="320">
        <v>32500.0</v>
      </c>
      <c r="BW130" s="321" t="s">
        <v>502</v>
      </c>
      <c r="BX130" s="320">
        <v>1253.0</v>
      </c>
      <c r="BY130" s="287">
        <f t="shared" si="18"/>
        <v>0</v>
      </c>
      <c r="BZ130" s="10"/>
      <c r="CA130" s="10"/>
      <c r="CB130" s="10"/>
      <c r="CC130" s="10"/>
      <c r="CD130" s="10"/>
      <c r="CE130" s="10"/>
      <c r="CF130" s="10"/>
      <c r="CG130" s="318" t="str">
        <f t="shared" si="21"/>
        <v> </v>
      </c>
      <c r="CH130" s="318" t="str">
        <f t="shared" si="28"/>
        <v>Not 50%</v>
      </c>
      <c r="CI130" s="322">
        <f t="shared" si="22"/>
        <v>0.313253012</v>
      </c>
      <c r="CJ130" s="323"/>
      <c r="CK130" s="323"/>
      <c r="CL130" s="323"/>
      <c r="CM130" s="324">
        <f t="shared" si="23"/>
        <v>200</v>
      </c>
      <c r="CN130" s="325"/>
      <c r="CO130" s="6"/>
      <c r="CP130" s="6"/>
      <c r="CQ130" s="327"/>
      <c r="CR130" s="6"/>
      <c r="CS130" s="6"/>
      <c r="CT130" s="6"/>
      <c r="CU130" s="6"/>
      <c r="CV130" s="6"/>
      <c r="CW130" s="327">
        <f t="shared" si="27"/>
        <v>0</v>
      </c>
      <c r="CX130" s="270"/>
      <c r="CY130" s="6"/>
      <c r="CZ130" s="6"/>
    </row>
    <row r="131" hidden="1">
      <c r="A131" s="307" t="s">
        <v>103</v>
      </c>
      <c r="B131" s="307" t="s">
        <v>495</v>
      </c>
      <c r="C131" s="307" t="s">
        <v>146</v>
      </c>
      <c r="D131" s="307" t="s">
        <v>553</v>
      </c>
      <c r="E131" s="307" t="s">
        <v>147</v>
      </c>
      <c r="F131" s="329">
        <v>45839.0</v>
      </c>
      <c r="G131" s="309">
        <v>0.0</v>
      </c>
      <c r="H131" s="309">
        <v>4950000.0</v>
      </c>
      <c r="I131" s="287">
        <v>3281352.0</v>
      </c>
      <c r="J131" s="287">
        <v>0.0</v>
      </c>
      <c r="K131" s="284">
        <v>85.0</v>
      </c>
      <c r="L131" s="284">
        <v>89.0</v>
      </c>
      <c r="M131" s="284">
        <v>4.0</v>
      </c>
      <c r="N131" s="284">
        <v>89.0</v>
      </c>
      <c r="O131" s="284">
        <v>0.0</v>
      </c>
      <c r="P131" s="287">
        <v>3123277.42</v>
      </c>
      <c r="Q131" s="287">
        <v>158074.4</v>
      </c>
      <c r="R131" s="284">
        <v>58.0</v>
      </c>
      <c r="S131" s="284">
        <v>4.0</v>
      </c>
      <c r="T131" s="284">
        <v>62.0</v>
      </c>
      <c r="U131" s="284">
        <v>0.0</v>
      </c>
      <c r="V131" s="284">
        <v>26.0</v>
      </c>
      <c r="W131" s="284">
        <v>62.0</v>
      </c>
      <c r="X131" s="284">
        <v>1.0</v>
      </c>
      <c r="Y131" s="284">
        <v>1.0</v>
      </c>
      <c r="Z131" s="284">
        <v>23.0</v>
      </c>
      <c r="AA131" s="284">
        <v>0.0</v>
      </c>
      <c r="AB131" s="284">
        <v>0.0</v>
      </c>
      <c r="AC131" s="284">
        <v>0.0</v>
      </c>
      <c r="AD131" s="284">
        <v>0.0</v>
      </c>
      <c r="AE131" s="284">
        <v>425.0</v>
      </c>
      <c r="AF131" s="284">
        <v>510.0</v>
      </c>
      <c r="AG131" s="284">
        <v>78.0</v>
      </c>
      <c r="AH131" s="309">
        <f t="shared" si="2"/>
        <v>42068.61538</v>
      </c>
      <c r="AI131" s="309">
        <f t="shared" si="3"/>
        <v>6.538461538</v>
      </c>
      <c r="AJ131" s="345">
        <v>27800.0</v>
      </c>
      <c r="AK131" s="309">
        <f t="shared" si="33"/>
        <v>83400</v>
      </c>
      <c r="AL131" s="286"/>
      <c r="AM131" s="313">
        <f t="shared" si="5"/>
        <v>0.02541635277</v>
      </c>
      <c r="AN131" s="309">
        <f t="shared" si="6"/>
        <v>52925.03226</v>
      </c>
      <c r="AO131" s="314">
        <f t="shared" si="7"/>
        <v>0.6628993939</v>
      </c>
      <c r="AP131" s="315">
        <v>0.0</v>
      </c>
      <c r="AQ131" s="284">
        <v>136.0</v>
      </c>
      <c r="AR131" s="284">
        <v>720.0</v>
      </c>
      <c r="AS131" s="284">
        <v>6693.1</v>
      </c>
      <c r="AT131" s="284">
        <v>4.0</v>
      </c>
      <c r="AU131" s="284">
        <v>75.0</v>
      </c>
      <c r="AV131" s="284">
        <v>62.0</v>
      </c>
      <c r="AW131" s="284">
        <v>27.0</v>
      </c>
      <c r="AX131" s="284">
        <v>0.0</v>
      </c>
      <c r="AY131" s="309">
        <v>3089381.0</v>
      </c>
      <c r="AZ131" s="316"/>
      <c r="BA131" s="307" t="str">
        <f t="shared" si="8"/>
        <v>Active</v>
      </c>
      <c r="BB131" s="307" t="str">
        <f t="shared" si="9"/>
        <v>Old</v>
      </c>
      <c r="BC131" s="307" t="str">
        <f t="shared" si="10"/>
        <v>50%-70%</v>
      </c>
      <c r="BD131" s="286">
        <f t="shared" si="35"/>
        <v>3</v>
      </c>
      <c r="BE131" s="328">
        <v>1650000.0</v>
      </c>
      <c r="BF131" s="284">
        <f t="shared" si="12"/>
        <v>0</v>
      </c>
      <c r="BG131" s="307" t="s">
        <v>488</v>
      </c>
      <c r="BH131" s="271">
        <f>IFERROR(__xludf.DUMMYFUNCTION("""COMPUTED_VALUE"""),5604384.0)</f>
        <v>5604384</v>
      </c>
      <c r="BI131" s="271">
        <f>IFERROR(__xludf.DUMMYFUNCTION("""COMPUTED_VALUE"""),6654740.519999999)</f>
        <v>6654740.52</v>
      </c>
      <c r="BJ131" s="273"/>
      <c r="BK131" s="274"/>
      <c r="BL131" s="319">
        <f t="shared" si="34"/>
        <v>0</v>
      </c>
      <c r="BM131" s="319">
        <f t="shared" si="14"/>
        <v>4950000</v>
      </c>
      <c r="BN131" s="274"/>
      <c r="BO131" s="311">
        <f>IFERROR(__xludf.DUMMYFUNCTION("IFERROR(ArrayFormula(SUM(VLOOKUP($C131,importrange(""1PTkkEa_ENkSqsGnpqoXy9kt0Fe1hCtlmU6kVFBNaonY"",""ORDER BOOKING REPORT 2025-26!C:CV""),{16,23,30},0))))"),0.0)</f>
        <v>0</v>
      </c>
      <c r="BP131" s="311">
        <f>IFERROR(__xludf.DUMMYFUNCTION("IFERROR(ArrayFormula(SUM(VLOOKUP($C131,importrange(""1PTkkEa_ENkSqsGnpqoXy9kt0Fe1hCtlmU6kVFBNaonY"",""ORDER BOOKING REPORT 2025-26!C:CV""),{37,44,51},0))))"),1433187.69)</f>
        <v>1433187.69</v>
      </c>
      <c r="BQ131" s="311">
        <f>IFERROR(__xludf.DUMMYFUNCTION("IFERROR(ArrayFormula(SUM(VLOOKUP($C131,importrange(""1PTkkEa_ENkSqsGnpqoXy9kt0Fe1hCtlmU6kVFBNaonY"",""ORDER BOOKING REPORT 2025-26!C:CV""),{58,65,72},0))))"),2006690.9)</f>
        <v>2006690.9</v>
      </c>
      <c r="BR131" s="311">
        <f>IFERROR(__xludf.DUMMYFUNCTION("IFERROR(ArrayFormula(SUM(VLOOKUP($C131,importrange(""1PTkkEa_ENkSqsGnpqoXy9kt0Fe1hCtlmU6kVFBNaonY"",""ORDER BOOKING REPORT 2025-26!C:CV""),{79,86,93},0))))"),3214861.9299999997)</f>
        <v>3214861.93</v>
      </c>
      <c r="BS131" s="322">
        <f t="shared" si="15"/>
        <v>0.6241173737</v>
      </c>
      <c r="BT131" s="322">
        <f t="shared" si="16"/>
        <v>0.02699569914</v>
      </c>
      <c r="BU131" s="287">
        <f t="shared" si="17"/>
        <v>0</v>
      </c>
      <c r="BV131" s="349"/>
      <c r="BW131" s="349"/>
      <c r="BX131" s="349"/>
      <c r="BY131" s="287">
        <f t="shared" si="18"/>
        <v>-27800</v>
      </c>
      <c r="BZ131" s="10"/>
      <c r="CA131" s="10"/>
      <c r="CB131" s="10"/>
      <c r="CC131" s="10"/>
      <c r="CD131" s="10"/>
      <c r="CE131" s="10"/>
      <c r="CF131" s="10"/>
      <c r="CG131" s="318" t="str">
        <f t="shared" si="21"/>
        <v> </v>
      </c>
      <c r="CH131" s="318" t="str">
        <f t="shared" si="28"/>
        <v>Business Achieved 50%</v>
      </c>
      <c r="CI131" s="322">
        <f t="shared" si="22"/>
        <v>0.6966292135</v>
      </c>
      <c r="CJ131" s="323"/>
      <c r="CK131" s="323"/>
      <c r="CL131" s="323"/>
      <c r="CM131" s="324">
        <f t="shared" si="23"/>
        <v>425</v>
      </c>
      <c r="CN131" s="337"/>
      <c r="CO131" s="152"/>
      <c r="CP131" s="152"/>
      <c r="CQ131" s="327"/>
      <c r="CR131" s="152"/>
      <c r="CS131" s="152"/>
      <c r="CT131" s="152"/>
      <c r="CU131" s="152"/>
      <c r="CV131" s="152"/>
      <c r="CW131" s="327">
        <f t="shared" si="27"/>
        <v>0</v>
      </c>
      <c r="CX131" s="270"/>
      <c r="CY131" s="152"/>
      <c r="CZ131" s="152"/>
    </row>
    <row r="132" hidden="1">
      <c r="A132" s="307" t="s">
        <v>72</v>
      </c>
      <c r="B132" s="307" t="s">
        <v>527</v>
      </c>
      <c r="C132" s="307" t="s">
        <v>82</v>
      </c>
      <c r="D132" s="307" t="s">
        <v>559</v>
      </c>
      <c r="E132" s="307" t="s">
        <v>79</v>
      </c>
      <c r="F132" s="329">
        <v>45842.0</v>
      </c>
      <c r="G132" s="309">
        <v>0.0</v>
      </c>
      <c r="H132" s="309">
        <v>3600000.0</v>
      </c>
      <c r="I132" s="287">
        <v>3535138.0</v>
      </c>
      <c r="J132" s="287">
        <v>0.0</v>
      </c>
      <c r="K132" s="284">
        <v>125.0</v>
      </c>
      <c r="L132" s="284">
        <v>104.0</v>
      </c>
      <c r="M132" s="284">
        <v>4.0</v>
      </c>
      <c r="N132" s="284">
        <v>129.0</v>
      </c>
      <c r="O132" s="284">
        <v>25.0</v>
      </c>
      <c r="P132" s="287">
        <v>3475298.38</v>
      </c>
      <c r="Q132" s="287">
        <v>59839.8</v>
      </c>
      <c r="R132" s="284">
        <v>17.0</v>
      </c>
      <c r="S132" s="284">
        <v>3.0</v>
      </c>
      <c r="T132" s="284">
        <v>20.0</v>
      </c>
      <c r="U132" s="284">
        <v>0.0</v>
      </c>
      <c r="V132" s="284">
        <v>54.0</v>
      </c>
      <c r="W132" s="284">
        <v>107.0</v>
      </c>
      <c r="X132" s="284">
        <v>106.0</v>
      </c>
      <c r="Y132" s="284">
        <v>2.0</v>
      </c>
      <c r="Z132" s="284">
        <v>11.0</v>
      </c>
      <c r="AA132" s="284">
        <v>0.0</v>
      </c>
      <c r="AB132" s="284">
        <v>0.0</v>
      </c>
      <c r="AC132" s="284">
        <v>0.0</v>
      </c>
      <c r="AD132" s="284">
        <v>0.0</v>
      </c>
      <c r="AE132" s="284">
        <v>371.0</v>
      </c>
      <c r="AF132" s="284">
        <v>489.0</v>
      </c>
      <c r="AG132" s="284">
        <v>67.0</v>
      </c>
      <c r="AH132" s="309">
        <f t="shared" si="2"/>
        <v>52763.25373</v>
      </c>
      <c r="AI132" s="309">
        <f t="shared" si="3"/>
        <v>7.298507463</v>
      </c>
      <c r="AJ132" s="345">
        <v>48765.0</v>
      </c>
      <c r="AK132" s="309">
        <f t="shared" si="33"/>
        <v>146295</v>
      </c>
      <c r="AL132" s="286"/>
      <c r="AM132" s="313">
        <f t="shared" si="5"/>
        <v>0.04138310867</v>
      </c>
      <c r="AN132" s="309">
        <f t="shared" si="6"/>
        <v>176756.9</v>
      </c>
      <c r="AO132" s="314">
        <f t="shared" si="7"/>
        <v>0.9819827778</v>
      </c>
      <c r="AP132" s="315">
        <v>0.0</v>
      </c>
      <c r="AQ132" s="284">
        <v>58.0</v>
      </c>
      <c r="AR132" s="284">
        <v>633.0</v>
      </c>
      <c r="AS132" s="284">
        <v>8327.17</v>
      </c>
      <c r="AT132" s="284">
        <v>3.0</v>
      </c>
      <c r="AU132" s="284">
        <v>80.0</v>
      </c>
      <c r="AV132" s="284">
        <v>20.0</v>
      </c>
      <c r="AW132" s="284">
        <v>84.0</v>
      </c>
      <c r="AX132" s="284">
        <v>25.0</v>
      </c>
      <c r="AY132" s="309">
        <v>2498851.0</v>
      </c>
      <c r="AZ132" s="316"/>
      <c r="BA132" s="307" t="str">
        <f t="shared" si="8"/>
        <v>Active</v>
      </c>
      <c r="BB132" s="307" t="str">
        <f t="shared" si="9"/>
        <v>Old</v>
      </c>
      <c r="BC132" s="307" t="str">
        <f t="shared" si="10"/>
        <v>90%-100%</v>
      </c>
      <c r="BD132" s="286">
        <f t="shared" si="35"/>
        <v>3</v>
      </c>
      <c r="BE132" s="319">
        <v>825000.0</v>
      </c>
      <c r="BF132" s="284">
        <f t="shared" si="12"/>
        <v>1</v>
      </c>
      <c r="BG132" s="307" t="s">
        <v>488</v>
      </c>
      <c r="BH132" s="271">
        <f>IFERROR(__xludf.DUMMYFUNCTION("""COMPUTED_VALUE"""),6241226.0)</f>
        <v>6241226</v>
      </c>
      <c r="BI132" s="271">
        <f>IFERROR(__xludf.DUMMYFUNCTION("""COMPUTED_VALUE"""),9683539.1)</f>
        <v>9683539.1</v>
      </c>
      <c r="BJ132" s="273"/>
      <c r="BK132" s="274"/>
      <c r="BL132" s="319">
        <f t="shared" si="34"/>
        <v>0</v>
      </c>
      <c r="BM132" s="319">
        <f t="shared" si="14"/>
        <v>3600000</v>
      </c>
      <c r="BN132" s="274"/>
      <c r="BO132" s="311">
        <f>IFERROR(__xludf.DUMMYFUNCTION("IFERROR(ArrayFormula(SUM(VLOOKUP($C132,importrange(""1PTkkEa_ENkSqsGnpqoXy9kt0Fe1hCtlmU6kVFBNaonY"",""ORDER BOOKING REPORT 2025-26!C:CV""),{16,23,30},0))))"),0.0)</f>
        <v>0</v>
      </c>
      <c r="BP132" s="311">
        <f>IFERROR(__xludf.DUMMYFUNCTION("IFERROR(ArrayFormula(SUM(VLOOKUP($C132,importrange(""1PTkkEa_ENkSqsGnpqoXy9kt0Fe1hCtlmU6kVFBNaonY"",""ORDER BOOKING REPORT 2025-26!C:CV""),{37,44,51},0))))"),2760078.0999999996)</f>
        <v>2760078.1</v>
      </c>
      <c r="BQ132" s="311">
        <f>IFERROR(__xludf.DUMMYFUNCTION("IFERROR(ArrayFormula(SUM(VLOOKUP($C132,importrange(""1PTkkEa_ENkSqsGnpqoXy9kt0Fe1hCtlmU6kVFBNaonY"",""ORDER BOOKING REPORT 2025-26!C:CV""),{58,65,72},0))))"),2941380.0)</f>
        <v>2941380</v>
      </c>
      <c r="BR132" s="311">
        <f>IFERROR(__xludf.DUMMYFUNCTION("IFERROR(ArrayFormula(SUM(VLOOKUP($C132,importrange(""1PTkkEa_ENkSqsGnpqoXy9kt0Fe1hCtlmU6kVFBNaonY"",""ORDER BOOKING REPORT 2025-26!C:CV""),{79,86,93},0))))"),3982081.0)</f>
        <v>3982081</v>
      </c>
      <c r="BS132" s="322">
        <f t="shared" si="15"/>
        <v>0.6941252778</v>
      </c>
      <c r="BT132" s="322">
        <f t="shared" si="16"/>
        <v>0.05854490724</v>
      </c>
      <c r="BU132" s="287">
        <f t="shared" si="17"/>
        <v>0</v>
      </c>
      <c r="BV132" s="349"/>
      <c r="BW132" s="349"/>
      <c r="BX132" s="349"/>
      <c r="BY132" s="287">
        <f t="shared" si="18"/>
        <v>-48765</v>
      </c>
      <c r="BZ132" s="10"/>
      <c r="CA132" s="10"/>
      <c r="CB132" s="10"/>
      <c r="CC132" s="10"/>
      <c r="CD132" s="10"/>
      <c r="CE132" s="10"/>
      <c r="CF132" s="10"/>
      <c r="CG132" s="318" t="str">
        <f t="shared" si="21"/>
        <v> </v>
      </c>
      <c r="CH132" s="318" t="str">
        <f t="shared" si="28"/>
        <v>Not 50%</v>
      </c>
      <c r="CI132" s="322">
        <f t="shared" si="22"/>
        <v>0.1550387597</v>
      </c>
      <c r="CJ132" s="323"/>
      <c r="CK132" s="323"/>
      <c r="CL132" s="323"/>
      <c r="CM132" s="324">
        <f t="shared" si="23"/>
        <v>371</v>
      </c>
      <c r="CN132" s="337"/>
      <c r="CO132" s="152"/>
      <c r="CP132" s="152"/>
      <c r="CQ132" s="327"/>
      <c r="CR132" s="152"/>
      <c r="CS132" s="152"/>
      <c r="CT132" s="152"/>
      <c r="CU132" s="152"/>
      <c r="CV132" s="152"/>
      <c r="CW132" s="327">
        <f t="shared" si="27"/>
        <v>0</v>
      </c>
      <c r="CX132" s="270"/>
      <c r="CY132" s="152"/>
      <c r="CZ132" s="152"/>
    </row>
    <row r="133" hidden="1">
      <c r="A133" s="307" t="s">
        <v>160</v>
      </c>
      <c r="B133" s="307" t="s">
        <v>483</v>
      </c>
      <c r="C133" s="307" t="s">
        <v>247</v>
      </c>
      <c r="D133" s="307" t="s">
        <v>484</v>
      </c>
      <c r="E133" s="307" t="s">
        <v>248</v>
      </c>
      <c r="F133" s="329">
        <v>45845.0</v>
      </c>
      <c r="G133" s="309">
        <v>0.0</v>
      </c>
      <c r="H133" s="309">
        <v>9000000.0</v>
      </c>
      <c r="I133" s="287">
        <v>8516885.0</v>
      </c>
      <c r="J133" s="287">
        <v>0.0</v>
      </c>
      <c r="K133" s="284">
        <v>46.0</v>
      </c>
      <c r="L133" s="284">
        <v>45.0</v>
      </c>
      <c r="M133" s="284">
        <v>2.0</v>
      </c>
      <c r="N133" s="284">
        <v>48.0</v>
      </c>
      <c r="O133" s="284">
        <v>3.0</v>
      </c>
      <c r="P133" s="287">
        <v>8247204.66</v>
      </c>
      <c r="Q133" s="287">
        <v>269680.68</v>
      </c>
      <c r="R133" s="284">
        <v>31.0</v>
      </c>
      <c r="S133" s="284">
        <v>2.0</v>
      </c>
      <c r="T133" s="284">
        <v>33.0</v>
      </c>
      <c r="U133" s="284">
        <v>0.0</v>
      </c>
      <c r="V133" s="284">
        <v>17.0</v>
      </c>
      <c r="W133" s="284">
        <v>19.0</v>
      </c>
      <c r="X133" s="284">
        <v>39.0</v>
      </c>
      <c r="Y133" s="284">
        <v>1.0</v>
      </c>
      <c r="Z133" s="284">
        <v>8.0</v>
      </c>
      <c r="AA133" s="284">
        <v>0.0</v>
      </c>
      <c r="AB133" s="284">
        <v>0.0</v>
      </c>
      <c r="AC133" s="284">
        <v>0.0</v>
      </c>
      <c r="AD133" s="284">
        <v>0.0</v>
      </c>
      <c r="AE133" s="284">
        <v>280.0</v>
      </c>
      <c r="AF133" s="284">
        <v>307.0</v>
      </c>
      <c r="AG133" s="284">
        <v>72.0</v>
      </c>
      <c r="AH133" s="309">
        <f t="shared" si="2"/>
        <v>118290.0694</v>
      </c>
      <c r="AI133" s="309">
        <f t="shared" si="3"/>
        <v>4.263888889</v>
      </c>
      <c r="AJ133" s="345">
        <v>24120.0</v>
      </c>
      <c r="AK133" s="309">
        <f t="shared" si="33"/>
        <v>72360</v>
      </c>
      <c r="AL133" s="312"/>
      <c r="AM133" s="313">
        <f t="shared" si="5"/>
        <v>0.008496063995</v>
      </c>
      <c r="AN133" s="309">
        <f t="shared" si="6"/>
        <v>258087.4242</v>
      </c>
      <c r="AO133" s="314">
        <f t="shared" si="7"/>
        <v>0.9463205556</v>
      </c>
      <c r="AP133" s="315">
        <v>0.0</v>
      </c>
      <c r="AQ133" s="284">
        <v>65.0</v>
      </c>
      <c r="AR133" s="284">
        <v>846.0</v>
      </c>
      <c r="AS133" s="284">
        <v>8649.17</v>
      </c>
      <c r="AT133" s="284">
        <v>2.0</v>
      </c>
      <c r="AU133" s="284">
        <v>192.0</v>
      </c>
      <c r="AV133" s="284">
        <v>33.0</v>
      </c>
      <c r="AW133" s="284">
        <v>12.0</v>
      </c>
      <c r="AX133" s="284">
        <v>3.0</v>
      </c>
      <c r="AY133" s="309">
        <v>4113587.0</v>
      </c>
      <c r="AZ133" s="316"/>
      <c r="BA133" s="307" t="str">
        <f t="shared" si="8"/>
        <v>Active</v>
      </c>
      <c r="BB133" s="307" t="str">
        <f t="shared" si="9"/>
        <v>Old</v>
      </c>
      <c r="BC133" s="307" t="str">
        <f t="shared" si="10"/>
        <v>90%-100%</v>
      </c>
      <c r="BD133" s="286">
        <f t="shared" si="35"/>
        <v>3</v>
      </c>
      <c r="BE133" s="328">
        <v>3000000.0</v>
      </c>
      <c r="BF133" s="284">
        <f t="shared" si="12"/>
        <v>0</v>
      </c>
      <c r="BG133" s="307" t="s">
        <v>488</v>
      </c>
      <c r="BH133" s="271">
        <f>IFERROR(__xludf.DUMMYFUNCTION("""COMPUTED_VALUE"""),1.7523182E7)</f>
        <v>17523182</v>
      </c>
      <c r="BI133" s="271">
        <f>IFERROR(__xludf.DUMMYFUNCTION("""COMPUTED_VALUE"""),1.4689717780000001E7)</f>
        <v>14689717.78</v>
      </c>
      <c r="BJ133" s="273"/>
      <c r="BK133" s="274"/>
      <c r="BL133" s="319">
        <f t="shared" si="34"/>
        <v>0</v>
      </c>
      <c r="BM133" s="319">
        <f t="shared" si="14"/>
        <v>9000000</v>
      </c>
      <c r="BN133" s="274"/>
      <c r="BO133" s="311">
        <f>IFERROR(__xludf.DUMMYFUNCTION("IFERROR(ArrayFormula(SUM(VLOOKUP($C133,importrange(""1PTkkEa_ENkSqsGnpqoXy9kt0Fe1hCtlmU6kVFBNaonY"",""ORDER BOOKING REPORT 2025-26!C:CV""),{16,23,30},0))))"),0.0)</f>
        <v>0</v>
      </c>
      <c r="BP133" s="311">
        <f>IFERROR(__xludf.DUMMYFUNCTION("IFERROR(ArrayFormula(SUM(VLOOKUP($C133,importrange(""1PTkkEa_ENkSqsGnpqoXy9kt0Fe1hCtlmU6kVFBNaonY"",""ORDER BOOKING REPORT 2025-26!C:CV""),{37,44,51},0))))"),2684398.0799999996)</f>
        <v>2684398.08</v>
      </c>
      <c r="BQ133" s="311">
        <f>IFERROR(__xludf.DUMMYFUNCTION("IFERROR(ArrayFormula(SUM(VLOOKUP($C133,importrange(""1PTkkEa_ENkSqsGnpqoXy9kt0Fe1hCtlmU6kVFBNaonY"",""ORDER BOOKING REPORT 2025-26!C:CV""),{58,65,72},0))))"),4668747.91)</f>
        <v>4668747.91</v>
      </c>
      <c r="BR133" s="311">
        <f>IFERROR(__xludf.DUMMYFUNCTION("IFERROR(ArrayFormula(SUM(VLOOKUP($C133,importrange(""1PTkkEa_ENkSqsGnpqoXy9kt0Fe1hCtlmU6kVFBNaonY"",""ORDER BOOKING REPORT 2025-26!C:CV""),{79,86,93},0))))"),7336571.790000001)</f>
        <v>7336571.79</v>
      </c>
      <c r="BS133" s="322">
        <f t="shared" si="15"/>
        <v>0.4570652222</v>
      </c>
      <c r="BT133" s="322">
        <f t="shared" si="16"/>
        <v>0.01759048733</v>
      </c>
      <c r="BU133" s="287">
        <f t="shared" si="17"/>
        <v>0</v>
      </c>
      <c r="BV133" s="349"/>
      <c r="BW133" s="349"/>
      <c r="BX133" s="349"/>
      <c r="BY133" s="287">
        <f t="shared" si="18"/>
        <v>-24120</v>
      </c>
      <c r="BZ133" s="10"/>
      <c r="CA133" s="10"/>
      <c r="CB133" s="10"/>
      <c r="CC133" s="10"/>
      <c r="CD133" s="10"/>
      <c r="CE133" s="10"/>
      <c r="CF133" s="10"/>
      <c r="CG133" s="318" t="str">
        <f t="shared" si="21"/>
        <v>Below 60</v>
      </c>
      <c r="CH133" s="318" t="str">
        <f t="shared" si="28"/>
        <v>Business Achieved 50%</v>
      </c>
      <c r="CI133" s="322">
        <f t="shared" si="22"/>
        <v>0.6875</v>
      </c>
      <c r="CJ133" s="323"/>
      <c r="CK133" s="323"/>
      <c r="CL133" s="323"/>
      <c r="CM133" s="324">
        <f t="shared" si="23"/>
        <v>280</v>
      </c>
      <c r="CN133" s="325"/>
      <c r="CO133" s="6"/>
      <c r="CP133" s="6"/>
      <c r="CQ133" s="327"/>
      <c r="CR133" s="6"/>
      <c r="CS133" s="6"/>
      <c r="CT133" s="6"/>
      <c r="CU133" s="6"/>
      <c r="CV133" s="6"/>
      <c r="CW133" s="327">
        <f t="shared" si="27"/>
        <v>0</v>
      </c>
      <c r="CX133" s="270"/>
      <c r="CY133" s="6"/>
      <c r="CZ133" s="6"/>
    </row>
    <row r="134" hidden="1">
      <c r="A134" s="307" t="s">
        <v>103</v>
      </c>
      <c r="B134" s="307" t="s">
        <v>492</v>
      </c>
      <c r="C134" s="307" t="s">
        <v>145</v>
      </c>
      <c r="D134" s="307" t="s">
        <v>492</v>
      </c>
      <c r="E134" s="307" t="s">
        <v>116</v>
      </c>
      <c r="F134" s="329">
        <v>45843.0</v>
      </c>
      <c r="G134" s="309">
        <v>0.0</v>
      </c>
      <c r="H134" s="309">
        <v>6000000.0</v>
      </c>
      <c r="I134" s="287">
        <v>2546023.0</v>
      </c>
      <c r="J134" s="287">
        <v>0.0</v>
      </c>
      <c r="K134" s="284">
        <v>86.0</v>
      </c>
      <c r="L134" s="284">
        <v>69.0</v>
      </c>
      <c r="M134" s="284">
        <v>20.0</v>
      </c>
      <c r="N134" s="284">
        <v>106.0</v>
      </c>
      <c r="O134" s="284">
        <v>37.0</v>
      </c>
      <c r="P134" s="287">
        <v>1629642.93</v>
      </c>
      <c r="Q134" s="287">
        <v>916380.51</v>
      </c>
      <c r="R134" s="284">
        <v>25.0</v>
      </c>
      <c r="S134" s="284">
        <v>20.0</v>
      </c>
      <c r="T134" s="284">
        <v>45.0</v>
      </c>
      <c r="U134" s="284">
        <v>0.0</v>
      </c>
      <c r="V134" s="284">
        <v>58.0</v>
      </c>
      <c r="W134" s="284">
        <v>94.0</v>
      </c>
      <c r="X134" s="284">
        <v>34.0</v>
      </c>
      <c r="Y134" s="284">
        <v>2.0</v>
      </c>
      <c r="Z134" s="284">
        <v>52.0</v>
      </c>
      <c r="AA134" s="284">
        <v>0.0</v>
      </c>
      <c r="AB134" s="284">
        <v>0.0</v>
      </c>
      <c r="AC134" s="284">
        <v>0.0</v>
      </c>
      <c r="AD134" s="284">
        <v>0.0</v>
      </c>
      <c r="AE134" s="284">
        <v>252.0</v>
      </c>
      <c r="AF134" s="284">
        <v>398.0</v>
      </c>
      <c r="AG134" s="284">
        <v>74.0</v>
      </c>
      <c r="AH134" s="309">
        <f t="shared" si="2"/>
        <v>34405.71622</v>
      </c>
      <c r="AI134" s="309">
        <f t="shared" si="3"/>
        <v>5.378378378</v>
      </c>
      <c r="AJ134" s="345">
        <v>41430.0</v>
      </c>
      <c r="AK134" s="309">
        <f t="shared" si="33"/>
        <v>124290</v>
      </c>
      <c r="AL134" s="286"/>
      <c r="AM134" s="313">
        <f t="shared" si="5"/>
        <v>0.04881731233</v>
      </c>
      <c r="AN134" s="309">
        <f t="shared" si="6"/>
        <v>56578.28889</v>
      </c>
      <c r="AO134" s="314">
        <f t="shared" si="7"/>
        <v>0.4243371667</v>
      </c>
      <c r="AP134" s="315">
        <v>0.0</v>
      </c>
      <c r="AQ134" s="284">
        <v>91.0</v>
      </c>
      <c r="AR134" s="284">
        <v>733.0</v>
      </c>
      <c r="AS134" s="284">
        <v>7912.97</v>
      </c>
      <c r="AT134" s="284">
        <v>20.0</v>
      </c>
      <c r="AU134" s="284">
        <v>115.0</v>
      </c>
      <c r="AV134" s="284">
        <v>45.0</v>
      </c>
      <c r="AW134" s="284">
        <v>30.0</v>
      </c>
      <c r="AX134" s="284">
        <v>31.0</v>
      </c>
      <c r="AY134" s="309">
        <v>1491329.0</v>
      </c>
      <c r="AZ134" s="316"/>
      <c r="BA134" s="307" t="str">
        <f t="shared" si="8"/>
        <v>Active</v>
      </c>
      <c r="BB134" s="307" t="str">
        <f t="shared" si="9"/>
        <v>Old</v>
      </c>
      <c r="BC134" s="307" t="str">
        <f t="shared" si="10"/>
        <v>Below 50%</v>
      </c>
      <c r="BD134" s="286">
        <f t="shared" si="35"/>
        <v>3</v>
      </c>
      <c r="BE134" s="328">
        <v>2000000.0</v>
      </c>
      <c r="BF134" s="284">
        <f t="shared" si="12"/>
        <v>0</v>
      </c>
      <c r="BG134" s="307" t="s">
        <v>488</v>
      </c>
      <c r="BH134" s="271">
        <f>IFERROR(__xludf.DUMMYFUNCTION("""COMPUTED_VALUE"""),6525936.0)</f>
        <v>6525936</v>
      </c>
      <c r="BI134" s="271">
        <f>IFERROR(__xludf.DUMMYFUNCTION("""COMPUTED_VALUE"""),6669494.85)</f>
        <v>6669494.85</v>
      </c>
      <c r="BJ134" s="273"/>
      <c r="BK134" s="274"/>
      <c r="BL134" s="319">
        <f t="shared" si="34"/>
        <v>0</v>
      </c>
      <c r="BM134" s="319">
        <f t="shared" si="14"/>
        <v>6000000</v>
      </c>
      <c r="BN134" s="274"/>
      <c r="BO134" s="311">
        <f>IFERROR(__xludf.DUMMYFUNCTION("IFERROR(ArrayFormula(SUM(VLOOKUP($C134,importrange(""1PTkkEa_ENkSqsGnpqoXy9kt0Fe1hCtlmU6kVFBNaonY"",""ORDER BOOKING REPORT 2025-26!C:CV""),{16,23,30},0))))"),0.0)</f>
        <v>0</v>
      </c>
      <c r="BP134" s="311">
        <f>IFERROR(__xludf.DUMMYFUNCTION("IFERROR(ArrayFormula(SUM(VLOOKUP($C134,importrange(""1PTkkEa_ENkSqsGnpqoXy9kt0Fe1hCtlmU6kVFBNaonY"",""ORDER BOOKING REPORT 2025-26!C:CV""),{37,44,51},0))))"),1042989.6199999999)</f>
        <v>1042989.62</v>
      </c>
      <c r="BQ134" s="311">
        <f>IFERROR(__xludf.DUMMYFUNCTION("IFERROR(ArrayFormula(SUM(VLOOKUP($C134,importrange(""1PTkkEa_ENkSqsGnpqoXy9kt0Fe1hCtlmU6kVFBNaonY"",""ORDER BOOKING REPORT 2025-26!C:CV""),{58,65,72},0))))"),2655149.99)</f>
        <v>2655149.99</v>
      </c>
      <c r="BR134" s="311">
        <f>IFERROR(__xludf.DUMMYFUNCTION("IFERROR(ArrayFormula(SUM(VLOOKUP($C134,importrange(""1PTkkEa_ENkSqsGnpqoXy9kt0Fe1hCtlmU6kVFBNaonY"",""ORDER BOOKING REPORT 2025-26!C:CV""),{79,86,93},0))))"),2971355.2399999998)</f>
        <v>2971355.24</v>
      </c>
      <c r="BS134" s="322">
        <f t="shared" si="15"/>
        <v>0.2485548333</v>
      </c>
      <c r="BT134" s="322">
        <f t="shared" si="16"/>
        <v>0.083341771</v>
      </c>
      <c r="BU134" s="287">
        <f t="shared" si="17"/>
        <v>0</v>
      </c>
      <c r="BV134" s="349"/>
      <c r="BW134" s="349"/>
      <c r="BX134" s="349"/>
      <c r="BY134" s="287">
        <f t="shared" si="18"/>
        <v>-41430</v>
      </c>
      <c r="BZ134" s="10"/>
      <c r="CA134" s="10"/>
      <c r="CB134" s="10"/>
      <c r="CC134" s="10"/>
      <c r="CD134" s="10"/>
      <c r="CE134" s="10"/>
      <c r="CF134" s="10"/>
      <c r="CG134" s="318" t="str">
        <f t="shared" si="21"/>
        <v> </v>
      </c>
      <c r="CH134" s="318" t="str">
        <f t="shared" si="28"/>
        <v>Not 50%</v>
      </c>
      <c r="CI134" s="322">
        <f t="shared" si="22"/>
        <v>0.4245283019</v>
      </c>
      <c r="CJ134" s="323"/>
      <c r="CK134" s="323"/>
      <c r="CL134" s="323"/>
      <c r="CM134" s="324">
        <f t="shared" si="23"/>
        <v>252</v>
      </c>
      <c r="CN134" s="337"/>
      <c r="CO134" s="152"/>
      <c r="CP134" s="152"/>
      <c r="CQ134" s="327"/>
      <c r="CR134" s="152"/>
      <c r="CS134" s="152"/>
      <c r="CT134" s="152"/>
      <c r="CU134" s="152"/>
      <c r="CV134" s="152"/>
      <c r="CW134" s="327">
        <f t="shared" si="27"/>
        <v>0</v>
      </c>
      <c r="CX134" s="270"/>
      <c r="CY134" s="152"/>
      <c r="CZ134" s="152"/>
    </row>
    <row r="135" hidden="1">
      <c r="A135" s="307" t="s">
        <v>72</v>
      </c>
      <c r="B135" s="307" t="s">
        <v>527</v>
      </c>
      <c r="C135" s="307" t="s">
        <v>83</v>
      </c>
      <c r="D135" s="307" t="s">
        <v>559</v>
      </c>
      <c r="E135" s="307" t="s">
        <v>84</v>
      </c>
      <c r="F135" s="308">
        <v>45859.0</v>
      </c>
      <c r="G135" s="309">
        <v>0.0</v>
      </c>
      <c r="H135" s="309">
        <v>3600000.0</v>
      </c>
      <c r="I135" s="287">
        <v>1433124.0</v>
      </c>
      <c r="J135" s="287">
        <v>0.0</v>
      </c>
      <c r="K135" s="284">
        <v>213.0</v>
      </c>
      <c r="L135" s="284">
        <v>114.0</v>
      </c>
      <c r="M135" s="284">
        <v>3.0</v>
      </c>
      <c r="N135" s="284">
        <v>216.0</v>
      </c>
      <c r="O135" s="284">
        <v>102.0</v>
      </c>
      <c r="P135" s="287">
        <v>1433124.0</v>
      </c>
      <c r="Q135" s="287">
        <v>0.0</v>
      </c>
      <c r="R135" s="284">
        <v>13.0</v>
      </c>
      <c r="S135" s="284">
        <v>0.0</v>
      </c>
      <c r="T135" s="284">
        <v>13.0</v>
      </c>
      <c r="U135" s="284">
        <v>0.0</v>
      </c>
      <c r="V135" s="284">
        <v>25.0</v>
      </c>
      <c r="W135" s="284">
        <v>60.0</v>
      </c>
      <c r="X135" s="284">
        <v>12.0</v>
      </c>
      <c r="Y135" s="284">
        <v>2.0</v>
      </c>
      <c r="Z135" s="284">
        <v>8.0</v>
      </c>
      <c r="AA135" s="284">
        <v>0.0</v>
      </c>
      <c r="AB135" s="284">
        <v>0.0</v>
      </c>
      <c r="AC135" s="284">
        <v>0.0</v>
      </c>
      <c r="AD135" s="284">
        <v>0.0</v>
      </c>
      <c r="AE135" s="284">
        <v>307.0</v>
      </c>
      <c r="AF135" s="284">
        <v>375.0</v>
      </c>
      <c r="AG135" s="284">
        <v>69.0</v>
      </c>
      <c r="AH135" s="309">
        <f t="shared" si="2"/>
        <v>20769.91304</v>
      </c>
      <c r="AI135" s="309">
        <f t="shared" si="3"/>
        <v>5.434782609</v>
      </c>
      <c r="AJ135" s="345">
        <v>51910.0</v>
      </c>
      <c r="AK135" s="309">
        <f t="shared" si="33"/>
        <v>155730</v>
      </c>
      <c r="AL135" s="286"/>
      <c r="AM135" s="334">
        <f t="shared" si="5"/>
        <v>0.1086647073</v>
      </c>
      <c r="AN135" s="231">
        <f t="shared" si="6"/>
        <v>110240.3077</v>
      </c>
      <c r="AO135" s="314">
        <f t="shared" si="7"/>
        <v>0.39809</v>
      </c>
      <c r="AP135" s="315">
        <v>0.0</v>
      </c>
      <c r="AQ135" s="284">
        <v>25.0</v>
      </c>
      <c r="AR135" s="284">
        <v>662.0</v>
      </c>
      <c r="AS135" s="284">
        <v>7464.13</v>
      </c>
      <c r="AT135" s="284">
        <v>0.0</v>
      </c>
      <c r="AU135" s="284">
        <v>65.0</v>
      </c>
      <c r="AV135" s="284">
        <v>13.0</v>
      </c>
      <c r="AW135" s="284">
        <v>101.0</v>
      </c>
      <c r="AX135" s="284">
        <v>102.0</v>
      </c>
      <c r="AY135" s="231"/>
      <c r="AZ135" s="316"/>
      <c r="BA135" s="307" t="str">
        <f t="shared" si="8"/>
        <v>Active</v>
      </c>
      <c r="BB135" s="307" t="str">
        <f t="shared" si="9"/>
        <v>Old</v>
      </c>
      <c r="BC135" s="307" t="str">
        <f t="shared" si="10"/>
        <v>Below 50%</v>
      </c>
      <c r="BD135" s="286">
        <f t="shared" si="35"/>
        <v>3</v>
      </c>
      <c r="BE135" s="335">
        <v>825000.0</v>
      </c>
      <c r="BF135" s="284">
        <f t="shared" si="12"/>
        <v>3</v>
      </c>
      <c r="BG135" s="307" t="s">
        <v>488</v>
      </c>
      <c r="BH135" s="271"/>
      <c r="BI135" s="271"/>
      <c r="BJ135" s="273"/>
      <c r="BK135" s="274"/>
      <c r="BL135" s="319">
        <f t="shared" si="34"/>
        <v>0</v>
      </c>
      <c r="BM135" s="319">
        <f t="shared" si="14"/>
        <v>3600000</v>
      </c>
      <c r="BN135" s="274"/>
      <c r="BO135" s="311" t="str">
        <f>IFERROR(__xludf.DUMMYFUNCTION("IFERROR(ArrayFormula(SUM(VLOOKUP($C135,importrange(""1PTkkEa_ENkSqsGnpqoXy9kt0Fe1hCtlmU6kVFBNaonY"",""ORDER BOOKING REPORT 2025-26!C:CV""),{16,23,30},0))))"),"")</f>
        <v/>
      </c>
      <c r="BP135" s="311" t="str">
        <f>IFERROR(__xludf.DUMMYFUNCTION("IFERROR(ArrayFormula(SUM(VLOOKUP($C135,importrange(""1PTkkEa_ENkSqsGnpqoXy9kt0Fe1hCtlmU6kVFBNaonY"",""ORDER BOOKING REPORT 2025-26!C:CV""),{37,44,51},0))))"),"")</f>
        <v/>
      </c>
      <c r="BQ135" s="311" t="str">
        <f>IFERROR(__xludf.DUMMYFUNCTION("IFERROR(ArrayFormula(SUM(VLOOKUP($C135,importrange(""1PTkkEa_ENkSqsGnpqoXy9kt0Fe1hCtlmU6kVFBNaonY"",""ORDER BOOKING REPORT 2025-26!C:CV""),{58,65,72},0))))"),"")</f>
        <v/>
      </c>
      <c r="BR135" s="311" t="str">
        <f>IFERROR(__xludf.DUMMYFUNCTION("IFERROR(ArrayFormula(SUM(VLOOKUP($C135,importrange(""1PTkkEa_ENkSqsGnpqoXy9kt0Fe1hCtlmU6kVFBNaonY"",""ORDER BOOKING REPORT 2025-26!C:CV""),{79,86,93},0))))"),"")</f>
        <v/>
      </c>
      <c r="BS135" s="152">
        <f t="shared" si="15"/>
        <v>0</v>
      </c>
      <c r="BT135" s="152" t="str">
        <f t="shared" si="16"/>
        <v/>
      </c>
      <c r="BU135" s="287">
        <f t="shared" si="17"/>
        <v>0</v>
      </c>
      <c r="BV135" s="349"/>
      <c r="BW135" s="349"/>
      <c r="BX135" s="349"/>
      <c r="BY135" s="287">
        <f t="shared" si="18"/>
        <v>-51910</v>
      </c>
      <c r="BZ135" s="10"/>
      <c r="CA135" s="10"/>
      <c r="CB135" s="10"/>
      <c r="CC135" s="10"/>
      <c r="CD135" s="10"/>
      <c r="CE135" s="10"/>
      <c r="CF135" s="10"/>
      <c r="CG135" s="318" t="str">
        <f t="shared" si="21"/>
        <v> </v>
      </c>
      <c r="CH135" s="318" t="str">
        <f t="shared" si="28"/>
        <v>Not 50%</v>
      </c>
      <c r="CI135" s="322">
        <f t="shared" si="22"/>
        <v>0.06018518519</v>
      </c>
      <c r="CJ135" s="336"/>
      <c r="CK135" s="336"/>
      <c r="CL135" s="336"/>
      <c r="CM135" s="324">
        <f t="shared" si="23"/>
        <v>307</v>
      </c>
      <c r="CN135" s="337"/>
      <c r="CO135" s="152"/>
      <c r="CP135" s="152"/>
      <c r="CQ135" s="327"/>
      <c r="CR135" s="152"/>
      <c r="CS135" s="152"/>
      <c r="CT135" s="152"/>
      <c r="CU135" s="152"/>
      <c r="CV135" s="152"/>
      <c r="CW135" s="327">
        <f t="shared" si="27"/>
        <v>0</v>
      </c>
      <c r="CX135" s="270"/>
      <c r="CY135" s="152"/>
      <c r="CZ135" s="152"/>
    </row>
    <row r="136" hidden="1">
      <c r="A136" s="307" t="s">
        <v>48</v>
      </c>
      <c r="B136" s="307" t="s">
        <v>539</v>
      </c>
      <c r="C136" s="307" t="s">
        <v>602</v>
      </c>
      <c r="D136" s="307" t="s">
        <v>589</v>
      </c>
      <c r="E136" s="307" t="s">
        <v>58</v>
      </c>
      <c r="F136" s="308">
        <v>45861.0</v>
      </c>
      <c r="G136" s="309">
        <v>0.0</v>
      </c>
      <c r="H136" s="309">
        <v>2400000.0</v>
      </c>
      <c r="I136" s="287">
        <v>845659.0</v>
      </c>
      <c r="J136" s="287">
        <v>0.0</v>
      </c>
      <c r="K136" s="284">
        <v>36.0</v>
      </c>
      <c r="L136" s="284">
        <v>38.0</v>
      </c>
      <c r="M136" s="284">
        <v>5.0</v>
      </c>
      <c r="N136" s="284">
        <v>41.0</v>
      </c>
      <c r="O136" s="284">
        <v>3.0</v>
      </c>
      <c r="P136" s="287">
        <v>644829.6</v>
      </c>
      <c r="Q136" s="287">
        <v>200828.91</v>
      </c>
      <c r="R136" s="284">
        <v>16.0</v>
      </c>
      <c r="S136" s="284">
        <v>5.0</v>
      </c>
      <c r="T136" s="284">
        <v>21.0</v>
      </c>
      <c r="U136" s="284">
        <v>0.0</v>
      </c>
      <c r="V136" s="284">
        <v>148.0</v>
      </c>
      <c r="W136" s="284">
        <v>203.0</v>
      </c>
      <c r="X136" s="284">
        <v>150.0</v>
      </c>
      <c r="Y136" s="284">
        <v>2.0</v>
      </c>
      <c r="Z136" s="284">
        <v>44.0</v>
      </c>
      <c r="AA136" s="284">
        <v>0.0</v>
      </c>
      <c r="AB136" s="284">
        <v>0.0</v>
      </c>
      <c r="AC136" s="284">
        <v>2.0</v>
      </c>
      <c r="AD136" s="284">
        <v>3.0</v>
      </c>
      <c r="AE136" s="284">
        <v>148.0</v>
      </c>
      <c r="AF136" s="284">
        <v>398.0</v>
      </c>
      <c r="AG136" s="284">
        <v>70.0</v>
      </c>
      <c r="AH136" s="309">
        <f t="shared" si="2"/>
        <v>12080.84286</v>
      </c>
      <c r="AI136" s="309">
        <f t="shared" si="3"/>
        <v>5.685714286</v>
      </c>
      <c r="AJ136" s="345">
        <v>24120.0</v>
      </c>
      <c r="AK136" s="309">
        <f t="shared" si="33"/>
        <v>72360</v>
      </c>
      <c r="AL136" s="312"/>
      <c r="AM136" s="313">
        <f t="shared" si="5"/>
        <v>0.08556640443</v>
      </c>
      <c r="AN136" s="309">
        <f t="shared" si="6"/>
        <v>40269.47619</v>
      </c>
      <c r="AO136" s="314">
        <f t="shared" si="7"/>
        <v>0.3523579167</v>
      </c>
      <c r="AP136" s="315">
        <v>0.0</v>
      </c>
      <c r="AQ136" s="284">
        <v>35.0</v>
      </c>
      <c r="AR136" s="284">
        <v>747.0</v>
      </c>
      <c r="AS136" s="284">
        <v>6027.88</v>
      </c>
      <c r="AT136" s="284">
        <v>5.0</v>
      </c>
      <c r="AU136" s="284">
        <v>159.0</v>
      </c>
      <c r="AV136" s="284">
        <v>21.0</v>
      </c>
      <c r="AW136" s="284">
        <v>17.0</v>
      </c>
      <c r="AX136" s="284">
        <v>3.0</v>
      </c>
      <c r="AY136" s="309">
        <v>228794.0</v>
      </c>
      <c r="AZ136" s="316"/>
      <c r="BA136" s="307" t="str">
        <f t="shared" si="8"/>
        <v>Active</v>
      </c>
      <c r="BB136" s="307" t="str">
        <f t="shared" si="9"/>
        <v>Old</v>
      </c>
      <c r="BC136" s="307" t="str">
        <f t="shared" si="10"/>
        <v>Below 50%</v>
      </c>
      <c r="BD136" s="286">
        <f t="shared" si="35"/>
        <v>3</v>
      </c>
      <c r="BE136" s="328">
        <v>800000.0</v>
      </c>
      <c r="BF136" s="284">
        <f t="shared" si="12"/>
        <v>0</v>
      </c>
      <c r="BG136" s="307" t="s">
        <v>488</v>
      </c>
      <c r="BH136" s="271">
        <f>IFERROR(__xludf.DUMMYFUNCTION("""COMPUTED_VALUE"""),1279491.0)</f>
        <v>1279491</v>
      </c>
      <c r="BI136" s="271">
        <f>IFERROR(__xludf.DUMMYFUNCTION("""COMPUTED_VALUE"""),2995134.11)</f>
        <v>2995134.11</v>
      </c>
      <c r="BJ136" s="273"/>
      <c r="BK136" s="274"/>
      <c r="BL136" s="319">
        <f t="shared" si="34"/>
        <v>0</v>
      </c>
      <c r="BM136" s="319">
        <f t="shared" si="14"/>
        <v>2400000</v>
      </c>
      <c r="BN136" s="274"/>
      <c r="BO136" s="311">
        <f>IFERROR(__xludf.DUMMYFUNCTION("IFERROR(ArrayFormula(SUM(VLOOKUP($C136,importrange(""1PTkkEa_ENkSqsGnpqoXy9kt0Fe1hCtlmU6kVFBNaonY"",""ORDER BOOKING REPORT 2025-26!C:CV""),{16,23,30},0))))"),0.0)</f>
        <v>0</v>
      </c>
      <c r="BP136" s="311">
        <f>IFERROR(__xludf.DUMMYFUNCTION("IFERROR(ArrayFormula(SUM(VLOOKUP($C136,importrange(""1PTkkEa_ENkSqsGnpqoXy9kt0Fe1hCtlmU6kVFBNaonY"",""ORDER BOOKING REPORT 2025-26!C:CV""),{37,44,51},0))))"),73202.0)</f>
        <v>73202</v>
      </c>
      <c r="BQ136" s="311">
        <f>IFERROR(__xludf.DUMMYFUNCTION("IFERROR(ArrayFormula(SUM(VLOOKUP($C136,importrange(""1PTkkEa_ENkSqsGnpqoXy9kt0Fe1hCtlmU6kVFBNaonY"",""ORDER BOOKING REPORT 2025-26!C:CV""),{58,65,72},0))))"),1612860.3)</f>
        <v>1612860.3</v>
      </c>
      <c r="BR136" s="311">
        <f>IFERROR(__xludf.DUMMYFUNCTION("IFERROR(ArrayFormula(SUM(VLOOKUP($C136,importrange(""1PTkkEa_ENkSqsGnpqoXy9kt0Fe1hCtlmU6kVFBNaonY"",""ORDER BOOKING REPORT 2025-26!C:CV""),{79,86,93},0))))"),1309071.81)</f>
        <v>1309071.81</v>
      </c>
      <c r="BS136" s="322">
        <f t="shared" si="15"/>
        <v>0.09533083333</v>
      </c>
      <c r="BT136" s="322">
        <f t="shared" si="16"/>
        <v>0.316267035</v>
      </c>
      <c r="BU136" s="287">
        <f t="shared" si="17"/>
        <v>0</v>
      </c>
      <c r="BV136" s="349"/>
      <c r="BW136" s="349"/>
      <c r="BX136" s="349"/>
      <c r="BY136" s="287">
        <f t="shared" si="18"/>
        <v>-24120</v>
      </c>
      <c r="BZ136" s="10"/>
      <c r="CA136" s="10"/>
      <c r="CB136" s="10"/>
      <c r="CC136" s="10"/>
      <c r="CD136" s="10"/>
      <c r="CE136" s="10"/>
      <c r="CF136" s="10"/>
      <c r="CG136" s="318" t="str">
        <f t="shared" si="21"/>
        <v>Below 60</v>
      </c>
      <c r="CH136" s="318" t="str">
        <f t="shared" si="28"/>
        <v>Business Achieved 50%</v>
      </c>
      <c r="CI136" s="322">
        <f t="shared" si="22"/>
        <v>0.512195122</v>
      </c>
      <c r="CJ136" s="323"/>
      <c r="CK136" s="323"/>
      <c r="CL136" s="323"/>
      <c r="CM136" s="324">
        <f t="shared" si="23"/>
        <v>148</v>
      </c>
      <c r="CN136" s="325"/>
      <c r="CO136" s="6"/>
      <c r="CP136" s="6"/>
      <c r="CQ136" s="327"/>
      <c r="CR136" s="6"/>
      <c r="CS136" s="6"/>
      <c r="CT136" s="6"/>
      <c r="CU136" s="6"/>
      <c r="CV136" s="6"/>
      <c r="CW136" s="327">
        <f t="shared" si="27"/>
        <v>0</v>
      </c>
      <c r="CX136" s="270"/>
      <c r="CY136" s="6"/>
      <c r="CZ136" s="6"/>
    </row>
    <row r="137" hidden="1">
      <c r="A137" s="307" t="s">
        <v>23</v>
      </c>
      <c r="B137" s="307" t="s">
        <v>543</v>
      </c>
      <c r="C137" s="307" t="s">
        <v>36</v>
      </c>
      <c r="D137" s="307" t="s">
        <v>597</v>
      </c>
      <c r="E137" s="307" t="s">
        <v>37</v>
      </c>
      <c r="F137" s="329">
        <v>45887.0</v>
      </c>
      <c r="G137" s="309">
        <v>0.0</v>
      </c>
      <c r="H137" s="309">
        <v>3900000.0</v>
      </c>
      <c r="I137" s="287">
        <v>2143935.0</v>
      </c>
      <c r="J137" s="287">
        <v>0.0</v>
      </c>
      <c r="K137" s="284">
        <v>115.0</v>
      </c>
      <c r="L137" s="284">
        <v>121.0</v>
      </c>
      <c r="M137" s="284">
        <v>21.0</v>
      </c>
      <c r="N137" s="284">
        <v>136.0</v>
      </c>
      <c r="O137" s="284">
        <v>15.0</v>
      </c>
      <c r="P137" s="287">
        <v>1614848.28</v>
      </c>
      <c r="Q137" s="287">
        <v>529086.9</v>
      </c>
      <c r="R137" s="284">
        <v>55.0</v>
      </c>
      <c r="S137" s="284">
        <v>21.0</v>
      </c>
      <c r="T137" s="284">
        <v>76.0</v>
      </c>
      <c r="U137" s="284">
        <v>0.0</v>
      </c>
      <c r="V137" s="284">
        <v>44.0</v>
      </c>
      <c r="W137" s="284">
        <v>55.0</v>
      </c>
      <c r="X137" s="284">
        <v>94.0</v>
      </c>
      <c r="Y137" s="284">
        <v>4.0</v>
      </c>
      <c r="Z137" s="284">
        <v>39.0</v>
      </c>
      <c r="AA137" s="284">
        <v>0.0</v>
      </c>
      <c r="AB137" s="284">
        <v>0.0</v>
      </c>
      <c r="AC137" s="284">
        <v>0.0</v>
      </c>
      <c r="AD137" s="284">
        <v>0.0</v>
      </c>
      <c r="AE137" s="284">
        <v>392.0</v>
      </c>
      <c r="AF137" s="284">
        <v>486.0</v>
      </c>
      <c r="AG137" s="284">
        <v>69.0</v>
      </c>
      <c r="AH137" s="309">
        <f t="shared" si="2"/>
        <v>31071.52174</v>
      </c>
      <c r="AI137" s="309">
        <f t="shared" si="3"/>
        <v>7.043478261</v>
      </c>
      <c r="AJ137" s="311">
        <v>28835.0</v>
      </c>
      <c r="AK137" s="309">
        <f t="shared" si="33"/>
        <v>86505</v>
      </c>
      <c r="AL137" s="286"/>
      <c r="AM137" s="313">
        <f t="shared" si="5"/>
        <v>0.0403487046</v>
      </c>
      <c r="AN137" s="309">
        <f t="shared" si="6"/>
        <v>28209.67105</v>
      </c>
      <c r="AO137" s="314">
        <f t="shared" si="7"/>
        <v>0.5497269231</v>
      </c>
      <c r="AP137" s="315">
        <v>0.0</v>
      </c>
      <c r="AQ137" s="284">
        <v>118.0</v>
      </c>
      <c r="AR137" s="284">
        <v>673.0</v>
      </c>
      <c r="AS137" s="284">
        <v>6358.9</v>
      </c>
      <c r="AT137" s="284">
        <v>21.0</v>
      </c>
      <c r="AU137" s="284">
        <v>53.0</v>
      </c>
      <c r="AV137" s="284">
        <v>76.0</v>
      </c>
      <c r="AW137" s="284">
        <v>47.0</v>
      </c>
      <c r="AX137" s="284">
        <v>13.0</v>
      </c>
      <c r="AY137" s="309">
        <v>1936657.0</v>
      </c>
      <c r="AZ137" s="316"/>
      <c r="BA137" s="307" t="str">
        <f t="shared" si="8"/>
        <v>Active</v>
      </c>
      <c r="BB137" s="307" t="str">
        <f t="shared" si="9"/>
        <v>Old</v>
      </c>
      <c r="BC137" s="307" t="str">
        <f t="shared" si="10"/>
        <v>50%-70%</v>
      </c>
      <c r="BD137" s="286">
        <f t="shared" si="35"/>
        <v>3</v>
      </c>
      <c r="BE137" s="319">
        <v>1300000.0</v>
      </c>
      <c r="BF137" s="284">
        <f t="shared" si="12"/>
        <v>0</v>
      </c>
      <c r="BG137" s="307" t="s">
        <v>488</v>
      </c>
      <c r="BH137" s="271">
        <f>IFERROR(__xludf.DUMMYFUNCTION("""COMPUTED_VALUE"""),6391465.0)</f>
        <v>6391465</v>
      </c>
      <c r="BI137" s="271">
        <f>IFERROR(__xludf.DUMMYFUNCTION("""COMPUTED_VALUE"""),6525450.8100000005)</f>
        <v>6525450.81</v>
      </c>
      <c r="BJ137" s="351">
        <f t="shared" ref="BJ137:BJ138" si="36">(31-18)/31</f>
        <v>0.4193548387</v>
      </c>
      <c r="BK137" s="274"/>
      <c r="BL137" s="319">
        <f t="shared" si="34"/>
        <v>0</v>
      </c>
      <c r="BM137" s="319">
        <f t="shared" si="14"/>
        <v>3900000</v>
      </c>
      <c r="BN137" s="274"/>
      <c r="BO137" s="311">
        <f>IFERROR(__xludf.DUMMYFUNCTION("IFERROR(ArrayFormula(SUM(VLOOKUP($C137,importrange(""1PTkkEa_ENkSqsGnpqoXy9kt0Fe1hCtlmU6kVFBNaonY"",""ORDER BOOKING REPORT 2025-26!C:CV""),{16,23,30},0))))"),0.0)</f>
        <v>0</v>
      </c>
      <c r="BP137" s="311">
        <f>IFERROR(__xludf.DUMMYFUNCTION("IFERROR(ArrayFormula(SUM(VLOOKUP($C137,importrange(""1PTkkEa_ENkSqsGnpqoXy9kt0Fe1hCtlmU6kVFBNaonY"",""ORDER BOOKING REPORT 2025-26!C:CV""),{37,44,51},0))))"),1299417.23)</f>
        <v>1299417.23</v>
      </c>
      <c r="BQ137" s="311">
        <f>IFERROR(__xludf.DUMMYFUNCTION("IFERROR(ArrayFormula(SUM(VLOOKUP($C137,importrange(""1PTkkEa_ENkSqsGnpqoXy9kt0Fe1hCtlmU6kVFBNaonY"",""ORDER BOOKING REPORT 2025-26!C:CV""),{58,65,72},0))))"),2134970.5999999996)</f>
        <v>2134970.6</v>
      </c>
      <c r="BR137" s="311">
        <f>IFERROR(__xludf.DUMMYFUNCTION("IFERROR(ArrayFormula(SUM(VLOOKUP($C137,importrange(""1PTkkEa_ENkSqsGnpqoXy9kt0Fe1hCtlmU6kVFBNaonY"",""ORDER BOOKING REPORT 2025-26!C:CV""),{79,86,93},0))))"),3091062.98)</f>
        <v>3091062.98</v>
      </c>
      <c r="BS137" s="322">
        <f t="shared" si="15"/>
        <v>0.4965787179</v>
      </c>
      <c r="BT137" s="322">
        <f t="shared" si="16"/>
        <v>0.04466717648</v>
      </c>
      <c r="BU137" s="287">
        <f t="shared" si="17"/>
        <v>0</v>
      </c>
      <c r="BV137" s="320">
        <v>28835.0</v>
      </c>
      <c r="BW137" s="349"/>
      <c r="BX137" s="349"/>
      <c r="BY137" s="287">
        <f t="shared" si="18"/>
        <v>0</v>
      </c>
      <c r="BZ137" s="10"/>
      <c r="CA137" s="10"/>
      <c r="CB137" s="10"/>
      <c r="CC137" s="10"/>
      <c r="CD137" s="10"/>
      <c r="CE137" s="10"/>
      <c r="CF137" s="10"/>
      <c r="CG137" s="318" t="str">
        <f t="shared" si="21"/>
        <v> </v>
      </c>
      <c r="CH137" s="318" t="str">
        <f t="shared" si="28"/>
        <v>Business Achieved 50%</v>
      </c>
      <c r="CI137" s="322">
        <f t="shared" si="22"/>
        <v>0.5588235294</v>
      </c>
      <c r="CJ137" s="323"/>
      <c r="CK137" s="323"/>
      <c r="CL137" s="323"/>
      <c r="CM137" s="324">
        <f t="shared" si="23"/>
        <v>392</v>
      </c>
      <c r="CN137" s="337"/>
      <c r="CO137" s="152"/>
      <c r="CP137" s="152"/>
      <c r="CQ137" s="327"/>
      <c r="CR137" s="152"/>
      <c r="CS137" s="152"/>
      <c r="CT137" s="152"/>
      <c r="CU137" s="152"/>
      <c r="CV137" s="152"/>
      <c r="CW137" s="327">
        <f t="shared" si="27"/>
        <v>0</v>
      </c>
      <c r="CX137" s="270"/>
      <c r="CY137" s="152"/>
      <c r="CZ137" s="152"/>
    </row>
    <row r="138" hidden="1">
      <c r="A138" s="307" t="s">
        <v>273</v>
      </c>
      <c r="B138" s="307" t="s">
        <v>528</v>
      </c>
      <c r="C138" s="307" t="s">
        <v>292</v>
      </c>
      <c r="D138" s="307" t="s">
        <v>555</v>
      </c>
      <c r="E138" s="307" t="s">
        <v>293</v>
      </c>
      <c r="F138" s="329">
        <v>45887.0</v>
      </c>
      <c r="G138" s="309">
        <v>0.0</v>
      </c>
      <c r="H138" s="286">
        <v>3900000.0</v>
      </c>
      <c r="I138" s="287">
        <v>1384044.0</v>
      </c>
      <c r="J138" s="287">
        <v>0.0</v>
      </c>
      <c r="K138" s="284">
        <v>47.0</v>
      </c>
      <c r="L138" s="284">
        <v>41.0</v>
      </c>
      <c r="M138" s="284">
        <v>1.0</v>
      </c>
      <c r="N138" s="284">
        <v>48.0</v>
      </c>
      <c r="O138" s="284">
        <v>7.0</v>
      </c>
      <c r="P138" s="287">
        <v>1380479.64</v>
      </c>
      <c r="Q138" s="287">
        <v>3564.0</v>
      </c>
      <c r="R138" s="284">
        <v>19.0</v>
      </c>
      <c r="S138" s="284">
        <v>1.0</v>
      </c>
      <c r="T138" s="284">
        <v>20.0</v>
      </c>
      <c r="U138" s="284">
        <v>0.0</v>
      </c>
      <c r="V138" s="284">
        <v>59.0</v>
      </c>
      <c r="W138" s="284">
        <v>123.0</v>
      </c>
      <c r="X138" s="284">
        <v>81.0</v>
      </c>
      <c r="Y138" s="284">
        <v>2.0</v>
      </c>
      <c r="Z138" s="284">
        <v>27.0</v>
      </c>
      <c r="AA138" s="284">
        <v>0.0</v>
      </c>
      <c r="AB138" s="284">
        <v>0.0</v>
      </c>
      <c r="AC138" s="284">
        <v>4.0</v>
      </c>
      <c r="AD138" s="284">
        <v>7.0</v>
      </c>
      <c r="AE138" s="284">
        <v>174.0</v>
      </c>
      <c r="AF138" s="284">
        <v>331.0</v>
      </c>
      <c r="AG138" s="284">
        <v>70.0</v>
      </c>
      <c r="AH138" s="309">
        <f t="shared" si="2"/>
        <v>19772.05714</v>
      </c>
      <c r="AI138" s="309">
        <f t="shared" si="3"/>
        <v>4.728571429</v>
      </c>
      <c r="AJ138" s="345">
        <v>40885.0</v>
      </c>
      <c r="AK138" s="309">
        <f t="shared" si="33"/>
        <v>122655</v>
      </c>
      <c r="AL138" s="312"/>
      <c r="AM138" s="313">
        <f t="shared" si="5"/>
        <v>0.08862073749</v>
      </c>
      <c r="AN138" s="309">
        <f t="shared" si="6"/>
        <v>69202.2</v>
      </c>
      <c r="AO138" s="314">
        <f t="shared" si="7"/>
        <v>0.3548830769</v>
      </c>
      <c r="AP138" s="315">
        <v>0.0</v>
      </c>
      <c r="AQ138" s="284">
        <v>47.0</v>
      </c>
      <c r="AR138" s="284">
        <v>794.0</v>
      </c>
      <c r="AS138" s="284">
        <v>9750.7</v>
      </c>
      <c r="AT138" s="284">
        <v>1.0</v>
      </c>
      <c r="AU138" s="284">
        <v>238.0</v>
      </c>
      <c r="AV138" s="284">
        <v>20.0</v>
      </c>
      <c r="AW138" s="284">
        <v>21.0</v>
      </c>
      <c r="AX138" s="284">
        <v>7.0</v>
      </c>
      <c r="AY138" s="309">
        <v>2289708.0</v>
      </c>
      <c r="AZ138" s="316"/>
      <c r="BA138" s="307" t="str">
        <f t="shared" si="8"/>
        <v>Active</v>
      </c>
      <c r="BB138" s="307" t="str">
        <f t="shared" si="9"/>
        <v>Old</v>
      </c>
      <c r="BC138" s="307" t="str">
        <f t="shared" si="10"/>
        <v>Below 50%</v>
      </c>
      <c r="BD138" s="286">
        <f t="shared" si="35"/>
        <v>3</v>
      </c>
      <c r="BE138" s="328">
        <v>1300000.0</v>
      </c>
      <c r="BF138" s="284">
        <f t="shared" si="12"/>
        <v>0</v>
      </c>
      <c r="BG138" s="307" t="s">
        <v>488</v>
      </c>
      <c r="BH138" s="271">
        <f>IFERROR(__xludf.DUMMYFUNCTION("""COMPUTED_VALUE"""),4631985.0)</f>
        <v>4631985</v>
      </c>
      <c r="BI138" s="271">
        <f>IFERROR(__xludf.DUMMYFUNCTION("""COMPUTED_VALUE"""),3134786.2199999997)</f>
        <v>3134786.22</v>
      </c>
      <c r="BJ138" s="351">
        <f t="shared" si="36"/>
        <v>0.4193548387</v>
      </c>
      <c r="BK138" s="274"/>
      <c r="BL138" s="319">
        <f t="shared" si="34"/>
        <v>0</v>
      </c>
      <c r="BM138" s="319">
        <f t="shared" si="14"/>
        <v>3900000</v>
      </c>
      <c r="BN138" s="274"/>
      <c r="BO138" s="311">
        <f>IFERROR(__xludf.DUMMYFUNCTION("IFERROR(ArrayFormula(SUM(VLOOKUP($C138,importrange(""1PTkkEa_ENkSqsGnpqoXy9kt0Fe1hCtlmU6kVFBNaonY"",""ORDER BOOKING REPORT 2025-26!C:CV""),{16,23,30},0))))"),0.0)</f>
        <v>0</v>
      </c>
      <c r="BP138" s="311">
        <f>IFERROR(__xludf.DUMMYFUNCTION("IFERROR(ArrayFormula(SUM(VLOOKUP($C138,importrange(""1PTkkEa_ENkSqsGnpqoXy9kt0Fe1hCtlmU6kVFBNaonY"",""ORDER BOOKING REPORT 2025-26!C:CV""),{37,44,51},0))))"),365966.79999999993)</f>
        <v>365966.8</v>
      </c>
      <c r="BQ138" s="311">
        <f>IFERROR(__xludf.DUMMYFUNCTION("IFERROR(ArrayFormula(SUM(VLOOKUP($C138,importrange(""1PTkkEa_ENkSqsGnpqoXy9kt0Fe1hCtlmU6kVFBNaonY"",""ORDER BOOKING REPORT 2025-26!C:CV""),{58,65,72},0))))"),1111473.56)</f>
        <v>1111473.56</v>
      </c>
      <c r="BR138" s="311">
        <f>IFERROR(__xludf.DUMMYFUNCTION("IFERROR(ArrayFormula(SUM(VLOOKUP($C138,importrange(""1PTkkEa_ENkSqsGnpqoXy9kt0Fe1hCtlmU6kVFBNaonY"",""ORDER BOOKING REPORT 2025-26!C:CV""),{79,86,93},0))))"),1657345.8599999999)</f>
        <v>1657345.86</v>
      </c>
      <c r="BS138" s="322">
        <f t="shared" si="15"/>
        <v>0.5871046154</v>
      </c>
      <c r="BT138" s="322">
        <f t="shared" si="16"/>
        <v>0.05356796587</v>
      </c>
      <c r="BU138" s="287">
        <f t="shared" si="17"/>
        <v>0</v>
      </c>
      <c r="BV138" s="349"/>
      <c r="BW138" s="349"/>
      <c r="BX138" s="349"/>
      <c r="BY138" s="287">
        <f t="shared" si="18"/>
        <v>-40885</v>
      </c>
      <c r="BZ138" s="10"/>
      <c r="CA138" s="10"/>
      <c r="CB138" s="10"/>
      <c r="CC138" s="10"/>
      <c r="CD138" s="10"/>
      <c r="CE138" s="10"/>
      <c r="CF138" s="10"/>
      <c r="CG138" s="318" t="str">
        <f t="shared" si="21"/>
        <v>Below 60</v>
      </c>
      <c r="CH138" s="318" t="str">
        <f t="shared" si="28"/>
        <v>Not 50%</v>
      </c>
      <c r="CI138" s="322">
        <f t="shared" si="22"/>
        <v>0.4166666667</v>
      </c>
      <c r="CJ138" s="323"/>
      <c r="CK138" s="323"/>
      <c r="CL138" s="323"/>
      <c r="CM138" s="324">
        <f t="shared" si="23"/>
        <v>174</v>
      </c>
      <c r="CN138" s="325"/>
      <c r="CO138" s="6"/>
      <c r="CP138" s="6"/>
      <c r="CQ138" s="327"/>
      <c r="CR138" s="6"/>
      <c r="CS138" s="6"/>
      <c r="CT138" s="6"/>
      <c r="CU138" s="6"/>
      <c r="CV138" s="6"/>
      <c r="CW138" s="327">
        <f t="shared" si="27"/>
        <v>0</v>
      </c>
      <c r="CX138" s="270"/>
      <c r="CY138" s="6"/>
      <c r="CZ138" s="6"/>
    </row>
    <row r="139" hidden="1">
      <c r="A139" s="307" t="s">
        <v>160</v>
      </c>
      <c r="B139" s="307" t="s">
        <v>483</v>
      </c>
      <c r="C139" s="307" t="s">
        <v>603</v>
      </c>
      <c r="D139" s="307" t="s">
        <v>484</v>
      </c>
      <c r="E139" s="307" t="s">
        <v>250</v>
      </c>
      <c r="F139" s="329">
        <v>45894.0</v>
      </c>
      <c r="G139" s="309">
        <v>0.0</v>
      </c>
      <c r="H139" s="309">
        <v>3000000.0</v>
      </c>
      <c r="I139" s="287">
        <v>1868050.0</v>
      </c>
      <c r="J139" s="287">
        <v>0.0</v>
      </c>
      <c r="K139" s="284">
        <v>77.0</v>
      </c>
      <c r="L139" s="284">
        <v>71.0</v>
      </c>
      <c r="M139" s="284">
        <v>1.0</v>
      </c>
      <c r="N139" s="284">
        <v>78.0</v>
      </c>
      <c r="O139" s="284">
        <v>7.0</v>
      </c>
      <c r="P139" s="287">
        <v>1868049.7</v>
      </c>
      <c r="Q139" s="287">
        <v>0.0</v>
      </c>
      <c r="R139" s="284">
        <v>14.0</v>
      </c>
      <c r="S139" s="284">
        <v>0.0</v>
      </c>
      <c r="T139" s="284">
        <v>14.0</v>
      </c>
      <c r="U139" s="284">
        <v>0.0</v>
      </c>
      <c r="V139" s="284">
        <v>3.0</v>
      </c>
      <c r="W139" s="284">
        <v>5.0</v>
      </c>
      <c r="X139" s="284">
        <v>6.0</v>
      </c>
      <c r="Y139" s="284">
        <v>1.0</v>
      </c>
      <c r="Z139" s="284">
        <v>11.0</v>
      </c>
      <c r="AA139" s="284">
        <v>0.0</v>
      </c>
      <c r="AB139" s="284">
        <v>0.0</v>
      </c>
      <c r="AC139" s="284">
        <v>0.0</v>
      </c>
      <c r="AD139" s="284">
        <v>0.0</v>
      </c>
      <c r="AE139" s="284">
        <v>217.0</v>
      </c>
      <c r="AF139" s="284">
        <v>233.0</v>
      </c>
      <c r="AG139" s="284">
        <v>62.0</v>
      </c>
      <c r="AH139" s="309">
        <f t="shared" si="2"/>
        <v>30129.83871</v>
      </c>
      <c r="AI139" s="309">
        <f t="shared" si="3"/>
        <v>3.758064516</v>
      </c>
      <c r="AJ139" s="345">
        <v>27260.0</v>
      </c>
      <c r="AK139" s="309">
        <f t="shared" si="33"/>
        <v>81780</v>
      </c>
      <c r="AL139" s="312"/>
      <c r="AM139" s="313">
        <f t="shared" si="5"/>
        <v>0.04377827146</v>
      </c>
      <c r="AN139" s="309">
        <f t="shared" si="6"/>
        <v>133432.1429</v>
      </c>
      <c r="AO139" s="314">
        <f t="shared" si="7"/>
        <v>0.6226833333</v>
      </c>
      <c r="AP139" s="315">
        <v>0.0</v>
      </c>
      <c r="AQ139" s="284">
        <v>19.0</v>
      </c>
      <c r="AR139" s="284">
        <v>518.0</v>
      </c>
      <c r="AS139" s="284">
        <v>3610.29</v>
      </c>
      <c r="AT139" s="284">
        <v>0.0</v>
      </c>
      <c r="AU139" s="284">
        <v>51.0</v>
      </c>
      <c r="AV139" s="284">
        <v>14.0</v>
      </c>
      <c r="AW139" s="284">
        <v>57.0</v>
      </c>
      <c r="AX139" s="284">
        <v>7.0</v>
      </c>
      <c r="AY139" s="309">
        <v>2679440.0</v>
      </c>
      <c r="AZ139" s="316"/>
      <c r="BA139" s="307" t="str">
        <f t="shared" si="8"/>
        <v>Active</v>
      </c>
      <c r="BB139" s="307" t="str">
        <f t="shared" si="9"/>
        <v>Old</v>
      </c>
      <c r="BC139" s="307" t="str">
        <f t="shared" si="10"/>
        <v>50%-70%</v>
      </c>
      <c r="BD139" s="286">
        <f t="shared" si="35"/>
        <v>3</v>
      </c>
      <c r="BE139" s="328">
        <v>3000000.0</v>
      </c>
      <c r="BF139" s="284">
        <f t="shared" si="12"/>
        <v>1</v>
      </c>
      <c r="BG139" s="307" t="s">
        <v>488</v>
      </c>
      <c r="BH139" s="271">
        <f>IFERROR(__xludf.DUMMYFUNCTION("""COMPUTED_VALUE"""),9923196.7)</f>
        <v>9923196.7</v>
      </c>
      <c r="BI139" s="271">
        <f>IFERROR(__xludf.DUMMYFUNCTION("""COMPUTED_VALUE"""),1885263.7699999998)</f>
        <v>1885263.77</v>
      </c>
      <c r="BJ139" s="351">
        <f>(31-25)/31</f>
        <v>0.1935483871</v>
      </c>
      <c r="BK139" s="274"/>
      <c r="BL139" s="319">
        <f t="shared" si="34"/>
        <v>0</v>
      </c>
      <c r="BM139" s="319">
        <f t="shared" si="14"/>
        <v>3000000</v>
      </c>
      <c r="BN139" s="274"/>
      <c r="BO139" s="311">
        <f>IFERROR(__xludf.DUMMYFUNCTION("IFERROR(ArrayFormula(SUM(VLOOKUP($C139,importrange(""1PTkkEa_ENkSqsGnpqoXy9kt0Fe1hCtlmU6kVFBNaonY"",""ORDER BOOKING REPORT 2025-26!C:CV""),{16,23,30},0))))"),0.0)</f>
        <v>0</v>
      </c>
      <c r="BP139" s="311">
        <f>IFERROR(__xludf.DUMMYFUNCTION("IFERROR(ArrayFormula(SUM(VLOOKUP($C139,importrange(""1PTkkEa_ENkSqsGnpqoXy9kt0Fe1hCtlmU6kVFBNaonY"",""ORDER BOOKING REPORT 2025-26!C:CV""),{37,44,51},0))))"),784306.9499999998)</f>
        <v>784306.95</v>
      </c>
      <c r="BQ139" s="311">
        <f>IFERROR(__xludf.DUMMYFUNCTION("IFERROR(ArrayFormula(SUM(VLOOKUP($C139,importrange(""1PTkkEa_ENkSqsGnpqoXy9kt0Fe1hCtlmU6kVFBNaonY"",""ORDER BOOKING REPORT 2025-26!C:CV""),{58,65,72},0))))"),502226.63)</f>
        <v>502226.63</v>
      </c>
      <c r="BR139" s="311">
        <f>IFERROR(__xludf.DUMMYFUNCTION("IFERROR(ArrayFormula(SUM(VLOOKUP($C139,importrange(""1PTkkEa_ENkSqsGnpqoXy9kt0Fe1hCtlmU6kVFBNaonY"",""ORDER BOOKING REPORT 2025-26!C:CV""),{79,86,93},0))))"),598730.19)</f>
        <v>598730.19</v>
      </c>
      <c r="BS139" s="322">
        <f t="shared" si="15"/>
        <v>0.8931466667</v>
      </c>
      <c r="BT139" s="322">
        <f t="shared" si="16"/>
        <v>0.03052130296</v>
      </c>
      <c r="BU139" s="287">
        <f t="shared" si="17"/>
        <v>0</v>
      </c>
      <c r="BV139" s="349"/>
      <c r="BW139" s="349"/>
      <c r="BX139" s="349"/>
      <c r="BY139" s="287">
        <f t="shared" si="18"/>
        <v>-27260</v>
      </c>
      <c r="BZ139" s="10"/>
      <c r="CA139" s="10"/>
      <c r="CB139" s="10"/>
      <c r="CC139" s="10"/>
      <c r="CD139" s="10"/>
      <c r="CE139" s="10"/>
      <c r="CF139" s="10"/>
      <c r="CG139" s="318" t="str">
        <f t="shared" si="21"/>
        <v> </v>
      </c>
      <c r="CH139" s="318" t="str">
        <f t="shared" si="28"/>
        <v>Not 50%</v>
      </c>
      <c r="CI139" s="322">
        <f t="shared" si="22"/>
        <v>0.1794871795</v>
      </c>
      <c r="CJ139" s="323"/>
      <c r="CK139" s="323"/>
      <c r="CL139" s="323"/>
      <c r="CM139" s="324">
        <f t="shared" si="23"/>
        <v>217</v>
      </c>
      <c r="CN139" s="325"/>
      <c r="CO139" s="6"/>
      <c r="CP139" s="6"/>
      <c r="CQ139" s="327"/>
      <c r="CR139" s="6"/>
      <c r="CS139" s="6"/>
      <c r="CT139" s="6"/>
      <c r="CU139" s="6"/>
      <c r="CV139" s="6"/>
      <c r="CW139" s="327">
        <f t="shared" si="27"/>
        <v>0</v>
      </c>
      <c r="CX139" s="270"/>
      <c r="CY139" s="6"/>
      <c r="CZ139" s="6"/>
    </row>
    <row r="140" hidden="1">
      <c r="A140" s="307" t="s">
        <v>273</v>
      </c>
      <c r="B140" s="307" t="s">
        <v>528</v>
      </c>
      <c r="C140" s="307" t="s">
        <v>294</v>
      </c>
      <c r="D140" s="307" t="s">
        <v>555</v>
      </c>
      <c r="E140" s="307" t="s">
        <v>295</v>
      </c>
      <c r="F140" s="329">
        <v>45936.0</v>
      </c>
      <c r="G140" s="309">
        <v>0.0</v>
      </c>
      <c r="H140" s="309">
        <v>3000000.0</v>
      </c>
      <c r="I140" s="287">
        <v>977370.0</v>
      </c>
      <c r="J140" s="287">
        <v>0.0</v>
      </c>
      <c r="K140" s="284">
        <v>38.0</v>
      </c>
      <c r="L140" s="284">
        <v>46.0</v>
      </c>
      <c r="M140" s="284">
        <v>13.0</v>
      </c>
      <c r="N140" s="284">
        <v>51.0</v>
      </c>
      <c r="O140" s="284">
        <v>5.0</v>
      </c>
      <c r="P140" s="287">
        <v>612431.7</v>
      </c>
      <c r="Q140" s="287">
        <v>364938.54</v>
      </c>
      <c r="R140" s="284">
        <v>23.0</v>
      </c>
      <c r="S140" s="284">
        <v>13.0</v>
      </c>
      <c r="T140" s="284">
        <v>36.0</v>
      </c>
      <c r="U140" s="284">
        <v>0.0</v>
      </c>
      <c r="V140" s="284">
        <v>85.0</v>
      </c>
      <c r="W140" s="284">
        <v>189.0</v>
      </c>
      <c r="X140" s="284">
        <v>46.0</v>
      </c>
      <c r="Y140" s="284">
        <v>1.0</v>
      </c>
      <c r="Z140" s="284">
        <v>12.0</v>
      </c>
      <c r="AA140" s="284">
        <v>1.0</v>
      </c>
      <c r="AB140" s="284">
        <v>4.0</v>
      </c>
      <c r="AC140" s="284">
        <v>1.0</v>
      </c>
      <c r="AD140" s="284">
        <v>4.0</v>
      </c>
      <c r="AE140" s="284">
        <v>180.0</v>
      </c>
      <c r="AF140" s="284">
        <v>389.0</v>
      </c>
      <c r="AG140" s="284">
        <v>72.0</v>
      </c>
      <c r="AH140" s="309">
        <f t="shared" si="2"/>
        <v>13574.58333</v>
      </c>
      <c r="AI140" s="309">
        <f t="shared" si="3"/>
        <v>5.402777778</v>
      </c>
      <c r="AJ140" s="345">
        <v>34100.0</v>
      </c>
      <c r="AK140" s="309">
        <f t="shared" si="33"/>
        <v>102300</v>
      </c>
      <c r="AL140" s="312"/>
      <c r="AM140" s="313">
        <f t="shared" si="5"/>
        <v>0.1046686516</v>
      </c>
      <c r="AN140" s="309">
        <f t="shared" si="6"/>
        <v>27149.16667</v>
      </c>
      <c r="AO140" s="314">
        <f t="shared" si="7"/>
        <v>0.32579</v>
      </c>
      <c r="AP140" s="315">
        <v>0.0</v>
      </c>
      <c r="AQ140" s="284">
        <v>54.0</v>
      </c>
      <c r="AR140" s="284">
        <v>721.0</v>
      </c>
      <c r="AS140" s="284">
        <v>4605.28</v>
      </c>
      <c r="AT140" s="284">
        <v>13.0</v>
      </c>
      <c r="AU140" s="284">
        <v>100.0</v>
      </c>
      <c r="AV140" s="284">
        <v>36.0</v>
      </c>
      <c r="AW140" s="284">
        <v>11.0</v>
      </c>
      <c r="AX140" s="284">
        <v>4.0</v>
      </c>
      <c r="AY140" s="309">
        <v>864147.0</v>
      </c>
      <c r="AZ140" s="316"/>
      <c r="BA140" s="307" t="str">
        <f t="shared" si="8"/>
        <v>Active</v>
      </c>
      <c r="BB140" s="307" t="str">
        <f t="shared" si="9"/>
        <v>Old</v>
      </c>
      <c r="BC140" s="307" t="str">
        <f t="shared" si="10"/>
        <v>Below 50%</v>
      </c>
      <c r="BD140" s="286">
        <f t="shared" si="35"/>
        <v>3</v>
      </c>
      <c r="BE140" s="328">
        <v>1000000.0</v>
      </c>
      <c r="BF140" s="284">
        <f>25/31</f>
        <v>0.8064516129</v>
      </c>
      <c r="BG140" s="307" t="s">
        <v>488</v>
      </c>
      <c r="BH140" s="271">
        <f>IFERROR(__xludf.DUMMYFUNCTION("""COMPUTED_VALUE"""),351396.0)</f>
        <v>351396</v>
      </c>
      <c r="BI140" s="271">
        <f>IFERROR(__xludf.DUMMYFUNCTION("""COMPUTED_VALUE"""),431144.24)</f>
        <v>431144.24</v>
      </c>
      <c r="BJ140" s="352"/>
      <c r="BK140" s="274"/>
      <c r="BL140" s="319">
        <f t="shared" si="34"/>
        <v>0</v>
      </c>
      <c r="BM140" s="319">
        <f t="shared" si="14"/>
        <v>3000000</v>
      </c>
      <c r="BN140" s="274"/>
      <c r="BO140" s="311">
        <f>IFERROR(__xludf.DUMMYFUNCTION("IFERROR(ArrayFormula(SUM(VLOOKUP($C140,importrange(""1PTkkEa_ENkSqsGnpqoXy9kt0Fe1hCtlmU6kVFBNaonY"",""ORDER BOOKING REPORT 2025-26!C:CV""),{16,23,30},0))))"),0.0)</f>
        <v>0</v>
      </c>
      <c r="BP140" s="311">
        <f>IFERROR(__xludf.DUMMYFUNCTION("IFERROR(ArrayFormula(SUM(VLOOKUP($C140,importrange(""1PTkkEa_ENkSqsGnpqoXy9kt0Fe1hCtlmU6kVFBNaonY"",""ORDER BOOKING REPORT 2025-26!C:CV""),{37,44,51},0))))"),0.0)</f>
        <v>0</v>
      </c>
      <c r="BQ140" s="311">
        <f>IFERROR(__xludf.DUMMYFUNCTION("IFERROR(ArrayFormula(SUM(VLOOKUP($C140,importrange(""1PTkkEa_ENkSqsGnpqoXy9kt0Fe1hCtlmU6kVFBNaonY"",""ORDER BOOKING REPORT 2025-26!C:CV""),{58,65,72},0))))"),25753.0)</f>
        <v>25753</v>
      </c>
      <c r="BR140" s="311">
        <f>IFERROR(__xludf.DUMMYFUNCTION("IFERROR(ArrayFormula(SUM(VLOOKUP($C140,importrange(""1PTkkEa_ENkSqsGnpqoXy9kt0Fe1hCtlmU6kVFBNaonY"",""ORDER BOOKING REPORT 2025-26!C:CV""),{79,86,93},0))))"),405391.24)</f>
        <v>405391.24</v>
      </c>
      <c r="BS140" s="322">
        <f t="shared" si="15"/>
        <v>0.288049</v>
      </c>
      <c r="BT140" s="322">
        <f t="shared" si="16"/>
        <v>0.1183826363</v>
      </c>
      <c r="BU140" s="287">
        <f t="shared" si="17"/>
        <v>0</v>
      </c>
      <c r="BV140" s="349"/>
      <c r="BW140" s="349"/>
      <c r="BX140" s="349"/>
      <c r="BY140" s="287">
        <f t="shared" si="18"/>
        <v>-34100</v>
      </c>
      <c r="BZ140" s="10"/>
      <c r="CA140" s="10"/>
      <c r="CB140" s="10"/>
      <c r="CC140" s="10"/>
      <c r="CD140" s="10"/>
      <c r="CE140" s="10"/>
      <c r="CF140" s="10"/>
      <c r="CG140" s="318" t="str">
        <f t="shared" si="21"/>
        <v>Below 60</v>
      </c>
      <c r="CH140" s="318" t="str">
        <f t="shared" si="28"/>
        <v>Business Achieved 50%</v>
      </c>
      <c r="CI140" s="322">
        <f t="shared" si="22"/>
        <v>0.7058823529</v>
      </c>
      <c r="CJ140" s="323"/>
      <c r="CK140" s="323"/>
      <c r="CL140" s="323"/>
      <c r="CM140" s="324">
        <f t="shared" si="23"/>
        <v>180</v>
      </c>
      <c r="CN140" s="325"/>
      <c r="CO140" s="6"/>
      <c r="CP140" s="6"/>
      <c r="CQ140" s="327"/>
      <c r="CR140" s="6"/>
      <c r="CS140" s="6"/>
      <c r="CT140" s="6"/>
      <c r="CU140" s="6"/>
      <c r="CV140" s="6"/>
      <c r="CW140" s="327">
        <f t="shared" si="27"/>
        <v>0</v>
      </c>
      <c r="CX140" s="270"/>
      <c r="CY140" s="6"/>
      <c r="CZ140" s="6"/>
    </row>
    <row r="141" hidden="1">
      <c r="A141" s="307" t="s">
        <v>72</v>
      </c>
      <c r="B141" s="307" t="s">
        <v>527</v>
      </c>
      <c r="C141" s="307" t="s">
        <v>85</v>
      </c>
      <c r="D141" s="307" t="s">
        <v>559</v>
      </c>
      <c r="E141" s="307" t="s">
        <v>86</v>
      </c>
      <c r="F141" s="329">
        <v>45933.0</v>
      </c>
      <c r="G141" s="309">
        <v>0.0</v>
      </c>
      <c r="H141" s="309">
        <v>3900000.0</v>
      </c>
      <c r="I141" s="287">
        <v>2063123.0</v>
      </c>
      <c r="J141" s="287">
        <v>0.0</v>
      </c>
      <c r="K141" s="284">
        <v>67.0</v>
      </c>
      <c r="L141" s="284">
        <v>64.0</v>
      </c>
      <c r="M141" s="284">
        <v>5.0</v>
      </c>
      <c r="N141" s="284">
        <v>72.0</v>
      </c>
      <c r="O141" s="284">
        <v>8.0</v>
      </c>
      <c r="P141" s="287">
        <v>1893251.04</v>
      </c>
      <c r="Q141" s="287">
        <v>169872.0</v>
      </c>
      <c r="R141" s="284">
        <v>40.0</v>
      </c>
      <c r="S141" s="284">
        <v>5.0</v>
      </c>
      <c r="T141" s="284">
        <v>45.0</v>
      </c>
      <c r="U141" s="284">
        <v>0.0</v>
      </c>
      <c r="V141" s="284">
        <v>2.0</v>
      </c>
      <c r="W141" s="284">
        <v>11.0</v>
      </c>
      <c r="X141" s="284">
        <v>10.0</v>
      </c>
      <c r="Y141" s="284">
        <v>1.0</v>
      </c>
      <c r="Z141" s="284">
        <v>6.0</v>
      </c>
      <c r="AA141" s="284">
        <v>0.0</v>
      </c>
      <c r="AB141" s="284">
        <v>0.0</v>
      </c>
      <c r="AC141" s="284">
        <v>0.0</v>
      </c>
      <c r="AD141" s="284">
        <v>0.0</v>
      </c>
      <c r="AE141" s="284">
        <v>551.0</v>
      </c>
      <c r="AF141" s="284">
        <v>568.0</v>
      </c>
      <c r="AG141" s="284">
        <v>73.0</v>
      </c>
      <c r="AH141" s="309">
        <f t="shared" si="2"/>
        <v>28261.9589</v>
      </c>
      <c r="AI141" s="309">
        <f t="shared" si="3"/>
        <v>7.780821918</v>
      </c>
      <c r="AJ141" s="345">
        <v>27000.0</v>
      </c>
      <c r="AK141" s="309">
        <f t="shared" si="33"/>
        <v>81000</v>
      </c>
      <c r="AL141" s="286"/>
      <c r="AM141" s="313">
        <f t="shared" si="5"/>
        <v>0.03926086811</v>
      </c>
      <c r="AN141" s="309">
        <f t="shared" si="6"/>
        <v>45847.17778</v>
      </c>
      <c r="AO141" s="314">
        <f t="shared" si="7"/>
        <v>0.5290058974</v>
      </c>
      <c r="AP141" s="315">
        <v>0.0</v>
      </c>
      <c r="AQ141" s="284">
        <v>76.0</v>
      </c>
      <c r="AR141" s="284">
        <v>704.0</v>
      </c>
      <c r="AS141" s="284">
        <v>5217.4</v>
      </c>
      <c r="AT141" s="284">
        <v>5.0</v>
      </c>
      <c r="AU141" s="284">
        <v>82.0</v>
      </c>
      <c r="AV141" s="284">
        <v>45.0</v>
      </c>
      <c r="AW141" s="284">
        <v>19.0</v>
      </c>
      <c r="AX141" s="284">
        <v>8.0</v>
      </c>
      <c r="AY141" s="309">
        <v>647157.56</v>
      </c>
      <c r="AZ141" s="316"/>
      <c r="BA141" s="307" t="str">
        <f t="shared" si="8"/>
        <v>Active</v>
      </c>
      <c r="BB141" s="307" t="str">
        <f t="shared" si="9"/>
        <v>Old</v>
      </c>
      <c r="BC141" s="307" t="str">
        <f t="shared" si="10"/>
        <v>50%-70%</v>
      </c>
      <c r="BD141" s="286">
        <f t="shared" si="35"/>
        <v>3</v>
      </c>
      <c r="BE141" s="328">
        <v>893750.0</v>
      </c>
      <c r="BF141" s="284">
        <f>28/31</f>
        <v>0.9032258065</v>
      </c>
      <c r="BG141" s="307" t="s">
        <v>488</v>
      </c>
      <c r="BH141" s="271">
        <f>IFERROR(__xludf.DUMMYFUNCTION("""COMPUTED_VALUE"""),3415793.84)</f>
        <v>3415793.84</v>
      </c>
      <c r="BI141" s="271">
        <f>IFERROR(__xludf.DUMMYFUNCTION("""COMPUTED_VALUE"""),3681893.4000000004)</f>
        <v>3681893.4</v>
      </c>
      <c r="BJ141" s="352"/>
      <c r="BK141" s="274"/>
      <c r="BL141" s="319">
        <f t="shared" si="34"/>
        <v>0</v>
      </c>
      <c r="BM141" s="319">
        <f t="shared" si="14"/>
        <v>3900000</v>
      </c>
      <c r="BN141" s="274"/>
      <c r="BO141" s="311">
        <f>IFERROR(__xludf.DUMMYFUNCTION("IFERROR(ArrayFormula(SUM(VLOOKUP($C141,importrange(""1PTkkEa_ENkSqsGnpqoXy9kt0Fe1hCtlmU6kVFBNaonY"",""ORDER BOOKING REPORT 2025-26!C:CV""),{16,23,30},0))))"),0.0)</f>
        <v>0</v>
      </c>
      <c r="BP141" s="311">
        <f>IFERROR(__xludf.DUMMYFUNCTION("IFERROR(ArrayFormula(SUM(VLOOKUP($C141,importrange(""1PTkkEa_ENkSqsGnpqoXy9kt0Fe1hCtlmU6kVFBNaonY"",""ORDER BOOKING REPORT 2025-26!C:CV""),{37,44,51},0))))"),0.0)</f>
        <v>0</v>
      </c>
      <c r="BQ141" s="311">
        <f>IFERROR(__xludf.DUMMYFUNCTION("IFERROR(ArrayFormula(SUM(VLOOKUP($C141,importrange(""1PTkkEa_ENkSqsGnpqoXy9kt0Fe1hCtlmU6kVFBNaonY"",""ORDER BOOKING REPORT 2025-26!C:CV""),{58,65,72},0))))"),1307582.4)</f>
        <v>1307582.4</v>
      </c>
      <c r="BR141" s="311">
        <f>IFERROR(__xludf.DUMMYFUNCTION("IFERROR(ArrayFormula(SUM(VLOOKUP($C141,importrange(""1PTkkEa_ENkSqsGnpqoXy9kt0Fe1hCtlmU6kVFBNaonY"",""ORDER BOOKING REPORT 2025-26!C:CV""),{79,86,93},0))))"),2374311.0)</f>
        <v>2374311</v>
      </c>
      <c r="BS141" s="322">
        <f t="shared" si="15"/>
        <v>0.1659378359</v>
      </c>
      <c r="BT141" s="322">
        <f t="shared" si="16"/>
        <v>0.1251627193</v>
      </c>
      <c r="BU141" s="287">
        <f t="shared" si="17"/>
        <v>0</v>
      </c>
      <c r="BV141" s="349"/>
      <c r="BW141" s="349"/>
      <c r="BX141" s="349"/>
      <c r="BY141" s="287">
        <f t="shared" si="18"/>
        <v>-27000</v>
      </c>
      <c r="BZ141" s="10"/>
      <c r="CA141" s="10"/>
      <c r="CB141" s="10"/>
      <c r="CC141" s="10"/>
      <c r="CD141" s="10"/>
      <c r="CE141" s="10"/>
      <c r="CF141" s="10"/>
      <c r="CG141" s="318" t="str">
        <f t="shared" si="21"/>
        <v> </v>
      </c>
      <c r="CH141" s="318" t="str">
        <f t="shared" si="28"/>
        <v>Business Achieved 50%</v>
      </c>
      <c r="CI141" s="322">
        <f t="shared" si="22"/>
        <v>0.625</v>
      </c>
      <c r="CJ141" s="323"/>
      <c r="CK141" s="323"/>
      <c r="CL141" s="323"/>
      <c r="CM141" s="324">
        <f t="shared" si="23"/>
        <v>551</v>
      </c>
      <c r="CN141" s="337"/>
      <c r="CO141" s="152"/>
      <c r="CP141" s="152"/>
      <c r="CQ141" s="327"/>
      <c r="CR141" s="152"/>
      <c r="CS141" s="152"/>
      <c r="CT141" s="152"/>
      <c r="CU141" s="152"/>
      <c r="CV141" s="152"/>
      <c r="CW141" s="327">
        <f t="shared" si="27"/>
        <v>0</v>
      </c>
      <c r="CX141" s="270"/>
      <c r="CY141" s="152"/>
      <c r="CZ141" s="152"/>
    </row>
    <row r="142" hidden="1">
      <c r="A142" s="307" t="s">
        <v>103</v>
      </c>
      <c r="B142" s="307" t="s">
        <v>519</v>
      </c>
      <c r="C142" s="307" t="s">
        <v>148</v>
      </c>
      <c r="D142" s="307" t="s">
        <v>520</v>
      </c>
      <c r="E142" s="307" t="s">
        <v>149</v>
      </c>
      <c r="F142" s="329">
        <v>45964.0</v>
      </c>
      <c r="G142" s="309">
        <v>0.0</v>
      </c>
      <c r="H142" s="309">
        <v>4650000.0</v>
      </c>
      <c r="I142" s="287">
        <v>1324396.0</v>
      </c>
      <c r="J142" s="287">
        <v>79373.59</v>
      </c>
      <c r="K142" s="284">
        <v>82.0</v>
      </c>
      <c r="L142" s="284">
        <v>82.0</v>
      </c>
      <c r="M142" s="284">
        <v>10.0</v>
      </c>
      <c r="N142" s="284">
        <v>92.0</v>
      </c>
      <c r="O142" s="284">
        <v>10.0</v>
      </c>
      <c r="P142" s="287">
        <v>978361.8</v>
      </c>
      <c r="Q142" s="287">
        <v>346033.97</v>
      </c>
      <c r="R142" s="284">
        <v>37.0</v>
      </c>
      <c r="S142" s="284">
        <v>10.0</v>
      </c>
      <c r="T142" s="284">
        <v>47.0</v>
      </c>
      <c r="U142" s="284">
        <v>1.0</v>
      </c>
      <c r="V142" s="284">
        <v>160.0</v>
      </c>
      <c r="W142" s="284">
        <v>175.0</v>
      </c>
      <c r="X142" s="284">
        <v>196.0</v>
      </c>
      <c r="Y142" s="284">
        <v>2.0</v>
      </c>
      <c r="Z142" s="284">
        <v>36.0</v>
      </c>
      <c r="AA142" s="284">
        <v>2.0</v>
      </c>
      <c r="AB142" s="284">
        <v>4.0</v>
      </c>
      <c r="AC142" s="284">
        <v>2.0</v>
      </c>
      <c r="AD142" s="284">
        <v>2.0</v>
      </c>
      <c r="AE142" s="284">
        <v>215.0</v>
      </c>
      <c r="AF142" s="284">
        <v>432.0</v>
      </c>
      <c r="AG142" s="284">
        <v>67.0</v>
      </c>
      <c r="AH142" s="309">
        <f t="shared" si="2"/>
        <v>20951.78493</v>
      </c>
      <c r="AI142" s="309">
        <f t="shared" si="3"/>
        <v>6.447761194</v>
      </c>
      <c r="AJ142" s="345">
        <v>36190.0</v>
      </c>
      <c r="AK142" s="309">
        <f t="shared" si="33"/>
        <v>108570</v>
      </c>
      <c r="AL142" s="286"/>
      <c r="AM142" s="313">
        <f t="shared" si="5"/>
        <v>0.07734175236</v>
      </c>
      <c r="AN142" s="309">
        <f t="shared" si="6"/>
        <v>28178.6383</v>
      </c>
      <c r="AO142" s="314">
        <f t="shared" si="7"/>
        <v>0.3018859333</v>
      </c>
      <c r="AP142" s="315">
        <v>0.0</v>
      </c>
      <c r="AQ142" s="284">
        <v>83.0</v>
      </c>
      <c r="AR142" s="284">
        <v>699.0</v>
      </c>
      <c r="AS142" s="284">
        <v>5379.72</v>
      </c>
      <c r="AT142" s="284">
        <v>10.0</v>
      </c>
      <c r="AU142" s="284">
        <v>66.0</v>
      </c>
      <c r="AV142" s="284">
        <v>47.0</v>
      </c>
      <c r="AW142" s="284">
        <v>36.0</v>
      </c>
      <c r="AX142" s="284">
        <v>9.0</v>
      </c>
      <c r="AY142" s="309">
        <v>785257.0</v>
      </c>
      <c r="AZ142" s="316"/>
      <c r="BA142" s="307" t="str">
        <f t="shared" si="8"/>
        <v>Active</v>
      </c>
      <c r="BB142" s="307" t="str">
        <f t="shared" si="9"/>
        <v>Old</v>
      </c>
      <c r="BC142" s="307" t="str">
        <f t="shared" si="10"/>
        <v>Below 50%</v>
      </c>
      <c r="BD142" s="286">
        <f t="shared" si="35"/>
        <v>3</v>
      </c>
      <c r="BE142" s="328">
        <v>1550000.0</v>
      </c>
      <c r="BF142" s="284">
        <f t="shared" ref="BF142:BF143" si="37">30-3</f>
        <v>27</v>
      </c>
      <c r="BG142" s="307" t="s">
        <v>488</v>
      </c>
      <c r="BH142" s="271">
        <f>IFERROR(__xludf.DUMMYFUNCTION("""COMPUTED_VALUE"""),1336548.0)</f>
        <v>1336548</v>
      </c>
      <c r="BI142" s="271">
        <f>IFERROR(__xludf.DUMMYFUNCTION("""COMPUTED_VALUE"""),1828924.7000000002)</f>
        <v>1828924.7</v>
      </c>
      <c r="BJ142" s="352"/>
      <c r="BK142" s="274"/>
      <c r="BL142" s="319">
        <f t="shared" si="34"/>
        <v>0</v>
      </c>
      <c r="BM142" s="319">
        <f t="shared" si="14"/>
        <v>4650000</v>
      </c>
      <c r="BN142" s="274"/>
      <c r="BO142" s="311">
        <f>IFERROR(__xludf.DUMMYFUNCTION("IFERROR(ArrayFormula(SUM(VLOOKUP($C142,importrange(""1PTkkEa_ENkSqsGnpqoXy9kt0Fe1hCtlmU6kVFBNaonY"",""ORDER BOOKING REPORT 2025-26!C:CV""),{16,23,30},0))))"),0.0)</f>
        <v>0</v>
      </c>
      <c r="BP142" s="311">
        <f>IFERROR(__xludf.DUMMYFUNCTION("IFERROR(ArrayFormula(SUM(VLOOKUP($C142,importrange(""1PTkkEa_ENkSqsGnpqoXy9kt0Fe1hCtlmU6kVFBNaonY"",""ORDER BOOKING REPORT 2025-26!C:CV""),{37,44,51},0))))"),0.0)</f>
        <v>0</v>
      </c>
      <c r="BQ142" s="311">
        <f>IFERROR(__xludf.DUMMYFUNCTION("IFERROR(ArrayFormula(SUM(VLOOKUP($C142,importrange(""1PTkkEa_ENkSqsGnpqoXy9kt0Fe1hCtlmU6kVFBNaonY"",""ORDER BOOKING REPORT 2025-26!C:CV""),{58,65,72},0))))"),605568.2000000001)</f>
        <v>605568.2</v>
      </c>
      <c r="BR142" s="311">
        <f>IFERROR(__xludf.DUMMYFUNCTION("IFERROR(ArrayFormula(SUM(VLOOKUP($C142,importrange(""1PTkkEa_ENkSqsGnpqoXy9kt0Fe1hCtlmU6kVFBNaonY"",""ORDER BOOKING REPORT 2025-26!C:CV""),{79,86,93},0))))"),1223356.5000000002)</f>
        <v>1223356.5</v>
      </c>
      <c r="BS142" s="322">
        <f t="shared" si="15"/>
        <v>0.1688724731</v>
      </c>
      <c r="BT142" s="322">
        <f t="shared" si="16"/>
        <v>0.1382604676</v>
      </c>
      <c r="BU142" s="287">
        <f t="shared" si="17"/>
        <v>0</v>
      </c>
      <c r="BV142" s="349"/>
      <c r="BW142" s="349"/>
      <c r="BX142" s="349"/>
      <c r="BY142" s="287">
        <f t="shared" si="18"/>
        <v>-36190</v>
      </c>
      <c r="BZ142" s="10"/>
      <c r="CA142" s="10"/>
      <c r="CB142" s="10"/>
      <c r="CC142" s="10"/>
      <c r="CD142" s="10"/>
      <c r="CE142" s="10"/>
      <c r="CF142" s="10"/>
      <c r="CG142" s="318" t="str">
        <f t="shared" si="21"/>
        <v> </v>
      </c>
      <c r="CH142" s="318" t="str">
        <f t="shared" si="28"/>
        <v>Business Achieved 50%</v>
      </c>
      <c r="CI142" s="322">
        <f t="shared" si="22"/>
        <v>0.5108695652</v>
      </c>
      <c r="CJ142" s="323"/>
      <c r="CK142" s="323"/>
      <c r="CL142" s="323"/>
      <c r="CM142" s="324">
        <f t="shared" si="23"/>
        <v>215</v>
      </c>
      <c r="CN142" s="337"/>
      <c r="CO142" s="152"/>
      <c r="CP142" s="152"/>
      <c r="CQ142" s="327"/>
      <c r="CR142" s="152"/>
      <c r="CS142" s="152"/>
      <c r="CT142" s="152"/>
      <c r="CU142" s="152"/>
      <c r="CV142" s="152"/>
      <c r="CW142" s="327">
        <f t="shared" si="27"/>
        <v>0</v>
      </c>
      <c r="CX142" s="270"/>
      <c r="CY142" s="152"/>
      <c r="CZ142" s="152"/>
    </row>
    <row r="143" hidden="1">
      <c r="A143" s="307" t="s">
        <v>103</v>
      </c>
      <c r="B143" s="307" t="s">
        <v>492</v>
      </c>
      <c r="C143" s="307" t="s">
        <v>150</v>
      </c>
      <c r="D143" s="307" t="s">
        <v>492</v>
      </c>
      <c r="E143" s="307" t="s">
        <v>151</v>
      </c>
      <c r="F143" s="329">
        <v>45964.0</v>
      </c>
      <c r="G143" s="309">
        <v>500001.0</v>
      </c>
      <c r="H143" s="309">
        <v>6500001.0</v>
      </c>
      <c r="I143" s="287">
        <v>1178826.0</v>
      </c>
      <c r="J143" s="287">
        <v>0.0</v>
      </c>
      <c r="K143" s="284">
        <v>52.0</v>
      </c>
      <c r="L143" s="284">
        <v>64.0</v>
      </c>
      <c r="M143" s="284">
        <v>17.0</v>
      </c>
      <c r="N143" s="284">
        <v>69.0</v>
      </c>
      <c r="O143" s="284">
        <v>5.0</v>
      </c>
      <c r="P143" s="287">
        <v>955712.71</v>
      </c>
      <c r="Q143" s="287">
        <v>223113.73</v>
      </c>
      <c r="R143" s="284">
        <v>31.0</v>
      </c>
      <c r="S143" s="284">
        <v>17.0</v>
      </c>
      <c r="T143" s="284">
        <v>48.0</v>
      </c>
      <c r="U143" s="284">
        <v>0.0</v>
      </c>
      <c r="V143" s="284">
        <v>47.0</v>
      </c>
      <c r="W143" s="284">
        <v>77.0</v>
      </c>
      <c r="X143" s="284">
        <v>38.0</v>
      </c>
      <c r="Y143" s="284">
        <v>7.0</v>
      </c>
      <c r="Z143" s="284">
        <v>50.0</v>
      </c>
      <c r="AA143" s="284">
        <v>0.0</v>
      </c>
      <c r="AB143" s="284">
        <v>0.0</v>
      </c>
      <c r="AC143" s="284">
        <v>21.0</v>
      </c>
      <c r="AD143" s="284">
        <v>43.0</v>
      </c>
      <c r="AE143" s="284">
        <v>189.0</v>
      </c>
      <c r="AF143" s="284">
        <v>359.0</v>
      </c>
      <c r="AG143" s="284">
        <v>76.0</v>
      </c>
      <c r="AH143" s="309">
        <f t="shared" si="2"/>
        <v>15510.86842</v>
      </c>
      <c r="AI143" s="309">
        <f t="shared" si="3"/>
        <v>4.723684211</v>
      </c>
      <c r="AJ143" s="345">
        <v>65825.0</v>
      </c>
      <c r="AK143" s="309">
        <f t="shared" si="33"/>
        <v>197475</v>
      </c>
      <c r="AL143" s="286"/>
      <c r="AM143" s="313">
        <f t="shared" si="5"/>
        <v>0.1675183615</v>
      </c>
      <c r="AN143" s="309">
        <f t="shared" si="6"/>
        <v>24558.875</v>
      </c>
      <c r="AO143" s="314">
        <f t="shared" si="7"/>
        <v>0.1684036662</v>
      </c>
      <c r="AP143" s="315">
        <v>0.0</v>
      </c>
      <c r="AQ143" s="284">
        <v>71.0</v>
      </c>
      <c r="AR143" s="284">
        <v>756.0</v>
      </c>
      <c r="AS143" s="284">
        <v>5918.95</v>
      </c>
      <c r="AT143" s="284">
        <v>17.0</v>
      </c>
      <c r="AU143" s="284">
        <v>92.0</v>
      </c>
      <c r="AV143" s="284">
        <v>48.0</v>
      </c>
      <c r="AW143" s="284">
        <v>16.0</v>
      </c>
      <c r="AX143" s="284">
        <v>5.0</v>
      </c>
      <c r="AY143" s="309">
        <v>873309.0</v>
      </c>
      <c r="AZ143" s="316"/>
      <c r="BA143" s="307" t="str">
        <f t="shared" si="8"/>
        <v>Active</v>
      </c>
      <c r="BB143" s="307" t="str">
        <f t="shared" si="9"/>
        <v>Old</v>
      </c>
      <c r="BC143" s="307" t="str">
        <f t="shared" si="10"/>
        <v>Below 50%</v>
      </c>
      <c r="BD143" s="286">
        <f t="shared" si="35"/>
        <v>3</v>
      </c>
      <c r="BE143" s="328">
        <v>2333334.0</v>
      </c>
      <c r="BF143" s="284">
        <f t="shared" si="37"/>
        <v>27</v>
      </c>
      <c r="BG143" s="307" t="s">
        <v>488</v>
      </c>
      <c r="BH143" s="271">
        <f>IFERROR(__xludf.DUMMYFUNCTION("""COMPUTED_VALUE"""),2027983.0)</f>
        <v>2027983</v>
      </c>
      <c r="BI143" s="271">
        <f>IFERROR(__xludf.DUMMYFUNCTION("""COMPUTED_VALUE"""),1256855.88)</f>
        <v>1256855.88</v>
      </c>
      <c r="BJ143" s="352"/>
      <c r="BK143" s="344">
        <v>166667.0</v>
      </c>
      <c r="BL143" s="319">
        <f t="shared" si="34"/>
        <v>500001</v>
      </c>
      <c r="BM143" s="319">
        <f t="shared" si="14"/>
        <v>7000002</v>
      </c>
      <c r="BN143" s="274"/>
      <c r="BO143" s="311">
        <f>IFERROR(__xludf.DUMMYFUNCTION("IFERROR(ArrayFormula(SUM(VLOOKUP($C143,importrange(""1PTkkEa_ENkSqsGnpqoXy9kt0Fe1hCtlmU6kVFBNaonY"",""ORDER BOOKING REPORT 2025-26!C:CV""),{16,23,30},0))))"),0.0)</f>
        <v>0</v>
      </c>
      <c r="BP143" s="311">
        <f>IFERROR(__xludf.DUMMYFUNCTION("IFERROR(ArrayFormula(SUM(VLOOKUP($C143,importrange(""1PTkkEa_ENkSqsGnpqoXy9kt0Fe1hCtlmU6kVFBNaonY"",""ORDER BOOKING REPORT 2025-26!C:CV""),{37,44,51},0))))"),0.0)</f>
        <v>0</v>
      </c>
      <c r="BQ143" s="311">
        <f>IFERROR(__xludf.DUMMYFUNCTION("IFERROR(ArrayFormula(SUM(VLOOKUP($C143,importrange(""1PTkkEa_ENkSqsGnpqoXy9kt0Fe1hCtlmU6kVFBNaonY"",""ORDER BOOKING REPORT 2025-26!C:CV""),{58,65,72},0))))"),83318.75)</f>
        <v>83318.75</v>
      </c>
      <c r="BR143" s="311">
        <f>IFERROR(__xludf.DUMMYFUNCTION("IFERROR(ArrayFormula(SUM(VLOOKUP($C143,importrange(""1PTkkEa_ENkSqsGnpqoXy9kt0Fe1hCtlmU6kVFBNaonY"",""ORDER BOOKING REPORT 2025-26!C:CV""),{79,86,93},0))))"),1173537.13)</f>
        <v>1173537.13</v>
      </c>
      <c r="BS143" s="322">
        <f t="shared" si="15"/>
        <v>0.1247583929</v>
      </c>
      <c r="BT143" s="322">
        <f t="shared" si="16"/>
        <v>0.2261227126</v>
      </c>
      <c r="BU143" s="287">
        <f t="shared" si="17"/>
        <v>0</v>
      </c>
      <c r="BV143" s="349"/>
      <c r="BW143" s="349"/>
      <c r="BX143" s="349"/>
      <c r="BY143" s="287">
        <f t="shared" si="18"/>
        <v>-65825</v>
      </c>
      <c r="BZ143" s="10"/>
      <c r="CA143" s="10"/>
      <c r="CB143" s="10"/>
      <c r="CC143" s="10"/>
      <c r="CD143" s="10"/>
      <c r="CE143" s="10"/>
      <c r="CF143" s="10"/>
      <c r="CG143" s="318" t="str">
        <f t="shared" si="21"/>
        <v> </v>
      </c>
      <c r="CH143" s="318" t="str">
        <f t="shared" si="28"/>
        <v>Business Achieved 50%</v>
      </c>
      <c r="CI143" s="322">
        <f t="shared" si="22"/>
        <v>0.6956521739</v>
      </c>
      <c r="CJ143" s="323"/>
      <c r="CK143" s="323"/>
      <c r="CL143" s="323"/>
      <c r="CM143" s="324">
        <f t="shared" si="23"/>
        <v>189</v>
      </c>
      <c r="CN143" s="337"/>
      <c r="CO143" s="152"/>
      <c r="CP143" s="152"/>
      <c r="CQ143" s="327"/>
      <c r="CR143" s="152"/>
      <c r="CS143" s="152"/>
      <c r="CT143" s="152"/>
      <c r="CU143" s="152"/>
      <c r="CV143" s="152"/>
      <c r="CW143" s="327">
        <f t="shared" si="27"/>
        <v>0</v>
      </c>
      <c r="CX143" s="270"/>
      <c r="CY143" s="152"/>
      <c r="CZ143" s="152"/>
    </row>
    <row r="144" hidden="1">
      <c r="A144" s="307" t="s">
        <v>103</v>
      </c>
      <c r="B144" s="307" t="s">
        <v>519</v>
      </c>
      <c r="C144" s="307" t="s">
        <v>152</v>
      </c>
      <c r="D144" s="307" t="s">
        <v>520</v>
      </c>
      <c r="E144" s="307" t="s">
        <v>153</v>
      </c>
      <c r="F144" s="329">
        <v>45971.0</v>
      </c>
      <c r="G144" s="309">
        <v>0.0</v>
      </c>
      <c r="H144" s="309">
        <v>4500000.0</v>
      </c>
      <c r="I144" s="287">
        <v>1122645.0</v>
      </c>
      <c r="J144" s="287">
        <v>0.0</v>
      </c>
      <c r="K144" s="284">
        <v>27.0</v>
      </c>
      <c r="L144" s="284">
        <v>40.0</v>
      </c>
      <c r="M144" s="284">
        <v>16.0</v>
      </c>
      <c r="N144" s="284">
        <v>43.0</v>
      </c>
      <c r="O144" s="284">
        <v>3.0</v>
      </c>
      <c r="P144" s="287">
        <v>660925.67</v>
      </c>
      <c r="Q144" s="287">
        <v>461719.35</v>
      </c>
      <c r="R144" s="284">
        <v>10.0</v>
      </c>
      <c r="S144" s="284">
        <v>16.0</v>
      </c>
      <c r="T144" s="284">
        <v>26.0</v>
      </c>
      <c r="U144" s="284">
        <v>0.0</v>
      </c>
      <c r="V144" s="284">
        <v>93.0</v>
      </c>
      <c r="W144" s="284">
        <v>182.0</v>
      </c>
      <c r="X144" s="284">
        <v>58.0</v>
      </c>
      <c r="Y144" s="284">
        <v>1.0</v>
      </c>
      <c r="Z144" s="284">
        <v>2.0</v>
      </c>
      <c r="AA144" s="284">
        <v>0.0</v>
      </c>
      <c r="AB144" s="284">
        <v>0.0</v>
      </c>
      <c r="AC144" s="284">
        <v>0.0</v>
      </c>
      <c r="AD144" s="284">
        <v>0.0</v>
      </c>
      <c r="AE144" s="284">
        <v>145.0</v>
      </c>
      <c r="AF144" s="284">
        <v>329.0</v>
      </c>
      <c r="AG144" s="284">
        <v>71.0</v>
      </c>
      <c r="AH144" s="309">
        <f t="shared" si="2"/>
        <v>15811.90141</v>
      </c>
      <c r="AI144" s="309">
        <f t="shared" si="3"/>
        <v>4.633802817</v>
      </c>
      <c r="AJ144" s="345">
        <v>32500.0</v>
      </c>
      <c r="AK144" s="309">
        <f t="shared" si="33"/>
        <v>97500</v>
      </c>
      <c r="AL144" s="286"/>
      <c r="AM144" s="313">
        <f t="shared" si="5"/>
        <v>0.08684846946</v>
      </c>
      <c r="AN144" s="309">
        <f t="shared" si="6"/>
        <v>43178.65385</v>
      </c>
      <c r="AO144" s="314">
        <f t="shared" si="7"/>
        <v>0.2494766667</v>
      </c>
      <c r="AP144" s="315">
        <v>0.0</v>
      </c>
      <c r="AQ144" s="284">
        <v>53.0</v>
      </c>
      <c r="AR144" s="284">
        <v>768.0</v>
      </c>
      <c r="AS144" s="284">
        <v>14659.07</v>
      </c>
      <c r="AT144" s="284">
        <v>16.0</v>
      </c>
      <c r="AU144" s="284">
        <v>366.0</v>
      </c>
      <c r="AV144" s="284">
        <v>26.0</v>
      </c>
      <c r="AW144" s="284">
        <v>14.0</v>
      </c>
      <c r="AX144" s="284">
        <v>3.0</v>
      </c>
      <c r="AY144" s="309">
        <v>1023321.0</v>
      </c>
      <c r="AZ144" s="316"/>
      <c r="BA144" s="307" t="str">
        <f t="shared" si="8"/>
        <v>Active</v>
      </c>
      <c r="BB144" s="307" t="str">
        <f t="shared" si="9"/>
        <v>Old</v>
      </c>
      <c r="BC144" s="307" t="str">
        <f t="shared" si="10"/>
        <v>Below 50%</v>
      </c>
      <c r="BD144" s="286">
        <f t="shared" si="35"/>
        <v>3</v>
      </c>
      <c r="BE144" s="328">
        <v>1500000.0</v>
      </c>
      <c r="BF144" s="6"/>
      <c r="BG144" s="307" t="s">
        <v>488</v>
      </c>
      <c r="BH144" s="271">
        <f>IFERROR(__xludf.DUMMYFUNCTION("""COMPUTED_VALUE"""),1729053.5499999998)</f>
        <v>1729053.55</v>
      </c>
      <c r="BI144" s="271">
        <f>IFERROR(__xludf.DUMMYFUNCTION("""COMPUTED_VALUE"""),1311479.6600000001)</f>
        <v>1311479.66</v>
      </c>
      <c r="BJ144" s="352"/>
      <c r="BK144" s="274"/>
      <c r="BL144" s="319">
        <f t="shared" si="34"/>
        <v>0</v>
      </c>
      <c r="BM144" s="319">
        <f t="shared" si="14"/>
        <v>4500000</v>
      </c>
      <c r="BN144" s="274"/>
      <c r="BO144" s="311">
        <f>IFERROR(__xludf.DUMMYFUNCTION("IFERROR(ArrayFormula(SUM(VLOOKUP($C144,importrange(""1PTkkEa_ENkSqsGnpqoXy9kt0Fe1hCtlmU6kVFBNaonY"",""ORDER BOOKING REPORT 2025-26!C:CV""),{16,23,30},0))))"),0.0)</f>
        <v>0</v>
      </c>
      <c r="BP144" s="311">
        <f>IFERROR(__xludf.DUMMYFUNCTION("IFERROR(ArrayFormula(SUM(VLOOKUP($C144,importrange(""1PTkkEa_ENkSqsGnpqoXy9kt0Fe1hCtlmU6kVFBNaonY"",""ORDER BOOKING REPORT 2025-26!C:CV""),{37,44,51},0))))"),0.0)</f>
        <v>0</v>
      </c>
      <c r="BQ144" s="311">
        <f>IFERROR(__xludf.DUMMYFUNCTION("IFERROR(ArrayFormula(SUM(VLOOKUP($C144,importrange(""1PTkkEa_ENkSqsGnpqoXy9kt0Fe1hCtlmU6kVFBNaonY"",""ORDER BOOKING REPORT 2025-26!C:CV""),{58,65,72},0))))"),8787.279999999999)</f>
        <v>8787.28</v>
      </c>
      <c r="BR144" s="311">
        <f>IFERROR(__xludf.DUMMYFUNCTION("IFERROR(ArrayFormula(SUM(VLOOKUP($C144,importrange(""1PTkkEa_ENkSqsGnpqoXy9kt0Fe1hCtlmU6kVFBNaonY"",""ORDER BOOKING REPORT 2025-26!C:CV""),{79,86,93},0))))"),1302692.38)</f>
        <v>1302692.38</v>
      </c>
      <c r="BS144" s="322">
        <f t="shared" si="15"/>
        <v>0.2274046667</v>
      </c>
      <c r="BT144" s="322">
        <f t="shared" si="16"/>
        <v>0.09527802127</v>
      </c>
      <c r="BU144" s="287">
        <f t="shared" si="17"/>
        <v>0</v>
      </c>
      <c r="BV144" s="349"/>
      <c r="BW144" s="349"/>
      <c r="BX144" s="349"/>
      <c r="BY144" s="287">
        <f t="shared" si="18"/>
        <v>-32500</v>
      </c>
      <c r="BZ144" s="10"/>
      <c r="CA144" s="10"/>
      <c r="CB144" s="10"/>
      <c r="CC144" s="10"/>
      <c r="CD144" s="10"/>
      <c r="CE144" s="10"/>
      <c r="CF144" s="10"/>
      <c r="CG144" s="318" t="str">
        <f t="shared" si="21"/>
        <v>Below 60</v>
      </c>
      <c r="CH144" s="318" t="str">
        <f t="shared" si="28"/>
        <v>Business Achieved 50%</v>
      </c>
      <c r="CI144" s="322">
        <f t="shared" si="22"/>
        <v>0.6046511628</v>
      </c>
      <c r="CJ144" s="323"/>
      <c r="CK144" s="323"/>
      <c r="CL144" s="323"/>
      <c r="CM144" s="324">
        <f t="shared" si="23"/>
        <v>145</v>
      </c>
      <c r="CN144" s="337"/>
      <c r="CO144" s="152"/>
      <c r="CP144" s="152"/>
      <c r="CQ144" s="327"/>
      <c r="CR144" s="152"/>
      <c r="CS144" s="152"/>
      <c r="CT144" s="152"/>
      <c r="CU144" s="152"/>
      <c r="CV144" s="152"/>
      <c r="CW144" s="327">
        <f t="shared" si="27"/>
        <v>0</v>
      </c>
      <c r="CX144" s="270"/>
      <c r="CY144" s="152"/>
      <c r="CZ144" s="152"/>
    </row>
    <row r="145" hidden="1">
      <c r="A145" s="307" t="s">
        <v>48</v>
      </c>
      <c r="B145" s="307" t="s">
        <v>509</v>
      </c>
      <c r="C145" s="307" t="s">
        <v>59</v>
      </c>
      <c r="D145" s="307" t="s">
        <v>574</v>
      </c>
      <c r="E145" s="307" t="s">
        <v>60</v>
      </c>
      <c r="F145" s="329">
        <v>45979.0</v>
      </c>
      <c r="G145" s="309">
        <v>0.0</v>
      </c>
      <c r="H145" s="309">
        <v>1800000.0</v>
      </c>
      <c r="I145" s="287">
        <v>1447955.0</v>
      </c>
      <c r="J145" s="287">
        <v>0.0</v>
      </c>
      <c r="K145" s="284">
        <v>45.0</v>
      </c>
      <c r="L145" s="284">
        <v>41.0</v>
      </c>
      <c r="M145" s="284">
        <v>5.0</v>
      </c>
      <c r="N145" s="284">
        <v>50.0</v>
      </c>
      <c r="O145" s="284">
        <v>9.0</v>
      </c>
      <c r="P145" s="287">
        <v>1138635.9</v>
      </c>
      <c r="Q145" s="287">
        <v>309319.44</v>
      </c>
      <c r="R145" s="284">
        <v>13.0</v>
      </c>
      <c r="S145" s="284">
        <v>5.0</v>
      </c>
      <c r="T145" s="284">
        <v>18.0</v>
      </c>
      <c r="U145" s="284">
        <v>0.0</v>
      </c>
      <c r="V145" s="284">
        <v>90.0</v>
      </c>
      <c r="W145" s="284">
        <v>183.0</v>
      </c>
      <c r="X145" s="284">
        <v>81.0</v>
      </c>
      <c r="Y145" s="284">
        <v>3.0</v>
      </c>
      <c r="Z145" s="284">
        <v>45.0</v>
      </c>
      <c r="AA145" s="284">
        <v>0.0</v>
      </c>
      <c r="AB145" s="284">
        <v>0.0</v>
      </c>
      <c r="AC145" s="284">
        <v>0.0</v>
      </c>
      <c r="AD145" s="284">
        <v>0.0</v>
      </c>
      <c r="AE145" s="284">
        <v>201.0</v>
      </c>
      <c r="AF145" s="284">
        <v>429.0</v>
      </c>
      <c r="AG145" s="284">
        <v>69.0</v>
      </c>
      <c r="AH145" s="309">
        <f t="shared" si="2"/>
        <v>20984.85507</v>
      </c>
      <c r="AI145" s="309">
        <f t="shared" si="3"/>
        <v>6.217391304</v>
      </c>
      <c r="AJ145" s="345">
        <v>37740.0</v>
      </c>
      <c r="AK145" s="309">
        <f t="shared" si="33"/>
        <v>113220</v>
      </c>
      <c r="AL145" s="286"/>
      <c r="AM145" s="313">
        <f t="shared" si="5"/>
        <v>0.07819303777</v>
      </c>
      <c r="AN145" s="309">
        <f t="shared" si="6"/>
        <v>80441.94444</v>
      </c>
      <c r="AO145" s="314">
        <f t="shared" si="7"/>
        <v>0.8044194444</v>
      </c>
      <c r="AP145" s="315">
        <v>0.0</v>
      </c>
      <c r="AQ145" s="284">
        <v>28.0</v>
      </c>
      <c r="AR145" s="284">
        <v>686.0</v>
      </c>
      <c r="AS145" s="284">
        <v>4736.44</v>
      </c>
      <c r="AT145" s="284">
        <v>5.0</v>
      </c>
      <c r="AU145" s="284">
        <v>116.0</v>
      </c>
      <c r="AV145" s="284">
        <v>18.0</v>
      </c>
      <c r="AW145" s="284">
        <v>23.0</v>
      </c>
      <c r="AX145" s="284">
        <v>9.0</v>
      </c>
      <c r="AY145" s="309">
        <v>685586.0</v>
      </c>
      <c r="AZ145" s="316"/>
      <c r="BA145" s="307" t="str">
        <f t="shared" si="8"/>
        <v>Active</v>
      </c>
      <c r="BB145" s="307" t="str">
        <f t="shared" si="9"/>
        <v>Old</v>
      </c>
      <c r="BC145" s="307" t="str">
        <f t="shared" si="10"/>
        <v>70%-90%</v>
      </c>
      <c r="BD145" s="286">
        <f t="shared" si="35"/>
        <v>3</v>
      </c>
      <c r="BE145" s="328">
        <v>600000.0</v>
      </c>
      <c r="BF145" s="284">
        <f>12/30</f>
        <v>0.4</v>
      </c>
      <c r="BG145" s="307" t="s">
        <v>488</v>
      </c>
      <c r="BH145" s="271">
        <f>IFERROR(__xludf.DUMMYFUNCTION("""COMPUTED_VALUE"""),476505.0)</f>
        <v>476505</v>
      </c>
      <c r="BI145" s="271">
        <f>IFERROR(__xludf.DUMMYFUNCTION("""COMPUTED_VALUE"""),471673.52999999997)</f>
        <v>471673.53</v>
      </c>
      <c r="BJ145" s="352"/>
      <c r="BK145" s="274"/>
      <c r="BL145" s="319">
        <f t="shared" si="34"/>
        <v>0</v>
      </c>
      <c r="BM145" s="319">
        <f t="shared" si="14"/>
        <v>1800000</v>
      </c>
      <c r="BN145" s="274"/>
      <c r="BO145" s="311">
        <f>IFERROR(__xludf.DUMMYFUNCTION("IFERROR(ArrayFormula(SUM(VLOOKUP($C145,importrange(""1PTkkEa_ENkSqsGnpqoXy9kt0Fe1hCtlmU6kVFBNaonY"",""ORDER BOOKING REPORT 2025-26!C:CV""),{16,23,30},0))))"),0.0)</f>
        <v>0</v>
      </c>
      <c r="BP145" s="311">
        <f>IFERROR(__xludf.DUMMYFUNCTION("IFERROR(ArrayFormula(SUM(VLOOKUP($C145,importrange(""1PTkkEa_ENkSqsGnpqoXy9kt0Fe1hCtlmU6kVFBNaonY"",""ORDER BOOKING REPORT 2025-26!C:CV""),{37,44,51},0))))"),0.0)</f>
        <v>0</v>
      </c>
      <c r="BQ145" s="311">
        <f>IFERROR(__xludf.DUMMYFUNCTION("IFERROR(ArrayFormula(SUM(VLOOKUP($C145,importrange(""1PTkkEa_ENkSqsGnpqoXy9kt0Fe1hCtlmU6kVFBNaonY"",""ORDER BOOKING REPORT 2025-26!C:CV""),{58,65,72},0))))"),61777.659999999996)</f>
        <v>61777.66</v>
      </c>
      <c r="BR145" s="311">
        <f>IFERROR(__xludf.DUMMYFUNCTION("IFERROR(ArrayFormula(SUM(VLOOKUP($C145,importrange(""1PTkkEa_ENkSqsGnpqoXy9kt0Fe1hCtlmU6kVFBNaonY"",""ORDER BOOKING REPORT 2025-26!C:CV""),{79,86,93},0))))"),409895.87)</f>
        <v>409895.87</v>
      </c>
      <c r="BS145" s="322">
        <f t="shared" si="15"/>
        <v>0.3808811111</v>
      </c>
      <c r="BT145" s="322">
        <f t="shared" si="16"/>
        <v>0.1651433956</v>
      </c>
      <c r="BU145" s="287">
        <f t="shared" si="17"/>
        <v>0</v>
      </c>
      <c r="BV145" s="349"/>
      <c r="BW145" s="349"/>
      <c r="BX145" s="349"/>
      <c r="BY145" s="287">
        <f t="shared" si="18"/>
        <v>-37740</v>
      </c>
      <c r="BZ145" s="10"/>
      <c r="CA145" s="10"/>
      <c r="CB145" s="10"/>
      <c r="CC145" s="10"/>
      <c r="CD145" s="10"/>
      <c r="CE145" s="10"/>
      <c r="CF145" s="10"/>
      <c r="CG145" s="318" t="str">
        <f t="shared" si="21"/>
        <v>Below 60</v>
      </c>
      <c r="CH145" s="318" t="str">
        <f t="shared" si="28"/>
        <v>Not 50%</v>
      </c>
      <c r="CI145" s="322">
        <f t="shared" si="22"/>
        <v>0.36</v>
      </c>
      <c r="CJ145" s="323"/>
      <c r="CK145" s="323"/>
      <c r="CL145" s="323"/>
      <c r="CM145" s="324">
        <f t="shared" si="23"/>
        <v>201</v>
      </c>
      <c r="CN145" s="337"/>
      <c r="CO145" s="152"/>
      <c r="CP145" s="152"/>
      <c r="CQ145" s="327"/>
      <c r="CR145" s="152"/>
      <c r="CS145" s="152"/>
      <c r="CT145" s="152"/>
      <c r="CU145" s="152"/>
      <c r="CV145" s="152"/>
      <c r="CW145" s="327">
        <f t="shared" si="27"/>
        <v>0</v>
      </c>
      <c r="CX145" s="270"/>
      <c r="CY145" s="152"/>
      <c r="CZ145" s="152"/>
    </row>
    <row r="146" hidden="1">
      <c r="A146" s="307" t="s">
        <v>62</v>
      </c>
      <c r="B146" s="307" t="s">
        <v>516</v>
      </c>
      <c r="C146" s="307" t="s">
        <v>69</v>
      </c>
      <c r="D146" s="307" t="s">
        <v>516</v>
      </c>
      <c r="E146" s="307" t="s">
        <v>70</v>
      </c>
      <c r="F146" s="329">
        <v>45964.0</v>
      </c>
      <c r="G146" s="309">
        <v>1500000.0</v>
      </c>
      <c r="H146" s="309">
        <v>999999.0</v>
      </c>
      <c r="I146" s="287">
        <v>275867.0</v>
      </c>
      <c r="J146" s="287">
        <v>455838.35</v>
      </c>
      <c r="K146" s="284">
        <v>23.0</v>
      </c>
      <c r="L146" s="284">
        <v>21.0</v>
      </c>
      <c r="M146" s="284">
        <v>0.0</v>
      </c>
      <c r="N146" s="284">
        <v>23.0</v>
      </c>
      <c r="O146" s="284">
        <v>2.0</v>
      </c>
      <c r="P146" s="287">
        <v>275866.8</v>
      </c>
      <c r="Q146" s="287">
        <v>0.0</v>
      </c>
      <c r="R146" s="284">
        <v>9.0</v>
      </c>
      <c r="S146" s="284">
        <v>0.0</v>
      </c>
      <c r="T146" s="284">
        <v>9.0</v>
      </c>
      <c r="U146" s="284">
        <v>2.0</v>
      </c>
      <c r="V146" s="284">
        <v>103.0</v>
      </c>
      <c r="W146" s="284">
        <v>131.0</v>
      </c>
      <c r="X146" s="284">
        <v>254.0</v>
      </c>
      <c r="Y146" s="284">
        <v>4.0</v>
      </c>
      <c r="Z146" s="284">
        <v>41.0</v>
      </c>
      <c r="AA146" s="284">
        <v>5.0</v>
      </c>
      <c r="AB146" s="284">
        <v>29.0</v>
      </c>
      <c r="AC146" s="284">
        <v>7.0</v>
      </c>
      <c r="AD146" s="284">
        <v>9.0</v>
      </c>
      <c r="AE146" s="284">
        <v>46.0</v>
      </c>
      <c r="AF146" s="284">
        <v>256.0</v>
      </c>
      <c r="AG146" s="284">
        <v>67.0</v>
      </c>
      <c r="AH146" s="309">
        <f t="shared" si="2"/>
        <v>10920.97537</v>
      </c>
      <c r="AI146" s="309">
        <f t="shared" si="3"/>
        <v>3.820895522</v>
      </c>
      <c r="AJ146" s="345">
        <v>27260.0</v>
      </c>
      <c r="AK146" s="309">
        <f t="shared" si="33"/>
        <v>81780</v>
      </c>
      <c r="AL146" s="286"/>
      <c r="AM146" s="313">
        <f t="shared" si="5"/>
        <v>0.1117663005</v>
      </c>
      <c r="AN146" s="309">
        <f t="shared" si="6"/>
        <v>30651.88889</v>
      </c>
      <c r="AO146" s="314">
        <f t="shared" si="7"/>
        <v>0.2926822571</v>
      </c>
      <c r="AP146" s="315">
        <v>0.3</v>
      </c>
      <c r="AQ146" s="284">
        <v>12.0</v>
      </c>
      <c r="AR146" s="284">
        <v>587.0</v>
      </c>
      <c r="AS146" s="284">
        <v>3162.25</v>
      </c>
      <c r="AT146" s="284">
        <v>0.0</v>
      </c>
      <c r="AU146" s="284">
        <v>151.0</v>
      </c>
      <c r="AV146" s="284">
        <v>9.0</v>
      </c>
      <c r="AW146" s="284">
        <v>12.0</v>
      </c>
      <c r="AX146" s="284">
        <v>2.0</v>
      </c>
      <c r="AY146" s="309">
        <v>787786.0</v>
      </c>
      <c r="AZ146" s="316"/>
      <c r="BA146" s="307" t="str">
        <f t="shared" si="8"/>
        <v>Active</v>
      </c>
      <c r="BB146" s="307" t="str">
        <f t="shared" si="9"/>
        <v>Old</v>
      </c>
      <c r="BC146" s="307" t="str">
        <f t="shared" si="10"/>
        <v>Below 50%</v>
      </c>
      <c r="BD146" s="286">
        <f t="shared" si="35"/>
        <v>3</v>
      </c>
      <c r="BE146" s="328">
        <v>833333.0</v>
      </c>
      <c r="BF146" s="6"/>
      <c r="BG146" s="307" t="s">
        <v>488</v>
      </c>
      <c r="BH146" s="272">
        <f>IFERROR(__xludf.DUMMYFUNCTION("""COMPUTED_VALUE"""),1917915.0)</f>
        <v>1917915</v>
      </c>
      <c r="BI146" s="272">
        <f>IFERROR(__xludf.DUMMYFUNCTION("""COMPUTED_VALUE"""),1814688.6)</f>
        <v>1814688.6</v>
      </c>
      <c r="BJ146" s="352"/>
      <c r="BK146" s="330">
        <v>500000.0</v>
      </c>
      <c r="BL146" s="319">
        <f t="shared" si="34"/>
        <v>1500000</v>
      </c>
      <c r="BM146" s="319">
        <f t="shared" si="14"/>
        <v>2499999</v>
      </c>
      <c r="BN146" s="274"/>
      <c r="BO146" s="311">
        <f>IFERROR(__xludf.DUMMYFUNCTION("IFERROR(ArrayFormula(SUM(VLOOKUP($C146,importrange(""1PTkkEa_ENkSqsGnpqoXy9kt0Fe1hCtlmU6kVFBNaonY"",""ORDER BOOKING REPORT 2025-26!C:CV""),{16,23,30},0))))"),0.0)</f>
        <v>0</v>
      </c>
      <c r="BP146" s="311">
        <f>IFERROR(__xludf.DUMMYFUNCTION("IFERROR(ArrayFormula(SUM(VLOOKUP($C146,importrange(""1PTkkEa_ENkSqsGnpqoXy9kt0Fe1hCtlmU6kVFBNaonY"",""ORDER BOOKING REPORT 2025-26!C:CV""),{37,44,51},0))))"),0.0)</f>
        <v>0</v>
      </c>
      <c r="BQ146" s="311">
        <f>IFERROR(__xludf.DUMMYFUNCTION("IFERROR(ArrayFormula(SUM(VLOOKUP($C146,importrange(""1PTkkEa_ENkSqsGnpqoXy9kt0Fe1hCtlmU6kVFBNaonY"",""ORDER BOOKING REPORT 2025-26!C:CV""),{58,65,72},0))))"),927646.4)</f>
        <v>927646.4</v>
      </c>
      <c r="BR146" s="311">
        <f>IFERROR(__xludf.DUMMYFUNCTION("IFERROR(ArrayFormula(SUM(VLOOKUP($C146,importrange(""1PTkkEa_ENkSqsGnpqoXy9kt0Fe1hCtlmU6kVFBNaonY"",""ORDER BOOKING REPORT 2025-26!C:CV""),{79,86,93},0))))"),887042.2)</f>
        <v>887042.2</v>
      </c>
      <c r="BS146" s="322">
        <f t="shared" si="15"/>
        <v>0.315114526</v>
      </c>
      <c r="BT146" s="152"/>
      <c r="BU146" s="287">
        <f t="shared" si="17"/>
        <v>0</v>
      </c>
      <c r="BV146" s="349"/>
      <c r="BW146" s="349"/>
      <c r="BX146" s="349"/>
      <c r="BY146" s="287">
        <f t="shared" si="18"/>
        <v>-27260</v>
      </c>
      <c r="BZ146" s="10"/>
      <c r="CA146" s="10"/>
      <c r="CB146" s="10"/>
      <c r="CC146" s="10"/>
      <c r="CD146" s="10"/>
      <c r="CE146" s="10"/>
      <c r="CF146" s="10"/>
      <c r="CG146" s="318" t="str">
        <f t="shared" si="21"/>
        <v>Below 60</v>
      </c>
      <c r="CH146" s="318" t="str">
        <f t="shared" si="28"/>
        <v>Not 50%</v>
      </c>
      <c r="CI146" s="322">
        <f t="shared" si="22"/>
        <v>0.3913043478</v>
      </c>
      <c r="CJ146" s="323"/>
      <c r="CK146" s="323"/>
      <c r="CL146" s="323"/>
      <c r="CM146" s="324">
        <f t="shared" si="23"/>
        <v>46</v>
      </c>
      <c r="CN146" s="337"/>
      <c r="CO146" s="152"/>
      <c r="CP146" s="152"/>
      <c r="CQ146" s="327"/>
      <c r="CR146" s="152"/>
      <c r="CS146" s="152"/>
      <c r="CT146" s="152"/>
      <c r="CU146" s="152"/>
      <c r="CV146" s="152"/>
      <c r="CW146" s="327">
        <f t="shared" si="27"/>
        <v>0</v>
      </c>
      <c r="CX146" s="270"/>
      <c r="CY146" s="152"/>
      <c r="CZ146" s="152"/>
    </row>
    <row r="147" hidden="1">
      <c r="A147" s="307" t="s">
        <v>48</v>
      </c>
      <c r="B147" s="307" t="s">
        <v>539</v>
      </c>
      <c r="C147" s="307" t="s">
        <v>322</v>
      </c>
      <c r="D147" s="307" t="s">
        <v>589</v>
      </c>
      <c r="E147" s="307" t="s">
        <v>323</v>
      </c>
      <c r="F147" s="329">
        <v>45992.0</v>
      </c>
      <c r="G147" s="309">
        <v>0.0</v>
      </c>
      <c r="H147" s="309">
        <v>3000000.0</v>
      </c>
      <c r="I147" s="287">
        <v>345473.0</v>
      </c>
      <c r="J147" s="287">
        <v>0.0</v>
      </c>
      <c r="K147" s="284">
        <v>19.0</v>
      </c>
      <c r="L147" s="284">
        <v>19.0</v>
      </c>
      <c r="M147" s="284">
        <v>2.0</v>
      </c>
      <c r="N147" s="284">
        <v>21.0</v>
      </c>
      <c r="O147" s="284">
        <v>2.0</v>
      </c>
      <c r="P147" s="287">
        <v>295165.56</v>
      </c>
      <c r="Q147" s="287">
        <v>50307.44</v>
      </c>
      <c r="R147" s="284">
        <v>2.0</v>
      </c>
      <c r="S147" s="284">
        <v>2.0</v>
      </c>
      <c r="T147" s="284">
        <v>4.0</v>
      </c>
      <c r="U147" s="284">
        <v>0.0</v>
      </c>
      <c r="V147" s="284">
        <v>262.0</v>
      </c>
      <c r="W147" s="284">
        <v>364.0</v>
      </c>
      <c r="X147" s="284">
        <v>160.0</v>
      </c>
      <c r="Y147" s="284">
        <v>2.0</v>
      </c>
      <c r="Z147" s="284">
        <v>17.0</v>
      </c>
      <c r="AA147" s="284">
        <v>0.0</v>
      </c>
      <c r="AB147" s="284">
        <v>0.0</v>
      </c>
      <c r="AC147" s="284">
        <v>3.0</v>
      </c>
      <c r="AD147" s="284">
        <v>7.0</v>
      </c>
      <c r="AE147" s="284">
        <v>52.0</v>
      </c>
      <c r="AF147" s="284">
        <v>440.0</v>
      </c>
      <c r="AG147" s="284">
        <v>56.0</v>
      </c>
      <c r="AH147" s="309">
        <f t="shared" si="2"/>
        <v>6169.160714</v>
      </c>
      <c r="AI147" s="309">
        <f t="shared" si="3"/>
        <v>7.857142857</v>
      </c>
      <c r="AJ147" s="345">
        <v>28834.0</v>
      </c>
      <c r="AK147" s="309">
        <f t="shared" si="33"/>
        <v>66318.2</v>
      </c>
      <c r="AL147" s="312"/>
      <c r="AM147" s="313">
        <f t="shared" si="5"/>
        <v>0.191963482</v>
      </c>
      <c r="AN147" s="309">
        <f t="shared" si="6"/>
        <v>86368.25</v>
      </c>
      <c r="AO147" s="314">
        <f t="shared" si="7"/>
        <v>0.1151576667</v>
      </c>
      <c r="AP147" s="315">
        <v>0.0</v>
      </c>
      <c r="AQ147" s="284">
        <v>8.0</v>
      </c>
      <c r="AR147" s="284">
        <v>598.0</v>
      </c>
      <c r="AS147" s="284">
        <v>5569.81</v>
      </c>
      <c r="AT147" s="284">
        <v>2.0</v>
      </c>
      <c r="AU147" s="284">
        <v>293.0</v>
      </c>
      <c r="AV147" s="284">
        <v>4.0</v>
      </c>
      <c r="AW147" s="284">
        <v>15.0</v>
      </c>
      <c r="AX147" s="284">
        <v>2.0</v>
      </c>
      <c r="AY147" s="309">
        <v>0.0</v>
      </c>
      <c r="AZ147" s="316">
        <v>46182.0</v>
      </c>
      <c r="BA147" s="307" t="str">
        <f t="shared" si="8"/>
        <v>LEFT</v>
      </c>
      <c r="BB147" s="307" t="str">
        <f t="shared" si="9"/>
        <v>Old</v>
      </c>
      <c r="BC147" s="307" t="str">
        <f t="shared" si="10"/>
        <v>Below 50%</v>
      </c>
      <c r="BD147" s="347">
        <f>(9/30)+2</f>
        <v>2.3</v>
      </c>
      <c r="BE147" s="328">
        <v>1000000.0</v>
      </c>
      <c r="BF147" s="6"/>
      <c r="BG147" s="307" t="s">
        <v>488</v>
      </c>
      <c r="BH147" s="271">
        <f>IFERROR(__xludf.DUMMYFUNCTION("""COMPUTED_VALUE"""),0.0)</f>
        <v>0</v>
      </c>
      <c r="BI147" s="271">
        <f>IFERROR(__xludf.DUMMYFUNCTION("""COMPUTED_VALUE"""),634214.71)</f>
        <v>634214.71</v>
      </c>
      <c r="BJ147" s="352"/>
      <c r="BK147" s="274"/>
      <c r="BL147" s="319">
        <f t="shared" si="34"/>
        <v>0</v>
      </c>
      <c r="BM147" s="319">
        <f t="shared" si="14"/>
        <v>3000000</v>
      </c>
      <c r="BN147" s="274"/>
      <c r="BO147" s="311">
        <f>IFERROR(__xludf.DUMMYFUNCTION("IFERROR(ArrayFormula(SUM(VLOOKUP($C147,importrange(""1PTkkEa_ENkSqsGnpqoXy9kt0Fe1hCtlmU6kVFBNaonY"",""ORDER BOOKING REPORT 2025-26!C:CV""),{16,23,30},0))))"),0.0)</f>
        <v>0</v>
      </c>
      <c r="BP147" s="311">
        <f>IFERROR(__xludf.DUMMYFUNCTION("IFERROR(ArrayFormula(SUM(VLOOKUP($C147,importrange(""1PTkkEa_ENkSqsGnpqoXy9kt0Fe1hCtlmU6kVFBNaonY"",""ORDER BOOKING REPORT 2025-26!C:CV""),{37,44,51},0))))"),0.0)</f>
        <v>0</v>
      </c>
      <c r="BQ147" s="311">
        <f>IFERROR(__xludf.DUMMYFUNCTION("IFERROR(ArrayFormula(SUM(VLOOKUP($C147,importrange(""1PTkkEa_ENkSqsGnpqoXy9kt0Fe1hCtlmU6kVFBNaonY"",""ORDER BOOKING REPORT 2025-26!C:CV""),{58,65,72},0))))"),57493.990000000005)</f>
        <v>57493.99</v>
      </c>
      <c r="BR147" s="311">
        <f>IFERROR(__xludf.DUMMYFUNCTION("IFERROR(ArrayFormula(SUM(VLOOKUP($C147,importrange(""1PTkkEa_ENkSqsGnpqoXy9kt0Fe1hCtlmU6kVFBNaonY"",""ORDER BOOKING REPORT 2025-26!C:CV""),{79,86,93},0))))"),576720.72)</f>
        <v>576720.72</v>
      </c>
      <c r="BS147" s="322">
        <f t="shared" si="15"/>
        <v>0</v>
      </c>
      <c r="BT147" s="152" t="str">
        <f t="shared" ref="BT147:BT164" si="38">iferror(sum(AK147:AL147)/AY147,"")</f>
        <v/>
      </c>
      <c r="BU147" s="287">
        <f t="shared" si="17"/>
        <v>0</v>
      </c>
      <c r="BV147" s="349"/>
      <c r="BW147" s="349"/>
      <c r="BX147" s="349"/>
      <c r="BY147" s="287">
        <f t="shared" si="18"/>
        <v>-28834</v>
      </c>
      <c r="BZ147" s="10"/>
      <c r="CA147" s="10"/>
      <c r="CB147" s="10"/>
      <c r="CC147" s="10"/>
      <c r="CD147" s="10"/>
      <c r="CE147" s="10"/>
      <c r="CF147" s="10"/>
      <c r="CG147" s="318" t="str">
        <f t="shared" si="21"/>
        <v>Below 60</v>
      </c>
      <c r="CH147" s="318" t="str">
        <f t="shared" si="28"/>
        <v>Not 50%</v>
      </c>
      <c r="CI147" s="322">
        <f t="shared" si="22"/>
        <v>0.1904761905</v>
      </c>
      <c r="CJ147" s="323"/>
      <c r="CK147" s="323"/>
      <c r="CL147" s="323"/>
      <c r="CM147" s="324">
        <f t="shared" si="23"/>
        <v>52</v>
      </c>
      <c r="CN147" s="325"/>
      <c r="CO147" s="6"/>
      <c r="CP147" s="6"/>
      <c r="CQ147" s="327"/>
      <c r="CR147" s="6"/>
      <c r="CS147" s="6"/>
      <c r="CT147" s="6"/>
      <c r="CU147" s="6"/>
      <c r="CV147" s="6"/>
      <c r="CW147" s="327">
        <f t="shared" si="27"/>
        <v>0</v>
      </c>
      <c r="CX147" s="270"/>
      <c r="CY147" s="6"/>
      <c r="CZ147" s="6"/>
    </row>
    <row r="148">
      <c r="A148" s="307" t="s">
        <v>48</v>
      </c>
      <c r="B148" s="307" t="s">
        <v>509</v>
      </c>
      <c r="C148" s="307" t="s">
        <v>324</v>
      </c>
      <c r="D148" s="307" t="s">
        <v>574</v>
      </c>
      <c r="E148" s="307" t="s">
        <v>325</v>
      </c>
      <c r="F148" s="329">
        <v>45992.0</v>
      </c>
      <c r="G148" s="309">
        <v>0.0</v>
      </c>
      <c r="H148" s="309">
        <v>0.0</v>
      </c>
      <c r="I148" s="287">
        <v>0.0</v>
      </c>
      <c r="J148" s="287">
        <v>0.0</v>
      </c>
      <c r="K148" s="284">
        <v>39.0</v>
      </c>
      <c r="L148" s="284">
        <v>23.0</v>
      </c>
      <c r="M148" s="284">
        <v>0.0</v>
      </c>
      <c r="N148" s="284">
        <v>39.0</v>
      </c>
      <c r="O148" s="284">
        <v>16.0</v>
      </c>
      <c r="P148" s="287">
        <v>0.0</v>
      </c>
      <c r="Q148" s="287">
        <v>0.0</v>
      </c>
      <c r="R148" s="284">
        <v>0.0</v>
      </c>
      <c r="S148" s="284">
        <v>0.0</v>
      </c>
      <c r="T148" s="284">
        <v>0.0</v>
      </c>
      <c r="U148" s="284">
        <v>0.0</v>
      </c>
      <c r="V148" s="284">
        <v>119.0</v>
      </c>
      <c r="W148" s="284">
        <v>200.0</v>
      </c>
      <c r="X148" s="284">
        <v>56.0</v>
      </c>
      <c r="Y148" s="284">
        <v>2.0</v>
      </c>
      <c r="Z148" s="284">
        <v>3.0</v>
      </c>
      <c r="AA148" s="284">
        <v>0.0</v>
      </c>
      <c r="AB148" s="284">
        <v>0.0</v>
      </c>
      <c r="AC148" s="284">
        <v>2.0</v>
      </c>
      <c r="AD148" s="284">
        <v>5.0</v>
      </c>
      <c r="AE148" s="284">
        <v>50.0</v>
      </c>
      <c r="AF148" s="284">
        <v>258.0</v>
      </c>
      <c r="AG148" s="284">
        <v>49.0</v>
      </c>
      <c r="AH148" s="309">
        <f t="shared" si="2"/>
        <v>0</v>
      </c>
      <c r="AI148" s="309">
        <f t="shared" si="3"/>
        <v>5.265306122</v>
      </c>
      <c r="AJ148" s="345">
        <v>24116.0</v>
      </c>
      <c r="AK148" s="309">
        <f t="shared" si="33"/>
        <v>50643.6</v>
      </c>
      <c r="AL148" s="286"/>
      <c r="AM148" s="334" t="str">
        <f t="shared" si="5"/>
        <v/>
      </c>
      <c r="AN148" s="231" t="str">
        <f t="shared" si="6"/>
        <v/>
      </c>
      <c r="AO148" s="314" t="str">
        <f t="shared" si="7"/>
        <v/>
      </c>
      <c r="AP148" s="315">
        <v>0.0</v>
      </c>
      <c r="AQ148" s="284">
        <v>0.0</v>
      </c>
      <c r="AR148" s="284">
        <v>425.0</v>
      </c>
      <c r="AS148" s="284">
        <v>3790.02</v>
      </c>
      <c r="AT148" s="284">
        <v>0.0</v>
      </c>
      <c r="AU148" s="284">
        <v>165.0</v>
      </c>
      <c r="AV148" s="284">
        <v>0.0</v>
      </c>
      <c r="AW148" s="284">
        <v>23.0</v>
      </c>
      <c r="AX148" s="284">
        <v>16.0</v>
      </c>
      <c r="AY148" s="309">
        <v>0.0</v>
      </c>
      <c r="AZ148" s="316">
        <v>46176.0</v>
      </c>
      <c r="BA148" s="307" t="str">
        <f t="shared" si="8"/>
        <v>LEFT</v>
      </c>
      <c r="BB148" s="307" t="str">
        <f t="shared" si="9"/>
        <v>Old</v>
      </c>
      <c r="BC148" s="307" t="str">
        <f t="shared" si="10"/>
        <v>Below 50%</v>
      </c>
      <c r="BD148" s="347">
        <f>(3/30)+2</f>
        <v>2.1</v>
      </c>
      <c r="BE148" s="328"/>
      <c r="BF148" s="6"/>
      <c r="BG148" s="307" t="s">
        <v>488</v>
      </c>
      <c r="BH148" s="271">
        <f>IFERROR(__xludf.DUMMYFUNCTION("""COMPUTED_VALUE"""),0.0)</f>
        <v>0</v>
      </c>
      <c r="BI148" s="271">
        <f>IFERROR(__xludf.DUMMYFUNCTION("""COMPUTED_VALUE"""),0.0)</f>
        <v>0</v>
      </c>
      <c r="BJ148" s="352"/>
      <c r="BK148" s="274"/>
      <c r="BL148" s="319">
        <f t="shared" si="34"/>
        <v>0</v>
      </c>
      <c r="BM148" s="319">
        <f t="shared" si="14"/>
        <v>0</v>
      </c>
      <c r="BN148" s="274"/>
      <c r="BO148" s="311">
        <f>IFERROR(__xludf.DUMMYFUNCTION("IFERROR(ArrayFormula(SUM(VLOOKUP($C148,importrange(""1PTkkEa_ENkSqsGnpqoXy9kt0Fe1hCtlmU6kVFBNaonY"",""ORDER BOOKING REPORT 2025-26!C:CV""),{16,23,30},0))))"),0.0)</f>
        <v>0</v>
      </c>
      <c r="BP148" s="311">
        <f>IFERROR(__xludf.DUMMYFUNCTION("IFERROR(ArrayFormula(SUM(VLOOKUP($C148,importrange(""1PTkkEa_ENkSqsGnpqoXy9kt0Fe1hCtlmU6kVFBNaonY"",""ORDER BOOKING REPORT 2025-26!C:CV""),{37,44,51},0))))"),0.0)</f>
        <v>0</v>
      </c>
      <c r="BQ148" s="311">
        <f>IFERROR(__xludf.DUMMYFUNCTION("IFERROR(ArrayFormula(SUM(VLOOKUP($C148,importrange(""1PTkkEa_ENkSqsGnpqoXy9kt0Fe1hCtlmU6kVFBNaonY"",""ORDER BOOKING REPORT 2025-26!C:CV""),{58,65,72},0))))"),0.0)</f>
        <v>0</v>
      </c>
      <c r="BR148" s="311">
        <f>IFERROR(__xludf.DUMMYFUNCTION("IFERROR(ArrayFormula(SUM(VLOOKUP($C148,importrange(""1PTkkEa_ENkSqsGnpqoXy9kt0Fe1hCtlmU6kVFBNaonY"",""ORDER BOOKING REPORT 2025-26!C:CV""),{79,86,93},0))))"),0.0)</f>
        <v>0</v>
      </c>
      <c r="BS148" s="322" t="str">
        <f t="shared" si="15"/>
        <v/>
      </c>
      <c r="BT148" s="152" t="str">
        <f t="shared" si="38"/>
        <v/>
      </c>
      <c r="BU148" s="287">
        <f t="shared" si="17"/>
        <v>0</v>
      </c>
      <c r="BV148" s="349"/>
      <c r="BW148" s="349"/>
      <c r="BX148" s="349"/>
      <c r="BY148" s="287">
        <f t="shared" si="18"/>
        <v>-24116</v>
      </c>
      <c r="BZ148" s="10"/>
      <c r="CA148" s="10"/>
      <c r="CB148" s="10"/>
      <c r="CC148" s="10"/>
      <c r="CD148" s="10"/>
      <c r="CE148" s="10"/>
      <c r="CF148" s="10"/>
      <c r="CG148" s="318" t="str">
        <f t="shared" si="21"/>
        <v>Below 60</v>
      </c>
      <c r="CH148" s="318" t="str">
        <f t="shared" si="28"/>
        <v>Not 50%</v>
      </c>
      <c r="CI148" s="322">
        <f t="shared" si="22"/>
        <v>0</v>
      </c>
      <c r="CJ148" s="323"/>
      <c r="CK148" s="323"/>
      <c r="CL148" s="323"/>
      <c r="CM148" s="324">
        <f t="shared" si="23"/>
        <v>50</v>
      </c>
      <c r="CN148" s="337"/>
      <c r="CO148" s="152"/>
      <c r="CP148" s="152"/>
      <c r="CQ148" s="327"/>
      <c r="CR148" s="152"/>
      <c r="CS148" s="152"/>
      <c r="CT148" s="152"/>
      <c r="CU148" s="152"/>
      <c r="CV148" s="152"/>
      <c r="CW148" s="327">
        <f t="shared" si="27"/>
        <v>0</v>
      </c>
      <c r="CX148" s="270"/>
      <c r="CY148" s="152"/>
      <c r="CZ148" s="152"/>
    </row>
    <row r="149" hidden="1">
      <c r="A149" s="307" t="s">
        <v>103</v>
      </c>
      <c r="B149" s="307" t="s">
        <v>519</v>
      </c>
      <c r="C149" s="307" t="s">
        <v>154</v>
      </c>
      <c r="D149" s="307" t="s">
        <v>520</v>
      </c>
      <c r="E149" s="307" t="s">
        <v>155</v>
      </c>
      <c r="F149" s="329">
        <v>45999.0</v>
      </c>
      <c r="G149" s="309">
        <v>0.0</v>
      </c>
      <c r="H149" s="309">
        <v>4500000.0</v>
      </c>
      <c r="I149" s="287">
        <v>2012030.0</v>
      </c>
      <c r="J149" s="287">
        <v>0.0</v>
      </c>
      <c r="K149" s="284">
        <v>30.0</v>
      </c>
      <c r="L149" s="284">
        <v>32.0</v>
      </c>
      <c r="M149" s="284">
        <v>4.0</v>
      </c>
      <c r="N149" s="284">
        <v>34.0</v>
      </c>
      <c r="O149" s="284">
        <v>2.0</v>
      </c>
      <c r="P149" s="287">
        <v>1821059.8</v>
      </c>
      <c r="Q149" s="287">
        <v>190969.75</v>
      </c>
      <c r="R149" s="284">
        <v>21.0</v>
      </c>
      <c r="S149" s="284">
        <v>4.0</v>
      </c>
      <c r="T149" s="284">
        <v>25.0</v>
      </c>
      <c r="U149" s="284">
        <v>0.0</v>
      </c>
      <c r="V149" s="284">
        <v>77.0</v>
      </c>
      <c r="W149" s="284">
        <v>132.0</v>
      </c>
      <c r="X149" s="284">
        <v>42.0</v>
      </c>
      <c r="Y149" s="284">
        <v>1.0</v>
      </c>
      <c r="Z149" s="284">
        <v>5.0</v>
      </c>
      <c r="AA149" s="284">
        <v>0.0</v>
      </c>
      <c r="AB149" s="284">
        <v>0.0</v>
      </c>
      <c r="AC149" s="284">
        <v>0.0</v>
      </c>
      <c r="AD149" s="284">
        <v>0.0</v>
      </c>
      <c r="AE149" s="284">
        <v>187.0</v>
      </c>
      <c r="AF149" s="284">
        <v>324.0</v>
      </c>
      <c r="AG149" s="284">
        <v>69.0</v>
      </c>
      <c r="AH149" s="309">
        <f t="shared" si="2"/>
        <v>29159.85507</v>
      </c>
      <c r="AI149" s="309">
        <f t="shared" si="3"/>
        <v>4.695652174</v>
      </c>
      <c r="AJ149" s="345">
        <v>32500.0</v>
      </c>
      <c r="AK149" s="309">
        <f t="shared" si="33"/>
        <v>97500</v>
      </c>
      <c r="AL149" s="286"/>
      <c r="AM149" s="313">
        <f t="shared" si="5"/>
        <v>0.04845852199</v>
      </c>
      <c r="AN149" s="309">
        <f t="shared" si="6"/>
        <v>80481.2</v>
      </c>
      <c r="AO149" s="314">
        <f t="shared" si="7"/>
        <v>0.4471177778</v>
      </c>
      <c r="AP149" s="315">
        <v>0.0</v>
      </c>
      <c r="AQ149" s="284">
        <v>55.0</v>
      </c>
      <c r="AR149" s="284">
        <v>666.0</v>
      </c>
      <c r="AS149" s="284">
        <v>7308.25</v>
      </c>
      <c r="AT149" s="284">
        <v>4.0</v>
      </c>
      <c r="AU149" s="284">
        <v>228.0</v>
      </c>
      <c r="AV149" s="284">
        <v>25.0</v>
      </c>
      <c r="AW149" s="284">
        <v>7.0</v>
      </c>
      <c r="AX149" s="284">
        <v>2.0</v>
      </c>
      <c r="AY149" s="309">
        <v>1857417.0</v>
      </c>
      <c r="AZ149" s="316"/>
      <c r="BA149" s="307" t="str">
        <f t="shared" si="8"/>
        <v>Active</v>
      </c>
      <c r="BB149" s="307" t="str">
        <f t="shared" si="9"/>
        <v>Old</v>
      </c>
      <c r="BC149" s="307" t="str">
        <f t="shared" si="10"/>
        <v>Below 50%</v>
      </c>
      <c r="BD149" s="286">
        <f t="shared" ref="BD149:BD161" si="39">Match($BD$3,{"Apr","May","Jun","Jul","Aug","Sep","Oct","Nov","Dec","Jan","Feb","Mar"},0)</f>
        <v>3</v>
      </c>
      <c r="BE149" s="328">
        <v>1500000.0</v>
      </c>
      <c r="BF149" s="353">
        <f>23/31</f>
        <v>0.7419354839</v>
      </c>
      <c r="BG149" s="307" t="s">
        <v>488</v>
      </c>
      <c r="BH149" s="271">
        <f>IFERROR(__xludf.DUMMYFUNCTION("""COMPUTED_VALUE"""),839600.0)</f>
        <v>839600</v>
      </c>
      <c r="BI149" s="271">
        <f>IFERROR(__xludf.DUMMYFUNCTION("""COMPUTED_VALUE"""),1356219.94)</f>
        <v>1356219.94</v>
      </c>
      <c r="BJ149" s="352"/>
      <c r="BK149" s="274"/>
      <c r="BL149" s="319">
        <f t="shared" si="34"/>
        <v>0</v>
      </c>
      <c r="BM149" s="319">
        <f t="shared" si="14"/>
        <v>4500000</v>
      </c>
      <c r="BN149" s="274"/>
      <c r="BO149" s="311">
        <f>IFERROR(__xludf.DUMMYFUNCTION("IFERROR(ArrayFormula(SUM(VLOOKUP($C149,importrange(""1PTkkEa_ENkSqsGnpqoXy9kt0Fe1hCtlmU6kVFBNaonY"",""ORDER BOOKING REPORT 2025-26!C:CV""),{16,23,30},0))))"),0.0)</f>
        <v>0</v>
      </c>
      <c r="BP149" s="311">
        <f>IFERROR(__xludf.DUMMYFUNCTION("IFERROR(ArrayFormula(SUM(VLOOKUP($C149,importrange(""1PTkkEa_ENkSqsGnpqoXy9kt0Fe1hCtlmU6kVFBNaonY"",""ORDER BOOKING REPORT 2025-26!C:CV""),{37,44,51},0))))"),0.0)</f>
        <v>0</v>
      </c>
      <c r="BQ149" s="311">
        <f>IFERROR(__xludf.DUMMYFUNCTION("IFERROR(ArrayFormula(SUM(VLOOKUP($C149,importrange(""1PTkkEa_ENkSqsGnpqoXy9kt0Fe1hCtlmU6kVFBNaonY"",""ORDER BOOKING REPORT 2025-26!C:CV""),{58,65,72},0))))"),52727.52)</f>
        <v>52727.52</v>
      </c>
      <c r="BR149" s="311">
        <f>IFERROR(__xludf.DUMMYFUNCTION("IFERROR(ArrayFormula(SUM(VLOOKUP($C149,importrange(""1PTkkEa_ENkSqsGnpqoXy9kt0Fe1hCtlmU6kVFBNaonY"",""ORDER BOOKING REPORT 2025-26!C:CV""),{79,86,93},0))))"),1303492.42)</f>
        <v>1303492.42</v>
      </c>
      <c r="BS149" s="322">
        <f t="shared" si="15"/>
        <v>0.4127593333</v>
      </c>
      <c r="BT149" s="322">
        <f t="shared" si="38"/>
        <v>0.05249225134</v>
      </c>
      <c r="BU149" s="287">
        <f t="shared" si="17"/>
        <v>0</v>
      </c>
      <c r="BV149" s="349"/>
      <c r="BW149" s="349"/>
      <c r="BX149" s="349"/>
      <c r="BY149" s="287">
        <f t="shared" si="18"/>
        <v>-32500</v>
      </c>
      <c r="BZ149" s="10"/>
      <c r="CA149" s="10"/>
      <c r="CB149" s="10"/>
      <c r="CC149" s="10"/>
      <c r="CD149" s="10"/>
      <c r="CE149" s="10"/>
      <c r="CF149" s="10"/>
      <c r="CG149" s="318" t="str">
        <f t="shared" si="21"/>
        <v>Below 60</v>
      </c>
      <c r="CH149" s="318" t="str">
        <f t="shared" si="28"/>
        <v>Business Achieved 50%</v>
      </c>
      <c r="CI149" s="322">
        <f t="shared" si="22"/>
        <v>0.7352941176</v>
      </c>
      <c r="CJ149" s="323"/>
      <c r="CK149" s="323"/>
      <c r="CL149" s="323"/>
      <c r="CM149" s="324">
        <f t="shared" si="23"/>
        <v>187</v>
      </c>
      <c r="CN149" s="337"/>
      <c r="CO149" s="152"/>
      <c r="CP149" s="152"/>
      <c r="CQ149" s="327"/>
      <c r="CR149" s="152"/>
      <c r="CS149" s="152"/>
      <c r="CT149" s="152"/>
      <c r="CU149" s="152"/>
      <c r="CV149" s="152"/>
      <c r="CW149" s="327">
        <f t="shared" si="27"/>
        <v>0</v>
      </c>
      <c r="CX149" s="270"/>
      <c r="CY149" s="152"/>
      <c r="CZ149" s="152"/>
    </row>
    <row r="150" hidden="1">
      <c r="A150" s="307" t="s">
        <v>23</v>
      </c>
      <c r="B150" s="307" t="s">
        <v>545</v>
      </c>
      <c r="C150" s="307" t="s">
        <v>38</v>
      </c>
      <c r="D150" s="307" t="s">
        <v>545</v>
      </c>
      <c r="E150" s="307" t="s">
        <v>39</v>
      </c>
      <c r="F150" s="329">
        <v>46002.0</v>
      </c>
      <c r="G150" s="309">
        <v>0.0</v>
      </c>
      <c r="H150" s="309">
        <v>3900000.0</v>
      </c>
      <c r="I150" s="287">
        <v>2430542.0</v>
      </c>
      <c r="J150" s="287">
        <v>0.0</v>
      </c>
      <c r="K150" s="284">
        <v>75.0</v>
      </c>
      <c r="L150" s="284">
        <v>76.0</v>
      </c>
      <c r="M150" s="284">
        <v>3.0</v>
      </c>
      <c r="N150" s="284">
        <v>78.0</v>
      </c>
      <c r="O150" s="284">
        <v>2.0</v>
      </c>
      <c r="P150" s="287">
        <v>2164539.08</v>
      </c>
      <c r="Q150" s="287">
        <v>266003.19</v>
      </c>
      <c r="R150" s="284">
        <v>37.0</v>
      </c>
      <c r="S150" s="284">
        <v>3.0</v>
      </c>
      <c r="T150" s="284">
        <v>40.0</v>
      </c>
      <c r="U150" s="284">
        <v>0.0</v>
      </c>
      <c r="V150" s="284">
        <v>68.0</v>
      </c>
      <c r="W150" s="284">
        <v>127.0</v>
      </c>
      <c r="X150" s="284">
        <v>38.0</v>
      </c>
      <c r="Y150" s="284">
        <v>2.0</v>
      </c>
      <c r="Z150" s="284">
        <v>30.0</v>
      </c>
      <c r="AA150" s="284">
        <v>0.0</v>
      </c>
      <c r="AB150" s="284">
        <v>0.0</v>
      </c>
      <c r="AC150" s="284">
        <v>1.0</v>
      </c>
      <c r="AD150" s="284">
        <v>1.0</v>
      </c>
      <c r="AE150" s="284">
        <v>395.0</v>
      </c>
      <c r="AF150" s="284">
        <v>553.0</v>
      </c>
      <c r="AG150" s="284">
        <v>75.0</v>
      </c>
      <c r="AH150" s="309">
        <f t="shared" si="2"/>
        <v>32407.22667</v>
      </c>
      <c r="AI150" s="309">
        <f t="shared" si="3"/>
        <v>7.373333333</v>
      </c>
      <c r="AJ150" s="345">
        <v>30405.0</v>
      </c>
      <c r="AK150" s="309">
        <f t="shared" si="33"/>
        <v>91215</v>
      </c>
      <c r="AL150" s="286"/>
      <c r="AM150" s="313">
        <f t="shared" si="5"/>
        <v>0.03752866645</v>
      </c>
      <c r="AN150" s="309">
        <f t="shared" si="6"/>
        <v>60763.55</v>
      </c>
      <c r="AO150" s="314">
        <f t="shared" si="7"/>
        <v>0.6232158974</v>
      </c>
      <c r="AP150" s="315">
        <v>0.0</v>
      </c>
      <c r="AQ150" s="284">
        <v>106.0</v>
      </c>
      <c r="AR150" s="284">
        <v>824.0</v>
      </c>
      <c r="AS150" s="284">
        <v>5980.1</v>
      </c>
      <c r="AT150" s="284">
        <v>3.0</v>
      </c>
      <c r="AU150" s="284">
        <v>79.0</v>
      </c>
      <c r="AV150" s="284">
        <v>40.0</v>
      </c>
      <c r="AW150" s="284">
        <v>36.0</v>
      </c>
      <c r="AX150" s="284">
        <v>2.0</v>
      </c>
      <c r="AY150" s="309">
        <v>1692115.0</v>
      </c>
      <c r="AZ150" s="316"/>
      <c r="BA150" s="307" t="str">
        <f t="shared" si="8"/>
        <v>Active</v>
      </c>
      <c r="BB150" s="307" t="str">
        <f t="shared" si="9"/>
        <v>Old</v>
      </c>
      <c r="BC150" s="307" t="str">
        <f t="shared" si="10"/>
        <v>50%-70%</v>
      </c>
      <c r="BD150" s="286">
        <f t="shared" si="39"/>
        <v>3</v>
      </c>
      <c r="BE150" s="328">
        <v>1300000.0</v>
      </c>
      <c r="BF150" s="353">
        <f>20/31</f>
        <v>0.6451612903</v>
      </c>
      <c r="BG150" s="307" t="s">
        <v>488</v>
      </c>
      <c r="BH150" s="271">
        <f>IFERROR(__xludf.DUMMYFUNCTION("""COMPUTED_VALUE"""),2981160.0)</f>
        <v>2981160</v>
      </c>
      <c r="BI150" s="271">
        <f>IFERROR(__xludf.DUMMYFUNCTION("""COMPUTED_VALUE"""),2874423.2600000002)</f>
        <v>2874423.26</v>
      </c>
      <c r="BJ150" s="352"/>
      <c r="BK150" s="274"/>
      <c r="BL150" s="319">
        <f t="shared" si="34"/>
        <v>0</v>
      </c>
      <c r="BM150" s="319">
        <f t="shared" si="14"/>
        <v>3900000</v>
      </c>
      <c r="BN150" s="274"/>
      <c r="BO150" s="311">
        <f>IFERROR(__xludf.DUMMYFUNCTION("IFERROR(ArrayFormula(SUM(VLOOKUP($C150,importrange(""1PTkkEa_ENkSqsGnpqoXy9kt0Fe1hCtlmU6kVFBNaonY"",""ORDER BOOKING REPORT 2025-26!C:CV""),{16,23,30},0))))"),0.0)</f>
        <v>0</v>
      </c>
      <c r="BP150" s="311">
        <f>IFERROR(__xludf.DUMMYFUNCTION("IFERROR(ArrayFormula(SUM(VLOOKUP($C150,importrange(""1PTkkEa_ENkSqsGnpqoXy9kt0Fe1hCtlmU6kVFBNaonY"",""ORDER BOOKING REPORT 2025-26!C:CV""),{37,44,51},0))))"),0.0)</f>
        <v>0</v>
      </c>
      <c r="BQ150" s="311">
        <f>IFERROR(__xludf.DUMMYFUNCTION("IFERROR(ArrayFormula(SUM(VLOOKUP($C150,importrange(""1PTkkEa_ENkSqsGnpqoXy9kt0Fe1hCtlmU6kVFBNaonY"",""ORDER BOOKING REPORT 2025-26!C:CV""),{58,65,72},0))))"),458961.05000000005)</f>
        <v>458961.05</v>
      </c>
      <c r="BR150" s="311">
        <f>IFERROR(__xludf.DUMMYFUNCTION("IFERROR(ArrayFormula(SUM(VLOOKUP($C150,importrange(""1PTkkEa_ENkSqsGnpqoXy9kt0Fe1hCtlmU6kVFBNaonY"",""ORDER BOOKING REPORT 2025-26!C:CV""),{79,86,93},0))))"),2415462.21)</f>
        <v>2415462.21</v>
      </c>
      <c r="BS150" s="322">
        <f t="shared" si="15"/>
        <v>0.433875641</v>
      </c>
      <c r="BT150" s="322">
        <f t="shared" si="38"/>
        <v>0.05390591065</v>
      </c>
      <c r="BU150" s="287">
        <f t="shared" si="17"/>
        <v>0</v>
      </c>
      <c r="BV150" s="349"/>
      <c r="BW150" s="349"/>
      <c r="BX150" s="349"/>
      <c r="BY150" s="287">
        <f t="shared" si="18"/>
        <v>-30405</v>
      </c>
      <c r="BZ150" s="10"/>
      <c r="CA150" s="10"/>
      <c r="CB150" s="10"/>
      <c r="CC150" s="10"/>
      <c r="CD150" s="10"/>
      <c r="CE150" s="10"/>
      <c r="CF150" s="10"/>
      <c r="CG150" s="318" t="str">
        <f t="shared" si="21"/>
        <v> </v>
      </c>
      <c r="CH150" s="318" t="str">
        <f t="shared" si="28"/>
        <v>Business Achieved 50%</v>
      </c>
      <c r="CI150" s="322">
        <f t="shared" si="22"/>
        <v>0.5128205128</v>
      </c>
      <c r="CJ150" s="323"/>
      <c r="CK150" s="323"/>
      <c r="CL150" s="323"/>
      <c r="CM150" s="324">
        <f t="shared" si="23"/>
        <v>395</v>
      </c>
      <c r="CN150" s="337"/>
      <c r="CO150" s="152"/>
      <c r="CP150" s="152"/>
      <c r="CQ150" s="327"/>
      <c r="CR150" s="152"/>
      <c r="CS150" s="152"/>
      <c r="CT150" s="152"/>
      <c r="CU150" s="152"/>
      <c r="CV150" s="152"/>
      <c r="CW150" s="327">
        <f t="shared" si="27"/>
        <v>0</v>
      </c>
      <c r="CX150" s="270"/>
      <c r="CY150" s="152"/>
      <c r="CZ150" s="152"/>
    </row>
    <row r="151" hidden="1">
      <c r="A151" s="307" t="s">
        <v>103</v>
      </c>
      <c r="B151" s="307" t="s">
        <v>519</v>
      </c>
      <c r="C151" s="307" t="s">
        <v>156</v>
      </c>
      <c r="D151" s="307" t="s">
        <v>520</v>
      </c>
      <c r="E151" s="307" t="s">
        <v>157</v>
      </c>
      <c r="F151" s="329">
        <v>46023.0</v>
      </c>
      <c r="G151" s="309">
        <v>0.0</v>
      </c>
      <c r="H151" s="309">
        <v>4500000.0</v>
      </c>
      <c r="I151" s="287">
        <v>1223575.0</v>
      </c>
      <c r="J151" s="287">
        <v>0.0</v>
      </c>
      <c r="K151" s="284">
        <v>39.0</v>
      </c>
      <c r="L151" s="284">
        <v>38.0</v>
      </c>
      <c r="M151" s="284">
        <v>10.0</v>
      </c>
      <c r="N151" s="284">
        <v>49.0</v>
      </c>
      <c r="O151" s="284">
        <v>11.0</v>
      </c>
      <c r="P151" s="287">
        <v>681936.29</v>
      </c>
      <c r="Q151" s="287">
        <v>541638.27</v>
      </c>
      <c r="R151" s="284">
        <v>16.0</v>
      </c>
      <c r="S151" s="284">
        <v>10.0</v>
      </c>
      <c r="T151" s="284">
        <v>26.0</v>
      </c>
      <c r="U151" s="284">
        <v>0.0</v>
      </c>
      <c r="V151" s="284">
        <v>54.0</v>
      </c>
      <c r="W151" s="284">
        <v>131.0</v>
      </c>
      <c r="X151" s="284">
        <v>65.0</v>
      </c>
      <c r="Y151" s="284">
        <v>1.0</v>
      </c>
      <c r="Z151" s="284">
        <v>24.0</v>
      </c>
      <c r="AA151" s="284">
        <v>0.0</v>
      </c>
      <c r="AB151" s="284">
        <v>0.0</v>
      </c>
      <c r="AC151" s="284">
        <v>0.0</v>
      </c>
      <c r="AD151" s="284">
        <v>0.0</v>
      </c>
      <c r="AE151" s="284">
        <v>189.0</v>
      </c>
      <c r="AF151" s="284">
        <v>344.0</v>
      </c>
      <c r="AG151" s="284">
        <v>73.0</v>
      </c>
      <c r="AH151" s="309">
        <f t="shared" si="2"/>
        <v>16761.30137</v>
      </c>
      <c r="AI151" s="309">
        <f t="shared" si="3"/>
        <v>4.712328767</v>
      </c>
      <c r="AJ151" s="345">
        <v>38285.0</v>
      </c>
      <c r="AK151" s="309">
        <f t="shared" si="33"/>
        <v>114855</v>
      </c>
      <c r="AL151" s="286"/>
      <c r="AM151" s="313">
        <f t="shared" si="5"/>
        <v>0.0938683775</v>
      </c>
      <c r="AN151" s="309">
        <f t="shared" si="6"/>
        <v>47060.57692</v>
      </c>
      <c r="AO151" s="314">
        <f t="shared" si="7"/>
        <v>0.2719055556</v>
      </c>
      <c r="AP151" s="315">
        <v>0.0</v>
      </c>
      <c r="AQ151" s="284">
        <v>55.0</v>
      </c>
      <c r="AR151" s="284">
        <v>734.0</v>
      </c>
      <c r="AS151" s="284">
        <v>5734.64</v>
      </c>
      <c r="AT151" s="284">
        <v>10.0</v>
      </c>
      <c r="AU151" s="284">
        <v>151.0</v>
      </c>
      <c r="AV151" s="284">
        <v>26.0</v>
      </c>
      <c r="AW151" s="284">
        <v>14.0</v>
      </c>
      <c r="AX151" s="284">
        <v>9.0</v>
      </c>
      <c r="AY151" s="309">
        <v>596797.0</v>
      </c>
      <c r="AZ151" s="316"/>
      <c r="BA151" s="307" t="str">
        <f t="shared" si="8"/>
        <v>Active</v>
      </c>
      <c r="BB151" s="307" t="str">
        <f t="shared" si="9"/>
        <v>Old</v>
      </c>
      <c r="BC151" s="307" t="str">
        <f t="shared" si="10"/>
        <v>Below 50%</v>
      </c>
      <c r="BD151" s="286">
        <f t="shared" si="39"/>
        <v>3</v>
      </c>
      <c r="BE151" s="328">
        <v>1500000.0</v>
      </c>
      <c r="BF151" s="6"/>
      <c r="BG151" s="307" t="s">
        <v>488</v>
      </c>
      <c r="BH151" s="271">
        <f>IFERROR(__xludf.DUMMYFUNCTION("""COMPUTED_VALUE"""),822330.0)</f>
        <v>822330</v>
      </c>
      <c r="BI151" s="271">
        <f>IFERROR(__xludf.DUMMYFUNCTION("""COMPUTED_VALUE"""),823085.16)</f>
        <v>823085.16</v>
      </c>
      <c r="BJ151" s="352"/>
      <c r="BK151" s="274"/>
      <c r="BL151" s="319">
        <f t="shared" si="34"/>
        <v>0</v>
      </c>
      <c r="BM151" s="319">
        <f t="shared" si="14"/>
        <v>4500000</v>
      </c>
      <c r="BN151" s="274"/>
      <c r="BO151" s="311">
        <f>IFERROR(__xludf.DUMMYFUNCTION("IFERROR(ArrayFormula(SUM(VLOOKUP($C151,importrange(""1PTkkEa_ENkSqsGnpqoXy9kt0Fe1hCtlmU6kVFBNaonY"",""ORDER BOOKING REPORT 2025-26!C:CV""),{16,23,30},0))))"),0.0)</f>
        <v>0</v>
      </c>
      <c r="BP151" s="311">
        <f>IFERROR(__xludf.DUMMYFUNCTION("IFERROR(ArrayFormula(SUM(VLOOKUP($C151,importrange(""1PTkkEa_ENkSqsGnpqoXy9kt0Fe1hCtlmU6kVFBNaonY"",""ORDER BOOKING REPORT 2025-26!C:CV""),{37,44,51},0))))"),0.0)</f>
        <v>0</v>
      </c>
      <c r="BQ151" s="311">
        <f>IFERROR(__xludf.DUMMYFUNCTION("IFERROR(ArrayFormula(SUM(VLOOKUP($C151,importrange(""1PTkkEa_ENkSqsGnpqoXy9kt0Fe1hCtlmU6kVFBNaonY"",""ORDER BOOKING REPORT 2025-26!C:CV""),{58,65,72},0))))"),0.0)</f>
        <v>0</v>
      </c>
      <c r="BR151" s="311">
        <f>IFERROR(__xludf.DUMMYFUNCTION("IFERROR(ArrayFormula(SUM(VLOOKUP($C151,importrange(""1PTkkEa_ENkSqsGnpqoXy9kt0Fe1hCtlmU6kVFBNaonY"",""ORDER BOOKING REPORT 2025-26!C:CV""),{79,86,93},0))))"),823085.16)</f>
        <v>823085.16</v>
      </c>
      <c r="BS151" s="322">
        <f t="shared" si="15"/>
        <v>0.1326215556</v>
      </c>
      <c r="BT151" s="322">
        <f t="shared" si="38"/>
        <v>0.1924523749</v>
      </c>
      <c r="BU151" s="287">
        <f t="shared" si="17"/>
        <v>0</v>
      </c>
      <c r="BV151" s="349"/>
      <c r="BW151" s="349"/>
      <c r="BX151" s="349"/>
      <c r="BY151" s="287">
        <f t="shared" si="18"/>
        <v>-38285</v>
      </c>
      <c r="BZ151" s="10"/>
      <c r="CA151" s="10"/>
      <c r="CB151" s="10"/>
      <c r="CC151" s="10"/>
      <c r="CD151" s="10"/>
      <c r="CE151" s="10"/>
      <c r="CF151" s="10"/>
      <c r="CG151" s="318" t="str">
        <f t="shared" si="21"/>
        <v>Below 60</v>
      </c>
      <c r="CH151" s="318" t="str">
        <f t="shared" si="28"/>
        <v>Business Achieved 50%</v>
      </c>
      <c r="CI151" s="322">
        <f t="shared" si="22"/>
        <v>0.5306122449</v>
      </c>
      <c r="CJ151" s="323"/>
      <c r="CK151" s="323"/>
      <c r="CL151" s="323"/>
      <c r="CM151" s="324">
        <f t="shared" si="23"/>
        <v>189</v>
      </c>
      <c r="CN151" s="337"/>
      <c r="CO151" s="152"/>
      <c r="CP151" s="152"/>
      <c r="CQ151" s="327"/>
      <c r="CR151" s="152"/>
      <c r="CS151" s="152"/>
      <c r="CT151" s="152"/>
      <c r="CU151" s="152"/>
      <c r="CV151" s="152"/>
      <c r="CW151" s="327">
        <f t="shared" si="27"/>
        <v>0</v>
      </c>
      <c r="CX151" s="270"/>
      <c r="CY151" s="152"/>
      <c r="CZ151" s="152"/>
    </row>
    <row r="152" hidden="1">
      <c r="A152" s="307" t="s">
        <v>301</v>
      </c>
      <c r="B152" s="307" t="s">
        <v>506</v>
      </c>
      <c r="C152" s="307" t="s">
        <v>308</v>
      </c>
      <c r="D152" s="307" t="s">
        <v>531</v>
      </c>
      <c r="E152" s="307" t="s">
        <v>309</v>
      </c>
      <c r="F152" s="329">
        <v>46027.0</v>
      </c>
      <c r="G152" s="309">
        <v>0.0</v>
      </c>
      <c r="H152" s="309">
        <v>1250000.0</v>
      </c>
      <c r="I152" s="287">
        <v>1060293.0</v>
      </c>
      <c r="J152" s="287">
        <v>0.0</v>
      </c>
      <c r="K152" s="284">
        <v>56.0</v>
      </c>
      <c r="L152" s="284">
        <v>60.0</v>
      </c>
      <c r="M152" s="284">
        <v>7.0</v>
      </c>
      <c r="N152" s="284">
        <v>63.0</v>
      </c>
      <c r="O152" s="284">
        <v>3.0</v>
      </c>
      <c r="P152" s="287">
        <v>817137.13</v>
      </c>
      <c r="Q152" s="287">
        <v>243155.77</v>
      </c>
      <c r="R152" s="284">
        <v>40.0</v>
      </c>
      <c r="S152" s="284">
        <v>7.0</v>
      </c>
      <c r="T152" s="284">
        <v>47.0</v>
      </c>
      <c r="U152" s="284">
        <v>0.0</v>
      </c>
      <c r="V152" s="284">
        <v>88.0</v>
      </c>
      <c r="W152" s="284">
        <v>145.0</v>
      </c>
      <c r="X152" s="284">
        <v>99.0</v>
      </c>
      <c r="Y152" s="284">
        <v>3.0</v>
      </c>
      <c r="Z152" s="284">
        <v>21.0</v>
      </c>
      <c r="AA152" s="284">
        <v>0.0</v>
      </c>
      <c r="AB152" s="284">
        <v>0.0</v>
      </c>
      <c r="AC152" s="284">
        <v>1.0</v>
      </c>
      <c r="AD152" s="284">
        <v>1.0</v>
      </c>
      <c r="AE152" s="284">
        <v>160.0</v>
      </c>
      <c r="AF152" s="284">
        <v>327.0</v>
      </c>
      <c r="AG152" s="284">
        <v>70.0</v>
      </c>
      <c r="AH152" s="309">
        <f t="shared" si="2"/>
        <v>15147.04286</v>
      </c>
      <c r="AI152" s="309">
        <f t="shared" si="3"/>
        <v>4.671428571</v>
      </c>
      <c r="AJ152" s="345">
        <v>46670.0</v>
      </c>
      <c r="AK152" s="309">
        <f t="shared" si="33"/>
        <v>140010</v>
      </c>
      <c r="AL152" s="312"/>
      <c r="AM152" s="313">
        <f t="shared" si="5"/>
        <v>0.1320484055</v>
      </c>
      <c r="AN152" s="309">
        <f t="shared" si="6"/>
        <v>22559.42553</v>
      </c>
      <c r="AO152" s="314">
        <f t="shared" si="7"/>
        <v>0.8482344</v>
      </c>
      <c r="AP152" s="315">
        <v>0.0</v>
      </c>
      <c r="AQ152" s="284">
        <v>92.0</v>
      </c>
      <c r="AR152" s="284">
        <v>691.0</v>
      </c>
      <c r="AS152" s="284">
        <v>8613.57</v>
      </c>
      <c r="AT152" s="284">
        <v>7.0</v>
      </c>
      <c r="AU152" s="284">
        <v>144.0</v>
      </c>
      <c r="AV152" s="284">
        <v>47.0</v>
      </c>
      <c r="AW152" s="284">
        <v>13.0</v>
      </c>
      <c r="AX152" s="284">
        <v>3.0</v>
      </c>
      <c r="AY152" s="309">
        <v>429182.0</v>
      </c>
      <c r="AZ152" s="316"/>
      <c r="BA152" s="307" t="str">
        <f t="shared" si="8"/>
        <v>Active</v>
      </c>
      <c r="BB152" s="307" t="str">
        <f t="shared" si="9"/>
        <v>Old</v>
      </c>
      <c r="BC152" s="307" t="str">
        <f t="shared" si="10"/>
        <v>70%-90%</v>
      </c>
      <c r="BD152" s="286">
        <f t="shared" si="39"/>
        <v>3</v>
      </c>
      <c r="BE152" s="328">
        <v>1250000.0</v>
      </c>
      <c r="BF152" s="353">
        <f t="shared" ref="BF152:BF153" si="40">26/31</f>
        <v>0.8387096774</v>
      </c>
      <c r="BG152" s="307" t="s">
        <v>488</v>
      </c>
      <c r="BH152" s="271">
        <f>IFERROR(__xludf.DUMMYFUNCTION("""COMPUTED_VALUE"""),314114.0)</f>
        <v>314114</v>
      </c>
      <c r="BI152" s="271">
        <f>IFERROR(__xludf.DUMMYFUNCTION("""COMPUTED_VALUE"""),604841.29)</f>
        <v>604841.29</v>
      </c>
      <c r="BJ152" s="352"/>
      <c r="BK152" s="274"/>
      <c r="BL152" s="319">
        <f t="shared" si="34"/>
        <v>0</v>
      </c>
      <c r="BM152" s="319">
        <f t="shared" si="14"/>
        <v>1250000</v>
      </c>
      <c r="BN152" s="274"/>
      <c r="BO152" s="311">
        <f>IFERROR(__xludf.DUMMYFUNCTION("IFERROR(ArrayFormula(SUM(VLOOKUP($C152,importrange(""1PTkkEa_ENkSqsGnpqoXy9kt0Fe1hCtlmU6kVFBNaonY"",""ORDER BOOKING REPORT 2025-26!C:CV""),{16,23,30},0))))"),0.0)</f>
        <v>0</v>
      </c>
      <c r="BP152" s="311">
        <f>IFERROR(__xludf.DUMMYFUNCTION("IFERROR(ArrayFormula(SUM(VLOOKUP($C152,importrange(""1PTkkEa_ENkSqsGnpqoXy9kt0Fe1hCtlmU6kVFBNaonY"",""ORDER BOOKING REPORT 2025-26!C:CV""),{37,44,51},0))))"),0.0)</f>
        <v>0</v>
      </c>
      <c r="BQ152" s="311">
        <f>IFERROR(__xludf.DUMMYFUNCTION("IFERROR(ArrayFormula(SUM(VLOOKUP($C152,importrange(""1PTkkEa_ENkSqsGnpqoXy9kt0Fe1hCtlmU6kVFBNaonY"",""ORDER BOOKING REPORT 2025-26!C:CV""),{58,65,72},0))))"),0.0)</f>
        <v>0</v>
      </c>
      <c r="BR152" s="311">
        <f>IFERROR(__xludf.DUMMYFUNCTION("IFERROR(ArrayFormula(SUM(VLOOKUP($C152,importrange(""1PTkkEa_ENkSqsGnpqoXy9kt0Fe1hCtlmU6kVFBNaonY"",""ORDER BOOKING REPORT 2025-26!C:CV""),{79,86,93},0))))"),604841.29)</f>
        <v>604841.29</v>
      </c>
      <c r="BS152" s="152">
        <f t="shared" si="15"/>
        <v>0.3433456</v>
      </c>
      <c r="BT152" s="322">
        <f t="shared" si="38"/>
        <v>0.3262252378</v>
      </c>
      <c r="BU152" s="287">
        <f t="shared" si="17"/>
        <v>0</v>
      </c>
      <c r="BV152" s="349"/>
      <c r="BW152" s="349"/>
      <c r="BX152" s="349"/>
      <c r="BY152" s="287">
        <f t="shared" si="18"/>
        <v>-46670</v>
      </c>
      <c r="BZ152" s="10"/>
      <c r="CA152" s="10"/>
      <c r="CB152" s="10"/>
      <c r="CC152" s="10"/>
      <c r="CD152" s="10"/>
      <c r="CE152" s="10"/>
      <c r="CF152" s="10"/>
      <c r="CG152" s="318" t="str">
        <f t="shared" si="21"/>
        <v> </v>
      </c>
      <c r="CH152" s="318" t="str">
        <f t="shared" si="28"/>
        <v>Business Achieved 50%</v>
      </c>
      <c r="CI152" s="322">
        <f t="shared" si="22"/>
        <v>0.746031746</v>
      </c>
      <c r="CJ152" s="323"/>
      <c r="CK152" s="323"/>
      <c r="CL152" s="323"/>
      <c r="CM152" s="324">
        <f t="shared" si="23"/>
        <v>160</v>
      </c>
      <c r="CN152" s="325"/>
      <c r="CO152" s="6"/>
      <c r="CP152" s="6"/>
      <c r="CQ152" s="327"/>
      <c r="CR152" s="6"/>
      <c r="CS152" s="6"/>
      <c r="CT152" s="6"/>
      <c r="CU152" s="6"/>
      <c r="CV152" s="6"/>
      <c r="CW152" s="327">
        <f t="shared" si="27"/>
        <v>0</v>
      </c>
      <c r="CX152" s="270"/>
      <c r="CY152" s="6"/>
      <c r="CZ152" s="6"/>
    </row>
    <row r="153" hidden="1">
      <c r="A153" s="307" t="s">
        <v>301</v>
      </c>
      <c r="B153" s="307" t="s">
        <v>506</v>
      </c>
      <c r="C153" s="307" t="s">
        <v>306</v>
      </c>
      <c r="D153" s="307" t="s">
        <v>531</v>
      </c>
      <c r="E153" s="307" t="s">
        <v>307</v>
      </c>
      <c r="F153" s="329">
        <v>46027.0</v>
      </c>
      <c r="G153" s="309">
        <v>0.0</v>
      </c>
      <c r="H153" s="309">
        <v>800000.0</v>
      </c>
      <c r="I153" s="287">
        <v>0.0</v>
      </c>
      <c r="J153" s="287">
        <v>0.0</v>
      </c>
      <c r="K153" s="284">
        <v>3.0</v>
      </c>
      <c r="L153" s="284">
        <v>3.0</v>
      </c>
      <c r="M153" s="284">
        <v>0.0</v>
      </c>
      <c r="N153" s="284">
        <v>3.0</v>
      </c>
      <c r="O153" s="284">
        <v>0.0</v>
      </c>
      <c r="P153" s="287">
        <v>0.0</v>
      </c>
      <c r="Q153" s="287">
        <v>0.0</v>
      </c>
      <c r="R153" s="284">
        <v>0.0</v>
      </c>
      <c r="S153" s="284">
        <v>0.0</v>
      </c>
      <c r="T153" s="284">
        <v>0.0</v>
      </c>
      <c r="U153" s="284">
        <v>0.0</v>
      </c>
      <c r="V153" s="284">
        <v>33.0</v>
      </c>
      <c r="W153" s="284">
        <v>120.0</v>
      </c>
      <c r="X153" s="284">
        <v>24.0</v>
      </c>
      <c r="Y153" s="284">
        <v>1.0</v>
      </c>
      <c r="Z153" s="284">
        <v>3.0</v>
      </c>
      <c r="AA153" s="284">
        <v>0.0</v>
      </c>
      <c r="AB153" s="284">
        <v>0.0</v>
      </c>
      <c r="AC153" s="284">
        <v>0.0</v>
      </c>
      <c r="AD153" s="284">
        <v>0.0</v>
      </c>
      <c r="AE153" s="284">
        <v>8.0</v>
      </c>
      <c r="AF153" s="284">
        <v>131.0</v>
      </c>
      <c r="AG153" s="284">
        <v>50.0</v>
      </c>
      <c r="AH153" s="309">
        <f t="shared" si="2"/>
        <v>0</v>
      </c>
      <c r="AI153" s="309">
        <f t="shared" si="3"/>
        <v>2.62</v>
      </c>
      <c r="AJ153" s="345">
        <v>26215.0</v>
      </c>
      <c r="AK153" s="309">
        <f t="shared" si="33"/>
        <v>78645</v>
      </c>
      <c r="AL153" s="312"/>
      <c r="AM153" s="334" t="str">
        <f t="shared" si="5"/>
        <v/>
      </c>
      <c r="AN153" s="231" t="str">
        <f t="shared" si="6"/>
        <v/>
      </c>
      <c r="AO153" s="314">
        <f t="shared" si="7"/>
        <v>0</v>
      </c>
      <c r="AP153" s="315">
        <v>0.0</v>
      </c>
      <c r="AQ153" s="284">
        <v>0.0</v>
      </c>
      <c r="AR153" s="284">
        <v>475.0</v>
      </c>
      <c r="AS153" s="284">
        <v>2548.1</v>
      </c>
      <c r="AT153" s="284">
        <v>0.0</v>
      </c>
      <c r="AU153" s="284">
        <v>849.0</v>
      </c>
      <c r="AV153" s="284">
        <v>0.0</v>
      </c>
      <c r="AW153" s="284">
        <v>3.0</v>
      </c>
      <c r="AX153" s="284">
        <v>0.0</v>
      </c>
      <c r="AY153" s="309">
        <v>0.0</v>
      </c>
      <c r="AZ153" s="316"/>
      <c r="BA153" s="307" t="str">
        <f t="shared" si="8"/>
        <v>Active</v>
      </c>
      <c r="BB153" s="307" t="str">
        <f t="shared" si="9"/>
        <v>Old</v>
      </c>
      <c r="BC153" s="307" t="str">
        <f t="shared" si="10"/>
        <v>Below 50%</v>
      </c>
      <c r="BD153" s="286">
        <f t="shared" si="39"/>
        <v>3</v>
      </c>
      <c r="BE153" s="328">
        <v>800000.0</v>
      </c>
      <c r="BF153" s="353">
        <f t="shared" si="40"/>
        <v>0.8387096774</v>
      </c>
      <c r="BG153" s="307" t="s">
        <v>488</v>
      </c>
      <c r="BH153" s="271">
        <f>IFERROR(__xludf.DUMMYFUNCTION("""COMPUTED_VALUE"""),0.0)</f>
        <v>0</v>
      </c>
      <c r="BI153" s="271">
        <f>IFERROR(__xludf.DUMMYFUNCTION("""COMPUTED_VALUE"""),0.0)</f>
        <v>0</v>
      </c>
      <c r="BJ153" s="352"/>
      <c r="BK153" s="274"/>
      <c r="BL153" s="319">
        <f t="shared" si="34"/>
        <v>0</v>
      </c>
      <c r="BM153" s="319">
        <f t="shared" si="14"/>
        <v>800000</v>
      </c>
      <c r="BN153" s="274"/>
      <c r="BO153" s="311">
        <f>IFERROR(__xludf.DUMMYFUNCTION("IFERROR(ArrayFormula(SUM(VLOOKUP($C153,importrange(""1PTkkEa_ENkSqsGnpqoXy9kt0Fe1hCtlmU6kVFBNaonY"",""ORDER BOOKING REPORT 2025-26!C:CV""),{16,23,30},0))))"),0.0)</f>
        <v>0</v>
      </c>
      <c r="BP153" s="311">
        <f>IFERROR(__xludf.DUMMYFUNCTION("IFERROR(ArrayFormula(SUM(VLOOKUP($C153,importrange(""1PTkkEa_ENkSqsGnpqoXy9kt0Fe1hCtlmU6kVFBNaonY"",""ORDER BOOKING REPORT 2025-26!C:CV""),{37,44,51},0))))"),0.0)</f>
        <v>0</v>
      </c>
      <c r="BQ153" s="311">
        <f>IFERROR(__xludf.DUMMYFUNCTION("IFERROR(ArrayFormula(SUM(VLOOKUP($C153,importrange(""1PTkkEa_ENkSqsGnpqoXy9kt0Fe1hCtlmU6kVFBNaonY"",""ORDER BOOKING REPORT 2025-26!C:CV""),{58,65,72},0))))"),0.0)</f>
        <v>0</v>
      </c>
      <c r="BR153" s="311">
        <f>IFERROR(__xludf.DUMMYFUNCTION("IFERROR(ArrayFormula(SUM(VLOOKUP($C153,importrange(""1PTkkEa_ENkSqsGnpqoXy9kt0Fe1hCtlmU6kVFBNaonY"",""ORDER BOOKING REPORT 2025-26!C:CV""),{79,86,93},0))))"),0.0)</f>
        <v>0</v>
      </c>
      <c r="BS153" s="152">
        <f t="shared" si="15"/>
        <v>0</v>
      </c>
      <c r="BT153" s="152" t="str">
        <f t="shared" si="38"/>
        <v/>
      </c>
      <c r="BU153" s="287">
        <f t="shared" si="17"/>
        <v>0</v>
      </c>
      <c r="BV153" s="349"/>
      <c r="BW153" s="349"/>
      <c r="BX153" s="349"/>
      <c r="BY153" s="287">
        <f t="shared" si="18"/>
        <v>-26215</v>
      </c>
      <c r="BZ153" s="10"/>
      <c r="CA153" s="10"/>
      <c r="CB153" s="10"/>
      <c r="CC153" s="10"/>
      <c r="CD153" s="10"/>
      <c r="CE153" s="10"/>
      <c r="CF153" s="10"/>
      <c r="CG153" s="318" t="str">
        <f t="shared" si="21"/>
        <v>Below 60</v>
      </c>
      <c r="CH153" s="318" t="str">
        <f t="shared" si="28"/>
        <v>Not 50%</v>
      </c>
      <c r="CI153" s="322">
        <f t="shared" si="22"/>
        <v>0</v>
      </c>
      <c r="CJ153" s="323"/>
      <c r="CK153" s="323"/>
      <c r="CL153" s="323"/>
      <c r="CM153" s="324">
        <f t="shared" si="23"/>
        <v>8</v>
      </c>
      <c r="CN153" s="325"/>
      <c r="CO153" s="6"/>
      <c r="CP153" s="6"/>
      <c r="CQ153" s="327"/>
      <c r="CR153" s="6"/>
      <c r="CS153" s="6"/>
      <c r="CT153" s="6"/>
      <c r="CU153" s="6"/>
      <c r="CV153" s="6"/>
      <c r="CW153" s="327">
        <f t="shared" si="27"/>
        <v>0</v>
      </c>
      <c r="CX153" s="270"/>
      <c r="CY153" s="6"/>
      <c r="CZ153" s="6"/>
    </row>
    <row r="154">
      <c r="A154" s="6"/>
      <c r="B154" s="307" t="s">
        <v>522</v>
      </c>
      <c r="C154" s="307" t="s">
        <v>441</v>
      </c>
      <c r="D154" s="307" t="s">
        <v>596</v>
      </c>
      <c r="E154" s="307" t="s">
        <v>604</v>
      </c>
      <c r="F154" s="329">
        <v>46041.0</v>
      </c>
      <c r="G154" s="309">
        <v>0.0</v>
      </c>
      <c r="H154" s="309">
        <v>0.0</v>
      </c>
      <c r="I154" s="287">
        <v>0.0</v>
      </c>
      <c r="J154" s="287">
        <v>0.0</v>
      </c>
      <c r="K154" s="284">
        <v>3.0</v>
      </c>
      <c r="L154" s="284">
        <v>4.0</v>
      </c>
      <c r="M154" s="284">
        <v>4.0</v>
      </c>
      <c r="N154" s="284">
        <v>7.0</v>
      </c>
      <c r="O154" s="284">
        <v>3.0</v>
      </c>
      <c r="P154" s="287">
        <v>0.0</v>
      </c>
      <c r="Q154" s="287">
        <v>0.0</v>
      </c>
      <c r="R154" s="284">
        <v>0.0</v>
      </c>
      <c r="S154" s="284">
        <v>0.0</v>
      </c>
      <c r="T154" s="284">
        <v>0.0</v>
      </c>
      <c r="U154" s="284">
        <v>0.0</v>
      </c>
      <c r="V154" s="284">
        <v>22.0</v>
      </c>
      <c r="W154" s="284">
        <v>27.0</v>
      </c>
      <c r="X154" s="284">
        <v>5.0</v>
      </c>
      <c r="Y154" s="284">
        <v>9.0</v>
      </c>
      <c r="Z154" s="284">
        <v>15.0</v>
      </c>
      <c r="AA154" s="284">
        <v>1.0</v>
      </c>
      <c r="AB154" s="284">
        <v>1.0</v>
      </c>
      <c r="AC154" s="284">
        <v>68.0</v>
      </c>
      <c r="AD154" s="284">
        <v>105.0</v>
      </c>
      <c r="AE154" s="284">
        <v>16.0</v>
      </c>
      <c r="AF154" s="284">
        <v>164.0</v>
      </c>
      <c r="AG154" s="284">
        <v>70.0</v>
      </c>
      <c r="AH154" s="309">
        <f t="shared" si="2"/>
        <v>0</v>
      </c>
      <c r="AI154" s="309">
        <f t="shared" si="3"/>
        <v>2.342857143</v>
      </c>
      <c r="AJ154" s="345">
        <v>195835.0</v>
      </c>
      <c r="AK154" s="309">
        <f t="shared" si="33"/>
        <v>587505</v>
      </c>
      <c r="AL154" s="286"/>
      <c r="AM154" s="334" t="str">
        <f t="shared" si="5"/>
        <v/>
      </c>
      <c r="AN154" s="231" t="str">
        <f t="shared" si="6"/>
        <v/>
      </c>
      <c r="AO154" s="314" t="str">
        <f t="shared" si="7"/>
        <v/>
      </c>
      <c r="AP154" s="315">
        <v>0.0</v>
      </c>
      <c r="AQ154" s="284">
        <v>0.0</v>
      </c>
      <c r="AR154" s="284">
        <v>816.0</v>
      </c>
      <c r="AS154" s="284">
        <v>8963.47</v>
      </c>
      <c r="AT154" s="284">
        <v>0.0</v>
      </c>
      <c r="AU154" s="284">
        <v>2241.0</v>
      </c>
      <c r="AV154" s="284">
        <v>0.0</v>
      </c>
      <c r="AW154" s="284">
        <v>4.0</v>
      </c>
      <c r="AX154" s="284">
        <v>3.0</v>
      </c>
      <c r="AY154" s="231"/>
      <c r="AZ154" s="316"/>
      <c r="BA154" s="307" t="str">
        <f t="shared" si="8"/>
        <v>Active</v>
      </c>
      <c r="BB154" s="307" t="str">
        <f t="shared" si="9"/>
        <v>Old</v>
      </c>
      <c r="BC154" s="307" t="str">
        <f t="shared" si="10"/>
        <v>Below 50%</v>
      </c>
      <c r="BD154" s="286">
        <f t="shared" si="39"/>
        <v>3</v>
      </c>
      <c r="BE154" s="335"/>
      <c r="BF154" s="353">
        <f>12/31</f>
        <v>0.3870967742</v>
      </c>
      <c r="BG154" s="307" t="s">
        <v>485</v>
      </c>
      <c r="BH154" s="271"/>
      <c r="BI154" s="271"/>
      <c r="BJ154" s="352"/>
      <c r="BK154" s="274"/>
      <c r="BL154" s="319">
        <f t="shared" si="34"/>
        <v>0</v>
      </c>
      <c r="BM154" s="319">
        <f t="shared" si="14"/>
        <v>0</v>
      </c>
      <c r="BN154" s="274"/>
      <c r="BO154" s="311" t="str">
        <f>IFERROR(__xludf.DUMMYFUNCTION("IFERROR(ArrayFormula(SUM(VLOOKUP($C154,importrange(""1PTkkEa_ENkSqsGnpqoXy9kt0Fe1hCtlmU6kVFBNaonY"",""ORDER BOOKING REPORT 2025-26!C:CV""),{16,23,30},0))))"),"")</f>
        <v/>
      </c>
      <c r="BP154" s="311" t="str">
        <f>IFERROR(__xludf.DUMMYFUNCTION("IFERROR(ArrayFormula(SUM(VLOOKUP($C154,importrange(""1PTkkEa_ENkSqsGnpqoXy9kt0Fe1hCtlmU6kVFBNaonY"",""ORDER BOOKING REPORT 2025-26!C:CV""),{37,44,51},0))))"),"")</f>
        <v/>
      </c>
      <c r="BQ154" s="311" t="str">
        <f>IFERROR(__xludf.DUMMYFUNCTION("IFERROR(ArrayFormula(SUM(VLOOKUP($C154,importrange(""1PTkkEa_ENkSqsGnpqoXy9kt0Fe1hCtlmU6kVFBNaonY"",""ORDER BOOKING REPORT 2025-26!C:CV""),{58,65,72},0))))"),"")</f>
        <v/>
      </c>
      <c r="BR154" s="311" t="str">
        <f>IFERROR(__xludf.DUMMYFUNCTION("IFERROR(ArrayFormula(SUM(VLOOKUP($C154,importrange(""1PTkkEa_ENkSqsGnpqoXy9kt0Fe1hCtlmU6kVFBNaonY"",""ORDER BOOKING REPORT 2025-26!C:CV""),{79,86,93},0))))"),"")</f>
        <v/>
      </c>
      <c r="BS154" s="152" t="str">
        <f t="shared" si="15"/>
        <v/>
      </c>
      <c r="BT154" s="152" t="str">
        <f t="shared" si="38"/>
        <v/>
      </c>
      <c r="BU154" s="287">
        <f t="shared" si="17"/>
        <v>0</v>
      </c>
      <c r="BV154" s="349"/>
      <c r="BW154" s="349"/>
      <c r="BX154" s="349"/>
      <c r="BY154" s="287">
        <f t="shared" si="18"/>
        <v>-195835</v>
      </c>
      <c r="BZ154" s="10"/>
      <c r="CA154" s="10"/>
      <c r="CB154" s="10"/>
      <c r="CC154" s="10"/>
      <c r="CD154" s="10"/>
      <c r="CE154" s="10"/>
      <c r="CF154" s="10"/>
      <c r="CG154" s="318" t="str">
        <f t="shared" si="21"/>
        <v>Below 60</v>
      </c>
      <c r="CH154" s="318" t="str">
        <f t="shared" si="28"/>
        <v>Not 50%</v>
      </c>
      <c r="CI154" s="322">
        <f t="shared" si="22"/>
        <v>0</v>
      </c>
      <c r="CJ154" s="336"/>
      <c r="CK154" s="336"/>
      <c r="CL154" s="336"/>
      <c r="CM154" s="324">
        <f t="shared" si="23"/>
        <v>16</v>
      </c>
      <c r="CN154" s="337"/>
      <c r="CO154" s="152"/>
      <c r="CP154" s="152"/>
      <c r="CQ154" s="327"/>
      <c r="CR154" s="152"/>
      <c r="CS154" s="152"/>
      <c r="CT154" s="152"/>
      <c r="CU154" s="152"/>
      <c r="CV154" s="152"/>
      <c r="CW154" s="327">
        <f t="shared" si="27"/>
        <v>0</v>
      </c>
      <c r="CX154" s="270"/>
      <c r="CY154" s="152"/>
      <c r="CZ154" s="152"/>
    </row>
    <row r="155" hidden="1">
      <c r="A155" s="307" t="s">
        <v>441</v>
      </c>
      <c r="B155" s="307" t="s">
        <v>522</v>
      </c>
      <c r="C155" s="307" t="s">
        <v>95</v>
      </c>
      <c r="D155" s="307" t="s">
        <v>596</v>
      </c>
      <c r="E155" s="307" t="s">
        <v>96</v>
      </c>
      <c r="F155" s="329">
        <v>46041.0</v>
      </c>
      <c r="G155" s="309">
        <v>0.0</v>
      </c>
      <c r="H155" s="309">
        <v>2500000.0</v>
      </c>
      <c r="I155" s="287">
        <v>538488.0</v>
      </c>
      <c r="J155" s="287">
        <v>0.0</v>
      </c>
      <c r="K155" s="284">
        <v>7.0</v>
      </c>
      <c r="L155" s="284">
        <v>62.0</v>
      </c>
      <c r="M155" s="284">
        <v>57.0</v>
      </c>
      <c r="N155" s="284">
        <v>64.0</v>
      </c>
      <c r="O155" s="284">
        <v>2.0</v>
      </c>
      <c r="P155" s="287">
        <v>3623.88</v>
      </c>
      <c r="Q155" s="287">
        <v>534863.94</v>
      </c>
      <c r="R155" s="284">
        <v>1.0</v>
      </c>
      <c r="S155" s="284">
        <v>56.0</v>
      </c>
      <c r="T155" s="284">
        <v>57.0</v>
      </c>
      <c r="U155" s="284">
        <v>0.0</v>
      </c>
      <c r="V155" s="284">
        <v>94.0</v>
      </c>
      <c r="W155" s="284">
        <v>132.0</v>
      </c>
      <c r="X155" s="284">
        <v>30.0</v>
      </c>
      <c r="Y155" s="284">
        <v>5.0</v>
      </c>
      <c r="Z155" s="284">
        <v>34.0</v>
      </c>
      <c r="AA155" s="284">
        <v>0.0</v>
      </c>
      <c r="AB155" s="284">
        <v>0.0</v>
      </c>
      <c r="AC155" s="284">
        <v>45.0</v>
      </c>
      <c r="AD155" s="284">
        <v>104.0</v>
      </c>
      <c r="AE155" s="284">
        <v>153.0</v>
      </c>
      <c r="AF155" s="284">
        <v>423.0</v>
      </c>
      <c r="AG155" s="284">
        <v>72.0</v>
      </c>
      <c r="AH155" s="309">
        <f t="shared" si="2"/>
        <v>7479</v>
      </c>
      <c r="AI155" s="309">
        <f t="shared" si="3"/>
        <v>5.875</v>
      </c>
      <c r="AJ155" s="345">
        <v>68112.0</v>
      </c>
      <c r="AK155" s="309">
        <f t="shared" si="33"/>
        <v>204336</v>
      </c>
      <c r="AL155" s="286"/>
      <c r="AM155" s="334">
        <f t="shared" si="5"/>
        <v>0.379462495</v>
      </c>
      <c r="AN155" s="231">
        <f t="shared" si="6"/>
        <v>9447.157895</v>
      </c>
      <c r="AO155" s="314">
        <f t="shared" si="7"/>
        <v>0.2153952</v>
      </c>
      <c r="AP155" s="315">
        <v>0.0</v>
      </c>
      <c r="AQ155" s="284">
        <v>73.0</v>
      </c>
      <c r="AR155" s="284">
        <v>768.0</v>
      </c>
      <c r="AS155" s="284">
        <v>7805.78</v>
      </c>
      <c r="AT155" s="284">
        <v>56.0</v>
      </c>
      <c r="AU155" s="284">
        <v>126.0</v>
      </c>
      <c r="AV155" s="284">
        <v>57.0</v>
      </c>
      <c r="AW155" s="284">
        <v>6.0</v>
      </c>
      <c r="AX155" s="284">
        <v>1.0</v>
      </c>
      <c r="AY155" s="309">
        <v>325794.0</v>
      </c>
      <c r="AZ155" s="316"/>
      <c r="BA155" s="307" t="str">
        <f t="shared" si="8"/>
        <v>Active</v>
      </c>
      <c r="BB155" s="307" t="str">
        <f t="shared" si="9"/>
        <v>Old</v>
      </c>
      <c r="BC155" s="307" t="str">
        <f t="shared" si="10"/>
        <v>Below 50%</v>
      </c>
      <c r="BD155" s="286">
        <f t="shared" si="39"/>
        <v>3</v>
      </c>
      <c r="BE155" s="335">
        <v>1200000.0</v>
      </c>
      <c r="BF155" s="6"/>
      <c r="BG155" s="307" t="s">
        <v>488</v>
      </c>
      <c r="BH155" s="271">
        <f>IFERROR(__xludf.DUMMYFUNCTION("""COMPUTED_VALUE"""),0.0)</f>
        <v>0</v>
      </c>
      <c r="BI155" s="271">
        <f>IFERROR(__xludf.DUMMYFUNCTION("""COMPUTED_VALUE"""),0.0)</f>
        <v>0</v>
      </c>
      <c r="BJ155" s="352"/>
      <c r="BK155" s="274"/>
      <c r="BL155" s="319">
        <f t="shared" si="34"/>
        <v>0</v>
      </c>
      <c r="BM155" s="319">
        <f t="shared" si="14"/>
        <v>2500000</v>
      </c>
      <c r="BN155" s="274"/>
      <c r="BO155" s="311">
        <f>IFERROR(__xludf.DUMMYFUNCTION("IFERROR(ArrayFormula(SUM(VLOOKUP($C155,importrange(""1PTkkEa_ENkSqsGnpqoXy9kt0Fe1hCtlmU6kVFBNaonY"",""ORDER BOOKING REPORT 2025-26!C:CV""),{16,23,30},0))))"),0.0)</f>
        <v>0</v>
      </c>
      <c r="BP155" s="311">
        <f>IFERROR(__xludf.DUMMYFUNCTION("IFERROR(ArrayFormula(SUM(VLOOKUP($C155,importrange(""1PTkkEa_ENkSqsGnpqoXy9kt0Fe1hCtlmU6kVFBNaonY"",""ORDER BOOKING REPORT 2025-26!C:CV""),{37,44,51},0))))"),0.0)</f>
        <v>0</v>
      </c>
      <c r="BQ155" s="311">
        <f>IFERROR(__xludf.DUMMYFUNCTION("IFERROR(ArrayFormula(SUM(VLOOKUP($C155,importrange(""1PTkkEa_ENkSqsGnpqoXy9kt0Fe1hCtlmU6kVFBNaonY"",""ORDER BOOKING REPORT 2025-26!C:CV""),{58,65,72},0))))"),0.0)</f>
        <v>0</v>
      </c>
      <c r="BR155" s="311">
        <f>IFERROR(__xludf.DUMMYFUNCTION("IFERROR(ArrayFormula(SUM(VLOOKUP($C155,importrange(""1PTkkEa_ENkSqsGnpqoXy9kt0Fe1hCtlmU6kVFBNaonY"",""ORDER BOOKING REPORT 2025-26!C:CV""),{79,86,93},0))))"),0.0)</f>
        <v>0</v>
      </c>
      <c r="BS155" s="152">
        <f t="shared" si="15"/>
        <v>0.1303176</v>
      </c>
      <c r="BT155" s="152">
        <f t="shared" si="38"/>
        <v>0.627193871</v>
      </c>
      <c r="BU155" s="287">
        <f t="shared" si="17"/>
        <v>0</v>
      </c>
      <c r="BV155" s="349"/>
      <c r="BW155" s="349"/>
      <c r="BX155" s="349"/>
      <c r="BY155" s="287">
        <f t="shared" si="18"/>
        <v>-68112</v>
      </c>
      <c r="BZ155" s="10"/>
      <c r="CA155" s="10"/>
      <c r="CB155" s="10"/>
      <c r="CC155" s="10"/>
      <c r="CD155" s="10"/>
      <c r="CE155" s="10"/>
      <c r="CF155" s="10"/>
      <c r="CG155" s="318" t="str">
        <f t="shared" si="21"/>
        <v> </v>
      </c>
      <c r="CH155" s="318" t="str">
        <f t="shared" si="28"/>
        <v>Business Achieved 50%</v>
      </c>
      <c r="CI155" s="322">
        <f t="shared" si="22"/>
        <v>0.890625</v>
      </c>
      <c r="CJ155" s="336"/>
      <c r="CK155" s="336"/>
      <c r="CL155" s="336"/>
      <c r="CM155" s="324">
        <f t="shared" si="23"/>
        <v>153</v>
      </c>
      <c r="CN155" s="337"/>
      <c r="CO155" s="152"/>
      <c r="CP155" s="152"/>
      <c r="CQ155" s="327"/>
      <c r="CR155" s="152"/>
      <c r="CS155" s="152"/>
      <c r="CT155" s="152"/>
      <c r="CU155" s="152"/>
      <c r="CV155" s="152"/>
      <c r="CW155" s="327">
        <f t="shared" si="27"/>
        <v>0</v>
      </c>
      <c r="CX155" s="270"/>
      <c r="CY155" s="152"/>
      <c r="CZ155" s="152"/>
    </row>
    <row r="156" hidden="1">
      <c r="A156" s="307" t="s">
        <v>160</v>
      </c>
      <c r="B156" s="307" t="s">
        <v>483</v>
      </c>
      <c r="C156" s="307" t="s">
        <v>605</v>
      </c>
      <c r="D156" s="307" t="s">
        <v>484</v>
      </c>
      <c r="E156" s="307" t="s">
        <v>252</v>
      </c>
      <c r="F156" s="329">
        <v>46041.0</v>
      </c>
      <c r="G156" s="309">
        <v>0.0</v>
      </c>
      <c r="H156" s="309">
        <v>1.1124999E7</v>
      </c>
      <c r="I156" s="287">
        <v>4141909.0</v>
      </c>
      <c r="J156" s="287">
        <v>0.0</v>
      </c>
      <c r="K156" s="284">
        <v>71.0</v>
      </c>
      <c r="L156" s="284">
        <v>65.0</v>
      </c>
      <c r="M156" s="284">
        <v>10.0</v>
      </c>
      <c r="N156" s="284">
        <v>81.0</v>
      </c>
      <c r="O156" s="284">
        <v>16.0</v>
      </c>
      <c r="P156" s="287">
        <v>2511426.9</v>
      </c>
      <c r="Q156" s="287">
        <v>1630482.58</v>
      </c>
      <c r="R156" s="284">
        <v>25.0</v>
      </c>
      <c r="S156" s="284">
        <v>10.0</v>
      </c>
      <c r="T156" s="284">
        <v>35.0</v>
      </c>
      <c r="U156" s="284">
        <v>0.0</v>
      </c>
      <c r="V156" s="284">
        <v>2.0</v>
      </c>
      <c r="W156" s="284">
        <v>5.0</v>
      </c>
      <c r="X156" s="284">
        <v>4.0</v>
      </c>
      <c r="Y156" s="284">
        <v>1.0</v>
      </c>
      <c r="Z156" s="284">
        <v>1.0</v>
      </c>
      <c r="AA156" s="284">
        <v>1.0</v>
      </c>
      <c r="AB156" s="284">
        <v>1.0</v>
      </c>
      <c r="AC156" s="284">
        <v>0.0</v>
      </c>
      <c r="AD156" s="284">
        <v>0.0</v>
      </c>
      <c r="AE156" s="284">
        <v>148.0</v>
      </c>
      <c r="AF156" s="284">
        <v>155.0</v>
      </c>
      <c r="AG156" s="284">
        <v>53.0</v>
      </c>
      <c r="AH156" s="309">
        <f t="shared" si="2"/>
        <v>78149.22642</v>
      </c>
      <c r="AI156" s="309">
        <f t="shared" si="3"/>
        <v>2.924528302</v>
      </c>
      <c r="AJ156" s="345">
        <v>35650.0</v>
      </c>
      <c r="AK156" s="309">
        <f t="shared" si="33"/>
        <v>106950</v>
      </c>
      <c r="AL156" s="312"/>
      <c r="AM156" s="313">
        <f t="shared" si="5"/>
        <v>0.02582142679</v>
      </c>
      <c r="AN156" s="309">
        <f t="shared" si="6"/>
        <v>118340.2571</v>
      </c>
      <c r="AO156" s="314">
        <f t="shared" si="7"/>
        <v>0.3723064604</v>
      </c>
      <c r="AP156" s="315">
        <v>0.0</v>
      </c>
      <c r="AQ156" s="284">
        <v>63.0</v>
      </c>
      <c r="AR156" s="284">
        <v>708.0</v>
      </c>
      <c r="AS156" s="284">
        <v>7282.82</v>
      </c>
      <c r="AT156" s="284">
        <v>10.0</v>
      </c>
      <c r="AU156" s="284">
        <v>112.0</v>
      </c>
      <c r="AV156" s="284">
        <v>35.0</v>
      </c>
      <c r="AW156" s="284">
        <v>33.0</v>
      </c>
      <c r="AX156" s="284">
        <v>13.0</v>
      </c>
      <c r="AY156" s="309">
        <v>2086881.0</v>
      </c>
      <c r="AZ156" s="316"/>
      <c r="BA156" s="307" t="str">
        <f t="shared" si="8"/>
        <v>Active</v>
      </c>
      <c r="BB156" s="307" t="str">
        <f t="shared" si="9"/>
        <v>Old</v>
      </c>
      <c r="BC156" s="307" t="str">
        <f t="shared" si="10"/>
        <v>Below 50%</v>
      </c>
      <c r="BD156" s="286">
        <f t="shared" si="39"/>
        <v>3</v>
      </c>
      <c r="BE156" s="328">
        <v>3708333.0</v>
      </c>
      <c r="BF156" s="6"/>
      <c r="BG156" s="307" t="s">
        <v>488</v>
      </c>
      <c r="BH156" s="271">
        <f>IFERROR(__xludf.DUMMYFUNCTION("""COMPUTED_VALUE"""),3174003.0)</f>
        <v>3174003</v>
      </c>
      <c r="BI156" s="271">
        <f>IFERROR(__xludf.DUMMYFUNCTION("""COMPUTED_VALUE"""),3270193.24)</f>
        <v>3270193.24</v>
      </c>
      <c r="BJ156" s="352"/>
      <c r="BK156" s="274"/>
      <c r="BL156" s="319">
        <f t="shared" si="34"/>
        <v>0</v>
      </c>
      <c r="BM156" s="319">
        <f t="shared" si="14"/>
        <v>11124999</v>
      </c>
      <c r="BN156" s="274"/>
      <c r="BO156" s="311">
        <f>IFERROR(__xludf.DUMMYFUNCTION("IFERROR(ArrayFormula(SUM(VLOOKUP($C156,importrange(""1PTkkEa_ENkSqsGnpqoXy9kt0Fe1hCtlmU6kVFBNaonY"",""ORDER BOOKING REPORT 2025-26!C:CV""),{16,23,30},0))))"),0.0)</f>
        <v>0</v>
      </c>
      <c r="BP156" s="311">
        <f>IFERROR(__xludf.DUMMYFUNCTION("IFERROR(ArrayFormula(SUM(VLOOKUP($C156,importrange(""1PTkkEa_ENkSqsGnpqoXy9kt0Fe1hCtlmU6kVFBNaonY"",""ORDER BOOKING REPORT 2025-26!C:CV""),{37,44,51},0))))"),0.0)</f>
        <v>0</v>
      </c>
      <c r="BQ156" s="311">
        <f>IFERROR(__xludf.DUMMYFUNCTION("IFERROR(ArrayFormula(SUM(VLOOKUP($C156,importrange(""1PTkkEa_ENkSqsGnpqoXy9kt0Fe1hCtlmU6kVFBNaonY"",""ORDER BOOKING REPORT 2025-26!C:CV""),{58,65,72},0))))"),0.0)</f>
        <v>0</v>
      </c>
      <c r="BR156" s="311">
        <f>IFERROR(__xludf.DUMMYFUNCTION("IFERROR(ArrayFormula(SUM(VLOOKUP($C156,importrange(""1PTkkEa_ENkSqsGnpqoXy9kt0Fe1hCtlmU6kVFBNaonY"",""ORDER BOOKING REPORT 2025-26!C:CV""),{79,86,93},0))))"),3270193.24)</f>
        <v>3270193.24</v>
      </c>
      <c r="BS156" s="152">
        <f t="shared" si="15"/>
        <v>0.1875848259</v>
      </c>
      <c r="BT156" s="322">
        <f t="shared" si="38"/>
        <v>0.05124872956</v>
      </c>
      <c r="BU156" s="287">
        <f t="shared" si="17"/>
        <v>0</v>
      </c>
      <c r="BV156" s="349"/>
      <c r="BW156" s="349"/>
      <c r="BX156" s="349"/>
      <c r="BY156" s="287">
        <f t="shared" si="18"/>
        <v>-35650</v>
      </c>
      <c r="BZ156" s="10"/>
      <c r="CA156" s="10"/>
      <c r="CB156" s="10"/>
      <c r="CC156" s="10"/>
      <c r="CD156" s="10"/>
      <c r="CE156" s="10"/>
      <c r="CF156" s="10"/>
      <c r="CG156" s="318" t="str">
        <f t="shared" si="21"/>
        <v> </v>
      </c>
      <c r="CH156" s="318" t="str">
        <f t="shared" si="28"/>
        <v>Not 50%</v>
      </c>
      <c r="CI156" s="322">
        <f t="shared" si="22"/>
        <v>0.4320987654</v>
      </c>
      <c r="CJ156" s="323"/>
      <c r="CK156" s="323"/>
      <c r="CL156" s="323"/>
      <c r="CM156" s="324">
        <f t="shared" si="23"/>
        <v>148</v>
      </c>
      <c r="CN156" s="325"/>
      <c r="CO156" s="6"/>
      <c r="CP156" s="6"/>
      <c r="CQ156" s="327"/>
      <c r="CR156" s="6"/>
      <c r="CS156" s="6"/>
      <c r="CT156" s="6"/>
      <c r="CU156" s="6"/>
      <c r="CV156" s="6"/>
      <c r="CW156" s="327">
        <f t="shared" si="27"/>
        <v>0</v>
      </c>
      <c r="CX156" s="270"/>
      <c r="CY156" s="6"/>
      <c r="CZ156" s="6"/>
    </row>
    <row r="157" hidden="1">
      <c r="C157" s="307" t="s">
        <v>40</v>
      </c>
      <c r="D157" s="307" t="s">
        <v>545</v>
      </c>
      <c r="E157" s="307" t="s">
        <v>41</v>
      </c>
      <c r="F157" s="308">
        <v>46069.0</v>
      </c>
      <c r="G157" s="309">
        <v>0.0</v>
      </c>
      <c r="H157" s="309">
        <v>3900000.0</v>
      </c>
      <c r="I157" s="287">
        <v>2780778.0</v>
      </c>
      <c r="J157" s="287">
        <v>0.0</v>
      </c>
      <c r="K157" s="284">
        <v>31.0</v>
      </c>
      <c r="L157" s="284">
        <v>52.0</v>
      </c>
      <c r="M157" s="284">
        <v>22.0</v>
      </c>
      <c r="N157" s="284">
        <v>53.0</v>
      </c>
      <c r="O157" s="284">
        <v>1.0</v>
      </c>
      <c r="P157" s="287">
        <v>2033280.12</v>
      </c>
      <c r="Q157" s="287">
        <v>747498.13</v>
      </c>
      <c r="R157" s="284">
        <v>21.0</v>
      </c>
      <c r="S157" s="284">
        <v>22.0</v>
      </c>
      <c r="T157" s="284">
        <v>43.0</v>
      </c>
      <c r="U157" s="284">
        <v>0.0</v>
      </c>
      <c r="V157" s="284">
        <v>137.0</v>
      </c>
      <c r="W157" s="284">
        <v>451.0</v>
      </c>
      <c r="X157" s="284">
        <v>23.0</v>
      </c>
      <c r="Y157" s="284">
        <v>5.0</v>
      </c>
      <c r="Z157" s="284">
        <v>40.0</v>
      </c>
      <c r="AA157" s="284">
        <v>0.0</v>
      </c>
      <c r="AB157" s="284">
        <v>0.0</v>
      </c>
      <c r="AC157" s="284">
        <v>1.0</v>
      </c>
      <c r="AD157" s="284">
        <v>1.0</v>
      </c>
      <c r="AE157" s="284">
        <v>320.0</v>
      </c>
      <c r="AF157" s="284">
        <v>812.0</v>
      </c>
      <c r="AG157" s="284">
        <v>74.0</v>
      </c>
      <c r="AH157" s="309">
        <f t="shared" si="2"/>
        <v>37578.08108</v>
      </c>
      <c r="AI157" s="309">
        <f t="shared" si="3"/>
        <v>10.97297297</v>
      </c>
      <c r="AJ157" s="345">
        <v>31455.0</v>
      </c>
      <c r="AK157" s="309">
        <f t="shared" si="33"/>
        <v>94365</v>
      </c>
      <c r="AL157" s="286"/>
      <c r="AM157" s="313">
        <f t="shared" si="5"/>
        <v>0.03393474776</v>
      </c>
      <c r="AN157" s="309">
        <f t="shared" si="6"/>
        <v>64669.25581</v>
      </c>
      <c r="AO157" s="314">
        <f t="shared" si="7"/>
        <v>0.71302</v>
      </c>
      <c r="AP157" s="315">
        <v>0.0</v>
      </c>
      <c r="AQ157" s="284">
        <v>163.0</v>
      </c>
      <c r="AR157" s="284">
        <v>744.0</v>
      </c>
      <c r="AS157" s="284">
        <v>9726.82</v>
      </c>
      <c r="AT157" s="284">
        <v>22.0</v>
      </c>
      <c r="AU157" s="284">
        <v>187.0</v>
      </c>
      <c r="AV157" s="284">
        <v>43.0</v>
      </c>
      <c r="AW157" s="284">
        <v>9.0</v>
      </c>
      <c r="AX157" s="284">
        <v>1.0</v>
      </c>
      <c r="AY157" s="309">
        <v>3295178.0</v>
      </c>
      <c r="AZ157" s="316"/>
      <c r="BA157" s="307" t="str">
        <f t="shared" si="8"/>
        <v>Active</v>
      </c>
      <c r="BB157" s="307" t="str">
        <f t="shared" si="9"/>
        <v>Old</v>
      </c>
      <c r="BC157" s="307" t="str">
        <f t="shared" si="10"/>
        <v>70%-90%</v>
      </c>
      <c r="BD157" s="286">
        <f t="shared" si="39"/>
        <v>3</v>
      </c>
      <c r="BE157" s="328">
        <v>1300000.0</v>
      </c>
      <c r="BF157" s="353">
        <f>13/28</f>
        <v>0.4642857143</v>
      </c>
      <c r="BG157" s="307" t="s">
        <v>488</v>
      </c>
      <c r="BH157" s="271">
        <f>IFERROR(__xludf.DUMMYFUNCTION("""COMPUTED_VALUE"""),716782.0)</f>
        <v>716782</v>
      </c>
      <c r="BI157" s="271">
        <f>IFERROR(__xludf.DUMMYFUNCTION("""COMPUTED_VALUE"""),835665.6499999999)</f>
        <v>835665.65</v>
      </c>
      <c r="BJ157" s="352"/>
      <c r="BK157" s="274"/>
      <c r="BL157" s="319">
        <f t="shared" si="34"/>
        <v>0</v>
      </c>
      <c r="BM157" s="319">
        <f t="shared" si="14"/>
        <v>3900000</v>
      </c>
      <c r="BN157" s="274"/>
      <c r="BO157" s="311">
        <f>IFERROR(__xludf.DUMMYFUNCTION("IFERROR(ArrayFormula(SUM(VLOOKUP($C157,importrange(""1PTkkEa_ENkSqsGnpqoXy9kt0Fe1hCtlmU6kVFBNaonY"",""ORDER BOOKING REPORT 2025-26!C:CV""),{16,23,30},0))))"),0.0)</f>
        <v>0</v>
      </c>
      <c r="BP157" s="311">
        <f>IFERROR(__xludf.DUMMYFUNCTION("IFERROR(ArrayFormula(SUM(VLOOKUP($C157,importrange(""1PTkkEa_ENkSqsGnpqoXy9kt0Fe1hCtlmU6kVFBNaonY"",""ORDER BOOKING REPORT 2025-26!C:CV""),{37,44,51},0))))"),0.0)</f>
        <v>0</v>
      </c>
      <c r="BQ157" s="311">
        <f>IFERROR(__xludf.DUMMYFUNCTION("IFERROR(ArrayFormula(SUM(VLOOKUP($C157,importrange(""1PTkkEa_ENkSqsGnpqoXy9kt0Fe1hCtlmU6kVFBNaonY"",""ORDER BOOKING REPORT 2025-26!C:CV""),{58,65,72},0))))"),0.0)</f>
        <v>0</v>
      </c>
      <c r="BR157" s="311">
        <f>IFERROR(__xludf.DUMMYFUNCTION("IFERROR(ArrayFormula(SUM(VLOOKUP($C157,importrange(""1PTkkEa_ENkSqsGnpqoXy9kt0Fe1hCtlmU6kVFBNaonY"",""ORDER BOOKING REPORT 2025-26!C:CV""),{79,86,93},0))))"),835665.6499999999)</f>
        <v>835665.65</v>
      </c>
      <c r="BS157" s="322">
        <f t="shared" si="15"/>
        <v>0.8449174359</v>
      </c>
      <c r="BT157" s="322">
        <f t="shared" si="38"/>
        <v>0.02863729971</v>
      </c>
      <c r="BU157" s="287">
        <f t="shared" si="17"/>
        <v>0</v>
      </c>
      <c r="BV157" s="349"/>
      <c r="BW157" s="349"/>
      <c r="BX157" s="349"/>
      <c r="BY157" s="287">
        <f t="shared" si="18"/>
        <v>-31455</v>
      </c>
      <c r="BZ157" s="10"/>
      <c r="CA157" s="10"/>
      <c r="CB157" s="10"/>
      <c r="CC157" s="10"/>
      <c r="CD157" s="10"/>
      <c r="CE157" s="10"/>
      <c r="CF157" s="10"/>
      <c r="CG157" s="318" t="str">
        <f t="shared" si="21"/>
        <v>Below 60</v>
      </c>
      <c r="CH157" s="318" t="str">
        <f t="shared" si="28"/>
        <v>Business Achieved 50%</v>
      </c>
      <c r="CI157" s="322">
        <f t="shared" si="22"/>
        <v>0.8113207547</v>
      </c>
      <c r="CJ157" s="323"/>
      <c r="CK157" s="323"/>
      <c r="CL157" s="323"/>
      <c r="CM157" s="324">
        <f t="shared" si="23"/>
        <v>320</v>
      </c>
      <c r="CN157" s="337"/>
      <c r="CO157" s="152"/>
      <c r="CP157" s="152"/>
      <c r="CQ157" s="327"/>
      <c r="CR157" s="152"/>
      <c r="CS157" s="152"/>
      <c r="CT157" s="152"/>
      <c r="CU157" s="152"/>
      <c r="CV157" s="152"/>
      <c r="CW157" s="327">
        <f t="shared" si="27"/>
        <v>0</v>
      </c>
      <c r="CX157" s="270"/>
      <c r="CY157" s="152"/>
      <c r="CZ157" s="152"/>
    </row>
    <row r="158" hidden="1">
      <c r="A158" s="307" t="s">
        <v>72</v>
      </c>
      <c r="B158" s="307" t="s">
        <v>540</v>
      </c>
      <c r="C158" s="307" t="s">
        <v>91</v>
      </c>
      <c r="D158" s="307" t="s">
        <v>548</v>
      </c>
      <c r="E158" s="307" t="s">
        <v>92</v>
      </c>
      <c r="F158" s="308">
        <v>46084.0</v>
      </c>
      <c r="G158" s="309">
        <v>0.0</v>
      </c>
      <c r="H158" s="309">
        <v>3750000.0</v>
      </c>
      <c r="I158" s="287">
        <v>1327369.0</v>
      </c>
      <c r="J158" s="287">
        <v>0.0</v>
      </c>
      <c r="K158" s="284">
        <v>48.0</v>
      </c>
      <c r="L158" s="284">
        <v>70.0</v>
      </c>
      <c r="M158" s="284">
        <v>26.0</v>
      </c>
      <c r="N158" s="284">
        <v>74.0</v>
      </c>
      <c r="O158" s="284">
        <v>4.0</v>
      </c>
      <c r="P158" s="287">
        <v>664624.8</v>
      </c>
      <c r="Q158" s="287">
        <v>662744.2</v>
      </c>
      <c r="R158" s="284">
        <v>20.0</v>
      </c>
      <c r="S158" s="284">
        <v>26.0</v>
      </c>
      <c r="T158" s="284">
        <v>46.0</v>
      </c>
      <c r="U158" s="284">
        <v>0.0</v>
      </c>
      <c r="V158" s="284">
        <v>152.0</v>
      </c>
      <c r="W158" s="284">
        <v>322.0</v>
      </c>
      <c r="X158" s="284">
        <v>17.0</v>
      </c>
      <c r="Y158" s="284">
        <v>0.0</v>
      </c>
      <c r="Z158" s="284">
        <v>0.0</v>
      </c>
      <c r="AA158" s="284">
        <v>1.0</v>
      </c>
      <c r="AB158" s="284">
        <v>1.0</v>
      </c>
      <c r="AC158" s="284">
        <v>0.0</v>
      </c>
      <c r="AD158" s="284">
        <v>0.0</v>
      </c>
      <c r="AE158" s="284">
        <v>261.0</v>
      </c>
      <c r="AF158" s="284">
        <v>584.0</v>
      </c>
      <c r="AG158" s="284">
        <v>68.0</v>
      </c>
      <c r="AH158" s="309">
        <f t="shared" si="2"/>
        <v>19520.13235</v>
      </c>
      <c r="AI158" s="309">
        <f t="shared" si="3"/>
        <v>8.588235294</v>
      </c>
      <c r="AJ158" s="345">
        <v>34620.0</v>
      </c>
      <c r="AK158" s="309">
        <f t="shared" si="33"/>
        <v>103860</v>
      </c>
      <c r="AL158" s="286"/>
      <c r="AM158" s="313">
        <f t="shared" si="5"/>
        <v>0.07824500949</v>
      </c>
      <c r="AN158" s="309">
        <f t="shared" si="6"/>
        <v>28855.84783</v>
      </c>
      <c r="AO158" s="314">
        <f t="shared" si="7"/>
        <v>0.3539650667</v>
      </c>
      <c r="AP158" s="315">
        <v>0.0</v>
      </c>
      <c r="AQ158" s="284">
        <v>100.0</v>
      </c>
      <c r="AR158" s="284">
        <v>671.0</v>
      </c>
      <c r="AS158" s="284">
        <v>8066.78</v>
      </c>
      <c r="AT158" s="284">
        <v>26.0</v>
      </c>
      <c r="AU158" s="284">
        <v>115.0</v>
      </c>
      <c r="AV158" s="284">
        <v>46.0</v>
      </c>
      <c r="AW158" s="284">
        <v>24.0</v>
      </c>
      <c r="AX158" s="284">
        <v>4.0</v>
      </c>
      <c r="AY158" s="309">
        <v>1347225.2000000002</v>
      </c>
      <c r="AZ158" s="316"/>
      <c r="BA158" s="307" t="str">
        <f t="shared" si="8"/>
        <v>Active</v>
      </c>
      <c r="BB158" s="307" t="str">
        <f t="shared" si="9"/>
        <v>Old</v>
      </c>
      <c r="BC158" s="307" t="str">
        <f t="shared" si="10"/>
        <v>Below 50%</v>
      </c>
      <c r="BD158" s="286">
        <f t="shared" si="39"/>
        <v>3</v>
      </c>
      <c r="BE158" s="335">
        <v>1250000.0</v>
      </c>
      <c r="BF158" s="354"/>
      <c r="BG158" s="307" t="s">
        <v>488</v>
      </c>
      <c r="BH158" s="271">
        <f>IFERROR(__xludf.DUMMYFUNCTION("""COMPUTED_VALUE"""),96360.0)</f>
        <v>96360</v>
      </c>
      <c r="BI158" s="271">
        <f>IFERROR(__xludf.DUMMYFUNCTION("""COMPUTED_VALUE"""),96357.70000000001)</f>
        <v>96357.7</v>
      </c>
      <c r="BJ158" s="352"/>
      <c r="BK158" s="274"/>
      <c r="BL158" s="319">
        <f t="shared" si="34"/>
        <v>0</v>
      </c>
      <c r="BM158" s="319">
        <f t="shared" si="14"/>
        <v>3750000</v>
      </c>
      <c r="BN158" s="274"/>
      <c r="BO158" s="311">
        <f>IFERROR(__xludf.DUMMYFUNCTION("IFERROR(ArrayFormula(SUM(VLOOKUP($C158,importrange(""1PTkkEa_ENkSqsGnpqoXy9kt0Fe1hCtlmU6kVFBNaonY"",""ORDER BOOKING REPORT 2025-26!C:CV""),{16,23,30},0))))"),0.0)</f>
        <v>0</v>
      </c>
      <c r="BP158" s="311">
        <f>IFERROR(__xludf.DUMMYFUNCTION("IFERROR(ArrayFormula(SUM(VLOOKUP($C158,importrange(""1PTkkEa_ENkSqsGnpqoXy9kt0Fe1hCtlmU6kVFBNaonY"",""ORDER BOOKING REPORT 2025-26!C:CV""),{37,44,51},0))))"),0.0)</f>
        <v>0</v>
      </c>
      <c r="BQ158" s="311">
        <f>IFERROR(__xludf.DUMMYFUNCTION("IFERROR(ArrayFormula(SUM(VLOOKUP($C158,importrange(""1PTkkEa_ENkSqsGnpqoXy9kt0Fe1hCtlmU6kVFBNaonY"",""ORDER BOOKING REPORT 2025-26!C:CV""),{58,65,72},0))))"),0.0)</f>
        <v>0</v>
      </c>
      <c r="BR158" s="311">
        <f>IFERROR(__xludf.DUMMYFUNCTION("IFERROR(ArrayFormula(SUM(VLOOKUP($C158,importrange(""1PTkkEa_ENkSqsGnpqoXy9kt0Fe1hCtlmU6kVFBNaonY"",""ORDER BOOKING REPORT 2025-26!C:CV""),{79,86,93},0))))"),96357.70000000001)</f>
        <v>96357.7</v>
      </c>
      <c r="BS158" s="152">
        <f t="shared" si="15"/>
        <v>0.3592600533</v>
      </c>
      <c r="BT158" s="322">
        <f t="shared" si="38"/>
        <v>0.07709178837</v>
      </c>
      <c r="BU158" s="287">
        <f t="shared" si="17"/>
        <v>0</v>
      </c>
      <c r="BV158" s="349"/>
      <c r="BW158" s="349"/>
      <c r="BX158" s="349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52"/>
      <c r="CJ158" s="323"/>
      <c r="CK158" s="323"/>
      <c r="CL158" s="323"/>
      <c r="CM158" s="324">
        <f t="shared" si="23"/>
        <v>261</v>
      </c>
      <c r="CN158" s="337"/>
      <c r="CO158" s="152"/>
      <c r="CP158" s="152"/>
      <c r="CQ158" s="327"/>
      <c r="CR158" s="152"/>
      <c r="CS158" s="152"/>
      <c r="CT158" s="152"/>
      <c r="CU158" s="152"/>
      <c r="CV158" s="152"/>
      <c r="CW158" s="327">
        <f t="shared" si="27"/>
        <v>0</v>
      </c>
      <c r="CX158" s="270"/>
      <c r="CY158" s="152"/>
      <c r="CZ158" s="152"/>
    </row>
    <row r="159" hidden="1">
      <c r="A159" s="307" t="s">
        <v>62</v>
      </c>
      <c r="B159" s="307" t="s">
        <v>516</v>
      </c>
      <c r="C159" s="307" t="s">
        <v>71</v>
      </c>
      <c r="D159" s="307" t="s">
        <v>516</v>
      </c>
      <c r="E159" s="307" t="s">
        <v>64</v>
      </c>
      <c r="F159" s="308">
        <v>46086.0</v>
      </c>
      <c r="G159" s="309">
        <v>0.0</v>
      </c>
      <c r="H159" s="309">
        <v>2499999.0</v>
      </c>
      <c r="I159" s="287">
        <v>401272.0</v>
      </c>
      <c r="J159" s="287">
        <v>0.0</v>
      </c>
      <c r="K159" s="284">
        <v>11.0</v>
      </c>
      <c r="L159" s="284">
        <v>12.0</v>
      </c>
      <c r="M159" s="284">
        <v>2.0</v>
      </c>
      <c r="N159" s="284">
        <v>13.0</v>
      </c>
      <c r="O159" s="284">
        <v>1.0</v>
      </c>
      <c r="P159" s="287">
        <v>39435.0</v>
      </c>
      <c r="Q159" s="287">
        <v>361836.59</v>
      </c>
      <c r="R159" s="284">
        <v>1.0</v>
      </c>
      <c r="S159" s="284">
        <v>2.0</v>
      </c>
      <c r="T159" s="284">
        <v>3.0</v>
      </c>
      <c r="U159" s="284">
        <v>0.0</v>
      </c>
      <c r="V159" s="284">
        <v>87.0</v>
      </c>
      <c r="W159" s="284">
        <v>237.0</v>
      </c>
      <c r="X159" s="284">
        <v>14.0</v>
      </c>
      <c r="Y159" s="284">
        <v>2.0</v>
      </c>
      <c r="Z159" s="284">
        <v>10.0</v>
      </c>
      <c r="AA159" s="284">
        <v>0.0</v>
      </c>
      <c r="AB159" s="284">
        <v>0.0</v>
      </c>
      <c r="AC159" s="284">
        <v>0.0</v>
      </c>
      <c r="AD159" s="284">
        <v>0.0</v>
      </c>
      <c r="AE159" s="284">
        <v>52.0</v>
      </c>
      <c r="AF159" s="284">
        <v>299.0</v>
      </c>
      <c r="AG159" s="284">
        <v>66.0</v>
      </c>
      <c r="AH159" s="309">
        <f t="shared" si="2"/>
        <v>6079.878788</v>
      </c>
      <c r="AI159" s="309">
        <f t="shared" si="3"/>
        <v>4.53030303</v>
      </c>
      <c r="AJ159" s="345">
        <v>27260.0</v>
      </c>
      <c r="AK159" s="309">
        <f t="shared" si="33"/>
        <v>81780</v>
      </c>
      <c r="AL159" s="286"/>
      <c r="AM159" s="313">
        <f t="shared" si="5"/>
        <v>0.2038019099</v>
      </c>
      <c r="AN159" s="309">
        <f t="shared" si="6"/>
        <v>133757.3333</v>
      </c>
      <c r="AO159" s="314">
        <f t="shared" si="7"/>
        <v>0.1605088642</v>
      </c>
      <c r="AP159" s="315">
        <v>0.0</v>
      </c>
      <c r="AQ159" s="284">
        <v>3.0</v>
      </c>
      <c r="AR159" s="284">
        <v>628.0</v>
      </c>
      <c r="AS159" s="284">
        <v>4048.85</v>
      </c>
      <c r="AT159" s="284">
        <v>2.0</v>
      </c>
      <c r="AU159" s="284">
        <v>337.0</v>
      </c>
      <c r="AV159" s="284">
        <v>3.0</v>
      </c>
      <c r="AW159" s="284">
        <v>10.0</v>
      </c>
      <c r="AX159" s="284">
        <v>0.0</v>
      </c>
      <c r="AY159" s="309">
        <v>421187.44</v>
      </c>
      <c r="AZ159" s="316"/>
      <c r="BA159" s="307" t="str">
        <f t="shared" si="8"/>
        <v>Active</v>
      </c>
      <c r="BB159" s="307" t="str">
        <f t="shared" si="9"/>
        <v>Old</v>
      </c>
      <c r="BC159" s="307" t="str">
        <f t="shared" si="10"/>
        <v>Below 50%</v>
      </c>
      <c r="BD159" s="286">
        <f t="shared" si="39"/>
        <v>3</v>
      </c>
      <c r="BE159" s="328">
        <v>833333.0</v>
      </c>
      <c r="BF159" s="354"/>
      <c r="BG159" s="307" t="s">
        <v>488</v>
      </c>
      <c r="BH159" s="271">
        <f>IFERROR(__xludf.DUMMYFUNCTION("""COMPUTED_VALUE"""),0.0)</f>
        <v>0</v>
      </c>
      <c r="BI159" s="271">
        <f>IFERROR(__xludf.DUMMYFUNCTION("""COMPUTED_VALUE"""),50841.5)</f>
        <v>50841.5</v>
      </c>
      <c r="BJ159" s="352"/>
      <c r="BK159" s="274"/>
      <c r="BL159" s="319">
        <f t="shared" si="34"/>
        <v>0</v>
      </c>
      <c r="BM159" s="319">
        <f t="shared" si="14"/>
        <v>2499999</v>
      </c>
      <c r="BN159" s="274"/>
      <c r="BO159" s="311">
        <f>IFERROR(__xludf.DUMMYFUNCTION("IFERROR(ArrayFormula(SUM(VLOOKUP($C159,importrange(""1PTkkEa_ENkSqsGnpqoXy9kt0Fe1hCtlmU6kVFBNaonY"",""ORDER BOOKING REPORT 2025-26!C:CV""),{16,23,30},0))))"),0.0)</f>
        <v>0</v>
      </c>
      <c r="BP159" s="311">
        <f>IFERROR(__xludf.DUMMYFUNCTION("IFERROR(ArrayFormula(SUM(VLOOKUP($C159,importrange(""1PTkkEa_ENkSqsGnpqoXy9kt0Fe1hCtlmU6kVFBNaonY"",""ORDER BOOKING REPORT 2025-26!C:CV""),{37,44,51},0))))"),0.0)</f>
        <v>0</v>
      </c>
      <c r="BQ159" s="311">
        <f>IFERROR(__xludf.DUMMYFUNCTION("IFERROR(ArrayFormula(SUM(VLOOKUP($C159,importrange(""1PTkkEa_ENkSqsGnpqoXy9kt0Fe1hCtlmU6kVFBNaonY"",""ORDER BOOKING REPORT 2025-26!C:CV""),{58,65,72},0))))"),0.0)</f>
        <v>0</v>
      </c>
      <c r="BR159" s="311">
        <f>IFERROR(__xludf.DUMMYFUNCTION("IFERROR(ArrayFormula(SUM(VLOOKUP($C159,importrange(""1PTkkEa_ENkSqsGnpqoXy9kt0Fe1hCtlmU6kVFBNaonY"",""ORDER BOOKING REPORT 2025-26!C:CV""),{79,86,93},0))))"),50841.5)</f>
        <v>50841.5</v>
      </c>
      <c r="BS159" s="322">
        <f t="shared" si="15"/>
        <v>0.1684750434</v>
      </c>
      <c r="BT159" s="152">
        <f t="shared" si="38"/>
        <v>0.1941653341</v>
      </c>
      <c r="BU159" s="287">
        <f t="shared" si="17"/>
        <v>0</v>
      </c>
      <c r="BV159" s="349"/>
      <c r="BW159" s="349"/>
      <c r="BX159" s="349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52"/>
      <c r="CJ159" s="323"/>
      <c r="CK159" s="323"/>
      <c r="CL159" s="323"/>
      <c r="CM159" s="324">
        <f t="shared" si="23"/>
        <v>52</v>
      </c>
      <c r="CN159" s="337"/>
      <c r="CO159" s="152"/>
      <c r="CP159" s="152"/>
      <c r="CQ159" s="327"/>
      <c r="CR159" s="152"/>
      <c r="CS159" s="152"/>
      <c r="CT159" s="152"/>
      <c r="CU159" s="152"/>
      <c r="CV159" s="152"/>
      <c r="CW159" s="327">
        <f t="shared" si="27"/>
        <v>0</v>
      </c>
      <c r="CX159" s="270"/>
      <c r="CY159" s="152"/>
      <c r="CZ159" s="152"/>
    </row>
    <row r="160" hidden="1">
      <c r="A160" s="307" t="s">
        <v>160</v>
      </c>
      <c r="B160" s="307" t="s">
        <v>483</v>
      </c>
      <c r="C160" s="307" t="s">
        <v>253</v>
      </c>
      <c r="D160" s="307" t="s">
        <v>484</v>
      </c>
      <c r="E160" s="307" t="s">
        <v>254</v>
      </c>
      <c r="F160" s="308">
        <v>46087.0</v>
      </c>
      <c r="G160" s="309">
        <v>0.0</v>
      </c>
      <c r="H160" s="309">
        <v>6000000.0</v>
      </c>
      <c r="I160" s="287">
        <v>174750.0</v>
      </c>
      <c r="J160" s="287">
        <v>0.0</v>
      </c>
      <c r="K160" s="284">
        <v>35.0</v>
      </c>
      <c r="L160" s="284">
        <v>36.0</v>
      </c>
      <c r="M160" s="284">
        <v>3.0</v>
      </c>
      <c r="N160" s="284">
        <v>38.0</v>
      </c>
      <c r="O160" s="284">
        <v>2.0</v>
      </c>
      <c r="P160" s="287">
        <v>133014.67</v>
      </c>
      <c r="Q160" s="287">
        <v>41735.14</v>
      </c>
      <c r="R160" s="284">
        <v>9.0</v>
      </c>
      <c r="S160" s="284">
        <v>3.0</v>
      </c>
      <c r="T160" s="284">
        <v>12.0</v>
      </c>
      <c r="U160" s="284">
        <v>0.0</v>
      </c>
      <c r="V160" s="284">
        <v>96.0</v>
      </c>
      <c r="W160" s="284">
        <v>234.0</v>
      </c>
      <c r="X160" s="284">
        <v>10.0</v>
      </c>
      <c r="Y160" s="284">
        <v>3.0</v>
      </c>
      <c r="Z160" s="284">
        <v>12.0</v>
      </c>
      <c r="AA160" s="284">
        <v>0.0</v>
      </c>
      <c r="AB160" s="284">
        <v>0.0</v>
      </c>
      <c r="AC160" s="284">
        <v>2.0</v>
      </c>
      <c r="AD160" s="284">
        <v>3.0</v>
      </c>
      <c r="AE160" s="284">
        <v>110.0</v>
      </c>
      <c r="AF160" s="284">
        <v>359.0</v>
      </c>
      <c r="AG160" s="284">
        <v>72.0</v>
      </c>
      <c r="AH160" s="309">
        <f t="shared" si="2"/>
        <v>2427.083333</v>
      </c>
      <c r="AI160" s="309">
        <f t="shared" si="3"/>
        <v>4.986111111</v>
      </c>
      <c r="AJ160" s="345">
        <v>42480.0</v>
      </c>
      <c r="AK160" s="309">
        <f t="shared" si="33"/>
        <v>127440</v>
      </c>
      <c r="AL160" s="312"/>
      <c r="AM160" s="334">
        <f t="shared" si="5"/>
        <v>0.7292703863</v>
      </c>
      <c r="AN160" s="231">
        <f t="shared" si="6"/>
        <v>14562.5</v>
      </c>
      <c r="AO160" s="314">
        <f t="shared" si="7"/>
        <v>0.029125</v>
      </c>
      <c r="AP160" s="315">
        <v>0.0</v>
      </c>
      <c r="AQ160" s="284">
        <v>21.0</v>
      </c>
      <c r="AR160" s="284">
        <v>580.0</v>
      </c>
      <c r="AS160" s="284">
        <v>3051.39</v>
      </c>
      <c r="AT160" s="284">
        <v>3.0</v>
      </c>
      <c r="AU160" s="284">
        <v>85.0</v>
      </c>
      <c r="AV160" s="284">
        <v>12.0</v>
      </c>
      <c r="AW160" s="284">
        <v>24.0</v>
      </c>
      <c r="AX160" s="284">
        <v>2.0</v>
      </c>
      <c r="AY160" s="309">
        <v>0.0</v>
      </c>
      <c r="AZ160" s="316"/>
      <c r="BA160" s="307" t="str">
        <f t="shared" si="8"/>
        <v>Active</v>
      </c>
      <c r="BB160" s="307" t="str">
        <f t="shared" si="9"/>
        <v>Old</v>
      </c>
      <c r="BC160" s="307" t="str">
        <f t="shared" si="10"/>
        <v>Below 50%</v>
      </c>
      <c r="BD160" s="286">
        <f t="shared" si="39"/>
        <v>3</v>
      </c>
      <c r="BE160" s="335">
        <v>2000000.0</v>
      </c>
      <c r="BF160" s="354"/>
      <c r="BG160" s="307" t="s">
        <v>488</v>
      </c>
      <c r="BH160" s="271">
        <f>IFERROR(__xludf.DUMMYFUNCTION("""COMPUTED_VALUE"""),0.0)</f>
        <v>0</v>
      </c>
      <c r="BI160" s="271">
        <f>IFERROR(__xludf.DUMMYFUNCTION("""COMPUTED_VALUE"""),0.0)</f>
        <v>0</v>
      </c>
      <c r="BJ160" s="352"/>
      <c r="BK160" s="274"/>
      <c r="BL160" s="319">
        <f t="shared" si="34"/>
        <v>0</v>
      </c>
      <c r="BM160" s="319">
        <f t="shared" si="14"/>
        <v>6000000</v>
      </c>
      <c r="BN160" s="274"/>
      <c r="BO160" s="311">
        <f>IFERROR(__xludf.DUMMYFUNCTION("IFERROR(ArrayFormula(SUM(VLOOKUP($C160,importrange(""1PTkkEa_ENkSqsGnpqoXy9kt0Fe1hCtlmU6kVFBNaonY"",""ORDER BOOKING REPORT 2025-26!C:CV""),{16,23,30},0))))"),0.0)</f>
        <v>0</v>
      </c>
      <c r="BP160" s="311">
        <f>IFERROR(__xludf.DUMMYFUNCTION("IFERROR(ArrayFormula(SUM(VLOOKUP($C160,importrange(""1PTkkEa_ENkSqsGnpqoXy9kt0Fe1hCtlmU6kVFBNaonY"",""ORDER BOOKING REPORT 2025-26!C:CV""),{37,44,51},0))))"),0.0)</f>
        <v>0</v>
      </c>
      <c r="BQ160" s="311">
        <f>IFERROR(__xludf.DUMMYFUNCTION("IFERROR(ArrayFormula(SUM(VLOOKUP($C160,importrange(""1PTkkEa_ENkSqsGnpqoXy9kt0Fe1hCtlmU6kVFBNaonY"",""ORDER BOOKING REPORT 2025-26!C:CV""),{58,65,72},0))))"),0.0)</f>
        <v>0</v>
      </c>
      <c r="BR160" s="311">
        <f>IFERROR(__xludf.DUMMYFUNCTION("IFERROR(ArrayFormula(SUM(VLOOKUP($C160,importrange(""1PTkkEa_ENkSqsGnpqoXy9kt0Fe1hCtlmU6kVFBNaonY"",""ORDER BOOKING REPORT 2025-26!C:CV""),{79,86,93},0))))"),0.0)</f>
        <v>0</v>
      </c>
      <c r="BS160" s="152">
        <f t="shared" si="15"/>
        <v>0</v>
      </c>
      <c r="BT160" s="152" t="str">
        <f t="shared" si="38"/>
        <v/>
      </c>
      <c r="BU160" s="287">
        <f t="shared" si="17"/>
        <v>0</v>
      </c>
      <c r="BV160" s="349"/>
      <c r="BW160" s="349"/>
      <c r="BX160" s="349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52"/>
      <c r="CJ160" s="323"/>
      <c r="CK160" s="323"/>
      <c r="CL160" s="323"/>
      <c r="CM160" s="324">
        <f t="shared" si="23"/>
        <v>110</v>
      </c>
      <c r="CN160" s="337"/>
      <c r="CO160" s="152"/>
      <c r="CP160" s="152"/>
      <c r="CQ160" s="327"/>
      <c r="CR160" s="152"/>
      <c r="CS160" s="152"/>
      <c r="CT160" s="152"/>
      <c r="CU160" s="152"/>
      <c r="CV160" s="152"/>
      <c r="CW160" s="327">
        <f t="shared" si="27"/>
        <v>0</v>
      </c>
      <c r="CX160" s="270"/>
      <c r="CY160" s="152"/>
      <c r="CZ160" s="152"/>
    </row>
    <row r="161">
      <c r="A161" s="307" t="s">
        <v>160</v>
      </c>
      <c r="B161" s="307" t="s">
        <v>534</v>
      </c>
      <c r="C161" s="307" t="s">
        <v>255</v>
      </c>
      <c r="D161" s="307" t="s">
        <v>606</v>
      </c>
      <c r="E161" s="307" t="s">
        <v>256</v>
      </c>
      <c r="F161" s="308">
        <v>46093.0</v>
      </c>
      <c r="G161" s="309">
        <v>0.0</v>
      </c>
      <c r="H161" s="309">
        <v>0.0</v>
      </c>
      <c r="I161" s="287">
        <v>1958049.0</v>
      </c>
      <c r="J161" s="287">
        <v>0.0</v>
      </c>
      <c r="K161" s="284">
        <v>21.0</v>
      </c>
      <c r="L161" s="284">
        <v>29.0</v>
      </c>
      <c r="M161" s="284">
        <v>10.0</v>
      </c>
      <c r="N161" s="284">
        <v>31.0</v>
      </c>
      <c r="O161" s="284">
        <v>2.0</v>
      </c>
      <c r="P161" s="287">
        <v>905979.7</v>
      </c>
      <c r="Q161" s="287">
        <v>1052069.4</v>
      </c>
      <c r="R161" s="284">
        <v>6.0</v>
      </c>
      <c r="S161" s="284">
        <v>10.0</v>
      </c>
      <c r="T161" s="284">
        <v>16.0</v>
      </c>
      <c r="U161" s="284">
        <v>0.0</v>
      </c>
      <c r="V161" s="284">
        <v>18.0</v>
      </c>
      <c r="W161" s="284">
        <v>52.0</v>
      </c>
      <c r="X161" s="284">
        <v>4.0</v>
      </c>
      <c r="Y161" s="284">
        <v>0.0</v>
      </c>
      <c r="Z161" s="284">
        <v>0.0</v>
      </c>
      <c r="AA161" s="284">
        <v>0.0</v>
      </c>
      <c r="AB161" s="284">
        <v>0.0</v>
      </c>
      <c r="AC161" s="284">
        <v>0.0</v>
      </c>
      <c r="AD161" s="284">
        <v>0.0</v>
      </c>
      <c r="AE161" s="284">
        <v>117.0</v>
      </c>
      <c r="AF161" s="284">
        <v>169.0</v>
      </c>
      <c r="AG161" s="284">
        <v>58.0</v>
      </c>
      <c r="AH161" s="309">
        <f t="shared" si="2"/>
        <v>33759.46552</v>
      </c>
      <c r="AI161" s="309">
        <f t="shared" si="3"/>
        <v>2.913793103</v>
      </c>
      <c r="AJ161" s="345">
        <v>20000.0</v>
      </c>
      <c r="AK161" s="309">
        <f t="shared" si="33"/>
        <v>60000</v>
      </c>
      <c r="AL161" s="355"/>
      <c r="AM161" s="334">
        <f t="shared" si="5"/>
        <v>0.03064274694</v>
      </c>
      <c r="AN161" s="231">
        <f t="shared" si="6"/>
        <v>122378.0625</v>
      </c>
      <c r="AO161" s="314" t="str">
        <f t="shared" si="7"/>
        <v/>
      </c>
      <c r="AP161" s="315">
        <v>0.0</v>
      </c>
      <c r="AQ161" s="284">
        <v>35.0</v>
      </c>
      <c r="AR161" s="284">
        <v>496.0</v>
      </c>
      <c r="AS161" s="284">
        <v>3448.45</v>
      </c>
      <c r="AT161" s="284">
        <v>10.0</v>
      </c>
      <c r="AU161" s="284">
        <v>119.0</v>
      </c>
      <c r="AV161" s="284">
        <v>16.0</v>
      </c>
      <c r="AW161" s="284">
        <v>13.0</v>
      </c>
      <c r="AX161" s="284">
        <v>2.0</v>
      </c>
      <c r="AY161" s="309">
        <v>91928.0</v>
      </c>
      <c r="AZ161" s="316"/>
      <c r="BA161" s="307" t="str">
        <f t="shared" si="8"/>
        <v>Active</v>
      </c>
      <c r="BB161" s="307" t="str">
        <f t="shared" si="9"/>
        <v>Old</v>
      </c>
      <c r="BC161" s="307" t="str">
        <f t="shared" si="10"/>
        <v>Below 50%</v>
      </c>
      <c r="BD161" s="286">
        <f t="shared" si="39"/>
        <v>3</v>
      </c>
      <c r="BE161" s="335"/>
      <c r="BF161" s="354"/>
      <c r="BG161" s="307" t="s">
        <v>488</v>
      </c>
      <c r="BH161" s="271">
        <f>IFERROR(__xludf.DUMMYFUNCTION("""COMPUTED_VALUE"""),0.0)</f>
        <v>0</v>
      </c>
      <c r="BI161" s="271">
        <f>IFERROR(__xludf.DUMMYFUNCTION("""COMPUTED_VALUE"""),0.0)</f>
        <v>0</v>
      </c>
      <c r="BJ161" s="352"/>
      <c r="BK161" s="274"/>
      <c r="BL161" s="319">
        <f t="shared" si="34"/>
        <v>0</v>
      </c>
      <c r="BM161" s="319">
        <f t="shared" si="14"/>
        <v>0</v>
      </c>
      <c r="BN161" s="274"/>
      <c r="BO161" s="311">
        <f>IFERROR(__xludf.DUMMYFUNCTION("IFERROR(ArrayFormula(SUM(VLOOKUP($C161,importrange(""1PTkkEa_ENkSqsGnpqoXy9kt0Fe1hCtlmU6kVFBNaonY"",""ORDER BOOKING REPORT 2025-26!C:CV""),{16,23,30},0))))"),0.0)</f>
        <v>0</v>
      </c>
      <c r="BP161" s="311">
        <f>IFERROR(__xludf.DUMMYFUNCTION("IFERROR(ArrayFormula(SUM(VLOOKUP($C161,importrange(""1PTkkEa_ENkSqsGnpqoXy9kt0Fe1hCtlmU6kVFBNaonY"",""ORDER BOOKING REPORT 2025-26!C:CV""),{37,44,51},0))))"),0.0)</f>
        <v>0</v>
      </c>
      <c r="BQ161" s="311">
        <f>IFERROR(__xludf.DUMMYFUNCTION("IFERROR(ArrayFormula(SUM(VLOOKUP($C161,importrange(""1PTkkEa_ENkSqsGnpqoXy9kt0Fe1hCtlmU6kVFBNaonY"",""ORDER BOOKING REPORT 2025-26!C:CV""),{58,65,72},0))))"),0.0)</f>
        <v>0</v>
      </c>
      <c r="BR161" s="311">
        <f>IFERROR(__xludf.DUMMYFUNCTION("IFERROR(ArrayFormula(SUM(VLOOKUP($C161,importrange(""1PTkkEa_ENkSqsGnpqoXy9kt0Fe1hCtlmU6kVFBNaonY"",""ORDER BOOKING REPORT 2025-26!C:CV""),{79,86,93},0))))"),0.0)</f>
        <v>0</v>
      </c>
      <c r="BS161" s="152" t="str">
        <f t="shared" si="15"/>
        <v/>
      </c>
      <c r="BT161" s="152">
        <f t="shared" si="38"/>
        <v>0.6526847098</v>
      </c>
      <c r="BU161" s="287">
        <f t="shared" si="17"/>
        <v>0</v>
      </c>
      <c r="BV161" s="349"/>
      <c r="BW161" s="349"/>
      <c r="BX161" s="349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52"/>
      <c r="CJ161" s="323"/>
      <c r="CK161" s="323"/>
      <c r="CL161" s="323"/>
      <c r="CM161" s="324">
        <f t="shared" si="23"/>
        <v>117</v>
      </c>
      <c r="CN161" s="337"/>
      <c r="CO161" s="152"/>
      <c r="CP161" s="152"/>
      <c r="CQ161" s="327"/>
      <c r="CR161" s="152"/>
      <c r="CS161" s="152"/>
      <c r="CT161" s="152"/>
      <c r="CU161" s="152"/>
      <c r="CV161" s="152"/>
      <c r="CW161" s="327">
        <f t="shared" si="27"/>
        <v>0</v>
      </c>
      <c r="CX161" s="270"/>
      <c r="CY161" s="152"/>
      <c r="CZ161" s="152"/>
    </row>
    <row r="162" hidden="1">
      <c r="A162" s="307" t="s">
        <v>441</v>
      </c>
      <c r="B162" s="307" t="s">
        <v>522</v>
      </c>
      <c r="C162" s="307" t="s">
        <v>97</v>
      </c>
      <c r="D162" s="307" t="s">
        <v>596</v>
      </c>
      <c r="E162" s="307" t="s">
        <v>98</v>
      </c>
      <c r="F162" s="308">
        <v>46090.0</v>
      </c>
      <c r="G162" s="309">
        <v>0.0</v>
      </c>
      <c r="H162" s="309">
        <v>700000.0</v>
      </c>
      <c r="I162" s="287">
        <v>183590.0</v>
      </c>
      <c r="J162" s="287">
        <v>0.0</v>
      </c>
      <c r="K162" s="284">
        <v>0.0</v>
      </c>
      <c r="L162" s="284">
        <v>11.0</v>
      </c>
      <c r="M162" s="284">
        <v>11.0</v>
      </c>
      <c r="N162" s="284">
        <v>11.0</v>
      </c>
      <c r="O162" s="284">
        <v>0.0</v>
      </c>
      <c r="P162" s="287">
        <v>0.0</v>
      </c>
      <c r="Q162" s="287">
        <v>183589.59</v>
      </c>
      <c r="R162" s="284">
        <v>0.0</v>
      </c>
      <c r="S162" s="284">
        <v>11.0</v>
      </c>
      <c r="T162" s="284">
        <v>11.0</v>
      </c>
      <c r="U162" s="284">
        <v>0.0</v>
      </c>
      <c r="V162" s="284">
        <v>76.0</v>
      </c>
      <c r="W162" s="284">
        <v>132.0</v>
      </c>
      <c r="X162" s="284">
        <v>3.0</v>
      </c>
      <c r="Y162" s="284">
        <v>1.0</v>
      </c>
      <c r="Z162" s="284">
        <v>4.0</v>
      </c>
      <c r="AA162" s="284">
        <v>0.0</v>
      </c>
      <c r="AB162" s="284">
        <v>0.0</v>
      </c>
      <c r="AC162" s="284">
        <v>11.0</v>
      </c>
      <c r="AD162" s="284">
        <v>23.0</v>
      </c>
      <c r="AE162" s="284">
        <v>20.0</v>
      </c>
      <c r="AF162" s="284">
        <v>179.0</v>
      </c>
      <c r="AG162" s="284">
        <v>37.0</v>
      </c>
      <c r="AH162" s="309">
        <f t="shared" si="2"/>
        <v>4961.891892</v>
      </c>
      <c r="AI162" s="309">
        <f t="shared" si="3"/>
        <v>4.837837838</v>
      </c>
      <c r="AJ162" s="345">
        <v>38810.0</v>
      </c>
      <c r="AK162" s="309">
        <f t="shared" si="33"/>
        <v>77620</v>
      </c>
      <c r="AL162" s="286"/>
      <c r="AM162" s="334">
        <f t="shared" si="5"/>
        <v>0.4227899123</v>
      </c>
      <c r="AN162" s="231">
        <f t="shared" si="6"/>
        <v>16690</v>
      </c>
      <c r="AO162" s="314">
        <f t="shared" si="7"/>
        <v>0.2622714286</v>
      </c>
      <c r="AP162" s="315">
        <v>0.0</v>
      </c>
      <c r="AQ162" s="284">
        <v>12.0</v>
      </c>
      <c r="AR162" s="284">
        <v>571.0</v>
      </c>
      <c r="AS162" s="284">
        <v>18515.97</v>
      </c>
      <c r="AT162" s="284">
        <v>11.0</v>
      </c>
      <c r="AU162" s="284">
        <v>1683.0</v>
      </c>
      <c r="AV162" s="284">
        <v>11.0</v>
      </c>
      <c r="AW162" s="284">
        <v>0.0</v>
      </c>
      <c r="AX162" s="284">
        <v>0.0</v>
      </c>
      <c r="AY162" s="231">
        <v>0.0</v>
      </c>
      <c r="AZ162" s="316">
        <v>46174.0</v>
      </c>
      <c r="BA162" s="307" t="str">
        <f t="shared" si="8"/>
        <v>LEFT</v>
      </c>
      <c r="BB162" s="307" t="str">
        <f t="shared" si="9"/>
        <v>Old</v>
      </c>
      <c r="BC162" s="307" t="str">
        <f t="shared" si="10"/>
        <v>Below 50%</v>
      </c>
      <c r="BD162" s="343">
        <v>2.0</v>
      </c>
      <c r="BE162" s="335"/>
      <c r="BF162" s="354"/>
      <c r="BG162" s="307" t="s">
        <v>488</v>
      </c>
      <c r="BH162" s="271"/>
      <c r="BI162" s="271"/>
      <c r="BJ162" s="352"/>
      <c r="BK162" s="274"/>
      <c r="BL162" s="319">
        <f t="shared" si="34"/>
        <v>0</v>
      </c>
      <c r="BM162" s="319">
        <f t="shared" si="14"/>
        <v>700000</v>
      </c>
      <c r="BN162" s="274"/>
      <c r="BO162" s="311" t="str">
        <f>IFERROR(__xludf.DUMMYFUNCTION("IFERROR(ArrayFormula(SUM(VLOOKUP($C162,importrange(""1PTkkEa_ENkSqsGnpqoXy9kt0Fe1hCtlmU6kVFBNaonY"",""ORDER BOOKING REPORT 2025-26!C:CV""),{16,23,30},0))))"),"")</f>
        <v/>
      </c>
      <c r="BP162" s="311" t="str">
        <f>IFERROR(__xludf.DUMMYFUNCTION("IFERROR(ArrayFormula(SUM(VLOOKUP($C162,importrange(""1PTkkEa_ENkSqsGnpqoXy9kt0Fe1hCtlmU6kVFBNaonY"",""ORDER BOOKING REPORT 2025-26!C:CV""),{37,44,51},0))))"),"")</f>
        <v/>
      </c>
      <c r="BQ162" s="311" t="str">
        <f>IFERROR(__xludf.DUMMYFUNCTION("IFERROR(ArrayFormula(SUM(VLOOKUP($C162,importrange(""1PTkkEa_ENkSqsGnpqoXy9kt0Fe1hCtlmU6kVFBNaonY"",""ORDER BOOKING REPORT 2025-26!C:CV""),{58,65,72},0))))"),"")</f>
        <v/>
      </c>
      <c r="BR162" s="311" t="str">
        <f>IFERROR(__xludf.DUMMYFUNCTION("IFERROR(ArrayFormula(SUM(VLOOKUP($C162,importrange(""1PTkkEa_ENkSqsGnpqoXy9kt0Fe1hCtlmU6kVFBNaonY"",""ORDER BOOKING REPORT 2025-26!C:CV""),{79,86,93},0))))"),"")</f>
        <v/>
      </c>
      <c r="BS162" s="152">
        <f t="shared" si="15"/>
        <v>0</v>
      </c>
      <c r="BT162" s="152" t="str">
        <f t="shared" si="38"/>
        <v/>
      </c>
      <c r="BU162" s="287">
        <f t="shared" si="17"/>
        <v>0</v>
      </c>
      <c r="BV162" s="349"/>
      <c r="BW162" s="349"/>
      <c r="BX162" s="349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52"/>
      <c r="CJ162" s="336"/>
      <c r="CK162" s="336"/>
      <c r="CL162" s="336"/>
      <c r="CM162" s="324">
        <f t="shared" si="23"/>
        <v>20</v>
      </c>
      <c r="CN162" s="337"/>
      <c r="CO162" s="152"/>
      <c r="CP162" s="152"/>
      <c r="CQ162" s="327"/>
      <c r="CR162" s="152"/>
      <c r="CS162" s="152"/>
      <c r="CT162" s="152"/>
      <c r="CU162" s="152"/>
      <c r="CV162" s="152"/>
      <c r="CW162" s="327">
        <f t="shared" si="27"/>
        <v>0</v>
      </c>
      <c r="CX162" s="270"/>
      <c r="CY162" s="152"/>
      <c r="CZ162" s="152"/>
    </row>
    <row r="163">
      <c r="A163" s="307" t="s">
        <v>48</v>
      </c>
      <c r="B163" s="307" t="s">
        <v>509</v>
      </c>
      <c r="C163" s="307" t="s">
        <v>326</v>
      </c>
      <c r="D163" s="307" t="s">
        <v>574</v>
      </c>
      <c r="E163" s="307" t="s">
        <v>60</v>
      </c>
      <c r="F163" s="308">
        <v>46099.0</v>
      </c>
      <c r="G163" s="309">
        <v>0.0</v>
      </c>
      <c r="H163" s="309">
        <v>0.0</v>
      </c>
      <c r="I163" s="287">
        <v>0.0</v>
      </c>
      <c r="J163" s="287">
        <v>0.0</v>
      </c>
      <c r="K163" s="284">
        <v>22.0</v>
      </c>
      <c r="L163" s="284">
        <v>19.0</v>
      </c>
      <c r="M163" s="284">
        <v>0.0</v>
      </c>
      <c r="N163" s="284">
        <v>22.0</v>
      </c>
      <c r="O163" s="284">
        <v>3.0</v>
      </c>
      <c r="P163" s="287">
        <v>0.0</v>
      </c>
      <c r="Q163" s="287">
        <v>0.0</v>
      </c>
      <c r="R163" s="284">
        <v>0.0</v>
      </c>
      <c r="S163" s="284">
        <v>0.0</v>
      </c>
      <c r="T163" s="284">
        <v>0.0</v>
      </c>
      <c r="U163" s="284">
        <v>0.0</v>
      </c>
      <c r="V163" s="284">
        <v>111.0</v>
      </c>
      <c r="W163" s="284">
        <v>171.0</v>
      </c>
      <c r="X163" s="284">
        <v>12.0</v>
      </c>
      <c r="Y163" s="284">
        <v>2.0</v>
      </c>
      <c r="Z163" s="284">
        <v>3.0</v>
      </c>
      <c r="AA163" s="284">
        <v>0.0</v>
      </c>
      <c r="AB163" s="284">
        <v>0.0</v>
      </c>
      <c r="AC163" s="284">
        <v>5.0</v>
      </c>
      <c r="AD163" s="284">
        <v>7.0</v>
      </c>
      <c r="AE163" s="284">
        <v>28.0</v>
      </c>
      <c r="AF163" s="284">
        <v>209.0</v>
      </c>
      <c r="AG163" s="284">
        <v>32.0</v>
      </c>
      <c r="AH163" s="309">
        <f t="shared" si="2"/>
        <v>0</v>
      </c>
      <c r="AI163" s="309">
        <f t="shared" si="3"/>
        <v>6.53125</v>
      </c>
      <c r="AJ163" s="345">
        <v>33050.0</v>
      </c>
      <c r="AK163" s="309">
        <f t="shared" si="33"/>
        <v>78893.54839</v>
      </c>
      <c r="AL163" s="286"/>
      <c r="AM163" s="334" t="str">
        <f t="shared" si="5"/>
        <v/>
      </c>
      <c r="AN163" s="231" t="str">
        <f t="shared" si="6"/>
        <v/>
      </c>
      <c r="AO163" s="314" t="str">
        <f t="shared" si="7"/>
        <v/>
      </c>
      <c r="AP163" s="315">
        <v>0.0</v>
      </c>
      <c r="AQ163" s="284">
        <v>0.0</v>
      </c>
      <c r="AR163" s="284">
        <v>316.0</v>
      </c>
      <c r="AS163" s="284">
        <v>4626.9</v>
      </c>
      <c r="AT163" s="284">
        <v>0.0</v>
      </c>
      <c r="AU163" s="284">
        <v>244.0</v>
      </c>
      <c r="AV163" s="284">
        <v>0.0</v>
      </c>
      <c r="AW163" s="284">
        <v>19.0</v>
      </c>
      <c r="AX163" s="284">
        <v>3.0</v>
      </c>
      <c r="AY163" s="309">
        <v>0.0</v>
      </c>
      <c r="AZ163" s="316">
        <v>46154.0</v>
      </c>
      <c r="BA163" s="307" t="str">
        <f t="shared" si="8"/>
        <v>LEFT</v>
      </c>
      <c r="BB163" s="307" t="str">
        <f t="shared" si="9"/>
        <v>Old</v>
      </c>
      <c r="BC163" s="307" t="str">
        <f t="shared" si="10"/>
        <v>Below 50%</v>
      </c>
      <c r="BD163" s="347">
        <f>(12/31)+2</f>
        <v>2.387096774</v>
      </c>
      <c r="BE163" s="328"/>
      <c r="BF163" s="354"/>
      <c r="BG163" s="307" t="s">
        <v>488</v>
      </c>
      <c r="BH163" s="271">
        <f>IFERROR(__xludf.DUMMYFUNCTION("""COMPUTED_VALUE"""),0.0)</f>
        <v>0</v>
      </c>
      <c r="BI163" s="271">
        <f>IFERROR(__xludf.DUMMYFUNCTION("""COMPUTED_VALUE"""),0.0)</f>
        <v>0</v>
      </c>
      <c r="BJ163" s="352"/>
      <c r="BK163" s="274"/>
      <c r="BL163" s="319">
        <f t="shared" si="34"/>
        <v>0</v>
      </c>
      <c r="BM163" s="319">
        <f t="shared" si="14"/>
        <v>0</v>
      </c>
      <c r="BN163" s="274"/>
      <c r="BO163" s="311">
        <f>IFERROR(__xludf.DUMMYFUNCTION("IFERROR(ArrayFormula(SUM(VLOOKUP($C163,importrange(""1PTkkEa_ENkSqsGnpqoXy9kt0Fe1hCtlmU6kVFBNaonY"",""ORDER BOOKING REPORT 2025-26!C:CV""),{16,23,30},0))))"),0.0)</f>
        <v>0</v>
      </c>
      <c r="BP163" s="311">
        <f>IFERROR(__xludf.DUMMYFUNCTION("IFERROR(ArrayFormula(SUM(VLOOKUP($C163,importrange(""1PTkkEa_ENkSqsGnpqoXy9kt0Fe1hCtlmU6kVFBNaonY"",""ORDER BOOKING REPORT 2025-26!C:CV""),{37,44,51},0))))"),0.0)</f>
        <v>0</v>
      </c>
      <c r="BQ163" s="311">
        <f>IFERROR(__xludf.DUMMYFUNCTION("IFERROR(ArrayFormula(SUM(VLOOKUP($C163,importrange(""1PTkkEa_ENkSqsGnpqoXy9kt0Fe1hCtlmU6kVFBNaonY"",""ORDER BOOKING REPORT 2025-26!C:CV""),{58,65,72},0))))"),0.0)</f>
        <v>0</v>
      </c>
      <c r="BR163" s="311">
        <f>IFERROR(__xludf.DUMMYFUNCTION("IFERROR(ArrayFormula(SUM(VLOOKUP($C163,importrange(""1PTkkEa_ENkSqsGnpqoXy9kt0Fe1hCtlmU6kVFBNaonY"",""ORDER BOOKING REPORT 2025-26!C:CV""),{79,86,93},0))))"),0.0)</f>
        <v>0</v>
      </c>
      <c r="BS163" s="322" t="str">
        <f t="shared" si="15"/>
        <v/>
      </c>
      <c r="BT163" s="152" t="str">
        <f t="shared" si="38"/>
        <v/>
      </c>
      <c r="BU163" s="287">
        <f t="shared" si="17"/>
        <v>0</v>
      </c>
      <c r="BV163" s="349"/>
      <c r="BW163" s="349"/>
      <c r="BX163" s="349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52"/>
      <c r="CJ163" s="323"/>
      <c r="CK163" s="323"/>
      <c r="CL163" s="323"/>
      <c r="CM163" s="324">
        <f t="shared" si="23"/>
        <v>28</v>
      </c>
      <c r="CN163" s="337"/>
      <c r="CO163" s="152"/>
      <c r="CP163" s="152"/>
      <c r="CQ163" s="327"/>
      <c r="CR163" s="152"/>
      <c r="CS163" s="152"/>
      <c r="CT163" s="152"/>
      <c r="CU163" s="152"/>
      <c r="CV163" s="152"/>
      <c r="CW163" s="327">
        <f t="shared" si="27"/>
        <v>0</v>
      </c>
      <c r="CX163" s="270"/>
      <c r="CY163" s="152"/>
      <c r="CZ163" s="152"/>
    </row>
    <row r="164">
      <c r="A164" s="307" t="s">
        <v>160</v>
      </c>
      <c r="B164" s="307" t="s">
        <v>483</v>
      </c>
      <c r="C164" s="307" t="s">
        <v>315</v>
      </c>
      <c r="D164" s="307" t="s">
        <v>484</v>
      </c>
      <c r="E164" s="307" t="s">
        <v>316</v>
      </c>
      <c r="F164" s="308">
        <v>46101.0</v>
      </c>
      <c r="G164" s="309">
        <v>0.0</v>
      </c>
      <c r="H164" s="309">
        <v>0.0</v>
      </c>
      <c r="I164" s="287">
        <v>191064.0</v>
      </c>
      <c r="J164" s="287">
        <v>0.0</v>
      </c>
      <c r="K164" s="284">
        <v>49.0</v>
      </c>
      <c r="L164" s="284">
        <v>49.0</v>
      </c>
      <c r="M164" s="284">
        <v>0.0</v>
      </c>
      <c r="N164" s="284">
        <v>49.0</v>
      </c>
      <c r="O164" s="284">
        <v>0.0</v>
      </c>
      <c r="P164" s="287">
        <v>191064.32</v>
      </c>
      <c r="Q164" s="287">
        <v>0.0</v>
      </c>
      <c r="R164" s="284">
        <v>5.0</v>
      </c>
      <c r="S164" s="284">
        <v>0.0</v>
      </c>
      <c r="T164" s="284">
        <v>5.0</v>
      </c>
      <c r="U164" s="284">
        <v>0.0</v>
      </c>
      <c r="V164" s="284">
        <v>10.0</v>
      </c>
      <c r="W164" s="284">
        <v>17.0</v>
      </c>
      <c r="X164" s="284">
        <v>0.0</v>
      </c>
      <c r="Y164" s="284">
        <v>2.0</v>
      </c>
      <c r="Z164" s="284">
        <v>8.0</v>
      </c>
      <c r="AA164" s="284">
        <v>0.0</v>
      </c>
      <c r="AB164" s="284">
        <v>0.0</v>
      </c>
      <c r="AC164" s="284">
        <v>0.0</v>
      </c>
      <c r="AD164" s="284">
        <v>0.0</v>
      </c>
      <c r="AE164" s="284">
        <v>79.0</v>
      </c>
      <c r="AF164" s="284">
        <v>104.0</v>
      </c>
      <c r="AG164" s="284">
        <v>25.0</v>
      </c>
      <c r="AH164" s="309">
        <f t="shared" si="2"/>
        <v>7642.56</v>
      </c>
      <c r="AI164" s="309">
        <f t="shared" si="3"/>
        <v>4.16</v>
      </c>
      <c r="AJ164" s="345">
        <v>36715.0</v>
      </c>
      <c r="AK164" s="309">
        <f t="shared" si="33"/>
        <v>82904.83871</v>
      </c>
      <c r="AL164" s="312"/>
      <c r="AM164" s="334">
        <f t="shared" si="5"/>
        <v>0.4339113528</v>
      </c>
      <c r="AN164" s="231">
        <f t="shared" si="6"/>
        <v>38212.8</v>
      </c>
      <c r="AO164" s="314" t="str">
        <f t="shared" si="7"/>
        <v/>
      </c>
      <c r="AP164" s="315">
        <v>0.0</v>
      </c>
      <c r="AQ164" s="284">
        <v>5.0</v>
      </c>
      <c r="AR164" s="284">
        <v>283.0</v>
      </c>
      <c r="AS164" s="284">
        <v>3154.94</v>
      </c>
      <c r="AT164" s="284">
        <v>0.0</v>
      </c>
      <c r="AU164" s="284">
        <v>64.0</v>
      </c>
      <c r="AV164" s="284">
        <v>5.0</v>
      </c>
      <c r="AW164" s="284">
        <v>44.0</v>
      </c>
      <c r="AX164" s="284">
        <v>0.0</v>
      </c>
      <c r="AY164" s="309">
        <v>0.0</v>
      </c>
      <c r="AZ164" s="316">
        <v>46150.0</v>
      </c>
      <c r="BA164" s="307" t="str">
        <f t="shared" si="8"/>
        <v>LEFT</v>
      </c>
      <c r="BB164" s="307" t="str">
        <f t="shared" si="9"/>
        <v>Old</v>
      </c>
      <c r="BC164" s="307" t="str">
        <f t="shared" si="10"/>
        <v>Below 50%</v>
      </c>
      <c r="BD164" s="347">
        <f>(8/31)+2</f>
        <v>2.258064516</v>
      </c>
      <c r="BE164" s="335"/>
      <c r="BF164" s="354"/>
      <c r="BG164" s="307" t="s">
        <v>488</v>
      </c>
      <c r="BH164" s="271">
        <f>IFERROR(__xludf.DUMMYFUNCTION("""COMPUTED_VALUE"""),0.0)</f>
        <v>0</v>
      </c>
      <c r="BI164" s="271">
        <f>IFERROR(__xludf.DUMMYFUNCTION("""COMPUTED_VALUE"""),0.0)</f>
        <v>0</v>
      </c>
      <c r="BJ164" s="352"/>
      <c r="BK164" s="274"/>
      <c r="BL164" s="319">
        <f t="shared" si="34"/>
        <v>0</v>
      </c>
      <c r="BM164" s="319">
        <f t="shared" si="14"/>
        <v>0</v>
      </c>
      <c r="BN164" s="274"/>
      <c r="BO164" s="311">
        <f>IFERROR(__xludf.DUMMYFUNCTION("IFERROR(ArrayFormula(SUM(VLOOKUP($C164,importrange(""1PTkkEa_ENkSqsGnpqoXy9kt0Fe1hCtlmU6kVFBNaonY"",""ORDER BOOKING REPORT 2025-26!C:CV""),{16,23,30},0))))"),0.0)</f>
        <v>0</v>
      </c>
      <c r="BP164" s="311">
        <f>IFERROR(__xludf.DUMMYFUNCTION("IFERROR(ArrayFormula(SUM(VLOOKUP($C164,importrange(""1PTkkEa_ENkSqsGnpqoXy9kt0Fe1hCtlmU6kVFBNaonY"",""ORDER BOOKING REPORT 2025-26!C:CV""),{37,44,51},0))))"),0.0)</f>
        <v>0</v>
      </c>
      <c r="BQ164" s="311">
        <f>IFERROR(__xludf.DUMMYFUNCTION("IFERROR(ArrayFormula(SUM(VLOOKUP($C164,importrange(""1PTkkEa_ENkSqsGnpqoXy9kt0Fe1hCtlmU6kVFBNaonY"",""ORDER BOOKING REPORT 2025-26!C:CV""),{58,65,72},0))))"),0.0)</f>
        <v>0</v>
      </c>
      <c r="BR164" s="311">
        <f>IFERROR(__xludf.DUMMYFUNCTION("IFERROR(ArrayFormula(SUM(VLOOKUP($C164,importrange(""1PTkkEa_ENkSqsGnpqoXy9kt0Fe1hCtlmU6kVFBNaonY"",""ORDER BOOKING REPORT 2025-26!C:CV""),{79,86,93},0))))"),0.0)</f>
        <v>0</v>
      </c>
      <c r="BS164" s="152" t="str">
        <f t="shared" si="15"/>
        <v/>
      </c>
      <c r="BT164" s="152" t="str">
        <f t="shared" si="38"/>
        <v/>
      </c>
      <c r="BU164" s="287">
        <f t="shared" si="17"/>
        <v>0</v>
      </c>
      <c r="BV164" s="349"/>
      <c r="BW164" s="349"/>
      <c r="BX164" s="349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52"/>
      <c r="CJ164" s="323"/>
      <c r="CK164" s="323"/>
      <c r="CL164" s="323"/>
      <c r="CM164" s="324">
        <f t="shared" si="23"/>
        <v>79</v>
      </c>
      <c r="CN164" s="337"/>
      <c r="CO164" s="152"/>
      <c r="CP164" s="152"/>
      <c r="CQ164" s="327"/>
      <c r="CR164" s="152"/>
      <c r="CS164" s="152"/>
      <c r="CT164" s="152"/>
      <c r="CU164" s="152"/>
      <c r="CV164" s="152"/>
      <c r="CW164" s="327">
        <f t="shared" si="27"/>
        <v>0</v>
      </c>
      <c r="CX164" s="270"/>
      <c r="CY164" s="152"/>
      <c r="CZ164" s="152"/>
    </row>
    <row r="165" hidden="1">
      <c r="A165" s="307" t="s">
        <v>441</v>
      </c>
      <c r="B165" s="307" t="s">
        <v>522</v>
      </c>
      <c r="C165" s="338" t="s">
        <v>99</v>
      </c>
      <c r="D165" s="338" t="s">
        <v>596</v>
      </c>
      <c r="E165" s="338" t="s">
        <v>100</v>
      </c>
      <c r="F165" s="339">
        <v>46113.0</v>
      </c>
      <c r="G165" s="356">
        <v>0.0</v>
      </c>
      <c r="H165" s="356">
        <v>1900000.0</v>
      </c>
      <c r="I165" s="356">
        <v>574990.0</v>
      </c>
      <c r="J165" s="356">
        <v>0.0</v>
      </c>
      <c r="K165" s="356">
        <v>9.0</v>
      </c>
      <c r="L165" s="356">
        <v>37.0</v>
      </c>
      <c r="M165" s="356">
        <v>28.0</v>
      </c>
      <c r="N165" s="356">
        <v>37.0</v>
      </c>
      <c r="O165" s="356">
        <v>0.0</v>
      </c>
      <c r="P165" s="356">
        <v>121666.49</v>
      </c>
      <c r="Q165" s="356">
        <v>453323.84</v>
      </c>
      <c r="R165" s="356">
        <v>3.0</v>
      </c>
      <c r="S165" s="356">
        <v>28.0</v>
      </c>
      <c r="T165" s="356">
        <v>31.0</v>
      </c>
      <c r="U165" s="356">
        <v>0.0</v>
      </c>
      <c r="V165" s="356">
        <v>86.0</v>
      </c>
      <c r="W165" s="356">
        <v>224.0</v>
      </c>
      <c r="X165" s="356">
        <v>5.0</v>
      </c>
      <c r="Y165" s="356">
        <v>1.0</v>
      </c>
      <c r="Z165" s="356">
        <v>9.0</v>
      </c>
      <c r="AA165" s="356">
        <v>0.0</v>
      </c>
      <c r="AB165" s="356">
        <v>0.0</v>
      </c>
      <c r="AC165" s="356">
        <v>6.0</v>
      </c>
      <c r="AD165" s="356">
        <v>10.0</v>
      </c>
      <c r="AE165" s="356">
        <v>142.0</v>
      </c>
      <c r="AF165" s="356">
        <v>385.0</v>
      </c>
      <c r="AG165" s="356">
        <v>67.0</v>
      </c>
      <c r="AH165" s="309">
        <f t="shared" si="2"/>
        <v>8581.940299</v>
      </c>
      <c r="AI165" s="309">
        <f t="shared" si="3"/>
        <v>5.746268657</v>
      </c>
      <c r="AJ165" s="356">
        <v>38810.0</v>
      </c>
      <c r="AK165" s="309">
        <f t="shared" si="33"/>
        <v>116430</v>
      </c>
      <c r="AL165" s="312"/>
      <c r="AM165" s="334">
        <f t="shared" si="5"/>
        <v>0.2024904781</v>
      </c>
      <c r="AN165" s="231">
        <f t="shared" si="6"/>
        <v>18548.06452</v>
      </c>
      <c r="AO165" s="314">
        <f t="shared" si="7"/>
        <v>0.3026263158</v>
      </c>
      <c r="AP165" s="356">
        <v>0.0</v>
      </c>
      <c r="AQ165" s="356">
        <v>60.0</v>
      </c>
      <c r="AR165" s="356">
        <v>677.0</v>
      </c>
      <c r="AS165" s="356">
        <v>7562.94</v>
      </c>
      <c r="AT165" s="356">
        <v>28.0</v>
      </c>
      <c r="AU165" s="356">
        <v>204.0</v>
      </c>
      <c r="AV165" s="356">
        <v>31.0</v>
      </c>
      <c r="AW165" s="356">
        <v>6.0</v>
      </c>
      <c r="AX165" s="356">
        <v>0.0</v>
      </c>
      <c r="AY165" s="357">
        <v>239466.0</v>
      </c>
      <c r="BA165" s="307" t="str">
        <f t="shared" si="8"/>
        <v>Active</v>
      </c>
      <c r="BB165" s="307" t="str">
        <f t="shared" si="9"/>
        <v>New</v>
      </c>
      <c r="BC165" s="307" t="str">
        <f t="shared" si="10"/>
        <v>Below 50%</v>
      </c>
      <c r="BD165" s="286">
        <f t="array" ref="BD165">Match($BD$3,{"Apr","May","Jun","Jul","Aug","Sep","Oct","Nov","Dec","Jan","Feb","Mar"},0)</f>
        <v>3</v>
      </c>
      <c r="BE165" s="356">
        <v>900000.0</v>
      </c>
      <c r="BG165" s="159" t="s">
        <v>488</v>
      </c>
      <c r="BH165" s="356"/>
      <c r="BI165" s="356"/>
      <c r="BM165" s="319">
        <f t="shared" si="14"/>
        <v>1900000</v>
      </c>
      <c r="BO165" s="311" t="str">
        <f>IFERROR(__xludf.DUMMYFUNCTION("IFERROR(ArrayFormula(SUM(VLOOKUP($C165,importrange(""1PTkkEa_ENkSqsGnpqoXy9kt0Fe1hCtlmU6kVFBNaonY"",""ORDER BOOKING REPORT 2025-26!C:CV""),{16,23,30},0))))"),"")</f>
        <v/>
      </c>
      <c r="BP165" s="311" t="str">
        <f>IFERROR(__xludf.DUMMYFUNCTION("IFERROR(ArrayFormula(SUM(VLOOKUP($C165,importrange(""1PTkkEa_ENkSqsGnpqoXy9kt0Fe1hCtlmU6kVFBNaonY"",""ORDER BOOKING REPORT 2025-26!C:CV""),{37,44,51},0))))"),"")</f>
        <v/>
      </c>
      <c r="BQ165" s="311" t="str">
        <f>IFERROR(__xludf.DUMMYFUNCTION("IFERROR(ArrayFormula(SUM(VLOOKUP($C165,importrange(""1PTkkEa_ENkSqsGnpqoXy9kt0Fe1hCtlmU6kVFBNaonY"",""ORDER BOOKING REPORT 2025-26!C:CV""),{58,65,72},0))))"),"")</f>
        <v/>
      </c>
      <c r="BR165" s="311" t="str">
        <f>IFERROR(__xludf.DUMMYFUNCTION("IFERROR(ArrayFormula(SUM(VLOOKUP($C165,importrange(""1PTkkEa_ENkSqsGnpqoXy9kt0Fe1hCtlmU6kVFBNaonY"",""ORDER BOOKING REPORT 2025-26!C:CV""),{79,86,93},0))))"),"")</f>
        <v/>
      </c>
      <c r="CW165" s="327">
        <f t="shared" si="27"/>
        <v>0</v>
      </c>
    </row>
    <row r="166">
      <c r="A166" s="338" t="s">
        <v>357</v>
      </c>
      <c r="B166" s="159" t="s">
        <v>545</v>
      </c>
      <c r="C166" s="338" t="s">
        <v>607</v>
      </c>
      <c r="D166" s="338" t="s">
        <v>545</v>
      </c>
      <c r="E166" s="338" t="s">
        <v>27</v>
      </c>
      <c r="F166" s="339">
        <v>46115.0</v>
      </c>
      <c r="G166" s="356">
        <v>0.0</v>
      </c>
      <c r="H166" s="356">
        <v>0.0</v>
      </c>
      <c r="I166" s="356">
        <v>0.0</v>
      </c>
      <c r="J166" s="356">
        <v>0.0</v>
      </c>
      <c r="K166" s="356">
        <v>0.0</v>
      </c>
      <c r="L166" s="356">
        <v>0.0</v>
      </c>
      <c r="M166" s="356">
        <v>0.0</v>
      </c>
      <c r="N166" s="356">
        <v>0.0</v>
      </c>
      <c r="O166" s="356">
        <v>0.0</v>
      </c>
      <c r="P166" s="356">
        <v>0.0</v>
      </c>
      <c r="Q166" s="356">
        <v>0.0</v>
      </c>
      <c r="R166" s="356">
        <v>0.0</v>
      </c>
      <c r="S166" s="356">
        <v>0.0</v>
      </c>
      <c r="T166" s="356">
        <v>0.0</v>
      </c>
      <c r="U166" s="356">
        <v>0.0</v>
      </c>
      <c r="V166" s="356">
        <v>0.0</v>
      </c>
      <c r="W166" s="356">
        <v>0.0</v>
      </c>
      <c r="X166" s="356">
        <v>0.0</v>
      </c>
      <c r="Y166" s="356">
        <v>0.0</v>
      </c>
      <c r="Z166" s="356">
        <v>0.0</v>
      </c>
      <c r="AA166" s="356">
        <v>0.0</v>
      </c>
      <c r="AB166" s="356">
        <v>0.0</v>
      </c>
      <c r="AC166" s="356">
        <v>0.0</v>
      </c>
      <c r="AD166" s="356">
        <v>0.0</v>
      </c>
      <c r="AE166" s="356">
        <v>0.0</v>
      </c>
      <c r="AF166" s="356">
        <v>0.0</v>
      </c>
      <c r="AG166" s="356">
        <v>0.0</v>
      </c>
      <c r="AH166" s="309" t="str">
        <f t="shared" si="2"/>
        <v/>
      </c>
      <c r="AI166" s="309" t="str">
        <f t="shared" si="3"/>
        <v/>
      </c>
      <c r="AJ166" s="356">
        <v>208335.0</v>
      </c>
      <c r="AK166" s="309">
        <f t="shared" si="33"/>
        <v>368954.5645</v>
      </c>
      <c r="AL166" s="312"/>
      <c r="AM166" s="334" t="str">
        <f t="shared" si="5"/>
        <v/>
      </c>
      <c r="AN166" s="231" t="str">
        <f t="shared" si="6"/>
        <v/>
      </c>
      <c r="AO166" s="314" t="str">
        <f t="shared" si="7"/>
        <v/>
      </c>
      <c r="AP166" s="356">
        <v>0.0</v>
      </c>
      <c r="AQ166" s="356">
        <v>0.0</v>
      </c>
      <c r="AR166" s="356">
        <v>0.0</v>
      </c>
      <c r="AS166" s="356">
        <v>0.0</v>
      </c>
      <c r="AT166" s="356">
        <v>0.0</v>
      </c>
      <c r="AU166" s="356">
        <v>0.0</v>
      </c>
      <c r="AV166" s="356">
        <v>0.0</v>
      </c>
      <c r="AW166" s="356">
        <v>0.0</v>
      </c>
      <c r="AX166" s="356">
        <v>0.0</v>
      </c>
      <c r="AY166" s="357"/>
      <c r="AZ166" s="316">
        <v>46169.0</v>
      </c>
      <c r="BA166" s="307" t="str">
        <f t="shared" si="8"/>
        <v>LEFT</v>
      </c>
      <c r="BB166" s="307" t="str">
        <f t="shared" si="9"/>
        <v>New</v>
      </c>
      <c r="BC166" s="307" t="str">
        <f t="shared" si="10"/>
        <v>Below 50%</v>
      </c>
      <c r="BD166" s="347">
        <f>SUM(27/31)+(27/30)</f>
        <v>1.770967742</v>
      </c>
      <c r="BE166" s="356"/>
      <c r="BG166" s="159" t="s">
        <v>485</v>
      </c>
      <c r="BH166" s="356"/>
      <c r="BI166" s="356"/>
      <c r="BM166" s="319">
        <f t="shared" si="14"/>
        <v>0</v>
      </c>
      <c r="BO166" s="311" t="str">
        <f>IFERROR(__xludf.DUMMYFUNCTION("IFERROR(ArrayFormula(SUM(VLOOKUP($C166,importrange(""1PTkkEa_ENkSqsGnpqoXy9kt0Fe1hCtlmU6kVFBNaonY"",""ORDER BOOKING REPORT 2025-26!C:CV""),{16,23,30},0))))"),"")</f>
        <v/>
      </c>
      <c r="BP166" s="311" t="str">
        <f>IFERROR(__xludf.DUMMYFUNCTION("IFERROR(ArrayFormula(SUM(VLOOKUP($C166,importrange(""1PTkkEa_ENkSqsGnpqoXy9kt0Fe1hCtlmU6kVFBNaonY"",""ORDER BOOKING REPORT 2025-26!C:CV""),{37,44,51},0))))"),"")</f>
        <v/>
      </c>
      <c r="BQ166" s="311" t="str">
        <f>IFERROR(__xludf.DUMMYFUNCTION("IFERROR(ArrayFormula(SUM(VLOOKUP($C166,importrange(""1PTkkEa_ENkSqsGnpqoXy9kt0Fe1hCtlmU6kVFBNaonY"",""ORDER BOOKING REPORT 2025-26!C:CV""),{58,65,72},0))))"),"")</f>
        <v/>
      </c>
      <c r="BR166" s="311" t="str">
        <f>IFERROR(__xludf.DUMMYFUNCTION("IFERROR(ArrayFormula(SUM(VLOOKUP($C166,importrange(""1PTkkEa_ENkSqsGnpqoXy9kt0Fe1hCtlmU6kVFBNaonY"",""ORDER BOOKING REPORT 2025-26!C:CV""),{79,86,93},0))))"),"")</f>
        <v/>
      </c>
      <c r="CW166" s="327">
        <f t="shared" si="27"/>
        <v>0</v>
      </c>
    </row>
    <row r="167" hidden="1">
      <c r="A167" s="307" t="s">
        <v>72</v>
      </c>
      <c r="B167" s="307" t="s">
        <v>540</v>
      </c>
      <c r="C167" s="338" t="s">
        <v>93</v>
      </c>
      <c r="D167" s="338" t="s">
        <v>544</v>
      </c>
      <c r="E167" s="338" t="s">
        <v>94</v>
      </c>
      <c r="F167" s="358">
        <v>46132.0</v>
      </c>
      <c r="G167" s="359">
        <v>0.0</v>
      </c>
      <c r="H167" s="356">
        <v>2465278.0</v>
      </c>
      <c r="I167" s="356">
        <v>1550236.0</v>
      </c>
      <c r="J167" s="356">
        <v>0.0</v>
      </c>
      <c r="K167" s="356">
        <v>128.0</v>
      </c>
      <c r="L167" s="356">
        <v>112.0</v>
      </c>
      <c r="M167" s="356">
        <v>5.0</v>
      </c>
      <c r="N167" s="356">
        <v>133.0</v>
      </c>
      <c r="O167" s="356">
        <v>21.0</v>
      </c>
      <c r="P167" s="356">
        <v>1386949.2</v>
      </c>
      <c r="Q167" s="356">
        <v>163286.9</v>
      </c>
      <c r="R167" s="356">
        <v>42.0</v>
      </c>
      <c r="S167" s="356">
        <v>5.0</v>
      </c>
      <c r="T167" s="356">
        <v>47.0</v>
      </c>
      <c r="U167" s="356">
        <v>0.0</v>
      </c>
      <c r="V167" s="356">
        <v>30.0</v>
      </c>
      <c r="W167" s="356">
        <v>65.0</v>
      </c>
      <c r="X167" s="356">
        <v>21.0</v>
      </c>
      <c r="Y167" s="356">
        <v>3.0</v>
      </c>
      <c r="Z167" s="356">
        <v>6.0</v>
      </c>
      <c r="AA167" s="356">
        <v>0.0</v>
      </c>
      <c r="AB167" s="356">
        <v>0.0</v>
      </c>
      <c r="AC167" s="356">
        <v>1.0</v>
      </c>
      <c r="AD167" s="356">
        <v>2.0</v>
      </c>
      <c r="AE167" s="356">
        <v>259.0</v>
      </c>
      <c r="AF167" s="356">
        <v>332.0</v>
      </c>
      <c r="AG167" s="356">
        <v>45.0</v>
      </c>
      <c r="AH167" s="309">
        <f t="shared" si="2"/>
        <v>34449.68889</v>
      </c>
      <c r="AI167" s="309">
        <f t="shared" si="3"/>
        <v>7.377777778</v>
      </c>
      <c r="AJ167" s="356">
        <v>43840.0</v>
      </c>
      <c r="AK167" s="309">
        <f t="shared" si="33"/>
        <v>103754.6667</v>
      </c>
      <c r="AL167" s="312"/>
      <c r="AM167" s="334">
        <f t="shared" si="5"/>
        <v>0.06692830425</v>
      </c>
      <c r="AN167" s="231">
        <f t="shared" si="6"/>
        <v>32983.74468</v>
      </c>
      <c r="AO167" s="314">
        <f t="shared" si="7"/>
        <v>0.6288280673</v>
      </c>
      <c r="AP167" s="356">
        <v>0.0</v>
      </c>
      <c r="AQ167" s="356">
        <v>81.0</v>
      </c>
      <c r="AR167" s="356">
        <v>563.0</v>
      </c>
      <c r="AS167" s="356">
        <v>5347.63</v>
      </c>
      <c r="AT167" s="356">
        <v>5.0</v>
      </c>
      <c r="AU167" s="356">
        <v>48.0</v>
      </c>
      <c r="AV167" s="356">
        <v>47.0</v>
      </c>
      <c r="AW167" s="356">
        <v>65.0</v>
      </c>
      <c r="AX167" s="356">
        <v>21.0</v>
      </c>
      <c r="AY167" s="357">
        <v>1259672.0</v>
      </c>
      <c r="BA167" s="307" t="str">
        <f t="shared" si="8"/>
        <v>Active</v>
      </c>
      <c r="BB167" s="307" t="str">
        <f t="shared" si="9"/>
        <v>New</v>
      </c>
      <c r="BC167" s="307" t="str">
        <f t="shared" si="10"/>
        <v>50%-70%</v>
      </c>
      <c r="BD167" s="347">
        <f t="shared" ref="BD167:BD168" si="41">11/30+2</f>
        <v>2.366666667</v>
      </c>
      <c r="BE167" s="356">
        <v>1041667.0</v>
      </c>
      <c r="BG167" s="159" t="s">
        <v>488</v>
      </c>
      <c r="BH167" s="356"/>
      <c r="BI167" s="356"/>
      <c r="BM167" s="319">
        <f t="shared" si="14"/>
        <v>2465278</v>
      </c>
      <c r="BO167" s="311" t="str">
        <f>IFERROR(__xludf.DUMMYFUNCTION("IFERROR(ArrayFormula(SUM(VLOOKUP($C167,importrange(""1PTkkEa_ENkSqsGnpqoXy9kt0Fe1hCtlmU6kVFBNaonY"",""ORDER BOOKING REPORT 2025-26!C:CV""),{16,23,30},0))))"),"")</f>
        <v/>
      </c>
      <c r="BP167" s="311" t="str">
        <f>IFERROR(__xludf.DUMMYFUNCTION("IFERROR(ArrayFormula(SUM(VLOOKUP($C167,importrange(""1PTkkEa_ENkSqsGnpqoXy9kt0Fe1hCtlmU6kVFBNaonY"",""ORDER BOOKING REPORT 2025-26!C:CV""),{37,44,51},0))))"),"")</f>
        <v/>
      </c>
      <c r="BQ167" s="311" t="str">
        <f>IFERROR(__xludf.DUMMYFUNCTION("IFERROR(ArrayFormula(SUM(VLOOKUP($C167,importrange(""1PTkkEa_ENkSqsGnpqoXy9kt0Fe1hCtlmU6kVFBNaonY"",""ORDER BOOKING REPORT 2025-26!C:CV""),{58,65,72},0))))"),"")</f>
        <v/>
      </c>
      <c r="BR167" s="311" t="str">
        <f>IFERROR(__xludf.DUMMYFUNCTION("IFERROR(ArrayFormula(SUM(VLOOKUP($C167,importrange(""1PTkkEa_ENkSqsGnpqoXy9kt0Fe1hCtlmU6kVFBNaonY"",""ORDER BOOKING REPORT 2025-26!C:CV""),{79,86,93},0))))"),"")</f>
        <v/>
      </c>
      <c r="CW167" s="327">
        <f t="shared" si="27"/>
        <v>0</v>
      </c>
    </row>
    <row r="168" hidden="1">
      <c r="A168" s="338" t="s">
        <v>357</v>
      </c>
      <c r="B168" s="159" t="s">
        <v>539</v>
      </c>
      <c r="C168" s="338" t="s">
        <v>362</v>
      </c>
      <c r="D168" s="338" t="s">
        <v>589</v>
      </c>
      <c r="E168" s="338" t="s">
        <v>323</v>
      </c>
      <c r="F168" s="358">
        <v>46132.0</v>
      </c>
      <c r="G168" s="356">
        <v>0.0</v>
      </c>
      <c r="H168" s="356" t="s">
        <v>485</v>
      </c>
      <c r="I168" s="356">
        <v>0.0</v>
      </c>
      <c r="J168" s="356">
        <v>0.0</v>
      </c>
      <c r="K168" s="356">
        <v>1.0</v>
      </c>
      <c r="L168" s="356">
        <v>1.0</v>
      </c>
      <c r="M168" s="356">
        <v>0.0</v>
      </c>
      <c r="N168" s="356">
        <v>1.0</v>
      </c>
      <c r="O168" s="356">
        <v>0.0</v>
      </c>
      <c r="P168" s="356">
        <v>0.0</v>
      </c>
      <c r="Q168" s="356">
        <v>0.0</v>
      </c>
      <c r="R168" s="356">
        <v>0.0</v>
      </c>
      <c r="S168" s="356">
        <v>0.0</v>
      </c>
      <c r="T168" s="356">
        <v>0.0</v>
      </c>
      <c r="U168" s="356">
        <v>0.0</v>
      </c>
      <c r="V168" s="356">
        <v>24.0</v>
      </c>
      <c r="W168" s="356">
        <v>44.0</v>
      </c>
      <c r="X168" s="356">
        <v>2.0</v>
      </c>
      <c r="Y168" s="356">
        <v>7.0</v>
      </c>
      <c r="Z168" s="356">
        <v>11.0</v>
      </c>
      <c r="AA168" s="356">
        <v>1.0</v>
      </c>
      <c r="AB168" s="356">
        <v>2.0</v>
      </c>
      <c r="AC168" s="356">
        <v>26.0</v>
      </c>
      <c r="AD168" s="356">
        <v>61.0</v>
      </c>
      <c r="AE168" s="356">
        <v>2.0</v>
      </c>
      <c r="AF168" s="356">
        <v>120.0</v>
      </c>
      <c r="AG168" s="356">
        <v>45.0</v>
      </c>
      <c r="AH168" s="309">
        <f t="shared" si="2"/>
        <v>0</v>
      </c>
      <c r="AI168" s="309">
        <f t="shared" si="3"/>
        <v>2.666666667</v>
      </c>
      <c r="AJ168" s="356">
        <v>113800.0</v>
      </c>
      <c r="AK168" s="309">
        <f t="shared" si="33"/>
        <v>269326.6667</v>
      </c>
      <c r="AL168" s="312"/>
      <c r="AM168" s="334" t="str">
        <f t="shared" si="5"/>
        <v/>
      </c>
      <c r="AN168" s="231" t="str">
        <f t="shared" si="6"/>
        <v/>
      </c>
      <c r="AO168" s="314" t="str">
        <f t="shared" si="7"/>
        <v/>
      </c>
      <c r="AP168" s="356">
        <v>0.0</v>
      </c>
      <c r="AQ168" s="356">
        <v>0.0</v>
      </c>
      <c r="AR168" s="356">
        <v>570.0</v>
      </c>
      <c r="AS168" s="356">
        <v>5964.72</v>
      </c>
      <c r="AT168" s="356">
        <v>0.0</v>
      </c>
      <c r="AU168" s="356">
        <v>5965.0</v>
      </c>
      <c r="AV168" s="356">
        <v>0.0</v>
      </c>
      <c r="AW168" s="356">
        <v>1.0</v>
      </c>
      <c r="AX168" s="356">
        <v>0.0</v>
      </c>
      <c r="AY168" s="357"/>
      <c r="BA168" s="307" t="str">
        <f t="shared" si="8"/>
        <v>Active</v>
      </c>
      <c r="BB168" s="307" t="str">
        <f t="shared" si="9"/>
        <v>New</v>
      </c>
      <c r="BC168" s="307" t="str">
        <f t="shared" si="10"/>
        <v>Below 50%</v>
      </c>
      <c r="BD168" s="347">
        <f t="shared" si="41"/>
        <v>2.366666667</v>
      </c>
      <c r="BE168" s="356"/>
      <c r="BG168" s="356" t="s">
        <v>485</v>
      </c>
      <c r="BH168" s="356"/>
      <c r="BI168" s="356"/>
      <c r="BM168" s="319" t="str">
        <f t="shared" si="14"/>
        <v/>
      </c>
      <c r="BO168" s="311" t="str">
        <f>IFERROR(__xludf.DUMMYFUNCTION("IFERROR(ArrayFormula(SUM(VLOOKUP($C168,importrange(""1PTkkEa_ENkSqsGnpqoXy9kt0Fe1hCtlmU6kVFBNaonY"",""ORDER BOOKING REPORT 2025-26!C:CV""),{16,23,30},0))))"),"")</f>
        <v/>
      </c>
      <c r="BP168" s="311" t="str">
        <f>IFERROR(__xludf.DUMMYFUNCTION("IFERROR(ArrayFormula(SUM(VLOOKUP($C168,importrange(""1PTkkEa_ENkSqsGnpqoXy9kt0Fe1hCtlmU6kVFBNaonY"",""ORDER BOOKING REPORT 2025-26!C:CV""),{37,44,51},0))))"),"")</f>
        <v/>
      </c>
      <c r="BQ168" s="311" t="str">
        <f>IFERROR(__xludf.DUMMYFUNCTION("IFERROR(ArrayFormula(SUM(VLOOKUP($C168,importrange(""1PTkkEa_ENkSqsGnpqoXy9kt0Fe1hCtlmU6kVFBNaonY"",""ORDER BOOKING REPORT 2025-26!C:CV""),{58,65,72},0))))"),"")</f>
        <v/>
      </c>
      <c r="BR168" s="311" t="str">
        <f>IFERROR(__xludf.DUMMYFUNCTION("IFERROR(ArrayFormula(SUM(VLOOKUP($C168,importrange(""1PTkkEa_ENkSqsGnpqoXy9kt0Fe1hCtlmU6kVFBNaonY"",""ORDER BOOKING REPORT 2025-26!C:CV""),{79,86,93},0))))"),"")</f>
        <v/>
      </c>
      <c r="CW168" s="327">
        <f t="shared" si="27"/>
        <v>0</v>
      </c>
    </row>
    <row r="169" hidden="1">
      <c r="A169" s="307" t="s">
        <v>48</v>
      </c>
      <c r="B169" s="307" t="s">
        <v>509</v>
      </c>
      <c r="C169" s="338" t="s">
        <v>61</v>
      </c>
      <c r="D169" s="338" t="s">
        <v>574</v>
      </c>
      <c r="E169" s="338" t="s">
        <v>608</v>
      </c>
      <c r="F169" s="360">
        <v>46144.0</v>
      </c>
      <c r="G169" s="356">
        <v>0.0</v>
      </c>
      <c r="H169" s="356">
        <v>3000000.0</v>
      </c>
      <c r="I169" s="356">
        <v>95119.0</v>
      </c>
      <c r="J169" s="356">
        <v>0.0</v>
      </c>
      <c r="K169" s="356">
        <v>17.0</v>
      </c>
      <c r="L169" s="356">
        <v>18.0</v>
      </c>
      <c r="M169" s="356">
        <v>2.0</v>
      </c>
      <c r="N169" s="356">
        <v>19.0</v>
      </c>
      <c r="O169" s="356">
        <v>1.0</v>
      </c>
      <c r="P169" s="356">
        <v>49585.68</v>
      </c>
      <c r="Q169" s="356">
        <v>45533.64</v>
      </c>
      <c r="R169" s="356">
        <v>1.0</v>
      </c>
      <c r="S169" s="356">
        <v>2.0</v>
      </c>
      <c r="T169" s="356">
        <v>3.0</v>
      </c>
      <c r="U169" s="356">
        <v>0.0</v>
      </c>
      <c r="V169" s="356">
        <v>70.0</v>
      </c>
      <c r="W169" s="356">
        <v>215.0</v>
      </c>
      <c r="X169" s="356">
        <v>3.0</v>
      </c>
      <c r="Y169" s="356">
        <v>2.0</v>
      </c>
      <c r="Z169" s="356">
        <v>23.0</v>
      </c>
      <c r="AA169" s="356">
        <v>0.0</v>
      </c>
      <c r="AB169" s="356">
        <v>0.0</v>
      </c>
      <c r="AC169" s="356">
        <v>3.0</v>
      </c>
      <c r="AD169" s="356">
        <v>3.0</v>
      </c>
      <c r="AE169" s="356">
        <v>51.0</v>
      </c>
      <c r="AF169" s="356">
        <v>292.0</v>
      </c>
      <c r="AG169" s="356">
        <v>49.0</v>
      </c>
      <c r="AH169" s="309">
        <f t="shared" si="2"/>
        <v>1941.204082</v>
      </c>
      <c r="AI169" s="309">
        <f t="shared" si="3"/>
        <v>5.959183673</v>
      </c>
      <c r="AJ169" s="356">
        <v>39840.0</v>
      </c>
      <c r="AK169" s="309">
        <f t="shared" si="33"/>
        <v>79680</v>
      </c>
      <c r="AL169" s="312"/>
      <c r="AM169" s="334">
        <f t="shared" si="5"/>
        <v>0.8376875283</v>
      </c>
      <c r="AN169" s="231">
        <f t="shared" si="6"/>
        <v>31706.33333</v>
      </c>
      <c r="AO169" s="314">
        <f t="shared" si="7"/>
        <v>0.03170633333</v>
      </c>
      <c r="AP169" s="356">
        <v>0.0</v>
      </c>
      <c r="AQ169" s="356">
        <v>3.0</v>
      </c>
      <c r="AR169" s="356">
        <v>555.0</v>
      </c>
      <c r="AS169" s="356">
        <v>6134.59</v>
      </c>
      <c r="AT169" s="356">
        <v>2.0</v>
      </c>
      <c r="AU169" s="356">
        <v>341.0</v>
      </c>
      <c r="AV169" s="356">
        <v>3.0</v>
      </c>
      <c r="AW169" s="356">
        <v>15.0</v>
      </c>
      <c r="AX169" s="356">
        <v>1.0</v>
      </c>
      <c r="AY169" s="357"/>
      <c r="BA169" s="307" t="str">
        <f t="shared" si="8"/>
        <v>Active</v>
      </c>
      <c r="BB169" s="307" t="str">
        <f t="shared" si="9"/>
        <v>New</v>
      </c>
      <c r="BC169" s="307" t="str">
        <f t="shared" si="10"/>
        <v>Below 50%</v>
      </c>
      <c r="BD169" s="361">
        <v>2.0</v>
      </c>
      <c r="BE169" s="356">
        <v>1000000.0</v>
      </c>
      <c r="BG169" s="159" t="s">
        <v>488</v>
      </c>
      <c r="BH169" s="356"/>
      <c r="BI169" s="356"/>
      <c r="BM169" s="319">
        <f t="shared" si="14"/>
        <v>3000000</v>
      </c>
      <c r="BO169" s="311" t="str">
        <f>IFERROR(__xludf.DUMMYFUNCTION("IFERROR(ArrayFormula(SUM(VLOOKUP($C169,importrange(""1PTkkEa_ENkSqsGnpqoXy9kt0Fe1hCtlmU6kVFBNaonY"",""ORDER BOOKING REPORT 2025-26!C:CV""),{16,23,30},0))))"),"")</f>
        <v/>
      </c>
      <c r="BP169" s="311" t="str">
        <f>IFERROR(__xludf.DUMMYFUNCTION("IFERROR(ArrayFormula(SUM(VLOOKUP($C169,importrange(""1PTkkEa_ENkSqsGnpqoXy9kt0Fe1hCtlmU6kVFBNaonY"",""ORDER BOOKING REPORT 2025-26!C:CV""),{37,44,51},0))))"),"")</f>
        <v/>
      </c>
      <c r="BQ169" s="311" t="str">
        <f>IFERROR(__xludf.DUMMYFUNCTION("IFERROR(ArrayFormula(SUM(VLOOKUP($C169,importrange(""1PTkkEa_ENkSqsGnpqoXy9kt0Fe1hCtlmU6kVFBNaonY"",""ORDER BOOKING REPORT 2025-26!C:CV""),{58,65,72},0))))"),"")</f>
        <v/>
      </c>
      <c r="BR169" s="311" t="str">
        <f>IFERROR(__xludf.DUMMYFUNCTION("IFERROR(ArrayFormula(SUM(VLOOKUP($C169,importrange(""1PTkkEa_ENkSqsGnpqoXy9kt0Fe1hCtlmU6kVFBNaonY"",""ORDER BOOKING REPORT 2025-26!C:CV""),{79,86,93},0))))"),"")</f>
        <v/>
      </c>
      <c r="CW169" s="327">
        <f t="shared" si="27"/>
        <v>0</v>
      </c>
    </row>
    <row r="170" hidden="1">
      <c r="A170" s="307" t="s">
        <v>23</v>
      </c>
      <c r="B170" s="362" t="s">
        <v>27</v>
      </c>
      <c r="C170" s="338" t="s">
        <v>609</v>
      </c>
      <c r="D170" s="338" t="s">
        <v>564</v>
      </c>
      <c r="E170" s="338" t="s">
        <v>610</v>
      </c>
      <c r="F170" s="360">
        <v>46146.0</v>
      </c>
      <c r="G170" s="356">
        <v>0.0</v>
      </c>
      <c r="H170" s="356">
        <v>2400000.0</v>
      </c>
      <c r="I170" s="356">
        <v>57882.0</v>
      </c>
      <c r="J170" s="356">
        <v>0.0</v>
      </c>
      <c r="K170" s="356">
        <v>9.0</v>
      </c>
      <c r="L170" s="356">
        <v>12.0</v>
      </c>
      <c r="M170" s="356">
        <v>4.0</v>
      </c>
      <c r="N170" s="356">
        <v>13.0</v>
      </c>
      <c r="O170" s="356">
        <v>1.0</v>
      </c>
      <c r="P170" s="356">
        <v>14424.8</v>
      </c>
      <c r="Q170" s="356">
        <v>43457.44</v>
      </c>
      <c r="R170" s="356">
        <v>1.0</v>
      </c>
      <c r="S170" s="356">
        <v>4.0</v>
      </c>
      <c r="T170" s="356">
        <v>5.0</v>
      </c>
      <c r="U170" s="356">
        <v>0.0</v>
      </c>
      <c r="V170" s="356">
        <v>104.0</v>
      </c>
      <c r="W170" s="356">
        <v>137.0</v>
      </c>
      <c r="X170" s="356">
        <v>1.0</v>
      </c>
      <c r="Y170" s="356">
        <v>2.0</v>
      </c>
      <c r="Z170" s="356">
        <v>4.0</v>
      </c>
      <c r="AA170" s="356">
        <v>0.0</v>
      </c>
      <c r="AB170" s="356">
        <v>0.0</v>
      </c>
      <c r="AC170" s="356">
        <v>6.0</v>
      </c>
      <c r="AD170" s="356">
        <v>7.0</v>
      </c>
      <c r="AE170" s="356">
        <v>18.0</v>
      </c>
      <c r="AF170" s="356">
        <v>166.0</v>
      </c>
      <c r="AG170" s="356">
        <v>24.0</v>
      </c>
      <c r="AH170" s="309">
        <f t="shared" si="2"/>
        <v>2411.75</v>
      </c>
      <c r="AI170" s="309">
        <f t="shared" si="3"/>
        <v>6.916666667</v>
      </c>
      <c r="AJ170" s="356">
        <v>30410.0</v>
      </c>
      <c r="AK170" s="309">
        <f t="shared" si="33"/>
        <v>35576.43011</v>
      </c>
      <c r="AL170" s="312"/>
      <c r="AM170" s="334">
        <f t="shared" si="5"/>
        <v>0.6146371948</v>
      </c>
      <c r="AN170" s="231">
        <f t="shared" si="6"/>
        <v>11576.4</v>
      </c>
      <c r="AO170" s="314">
        <f t="shared" si="7"/>
        <v>0.0241175</v>
      </c>
      <c r="AP170" s="356">
        <v>0.0</v>
      </c>
      <c r="AQ170" s="356">
        <v>5.0</v>
      </c>
      <c r="AR170" s="356">
        <v>226.0</v>
      </c>
      <c r="AS170" s="356">
        <v>851.02</v>
      </c>
      <c r="AT170" s="356">
        <v>4.0</v>
      </c>
      <c r="AU170" s="356">
        <v>71.0</v>
      </c>
      <c r="AV170" s="356">
        <v>5.0</v>
      </c>
      <c r="AW170" s="356">
        <v>8.0</v>
      </c>
      <c r="AX170" s="356">
        <v>0.0</v>
      </c>
      <c r="AY170" s="357"/>
      <c r="AZ170" s="316">
        <v>46181.0</v>
      </c>
      <c r="BA170" s="307" t="str">
        <f t="shared" si="8"/>
        <v>LEFT</v>
      </c>
      <c r="BB170" s="307" t="str">
        <f t="shared" si="9"/>
        <v>New</v>
      </c>
      <c r="BC170" s="307" t="str">
        <f t="shared" si="10"/>
        <v>Below 50%</v>
      </c>
      <c r="BD170" s="347">
        <f>(8/30)+(28/31)</f>
        <v>1.169892473</v>
      </c>
      <c r="BE170" s="356"/>
      <c r="BG170" s="159" t="s">
        <v>488</v>
      </c>
      <c r="BH170" s="356"/>
      <c r="BI170" s="356"/>
      <c r="BM170" s="319">
        <f t="shared" si="14"/>
        <v>2400000</v>
      </c>
      <c r="BO170" s="311" t="str">
        <f>IFERROR(__xludf.DUMMYFUNCTION("IFERROR(ArrayFormula(SUM(VLOOKUP($C170,importrange(""1PTkkEa_ENkSqsGnpqoXy9kt0Fe1hCtlmU6kVFBNaonY"",""ORDER BOOKING REPORT 2025-26!C:CV""),{16,23,30},0))))"),"")</f>
        <v/>
      </c>
      <c r="BP170" s="311" t="str">
        <f>IFERROR(__xludf.DUMMYFUNCTION("IFERROR(ArrayFormula(SUM(VLOOKUP($C170,importrange(""1PTkkEa_ENkSqsGnpqoXy9kt0Fe1hCtlmU6kVFBNaonY"",""ORDER BOOKING REPORT 2025-26!C:CV""),{37,44,51},0))))"),"")</f>
        <v/>
      </c>
      <c r="BQ170" s="311" t="str">
        <f>IFERROR(__xludf.DUMMYFUNCTION("IFERROR(ArrayFormula(SUM(VLOOKUP($C170,importrange(""1PTkkEa_ENkSqsGnpqoXy9kt0Fe1hCtlmU6kVFBNaonY"",""ORDER BOOKING REPORT 2025-26!C:CV""),{58,65,72},0))))"),"")</f>
        <v/>
      </c>
      <c r="BR170" s="311" t="str">
        <f>IFERROR(__xludf.DUMMYFUNCTION("IFERROR(ArrayFormula(SUM(VLOOKUP($C170,importrange(""1PTkkEa_ENkSqsGnpqoXy9kt0Fe1hCtlmU6kVFBNaonY"",""ORDER BOOKING REPORT 2025-26!C:CV""),{79,86,93},0))))"),"")</f>
        <v/>
      </c>
      <c r="CW170" s="327">
        <f t="shared" si="27"/>
        <v>0</v>
      </c>
    </row>
    <row r="171" hidden="1">
      <c r="A171" s="307" t="s">
        <v>273</v>
      </c>
      <c r="B171" s="307" t="s">
        <v>528</v>
      </c>
      <c r="C171" s="338" t="s">
        <v>296</v>
      </c>
      <c r="D171" s="338" t="s">
        <v>555</v>
      </c>
      <c r="E171" s="338" t="s">
        <v>291</v>
      </c>
      <c r="F171" s="360">
        <v>46146.0</v>
      </c>
      <c r="G171" s="356">
        <v>0.0</v>
      </c>
      <c r="H171" s="356">
        <v>1000000.0</v>
      </c>
      <c r="I171" s="356">
        <v>696574.0</v>
      </c>
      <c r="J171" s="356">
        <v>0.0</v>
      </c>
      <c r="K171" s="356">
        <v>54.0</v>
      </c>
      <c r="L171" s="356">
        <v>65.0</v>
      </c>
      <c r="M171" s="356">
        <v>12.0</v>
      </c>
      <c r="N171" s="356">
        <v>66.0</v>
      </c>
      <c r="O171" s="356">
        <v>1.0</v>
      </c>
      <c r="P171" s="356">
        <v>280518.06</v>
      </c>
      <c r="Q171" s="356">
        <v>416055.54</v>
      </c>
      <c r="R171" s="356">
        <v>12.0</v>
      </c>
      <c r="S171" s="356">
        <v>12.0</v>
      </c>
      <c r="T171" s="356">
        <v>24.0</v>
      </c>
      <c r="U171" s="356">
        <v>0.0</v>
      </c>
      <c r="V171" s="356">
        <v>60.0</v>
      </c>
      <c r="W171" s="356">
        <v>77.0</v>
      </c>
      <c r="X171" s="356">
        <v>7.0</v>
      </c>
      <c r="Y171" s="356">
        <v>4.0</v>
      </c>
      <c r="Z171" s="356">
        <v>18.0</v>
      </c>
      <c r="AA171" s="356">
        <v>2.0</v>
      </c>
      <c r="AB171" s="356">
        <v>2.0</v>
      </c>
      <c r="AC171" s="356">
        <v>1.0</v>
      </c>
      <c r="AD171" s="356">
        <v>1.0</v>
      </c>
      <c r="AE171" s="356">
        <v>102.0</v>
      </c>
      <c r="AF171" s="356">
        <v>200.0</v>
      </c>
      <c r="AG171" s="356">
        <v>38.0</v>
      </c>
      <c r="AH171" s="309">
        <f t="shared" si="2"/>
        <v>18330.89474</v>
      </c>
      <c r="AI171" s="309">
        <f t="shared" si="3"/>
        <v>5.263157895</v>
      </c>
      <c r="AJ171" s="356">
        <v>31980.0</v>
      </c>
      <c r="AK171" s="309">
        <f t="shared" si="33"/>
        <v>60865.16129</v>
      </c>
      <c r="AL171" s="312"/>
      <c r="AM171" s="334">
        <f t="shared" si="5"/>
        <v>0.08737788274</v>
      </c>
      <c r="AN171" s="231">
        <f t="shared" si="6"/>
        <v>29023.91667</v>
      </c>
      <c r="AO171" s="314">
        <f t="shared" si="7"/>
        <v>0.696574</v>
      </c>
      <c r="AP171" s="356">
        <v>0.0</v>
      </c>
      <c r="AQ171" s="356">
        <v>37.0</v>
      </c>
      <c r="AR171" s="356">
        <v>366.0</v>
      </c>
      <c r="AS171" s="356">
        <v>3149.12</v>
      </c>
      <c r="AT171" s="356">
        <v>12.0</v>
      </c>
      <c r="AU171" s="356">
        <v>48.0</v>
      </c>
      <c r="AV171" s="356">
        <v>24.0</v>
      </c>
      <c r="AW171" s="356">
        <v>41.0</v>
      </c>
      <c r="AX171" s="356">
        <v>1.0</v>
      </c>
      <c r="AY171" s="357">
        <v>620974.0</v>
      </c>
      <c r="BA171" s="307" t="str">
        <f t="shared" si="8"/>
        <v>Active</v>
      </c>
      <c r="BB171" s="307" t="str">
        <f t="shared" si="9"/>
        <v>New</v>
      </c>
      <c r="BC171" s="307" t="str">
        <f t="shared" si="10"/>
        <v>50%-70%</v>
      </c>
      <c r="BD171" s="347">
        <f>28/31+1</f>
        <v>1.903225806</v>
      </c>
      <c r="BE171" s="356"/>
      <c r="BG171" s="159" t="s">
        <v>488</v>
      </c>
      <c r="BH171" s="356"/>
      <c r="BI171" s="356"/>
      <c r="BJ171" s="356">
        <f>31-3</f>
        <v>28</v>
      </c>
      <c r="BM171" s="319">
        <f t="shared" si="14"/>
        <v>1000000</v>
      </c>
      <c r="BO171" s="311" t="str">
        <f>IFERROR(__xludf.DUMMYFUNCTION("IFERROR(ArrayFormula(SUM(VLOOKUP($C171,importrange(""1PTkkEa_ENkSqsGnpqoXy9kt0Fe1hCtlmU6kVFBNaonY"",""ORDER BOOKING REPORT 2025-26!C:CV""),{16,23,30},0))))"),"")</f>
        <v/>
      </c>
      <c r="BP171" s="311" t="str">
        <f>IFERROR(__xludf.DUMMYFUNCTION("IFERROR(ArrayFormula(SUM(VLOOKUP($C171,importrange(""1PTkkEa_ENkSqsGnpqoXy9kt0Fe1hCtlmU6kVFBNaonY"",""ORDER BOOKING REPORT 2025-26!C:CV""),{37,44,51},0))))"),"")</f>
        <v/>
      </c>
      <c r="BQ171" s="311" t="str">
        <f>IFERROR(__xludf.DUMMYFUNCTION("IFERROR(ArrayFormula(SUM(VLOOKUP($C171,importrange(""1PTkkEa_ENkSqsGnpqoXy9kt0Fe1hCtlmU6kVFBNaonY"",""ORDER BOOKING REPORT 2025-26!C:CV""),{58,65,72},0))))"),"")</f>
        <v/>
      </c>
      <c r="BR171" s="311" t="str">
        <f>IFERROR(__xludf.DUMMYFUNCTION("IFERROR(ArrayFormula(SUM(VLOOKUP($C171,importrange(""1PTkkEa_ENkSqsGnpqoXy9kt0Fe1hCtlmU6kVFBNaonY"",""ORDER BOOKING REPORT 2025-26!C:CV""),{79,86,93},0))))"),"")</f>
        <v/>
      </c>
      <c r="CW171" s="327">
        <f t="shared" si="27"/>
        <v>0</v>
      </c>
    </row>
    <row r="172" hidden="1">
      <c r="A172" s="307" t="s">
        <v>441</v>
      </c>
      <c r="B172" s="307" t="s">
        <v>522</v>
      </c>
      <c r="C172" s="338" t="s">
        <v>102</v>
      </c>
      <c r="D172" s="338" t="s">
        <v>596</v>
      </c>
      <c r="E172" s="338" t="s">
        <v>611</v>
      </c>
      <c r="F172" s="360">
        <v>46147.0</v>
      </c>
      <c r="G172" s="356">
        <v>0.0</v>
      </c>
      <c r="H172" s="356">
        <v>1700000.0</v>
      </c>
      <c r="I172" s="356">
        <v>476508.0</v>
      </c>
      <c r="J172" s="356">
        <v>0.0</v>
      </c>
      <c r="K172" s="356">
        <v>3.0</v>
      </c>
      <c r="L172" s="356">
        <v>38.0</v>
      </c>
      <c r="M172" s="356">
        <v>37.0</v>
      </c>
      <c r="N172" s="356">
        <v>40.0</v>
      </c>
      <c r="O172" s="356">
        <v>2.0</v>
      </c>
      <c r="P172" s="356">
        <v>0.01</v>
      </c>
      <c r="Q172" s="356">
        <v>476508.14</v>
      </c>
      <c r="R172" s="356">
        <v>0.0</v>
      </c>
      <c r="S172" s="356">
        <v>37.0</v>
      </c>
      <c r="T172" s="356">
        <v>37.0</v>
      </c>
      <c r="U172" s="356">
        <v>0.0</v>
      </c>
      <c r="V172" s="356">
        <v>145.0</v>
      </c>
      <c r="W172" s="356">
        <v>235.0</v>
      </c>
      <c r="X172" s="356">
        <v>12.0</v>
      </c>
      <c r="Y172" s="356">
        <v>1.0</v>
      </c>
      <c r="Z172" s="356">
        <v>12.0</v>
      </c>
      <c r="AA172" s="356">
        <v>0.0</v>
      </c>
      <c r="AB172" s="356">
        <v>0.0</v>
      </c>
      <c r="AC172" s="356">
        <v>2.0</v>
      </c>
      <c r="AD172" s="356">
        <v>2.0</v>
      </c>
      <c r="AE172" s="356">
        <v>77.0</v>
      </c>
      <c r="AF172" s="356">
        <v>326.0</v>
      </c>
      <c r="AG172" s="356">
        <v>40.0</v>
      </c>
      <c r="AH172" s="309">
        <f t="shared" si="2"/>
        <v>11912.7</v>
      </c>
      <c r="AI172" s="309">
        <f t="shared" si="3"/>
        <v>8.15</v>
      </c>
      <c r="AJ172" s="356">
        <v>38810.0</v>
      </c>
      <c r="AK172" s="309">
        <f t="shared" si="33"/>
        <v>72612.25806</v>
      </c>
      <c r="AL172" s="312"/>
      <c r="AM172" s="334">
        <f t="shared" si="5"/>
        <v>0.1523841322</v>
      </c>
      <c r="AN172" s="231">
        <f t="shared" si="6"/>
        <v>12878.59459</v>
      </c>
      <c r="AO172" s="314">
        <f t="shared" si="7"/>
        <v>0.2802988235</v>
      </c>
      <c r="AP172" s="356">
        <v>0.0</v>
      </c>
      <c r="AQ172" s="356">
        <v>46.0</v>
      </c>
      <c r="AR172" s="356">
        <v>372.0</v>
      </c>
      <c r="AS172" s="356">
        <v>3207.34</v>
      </c>
      <c r="AT172" s="356">
        <v>37.0</v>
      </c>
      <c r="AU172" s="356">
        <v>84.0</v>
      </c>
      <c r="AV172" s="356">
        <v>37.0</v>
      </c>
      <c r="AW172" s="356">
        <v>2.0</v>
      </c>
      <c r="AX172" s="356">
        <v>1.0</v>
      </c>
      <c r="AY172" s="357"/>
      <c r="BA172" s="307" t="str">
        <f t="shared" si="8"/>
        <v>Active</v>
      </c>
      <c r="BB172" s="307" t="str">
        <f t="shared" si="9"/>
        <v>New</v>
      </c>
      <c r="BC172" s="307" t="str">
        <f t="shared" si="10"/>
        <v>Below 50%</v>
      </c>
      <c r="BD172" s="363">
        <f>(31-4)/31+1</f>
        <v>1.870967742</v>
      </c>
      <c r="BE172" s="356">
        <v>900000.0</v>
      </c>
      <c r="BG172" s="159" t="s">
        <v>488</v>
      </c>
      <c r="BH172" s="356"/>
      <c r="BI172" s="356"/>
      <c r="BJ172" s="364">
        <f>27/31</f>
        <v>0.8709677419</v>
      </c>
      <c r="BM172" s="319">
        <f t="shared" si="14"/>
        <v>1700000</v>
      </c>
      <c r="BO172" s="311" t="str">
        <f>IFERROR(__xludf.DUMMYFUNCTION("IFERROR(ArrayFormula(SUM(VLOOKUP($C172,importrange(""1PTkkEa_ENkSqsGnpqoXy9kt0Fe1hCtlmU6kVFBNaonY"",""ORDER BOOKING REPORT 2025-26!C:CV""),{16,23,30},0))))"),"")</f>
        <v/>
      </c>
      <c r="BP172" s="311" t="str">
        <f>IFERROR(__xludf.DUMMYFUNCTION("IFERROR(ArrayFormula(SUM(VLOOKUP($C172,importrange(""1PTkkEa_ENkSqsGnpqoXy9kt0Fe1hCtlmU6kVFBNaonY"",""ORDER BOOKING REPORT 2025-26!C:CV""),{37,44,51},0))))"),"")</f>
        <v/>
      </c>
      <c r="BQ172" s="311" t="str">
        <f>IFERROR(__xludf.DUMMYFUNCTION("IFERROR(ArrayFormula(SUM(VLOOKUP($C172,importrange(""1PTkkEa_ENkSqsGnpqoXy9kt0Fe1hCtlmU6kVFBNaonY"",""ORDER BOOKING REPORT 2025-26!C:CV""),{58,65,72},0))))"),"")</f>
        <v/>
      </c>
      <c r="BR172" s="311" t="str">
        <f>IFERROR(__xludf.DUMMYFUNCTION("IFERROR(ArrayFormula(SUM(VLOOKUP($C172,importrange(""1PTkkEa_ENkSqsGnpqoXy9kt0Fe1hCtlmU6kVFBNaonY"",""ORDER BOOKING REPORT 2025-26!C:CV""),{79,86,93},0))))"),"")</f>
        <v/>
      </c>
      <c r="CW172" s="327">
        <f t="shared" si="27"/>
        <v>0</v>
      </c>
    </row>
    <row r="173" hidden="1">
      <c r="A173" s="307" t="s">
        <v>273</v>
      </c>
      <c r="B173" s="307" t="s">
        <v>528</v>
      </c>
      <c r="C173" s="338" t="s">
        <v>297</v>
      </c>
      <c r="D173" s="338" t="s">
        <v>555</v>
      </c>
      <c r="E173" s="338" t="s">
        <v>298</v>
      </c>
      <c r="F173" s="360">
        <v>46147.0</v>
      </c>
      <c r="G173" s="356">
        <v>0.0</v>
      </c>
      <c r="H173" s="356">
        <v>1200000.0</v>
      </c>
      <c r="I173" s="356">
        <v>924877.0</v>
      </c>
      <c r="J173" s="356">
        <v>0.0</v>
      </c>
      <c r="K173" s="356">
        <v>24.0</v>
      </c>
      <c r="L173" s="356">
        <v>54.0</v>
      </c>
      <c r="M173" s="356">
        <v>30.0</v>
      </c>
      <c r="N173" s="356">
        <v>54.0</v>
      </c>
      <c r="O173" s="356">
        <v>0.0</v>
      </c>
      <c r="P173" s="356">
        <v>210097.5</v>
      </c>
      <c r="Q173" s="356">
        <v>714779.69</v>
      </c>
      <c r="R173" s="356">
        <v>11.0</v>
      </c>
      <c r="S173" s="356">
        <v>29.0</v>
      </c>
      <c r="T173" s="356">
        <v>40.0</v>
      </c>
      <c r="U173" s="356">
        <v>0.0</v>
      </c>
      <c r="V173" s="356">
        <v>38.0</v>
      </c>
      <c r="W173" s="356">
        <v>62.0</v>
      </c>
      <c r="X173" s="356">
        <v>4.0</v>
      </c>
      <c r="Y173" s="356">
        <v>1.0</v>
      </c>
      <c r="Z173" s="356">
        <v>9.0</v>
      </c>
      <c r="AA173" s="356">
        <v>0.0</v>
      </c>
      <c r="AB173" s="356">
        <v>0.0</v>
      </c>
      <c r="AC173" s="356">
        <v>0.0</v>
      </c>
      <c r="AD173" s="356">
        <v>0.0</v>
      </c>
      <c r="AE173" s="356">
        <v>107.0</v>
      </c>
      <c r="AF173" s="356">
        <v>178.0</v>
      </c>
      <c r="AG173" s="356">
        <v>41.0</v>
      </c>
      <c r="AH173" s="309">
        <f t="shared" si="2"/>
        <v>22557.97561</v>
      </c>
      <c r="AI173" s="309">
        <f t="shared" si="3"/>
        <v>4.341463415</v>
      </c>
      <c r="AJ173" s="356">
        <v>29360.0</v>
      </c>
      <c r="AK173" s="309">
        <f t="shared" si="33"/>
        <v>54931.6129</v>
      </c>
      <c r="AL173" s="312"/>
      <c r="AM173" s="334">
        <f t="shared" si="5"/>
        <v>0.05939342518</v>
      </c>
      <c r="AN173" s="231">
        <f t="shared" si="6"/>
        <v>23121.925</v>
      </c>
      <c r="AO173" s="314">
        <f t="shared" si="7"/>
        <v>0.7707308333</v>
      </c>
      <c r="AP173" s="356">
        <v>0.0</v>
      </c>
      <c r="AQ173" s="356">
        <v>57.0</v>
      </c>
      <c r="AR173" s="356">
        <v>403.0</v>
      </c>
      <c r="AS173" s="356">
        <v>3572.47</v>
      </c>
      <c r="AT173" s="356">
        <v>29.0</v>
      </c>
      <c r="AU173" s="356">
        <v>66.0</v>
      </c>
      <c r="AV173" s="356">
        <v>40.0</v>
      </c>
      <c r="AW173" s="356">
        <v>14.0</v>
      </c>
      <c r="AX173" s="356">
        <v>0.0</v>
      </c>
      <c r="AY173" s="357">
        <v>725237.0</v>
      </c>
      <c r="BA173" s="307" t="str">
        <f t="shared" si="8"/>
        <v>Active</v>
      </c>
      <c r="BB173" s="307" t="str">
        <f t="shared" si="9"/>
        <v>New</v>
      </c>
      <c r="BC173" s="307" t="str">
        <f t="shared" si="10"/>
        <v>70%-90%</v>
      </c>
      <c r="BD173" s="347">
        <f>27/31+1</f>
        <v>1.870967742</v>
      </c>
      <c r="BE173" s="356"/>
      <c r="BG173" s="159" t="s">
        <v>488</v>
      </c>
      <c r="BH173" s="356"/>
      <c r="BI173" s="356"/>
      <c r="BJ173" s="356">
        <f>31-4</f>
        <v>27</v>
      </c>
      <c r="BM173" s="319">
        <f t="shared" si="14"/>
        <v>1200000</v>
      </c>
      <c r="BO173" s="311" t="str">
        <f>IFERROR(__xludf.DUMMYFUNCTION("IFERROR(ArrayFormula(SUM(VLOOKUP($C173,importrange(""1PTkkEa_ENkSqsGnpqoXy9kt0Fe1hCtlmU6kVFBNaonY"",""ORDER BOOKING REPORT 2025-26!C:CV""),{16,23,30},0))))"),"")</f>
        <v/>
      </c>
      <c r="BP173" s="311" t="str">
        <f>IFERROR(__xludf.DUMMYFUNCTION("IFERROR(ArrayFormula(SUM(VLOOKUP($C173,importrange(""1PTkkEa_ENkSqsGnpqoXy9kt0Fe1hCtlmU6kVFBNaonY"",""ORDER BOOKING REPORT 2025-26!C:CV""),{37,44,51},0))))"),"")</f>
        <v/>
      </c>
      <c r="BQ173" s="311" t="str">
        <f>IFERROR(__xludf.DUMMYFUNCTION("IFERROR(ArrayFormula(SUM(VLOOKUP($C173,importrange(""1PTkkEa_ENkSqsGnpqoXy9kt0Fe1hCtlmU6kVFBNaonY"",""ORDER BOOKING REPORT 2025-26!C:CV""),{58,65,72},0))))"),"")</f>
        <v/>
      </c>
      <c r="BR173" s="311" t="str">
        <f>IFERROR(__xludf.DUMMYFUNCTION("IFERROR(ArrayFormula(SUM(VLOOKUP($C173,importrange(""1PTkkEa_ENkSqsGnpqoXy9kt0Fe1hCtlmU6kVFBNaonY"",""ORDER BOOKING REPORT 2025-26!C:CV""),{79,86,93},0))))"),"")</f>
        <v/>
      </c>
      <c r="CW173" s="327">
        <f t="shared" si="27"/>
        <v>0</v>
      </c>
    </row>
    <row r="174" hidden="1">
      <c r="A174" s="307" t="s">
        <v>160</v>
      </c>
      <c r="B174" s="307" t="s">
        <v>499</v>
      </c>
      <c r="C174" s="338" t="s">
        <v>258</v>
      </c>
      <c r="D174" s="338" t="s">
        <v>500</v>
      </c>
      <c r="E174" s="338" t="s">
        <v>231</v>
      </c>
      <c r="F174" s="360">
        <v>46148.0</v>
      </c>
      <c r="G174" s="356">
        <v>0.0</v>
      </c>
      <c r="H174" s="356">
        <v>2000000.0</v>
      </c>
      <c r="I174" s="356">
        <v>516578.0</v>
      </c>
      <c r="J174" s="356">
        <v>0.0</v>
      </c>
      <c r="K174" s="356">
        <v>54.0</v>
      </c>
      <c r="L174" s="356">
        <v>61.0</v>
      </c>
      <c r="M174" s="356">
        <v>9.0</v>
      </c>
      <c r="N174" s="356">
        <v>63.0</v>
      </c>
      <c r="O174" s="356">
        <v>2.0</v>
      </c>
      <c r="P174" s="356">
        <v>326117.14</v>
      </c>
      <c r="Q174" s="356">
        <v>190460.48</v>
      </c>
      <c r="R174" s="356">
        <v>17.0</v>
      </c>
      <c r="S174" s="356">
        <v>9.0</v>
      </c>
      <c r="T174" s="356">
        <v>26.0</v>
      </c>
      <c r="U174" s="356">
        <v>0.0</v>
      </c>
      <c r="V174" s="356">
        <v>59.0</v>
      </c>
      <c r="W174" s="356">
        <v>119.0</v>
      </c>
      <c r="X174" s="356">
        <v>3.0</v>
      </c>
      <c r="Y174" s="356">
        <v>1.0</v>
      </c>
      <c r="Z174" s="356">
        <v>7.0</v>
      </c>
      <c r="AA174" s="356">
        <v>0.0</v>
      </c>
      <c r="AB174" s="356">
        <v>0.0</v>
      </c>
      <c r="AC174" s="356">
        <v>0.0</v>
      </c>
      <c r="AD174" s="356">
        <v>0.0</v>
      </c>
      <c r="AE174" s="356">
        <v>139.0</v>
      </c>
      <c r="AF174" s="356">
        <v>265.0</v>
      </c>
      <c r="AG174" s="356">
        <v>35.0</v>
      </c>
      <c r="AH174" s="309">
        <f t="shared" si="2"/>
        <v>14759.37143</v>
      </c>
      <c r="AI174" s="309">
        <f t="shared" si="3"/>
        <v>7.571428571</v>
      </c>
      <c r="AJ174" s="356">
        <v>34100.0</v>
      </c>
      <c r="AK174" s="309">
        <f t="shared" si="33"/>
        <v>62700</v>
      </c>
      <c r="AL174" s="312"/>
      <c r="AM174" s="334">
        <f t="shared" si="5"/>
        <v>0.1213756683</v>
      </c>
      <c r="AN174" s="231">
        <f t="shared" si="6"/>
        <v>19868.38462</v>
      </c>
      <c r="AO174" s="314">
        <f t="shared" si="7"/>
        <v>0.258289</v>
      </c>
      <c r="AP174" s="356">
        <v>0.0</v>
      </c>
      <c r="AQ174" s="356">
        <v>31.0</v>
      </c>
      <c r="AR174" s="356">
        <v>292.0</v>
      </c>
      <c r="AS174" s="356">
        <v>1421.49</v>
      </c>
      <c r="AT174" s="356">
        <v>9.0</v>
      </c>
      <c r="AU174" s="356">
        <v>23.0</v>
      </c>
      <c r="AV174" s="356">
        <v>26.0</v>
      </c>
      <c r="AW174" s="356">
        <v>35.0</v>
      </c>
      <c r="AX174" s="356">
        <v>2.0</v>
      </c>
      <c r="AY174" s="357">
        <v>1040756.0</v>
      </c>
      <c r="BA174" s="307" t="str">
        <f t="shared" si="8"/>
        <v>Active</v>
      </c>
      <c r="BB174" s="307" t="str">
        <f t="shared" si="9"/>
        <v>New</v>
      </c>
      <c r="BC174" s="307" t="str">
        <f t="shared" si="10"/>
        <v>Below 50%</v>
      </c>
      <c r="BD174" s="347">
        <f>26/31+1</f>
        <v>1.838709677</v>
      </c>
      <c r="BE174" s="356"/>
      <c r="BG174" s="159" t="s">
        <v>488</v>
      </c>
      <c r="BH174" s="356"/>
      <c r="BI174" s="356"/>
      <c r="BJ174" s="356">
        <f>31-5</f>
        <v>26</v>
      </c>
      <c r="BM174" s="319">
        <f t="shared" si="14"/>
        <v>2000000</v>
      </c>
      <c r="BO174" s="311" t="str">
        <f>IFERROR(__xludf.DUMMYFUNCTION("IFERROR(ArrayFormula(SUM(VLOOKUP($C174,importrange(""1PTkkEa_ENkSqsGnpqoXy9kt0Fe1hCtlmU6kVFBNaonY"",""ORDER BOOKING REPORT 2025-26!C:CV""),{16,23,30},0))))"),"")</f>
        <v/>
      </c>
      <c r="BP174" s="311" t="str">
        <f>IFERROR(__xludf.DUMMYFUNCTION("IFERROR(ArrayFormula(SUM(VLOOKUP($C174,importrange(""1PTkkEa_ENkSqsGnpqoXy9kt0Fe1hCtlmU6kVFBNaonY"",""ORDER BOOKING REPORT 2025-26!C:CV""),{37,44,51},0))))"),"")</f>
        <v/>
      </c>
      <c r="BQ174" s="311" t="str">
        <f>IFERROR(__xludf.DUMMYFUNCTION("IFERROR(ArrayFormula(SUM(VLOOKUP($C174,importrange(""1PTkkEa_ENkSqsGnpqoXy9kt0Fe1hCtlmU6kVFBNaonY"",""ORDER BOOKING REPORT 2025-26!C:CV""),{58,65,72},0))))"),"")</f>
        <v/>
      </c>
      <c r="BR174" s="311" t="str">
        <f>IFERROR(__xludf.DUMMYFUNCTION("IFERROR(ArrayFormula(SUM(VLOOKUP($C174,importrange(""1PTkkEa_ENkSqsGnpqoXy9kt0Fe1hCtlmU6kVFBNaonY"",""ORDER BOOKING REPORT 2025-26!C:CV""),{79,86,93},0))))"),"")</f>
        <v/>
      </c>
      <c r="CW174" s="327">
        <f t="shared" si="27"/>
        <v>0</v>
      </c>
    </row>
    <row r="175" hidden="1">
      <c r="A175" s="307" t="s">
        <v>23</v>
      </c>
      <c r="B175" s="307" t="s">
        <v>545</v>
      </c>
      <c r="C175" s="338" t="s">
        <v>612</v>
      </c>
      <c r="D175" s="338" t="s">
        <v>545</v>
      </c>
      <c r="E175" s="338" t="s">
        <v>613</v>
      </c>
      <c r="F175" s="360">
        <v>46149.0</v>
      </c>
      <c r="G175" s="356">
        <v>0.0</v>
      </c>
      <c r="H175" s="356">
        <v>2400000.0</v>
      </c>
      <c r="I175" s="356">
        <v>11405.0</v>
      </c>
      <c r="J175" s="356">
        <v>0.0</v>
      </c>
      <c r="K175" s="356">
        <v>16.0</v>
      </c>
      <c r="L175" s="356">
        <v>16.0</v>
      </c>
      <c r="M175" s="356">
        <v>0.0</v>
      </c>
      <c r="N175" s="356">
        <v>16.0</v>
      </c>
      <c r="O175" s="356">
        <v>0.0</v>
      </c>
      <c r="P175" s="356">
        <v>11404.8</v>
      </c>
      <c r="Q175" s="356">
        <v>0.0</v>
      </c>
      <c r="R175" s="356">
        <v>1.0</v>
      </c>
      <c r="S175" s="356">
        <v>0.0</v>
      </c>
      <c r="T175" s="356">
        <v>1.0</v>
      </c>
      <c r="U175" s="356">
        <v>0.0</v>
      </c>
      <c r="V175" s="356">
        <v>60.0</v>
      </c>
      <c r="W175" s="356">
        <v>91.0</v>
      </c>
      <c r="X175" s="356">
        <v>0.0</v>
      </c>
      <c r="Y175" s="356">
        <v>2.0</v>
      </c>
      <c r="Z175" s="356">
        <v>6.0</v>
      </c>
      <c r="AA175" s="356">
        <v>0.0</v>
      </c>
      <c r="AB175" s="356">
        <v>0.0</v>
      </c>
      <c r="AC175" s="356">
        <v>1.0</v>
      </c>
      <c r="AD175" s="356">
        <v>2.0</v>
      </c>
      <c r="AE175" s="356">
        <v>24.0</v>
      </c>
      <c r="AF175" s="356">
        <v>123.0</v>
      </c>
      <c r="AG175" s="356">
        <v>19.0</v>
      </c>
      <c r="AH175" s="309">
        <f t="shared" si="2"/>
        <v>600.2631579</v>
      </c>
      <c r="AI175" s="309">
        <f t="shared" si="3"/>
        <v>6.473684211</v>
      </c>
      <c r="AJ175" s="356">
        <v>38790.0</v>
      </c>
      <c r="AK175" s="309">
        <f t="shared" si="33"/>
        <v>39040.25806</v>
      </c>
      <c r="AL175" s="312"/>
      <c r="AM175" s="334">
        <f t="shared" si="5"/>
        <v>3.423082689</v>
      </c>
      <c r="AN175" s="231">
        <f t="shared" si="6"/>
        <v>11405</v>
      </c>
      <c r="AO175" s="314">
        <f t="shared" si="7"/>
        <v>0.004752083333</v>
      </c>
      <c r="AP175" s="356">
        <v>0.0</v>
      </c>
      <c r="AQ175" s="356">
        <v>1.0</v>
      </c>
      <c r="AR175" s="356">
        <v>188.0</v>
      </c>
      <c r="AS175" s="356">
        <v>910.99</v>
      </c>
      <c r="AT175" s="356">
        <v>0.0</v>
      </c>
      <c r="AU175" s="356">
        <v>57.0</v>
      </c>
      <c r="AV175" s="356">
        <v>1.0</v>
      </c>
      <c r="AW175" s="356">
        <v>15.0</v>
      </c>
      <c r="AX175" s="356">
        <v>0.0</v>
      </c>
      <c r="AY175" s="357"/>
      <c r="AZ175" s="316">
        <v>46179.0</v>
      </c>
      <c r="BA175" s="307" t="str">
        <f t="shared" si="8"/>
        <v>LEFT</v>
      </c>
      <c r="BB175" s="307" t="str">
        <f t="shared" si="9"/>
        <v>New</v>
      </c>
      <c r="BC175" s="307" t="str">
        <f t="shared" si="10"/>
        <v>Below 50%</v>
      </c>
      <c r="BD175" s="347">
        <f>(6/30)+(25/31)</f>
        <v>1.006451613</v>
      </c>
      <c r="BE175" s="356"/>
      <c r="BG175" s="159" t="s">
        <v>488</v>
      </c>
      <c r="BH175" s="356"/>
      <c r="BI175" s="356"/>
      <c r="BM175" s="319">
        <f t="shared" si="14"/>
        <v>2400000</v>
      </c>
      <c r="BO175" s="311" t="str">
        <f>IFERROR(__xludf.DUMMYFUNCTION("IFERROR(ArrayFormula(SUM(VLOOKUP($C175,importrange(""1PTkkEa_ENkSqsGnpqoXy9kt0Fe1hCtlmU6kVFBNaonY"",""ORDER BOOKING REPORT 2025-26!C:CV""),{16,23,30},0))))"),"")</f>
        <v/>
      </c>
      <c r="BP175" s="311" t="str">
        <f>IFERROR(__xludf.DUMMYFUNCTION("IFERROR(ArrayFormula(SUM(VLOOKUP($C175,importrange(""1PTkkEa_ENkSqsGnpqoXy9kt0Fe1hCtlmU6kVFBNaonY"",""ORDER BOOKING REPORT 2025-26!C:CV""),{37,44,51},0))))"),"")</f>
        <v/>
      </c>
      <c r="BQ175" s="311" t="str">
        <f>IFERROR(__xludf.DUMMYFUNCTION("IFERROR(ArrayFormula(SUM(VLOOKUP($C175,importrange(""1PTkkEa_ENkSqsGnpqoXy9kt0Fe1hCtlmU6kVFBNaonY"",""ORDER BOOKING REPORT 2025-26!C:CV""),{58,65,72},0))))"),"")</f>
        <v/>
      </c>
      <c r="BR175" s="311" t="str">
        <f>IFERROR(__xludf.DUMMYFUNCTION("IFERROR(ArrayFormula(SUM(VLOOKUP($C175,importrange(""1PTkkEa_ENkSqsGnpqoXy9kt0Fe1hCtlmU6kVFBNaonY"",""ORDER BOOKING REPORT 2025-26!C:CV""),{79,86,93},0))))"),"")</f>
        <v/>
      </c>
      <c r="CW175" s="327">
        <f t="shared" si="27"/>
        <v>0</v>
      </c>
    </row>
    <row r="176" hidden="1">
      <c r="A176" s="307" t="s">
        <v>103</v>
      </c>
      <c r="B176" s="307" t="s">
        <v>492</v>
      </c>
      <c r="C176" s="338" t="s">
        <v>158</v>
      </c>
      <c r="D176" s="338" t="s">
        <v>492</v>
      </c>
      <c r="E176" s="338" t="s">
        <v>106</v>
      </c>
      <c r="F176" s="365">
        <v>46153.0</v>
      </c>
      <c r="G176" s="356">
        <v>0.0</v>
      </c>
      <c r="H176" s="356">
        <v>2516129.0</v>
      </c>
      <c r="I176" s="356">
        <v>1181402.0</v>
      </c>
      <c r="J176" s="356">
        <v>0.0</v>
      </c>
      <c r="K176" s="356">
        <v>53.0</v>
      </c>
      <c r="L176" s="356">
        <v>70.0</v>
      </c>
      <c r="M176" s="356">
        <v>22.0</v>
      </c>
      <c r="N176" s="356">
        <v>75.0</v>
      </c>
      <c r="O176" s="356">
        <v>5.0</v>
      </c>
      <c r="P176" s="356">
        <v>516749.21</v>
      </c>
      <c r="Q176" s="356">
        <v>664653.03</v>
      </c>
      <c r="R176" s="356">
        <v>13.0</v>
      </c>
      <c r="S176" s="356">
        <v>22.0</v>
      </c>
      <c r="T176" s="356">
        <v>35.0</v>
      </c>
      <c r="U176" s="356">
        <v>0.0</v>
      </c>
      <c r="V176" s="356">
        <v>64.0</v>
      </c>
      <c r="W176" s="356">
        <v>87.0</v>
      </c>
      <c r="X176" s="356">
        <v>3.0</v>
      </c>
      <c r="Y176" s="356">
        <v>3.0</v>
      </c>
      <c r="Z176" s="356">
        <v>22.0</v>
      </c>
      <c r="AA176" s="356">
        <v>1.0</v>
      </c>
      <c r="AB176" s="356">
        <v>1.0</v>
      </c>
      <c r="AC176" s="356">
        <v>1.0</v>
      </c>
      <c r="AD176" s="356">
        <v>1.0</v>
      </c>
      <c r="AE176" s="356">
        <v>147.0</v>
      </c>
      <c r="AF176" s="356">
        <v>258.0</v>
      </c>
      <c r="AG176" s="356">
        <v>43.0</v>
      </c>
      <c r="AH176" s="309">
        <f t="shared" si="2"/>
        <v>27474.46512</v>
      </c>
      <c r="AI176" s="309">
        <f t="shared" si="3"/>
        <v>6</v>
      </c>
      <c r="AJ176" s="356">
        <v>36190.0</v>
      </c>
      <c r="AK176" s="309">
        <f t="shared" si="33"/>
        <v>60705.80645</v>
      </c>
      <c r="AL176" s="312"/>
      <c r="AM176" s="334">
        <f t="shared" si="5"/>
        <v>0.05138454688</v>
      </c>
      <c r="AN176" s="231">
        <f t="shared" si="6"/>
        <v>33754.34286</v>
      </c>
      <c r="AO176" s="314">
        <f t="shared" si="7"/>
        <v>0.4695315701</v>
      </c>
      <c r="AP176" s="356">
        <v>0.0</v>
      </c>
      <c r="AQ176" s="356">
        <v>62.0</v>
      </c>
      <c r="AR176" s="356">
        <v>361.0</v>
      </c>
      <c r="AS176" s="356">
        <v>2841.7</v>
      </c>
      <c r="AT176" s="356">
        <v>22.0</v>
      </c>
      <c r="AU176" s="356">
        <v>41.0</v>
      </c>
      <c r="AV176" s="356">
        <v>35.0</v>
      </c>
      <c r="AW176" s="356">
        <v>35.0</v>
      </c>
      <c r="AX176" s="356">
        <v>5.0</v>
      </c>
      <c r="AY176" s="357"/>
      <c r="BA176" s="307" t="str">
        <f t="shared" si="8"/>
        <v>Active</v>
      </c>
      <c r="BB176" s="307" t="str">
        <f t="shared" si="9"/>
        <v>New</v>
      </c>
      <c r="BC176" s="307" t="str">
        <f t="shared" si="10"/>
        <v>Below 50%</v>
      </c>
      <c r="BD176" s="347">
        <f t="shared" ref="BD176:BD178" si="42">21/31+1</f>
        <v>1.677419355</v>
      </c>
      <c r="BE176" s="356">
        <v>1500000.0</v>
      </c>
      <c r="BG176" s="159" t="s">
        <v>488</v>
      </c>
      <c r="BH176" s="356"/>
      <c r="BI176" s="356"/>
      <c r="BJ176" s="356">
        <f>31-10</f>
        <v>21</v>
      </c>
      <c r="BM176" s="319">
        <f t="shared" si="14"/>
        <v>2516129</v>
      </c>
      <c r="BO176" s="311" t="str">
        <f>IFERROR(__xludf.DUMMYFUNCTION("IFERROR(ArrayFormula(SUM(VLOOKUP($C176,importrange(""1PTkkEa_ENkSqsGnpqoXy9kt0Fe1hCtlmU6kVFBNaonY"",""ORDER BOOKING REPORT 2025-26!C:CV""),{16,23,30},0))))"),"")</f>
        <v/>
      </c>
      <c r="BP176" s="311" t="str">
        <f>IFERROR(__xludf.DUMMYFUNCTION("IFERROR(ArrayFormula(SUM(VLOOKUP($C176,importrange(""1PTkkEa_ENkSqsGnpqoXy9kt0Fe1hCtlmU6kVFBNaonY"",""ORDER BOOKING REPORT 2025-26!C:CV""),{37,44,51},0))))"),"")</f>
        <v/>
      </c>
      <c r="BQ176" s="311" t="str">
        <f>IFERROR(__xludf.DUMMYFUNCTION("IFERROR(ArrayFormula(SUM(VLOOKUP($C176,importrange(""1PTkkEa_ENkSqsGnpqoXy9kt0Fe1hCtlmU6kVFBNaonY"",""ORDER BOOKING REPORT 2025-26!C:CV""),{58,65,72},0))))"),"")</f>
        <v/>
      </c>
      <c r="BR176" s="311" t="str">
        <f>IFERROR(__xludf.DUMMYFUNCTION("IFERROR(ArrayFormula(SUM(VLOOKUP($C176,importrange(""1PTkkEa_ENkSqsGnpqoXy9kt0Fe1hCtlmU6kVFBNaonY"",""ORDER BOOKING REPORT 2025-26!C:CV""),{79,86,93},0))))"),"")</f>
        <v/>
      </c>
      <c r="CW176" s="327">
        <f t="shared" si="27"/>
        <v>0</v>
      </c>
    </row>
    <row r="177" hidden="1">
      <c r="A177" s="307" t="s">
        <v>103</v>
      </c>
      <c r="B177" s="307" t="s">
        <v>519</v>
      </c>
      <c r="C177" s="338" t="s">
        <v>159</v>
      </c>
      <c r="D177" s="338" t="s">
        <v>520</v>
      </c>
      <c r="E177" s="338" t="s">
        <v>122</v>
      </c>
      <c r="F177" s="365">
        <v>46153.0</v>
      </c>
      <c r="G177" s="356">
        <v>0.0</v>
      </c>
      <c r="H177" s="356">
        <v>2012903.0</v>
      </c>
      <c r="I177" s="356">
        <v>63279.0</v>
      </c>
      <c r="J177" s="356">
        <v>0.0</v>
      </c>
      <c r="K177" s="356">
        <v>18.0</v>
      </c>
      <c r="L177" s="356">
        <v>19.0</v>
      </c>
      <c r="M177" s="356">
        <v>9.0</v>
      </c>
      <c r="N177" s="356">
        <v>27.0</v>
      </c>
      <c r="O177" s="356">
        <v>8.0</v>
      </c>
      <c r="P177" s="356">
        <v>8307.0</v>
      </c>
      <c r="Q177" s="356">
        <v>54971.74</v>
      </c>
      <c r="R177" s="356">
        <v>1.0</v>
      </c>
      <c r="S177" s="356">
        <v>9.0</v>
      </c>
      <c r="T177" s="356">
        <v>10.0</v>
      </c>
      <c r="U177" s="356">
        <v>0.0</v>
      </c>
      <c r="V177" s="356">
        <v>105.0</v>
      </c>
      <c r="W177" s="356">
        <v>173.0</v>
      </c>
      <c r="X177" s="356">
        <v>5.0</v>
      </c>
      <c r="Y177" s="356">
        <v>1.0</v>
      </c>
      <c r="Z177" s="356">
        <v>15.0</v>
      </c>
      <c r="AA177" s="356">
        <v>0.0</v>
      </c>
      <c r="AB177" s="356">
        <v>0.0</v>
      </c>
      <c r="AC177" s="356">
        <v>0.0</v>
      </c>
      <c r="AD177" s="356">
        <v>0.0</v>
      </c>
      <c r="AE177" s="356">
        <v>35.0</v>
      </c>
      <c r="AF177" s="356">
        <v>223.0</v>
      </c>
      <c r="AG177" s="356">
        <v>33.0</v>
      </c>
      <c r="AH177" s="309">
        <f t="shared" si="2"/>
        <v>1917.545455</v>
      </c>
      <c r="AI177" s="309">
        <f t="shared" si="3"/>
        <v>6.757575758</v>
      </c>
      <c r="AJ177" s="356">
        <v>29900.0</v>
      </c>
      <c r="AK177" s="309">
        <f t="shared" si="33"/>
        <v>50154.83871</v>
      </c>
      <c r="AL177" s="312"/>
      <c r="AM177" s="334">
        <f t="shared" si="5"/>
        <v>0.792598472</v>
      </c>
      <c r="AN177" s="231">
        <f t="shared" si="6"/>
        <v>6327.9</v>
      </c>
      <c r="AO177" s="314">
        <f t="shared" si="7"/>
        <v>0.03143668622</v>
      </c>
      <c r="AP177" s="356">
        <v>0.0</v>
      </c>
      <c r="AQ177" s="356">
        <v>12.0</v>
      </c>
      <c r="AR177" s="356">
        <v>326.0</v>
      </c>
      <c r="AS177" s="356">
        <v>2840.11</v>
      </c>
      <c r="AT177" s="356">
        <v>9.0</v>
      </c>
      <c r="AU177" s="356">
        <v>149.0</v>
      </c>
      <c r="AV177" s="356">
        <v>10.0</v>
      </c>
      <c r="AW177" s="356">
        <v>10.0</v>
      </c>
      <c r="AX177" s="356">
        <v>7.0</v>
      </c>
      <c r="AY177" s="357"/>
      <c r="BA177" s="307" t="str">
        <f t="shared" si="8"/>
        <v>Active</v>
      </c>
      <c r="BB177" s="307" t="str">
        <f t="shared" si="9"/>
        <v>New</v>
      </c>
      <c r="BC177" s="307" t="str">
        <f t="shared" si="10"/>
        <v>Below 50%</v>
      </c>
      <c r="BD177" s="347">
        <f t="shared" si="42"/>
        <v>1.677419355</v>
      </c>
      <c r="BE177" s="356">
        <v>1200000.0</v>
      </c>
      <c r="BG177" s="159" t="s">
        <v>488</v>
      </c>
      <c r="BH177" s="356"/>
      <c r="BI177" s="356"/>
      <c r="BM177" s="319">
        <f t="shared" si="14"/>
        <v>2012903</v>
      </c>
      <c r="BO177" s="311" t="str">
        <f>IFERROR(__xludf.DUMMYFUNCTION("IFERROR(ArrayFormula(SUM(VLOOKUP($C177,importrange(""1PTkkEa_ENkSqsGnpqoXy9kt0Fe1hCtlmU6kVFBNaonY"",""ORDER BOOKING REPORT 2025-26!C:CV""),{16,23,30},0))))"),"")</f>
        <v/>
      </c>
      <c r="BP177" s="311" t="str">
        <f>IFERROR(__xludf.DUMMYFUNCTION("IFERROR(ArrayFormula(SUM(VLOOKUP($C177,importrange(""1PTkkEa_ENkSqsGnpqoXy9kt0Fe1hCtlmU6kVFBNaonY"",""ORDER BOOKING REPORT 2025-26!C:CV""),{37,44,51},0))))"),"")</f>
        <v/>
      </c>
      <c r="BQ177" s="311" t="str">
        <f>IFERROR(__xludf.DUMMYFUNCTION("IFERROR(ArrayFormula(SUM(VLOOKUP($C177,importrange(""1PTkkEa_ENkSqsGnpqoXy9kt0Fe1hCtlmU6kVFBNaonY"",""ORDER BOOKING REPORT 2025-26!C:CV""),{58,65,72},0))))"),"")</f>
        <v/>
      </c>
      <c r="BR177" s="311" t="str">
        <f>IFERROR(__xludf.DUMMYFUNCTION("IFERROR(ArrayFormula(SUM(VLOOKUP($C177,importrange(""1PTkkEa_ENkSqsGnpqoXy9kt0Fe1hCtlmU6kVFBNaonY"",""ORDER BOOKING REPORT 2025-26!C:CV""),{79,86,93},0))))"),"")</f>
        <v/>
      </c>
      <c r="CW177" s="327">
        <f t="shared" si="27"/>
        <v>0</v>
      </c>
    </row>
    <row r="178" hidden="1">
      <c r="A178" s="307" t="s">
        <v>160</v>
      </c>
      <c r="B178" s="307" t="s">
        <v>499</v>
      </c>
      <c r="C178" s="338" t="s">
        <v>257</v>
      </c>
      <c r="D178" s="338" t="s">
        <v>500</v>
      </c>
      <c r="E178" s="338" t="s">
        <v>231</v>
      </c>
      <c r="F178" s="365">
        <v>46153.0</v>
      </c>
      <c r="G178" s="356">
        <v>0.0</v>
      </c>
      <c r="H178" s="356">
        <v>2000000.0</v>
      </c>
      <c r="I178" s="356">
        <v>3003306.0</v>
      </c>
      <c r="J178" s="356">
        <v>0.0</v>
      </c>
      <c r="K178" s="356">
        <v>63.0</v>
      </c>
      <c r="L178" s="356">
        <v>64.0</v>
      </c>
      <c r="M178" s="356">
        <v>3.0</v>
      </c>
      <c r="N178" s="356">
        <v>66.0</v>
      </c>
      <c r="O178" s="356">
        <v>2.0</v>
      </c>
      <c r="P178" s="356">
        <v>2862120.15</v>
      </c>
      <c r="Q178" s="356">
        <v>141185.6</v>
      </c>
      <c r="R178" s="356">
        <v>29.0</v>
      </c>
      <c r="S178" s="356">
        <v>3.0</v>
      </c>
      <c r="T178" s="356">
        <v>32.0</v>
      </c>
      <c r="U178" s="356">
        <v>0.0</v>
      </c>
      <c r="V178" s="356">
        <v>3.0</v>
      </c>
      <c r="W178" s="356">
        <v>7.0</v>
      </c>
      <c r="X178" s="356">
        <v>0.0</v>
      </c>
      <c r="Y178" s="356">
        <v>1.0</v>
      </c>
      <c r="Z178" s="356">
        <v>9.0</v>
      </c>
      <c r="AA178" s="356">
        <v>0.0</v>
      </c>
      <c r="AB178" s="356">
        <v>0.0</v>
      </c>
      <c r="AC178" s="356">
        <v>0.0</v>
      </c>
      <c r="AD178" s="356">
        <v>0.0</v>
      </c>
      <c r="AE178" s="356">
        <v>138.0</v>
      </c>
      <c r="AF178" s="356">
        <v>154.0</v>
      </c>
      <c r="AG178" s="356">
        <v>29.0</v>
      </c>
      <c r="AH178" s="309">
        <f t="shared" si="2"/>
        <v>103562.2759</v>
      </c>
      <c r="AI178" s="309">
        <f t="shared" si="3"/>
        <v>5.310344828</v>
      </c>
      <c r="AJ178" s="356">
        <v>29360.0</v>
      </c>
      <c r="AK178" s="309">
        <f t="shared" si="33"/>
        <v>49249.03226</v>
      </c>
      <c r="AL178" s="312"/>
      <c r="AM178" s="334">
        <f t="shared" si="5"/>
        <v>0.01639827319</v>
      </c>
      <c r="AN178" s="231">
        <f t="shared" si="6"/>
        <v>93853.3125</v>
      </c>
      <c r="AO178" s="314">
        <f t="shared" si="7"/>
        <v>1.501653</v>
      </c>
      <c r="AP178" s="356">
        <v>0.0</v>
      </c>
      <c r="AQ178" s="356">
        <v>100.0</v>
      </c>
      <c r="AR178" s="356">
        <v>414.0</v>
      </c>
      <c r="AS178" s="356">
        <v>2081.0</v>
      </c>
      <c r="AT178" s="356">
        <v>3.0</v>
      </c>
      <c r="AU178" s="356">
        <v>33.0</v>
      </c>
      <c r="AV178" s="356">
        <v>32.0</v>
      </c>
      <c r="AW178" s="356">
        <v>33.0</v>
      </c>
      <c r="AX178" s="356">
        <v>1.0</v>
      </c>
      <c r="AY178" s="357">
        <v>1098859.23</v>
      </c>
      <c r="BA178" s="307" t="str">
        <f t="shared" si="8"/>
        <v>Active</v>
      </c>
      <c r="BB178" s="307" t="str">
        <f t="shared" si="9"/>
        <v>New</v>
      </c>
      <c r="BC178" s="307" t="str">
        <f t="shared" si="10"/>
        <v>Above 100%</v>
      </c>
      <c r="BD178" s="347">
        <f t="shared" si="42"/>
        <v>1.677419355</v>
      </c>
      <c r="BE178" s="356"/>
      <c r="BG178" s="159" t="s">
        <v>488</v>
      </c>
      <c r="BH178" s="356"/>
      <c r="BI178" s="356"/>
      <c r="BM178" s="319">
        <f t="shared" si="14"/>
        <v>2000000</v>
      </c>
      <c r="BO178" s="311" t="str">
        <f>IFERROR(__xludf.DUMMYFUNCTION("IFERROR(ArrayFormula(SUM(VLOOKUP($C178,importrange(""1PTkkEa_ENkSqsGnpqoXy9kt0Fe1hCtlmU6kVFBNaonY"",""ORDER BOOKING REPORT 2025-26!C:CV""),{16,23,30},0))))"),"")</f>
        <v/>
      </c>
      <c r="BP178" s="311" t="str">
        <f>IFERROR(__xludf.DUMMYFUNCTION("IFERROR(ArrayFormula(SUM(VLOOKUP($C178,importrange(""1PTkkEa_ENkSqsGnpqoXy9kt0Fe1hCtlmU6kVFBNaonY"",""ORDER BOOKING REPORT 2025-26!C:CV""),{37,44,51},0))))"),"")</f>
        <v/>
      </c>
      <c r="BQ178" s="311" t="str">
        <f>IFERROR(__xludf.DUMMYFUNCTION("IFERROR(ArrayFormula(SUM(VLOOKUP($C178,importrange(""1PTkkEa_ENkSqsGnpqoXy9kt0Fe1hCtlmU6kVFBNaonY"",""ORDER BOOKING REPORT 2025-26!C:CV""),{58,65,72},0))))"),"")</f>
        <v/>
      </c>
      <c r="BR178" s="311" t="str">
        <f>IFERROR(__xludf.DUMMYFUNCTION("IFERROR(ArrayFormula(SUM(VLOOKUP($C178,importrange(""1PTkkEa_ENkSqsGnpqoXy9kt0Fe1hCtlmU6kVFBNaonY"",""ORDER BOOKING REPORT 2025-26!C:CV""),{79,86,93},0))))"),"")</f>
        <v/>
      </c>
      <c r="CW178" s="327">
        <f t="shared" si="27"/>
        <v>0</v>
      </c>
    </row>
    <row r="179" hidden="1">
      <c r="A179" s="338" t="s">
        <v>357</v>
      </c>
      <c r="B179" s="307" t="s">
        <v>545</v>
      </c>
      <c r="C179" s="338" t="s">
        <v>358</v>
      </c>
      <c r="D179" s="338" t="s">
        <v>545</v>
      </c>
      <c r="E179" s="338" t="s">
        <v>359</v>
      </c>
      <c r="F179" s="365">
        <v>46162.0</v>
      </c>
      <c r="G179" s="356">
        <v>0.0</v>
      </c>
      <c r="H179" s="356" t="s">
        <v>485</v>
      </c>
      <c r="I179" s="356">
        <v>0.0</v>
      </c>
      <c r="J179" s="356">
        <v>0.0</v>
      </c>
      <c r="K179" s="356">
        <v>0.0</v>
      </c>
      <c r="L179" s="356">
        <v>0.0</v>
      </c>
      <c r="M179" s="356">
        <v>0.0</v>
      </c>
      <c r="N179" s="356">
        <v>0.0</v>
      </c>
      <c r="O179" s="356">
        <v>0.0</v>
      </c>
      <c r="P179" s="356">
        <v>0.0</v>
      </c>
      <c r="Q179" s="356">
        <v>0.0</v>
      </c>
      <c r="R179" s="356">
        <v>0.0</v>
      </c>
      <c r="S179" s="356">
        <v>0.0</v>
      </c>
      <c r="T179" s="356">
        <v>0.0</v>
      </c>
      <c r="U179" s="356">
        <v>0.0</v>
      </c>
      <c r="V179" s="356">
        <v>6.0</v>
      </c>
      <c r="W179" s="356">
        <v>9.0</v>
      </c>
      <c r="X179" s="356">
        <v>1.0</v>
      </c>
      <c r="Y179" s="356">
        <v>0.0</v>
      </c>
      <c r="Z179" s="356">
        <v>0.0</v>
      </c>
      <c r="AA179" s="356">
        <v>0.0</v>
      </c>
      <c r="AB179" s="356">
        <v>0.0</v>
      </c>
      <c r="AC179" s="356">
        <v>4.0</v>
      </c>
      <c r="AD179" s="356">
        <v>7.0</v>
      </c>
      <c r="AE179" s="356">
        <v>0.0</v>
      </c>
      <c r="AF179" s="356">
        <v>16.0</v>
      </c>
      <c r="AG179" s="356">
        <v>14.0</v>
      </c>
      <c r="AH179" s="309">
        <f t="shared" si="2"/>
        <v>0</v>
      </c>
      <c r="AI179" s="309">
        <f t="shared" si="3"/>
        <v>1.142857143</v>
      </c>
      <c r="AJ179" s="356">
        <v>150000.0</v>
      </c>
      <c r="AK179" s="309">
        <f t="shared" si="33"/>
        <v>208064.5161</v>
      </c>
      <c r="AL179" s="312"/>
      <c r="AM179" s="334" t="str">
        <f t="shared" si="5"/>
        <v/>
      </c>
      <c r="AN179" s="231" t="str">
        <f t="shared" si="6"/>
        <v/>
      </c>
      <c r="AO179" s="314" t="str">
        <f t="shared" si="7"/>
        <v/>
      </c>
      <c r="AP179" s="356">
        <v>0.0</v>
      </c>
      <c r="AQ179" s="356">
        <v>0.0</v>
      </c>
      <c r="AR179" s="356">
        <v>210.0</v>
      </c>
      <c r="AS179" s="356">
        <v>2285.98</v>
      </c>
      <c r="AT179" s="356">
        <v>0.0</v>
      </c>
      <c r="AU179" s="356">
        <v>0.0</v>
      </c>
      <c r="AV179" s="356">
        <v>0.0</v>
      </c>
      <c r="AW179" s="356">
        <v>0.0</v>
      </c>
      <c r="AX179" s="356">
        <v>0.0</v>
      </c>
      <c r="AY179" s="357"/>
      <c r="BA179" s="307" t="str">
        <f t="shared" si="8"/>
        <v>Active</v>
      </c>
      <c r="BB179" s="307" t="str">
        <f t="shared" si="9"/>
        <v>New</v>
      </c>
      <c r="BC179" s="307" t="str">
        <f t="shared" si="10"/>
        <v>Below 50%</v>
      </c>
      <c r="BD179" s="347">
        <f>12/31+1</f>
        <v>1.387096774</v>
      </c>
      <c r="BE179" s="356"/>
      <c r="BG179" s="356" t="s">
        <v>485</v>
      </c>
      <c r="BH179" s="356"/>
      <c r="BI179" s="356"/>
      <c r="BJ179" s="356">
        <f>31-19</f>
        <v>12</v>
      </c>
      <c r="BM179" s="319" t="str">
        <f t="shared" si="14"/>
        <v/>
      </c>
      <c r="BO179" s="311" t="str">
        <f>IFERROR(__xludf.DUMMYFUNCTION("IFERROR(ArrayFormula(SUM(VLOOKUP($C179,importrange(""1PTkkEa_ENkSqsGnpqoXy9kt0Fe1hCtlmU6kVFBNaonY"",""ORDER BOOKING REPORT 2025-26!C:CV""),{16,23,30},0))))"),"")</f>
        <v/>
      </c>
      <c r="BP179" s="311" t="str">
        <f>IFERROR(__xludf.DUMMYFUNCTION("IFERROR(ArrayFormula(SUM(VLOOKUP($C179,importrange(""1PTkkEa_ENkSqsGnpqoXy9kt0Fe1hCtlmU6kVFBNaonY"",""ORDER BOOKING REPORT 2025-26!C:CV""),{37,44,51},0))))"),"")</f>
        <v/>
      </c>
      <c r="BQ179" s="311" t="str">
        <f>IFERROR(__xludf.DUMMYFUNCTION("IFERROR(ArrayFormula(SUM(VLOOKUP($C179,importrange(""1PTkkEa_ENkSqsGnpqoXy9kt0Fe1hCtlmU6kVFBNaonY"",""ORDER BOOKING REPORT 2025-26!C:CV""),{58,65,72},0))))"),"")</f>
        <v/>
      </c>
      <c r="BR179" s="311" t="str">
        <f>IFERROR(__xludf.DUMMYFUNCTION("IFERROR(ArrayFormula(SUM(VLOOKUP($C179,importrange(""1PTkkEa_ENkSqsGnpqoXy9kt0Fe1hCtlmU6kVFBNaonY"",""ORDER BOOKING REPORT 2025-26!C:CV""),{79,86,93},0))))"),"")</f>
        <v/>
      </c>
      <c r="CW179" s="327">
        <f t="shared" si="27"/>
        <v>0</v>
      </c>
    </row>
    <row r="180" hidden="1">
      <c r="A180" s="307" t="s">
        <v>441</v>
      </c>
      <c r="B180" s="307" t="s">
        <v>522</v>
      </c>
      <c r="C180" s="338" t="s">
        <v>101</v>
      </c>
      <c r="D180" s="338" t="s">
        <v>596</v>
      </c>
      <c r="E180" s="338" t="s">
        <v>614</v>
      </c>
      <c r="F180" s="365">
        <v>46163.0</v>
      </c>
      <c r="G180" s="356">
        <v>0.0</v>
      </c>
      <c r="H180" s="356">
        <v>800000.0</v>
      </c>
      <c r="I180" s="356">
        <v>309338.0</v>
      </c>
      <c r="J180" s="356">
        <v>0.0</v>
      </c>
      <c r="K180" s="356">
        <v>4.0</v>
      </c>
      <c r="L180" s="356">
        <v>31.0</v>
      </c>
      <c r="M180" s="356">
        <v>27.0</v>
      </c>
      <c r="N180" s="356">
        <v>31.0</v>
      </c>
      <c r="O180" s="356">
        <v>0.0</v>
      </c>
      <c r="P180" s="356">
        <v>-0.01</v>
      </c>
      <c r="Q180" s="356">
        <v>309338.19</v>
      </c>
      <c r="R180" s="356">
        <v>0.0</v>
      </c>
      <c r="S180" s="356">
        <v>23.0</v>
      </c>
      <c r="T180" s="356">
        <v>23.0</v>
      </c>
      <c r="U180" s="356">
        <v>0.0</v>
      </c>
      <c r="V180" s="356">
        <v>112.0</v>
      </c>
      <c r="W180" s="356">
        <v>185.0</v>
      </c>
      <c r="X180" s="356">
        <v>9.0</v>
      </c>
      <c r="Y180" s="356">
        <v>1.0</v>
      </c>
      <c r="Z180" s="356">
        <v>3.0</v>
      </c>
      <c r="AA180" s="356">
        <v>0.0</v>
      </c>
      <c r="AB180" s="356">
        <v>0.0</v>
      </c>
      <c r="AC180" s="356">
        <v>4.0</v>
      </c>
      <c r="AD180" s="356">
        <v>9.0</v>
      </c>
      <c r="AE180" s="356">
        <v>72.0</v>
      </c>
      <c r="AF180" s="356">
        <v>269.0</v>
      </c>
      <c r="AG180" s="356">
        <v>30.0</v>
      </c>
      <c r="AH180" s="309">
        <f t="shared" si="2"/>
        <v>10311.26667</v>
      </c>
      <c r="AI180" s="309">
        <f t="shared" si="3"/>
        <v>8.966666667</v>
      </c>
      <c r="AJ180" s="356">
        <v>20000.0</v>
      </c>
      <c r="AK180" s="309">
        <f t="shared" si="33"/>
        <v>27096.77419</v>
      </c>
      <c r="AL180" s="312"/>
      <c r="AM180" s="334">
        <f t="shared" si="5"/>
        <v>0.08759600888</v>
      </c>
      <c r="AN180" s="231">
        <f t="shared" si="6"/>
        <v>13449.47826</v>
      </c>
      <c r="AO180" s="314">
        <f t="shared" si="7"/>
        <v>0.3866725</v>
      </c>
      <c r="AP180" s="356">
        <v>0.0</v>
      </c>
      <c r="AQ180" s="356">
        <v>28.0</v>
      </c>
      <c r="AR180" s="356">
        <v>352.0</v>
      </c>
      <c r="AS180" s="356">
        <v>4787.21</v>
      </c>
      <c r="AT180" s="356">
        <v>23.0</v>
      </c>
      <c r="AU180" s="356">
        <v>154.0</v>
      </c>
      <c r="AV180" s="356">
        <v>23.0</v>
      </c>
      <c r="AW180" s="356">
        <v>8.0</v>
      </c>
      <c r="AX180" s="356">
        <v>0.0</v>
      </c>
      <c r="AY180" s="357"/>
      <c r="BA180" s="307" t="str">
        <f t="shared" si="8"/>
        <v>Active</v>
      </c>
      <c r="BB180" s="307" t="str">
        <f t="shared" si="9"/>
        <v>New</v>
      </c>
      <c r="BC180" s="307" t="str">
        <f t="shared" si="10"/>
        <v>Below 50%</v>
      </c>
      <c r="BD180" s="347">
        <f>11/31+1</f>
        <v>1.35483871</v>
      </c>
      <c r="BE180" s="356">
        <v>700000.0</v>
      </c>
      <c r="BG180" s="159" t="s">
        <v>488</v>
      </c>
      <c r="BH180" s="356"/>
      <c r="BI180" s="356"/>
      <c r="BJ180" s="356">
        <f>31-20</f>
        <v>11</v>
      </c>
      <c r="BM180" s="319">
        <f t="shared" si="14"/>
        <v>800000</v>
      </c>
      <c r="BO180" s="311" t="str">
        <f>IFERROR(__xludf.DUMMYFUNCTION("IFERROR(ArrayFormula(SUM(VLOOKUP($C180,importrange(""1PTkkEa_ENkSqsGnpqoXy9kt0Fe1hCtlmU6kVFBNaonY"",""ORDER BOOKING REPORT 2025-26!C:CV""),{16,23,30},0))))"),"")</f>
        <v/>
      </c>
      <c r="BP180" s="311" t="str">
        <f>IFERROR(__xludf.DUMMYFUNCTION("IFERROR(ArrayFormula(SUM(VLOOKUP($C180,importrange(""1PTkkEa_ENkSqsGnpqoXy9kt0Fe1hCtlmU6kVFBNaonY"",""ORDER BOOKING REPORT 2025-26!C:CV""),{37,44,51},0))))"),"")</f>
        <v/>
      </c>
      <c r="BQ180" s="311" t="str">
        <f>IFERROR(__xludf.DUMMYFUNCTION("IFERROR(ArrayFormula(SUM(VLOOKUP($C180,importrange(""1PTkkEa_ENkSqsGnpqoXy9kt0Fe1hCtlmU6kVFBNaonY"",""ORDER BOOKING REPORT 2025-26!C:CV""),{58,65,72},0))))"),"")</f>
        <v/>
      </c>
      <c r="BR180" s="311" t="str">
        <f>IFERROR(__xludf.DUMMYFUNCTION("IFERROR(ArrayFormula(SUM(VLOOKUP($C180,importrange(""1PTkkEa_ENkSqsGnpqoXy9kt0Fe1hCtlmU6kVFBNaonY"",""ORDER BOOKING REPORT 2025-26!C:CV""),{79,86,93},0))))"),"")</f>
        <v/>
      </c>
      <c r="CW180" s="327">
        <f t="shared" si="27"/>
        <v>0</v>
      </c>
    </row>
    <row r="181">
      <c r="A181" s="307" t="s">
        <v>273</v>
      </c>
      <c r="B181" s="307" t="s">
        <v>528</v>
      </c>
      <c r="C181" s="338" t="s">
        <v>299</v>
      </c>
      <c r="D181" s="338" t="s">
        <v>555</v>
      </c>
      <c r="E181" s="338" t="s">
        <v>300</v>
      </c>
      <c r="F181" s="365">
        <v>46167.0</v>
      </c>
      <c r="G181" s="356">
        <v>0.0</v>
      </c>
      <c r="H181" s="356">
        <v>0.0</v>
      </c>
      <c r="I181" s="356">
        <v>696801.0</v>
      </c>
      <c r="J181" s="356">
        <v>0.0</v>
      </c>
      <c r="K181" s="356">
        <v>28.0</v>
      </c>
      <c r="L181" s="356">
        <v>45.0</v>
      </c>
      <c r="M181" s="356">
        <v>19.0</v>
      </c>
      <c r="N181" s="356">
        <v>47.0</v>
      </c>
      <c r="O181" s="356">
        <v>2.0</v>
      </c>
      <c r="P181" s="356">
        <v>391909.6</v>
      </c>
      <c r="Q181" s="356">
        <v>304891.0</v>
      </c>
      <c r="R181" s="356">
        <v>9.0</v>
      </c>
      <c r="S181" s="356">
        <v>17.0</v>
      </c>
      <c r="T181" s="356">
        <v>26.0</v>
      </c>
      <c r="U181" s="356">
        <v>0.0</v>
      </c>
      <c r="V181" s="356">
        <v>72.0</v>
      </c>
      <c r="W181" s="356">
        <v>94.0</v>
      </c>
      <c r="X181" s="356">
        <v>8.0</v>
      </c>
      <c r="Y181" s="356">
        <v>1.0</v>
      </c>
      <c r="Z181" s="356">
        <v>5.0</v>
      </c>
      <c r="AA181" s="356">
        <v>0.0</v>
      </c>
      <c r="AB181" s="356">
        <v>0.0</v>
      </c>
      <c r="AC181" s="356">
        <v>0.0</v>
      </c>
      <c r="AD181" s="356">
        <v>0.0</v>
      </c>
      <c r="AE181" s="356">
        <v>81.0</v>
      </c>
      <c r="AF181" s="356">
        <v>180.0</v>
      </c>
      <c r="AG181" s="356">
        <v>29.0</v>
      </c>
      <c r="AH181" s="309">
        <f t="shared" si="2"/>
        <v>24027.62069</v>
      </c>
      <c r="AI181" s="309">
        <f t="shared" si="3"/>
        <v>6.206896552</v>
      </c>
      <c r="AJ181" s="356">
        <v>25760.0</v>
      </c>
      <c r="AK181" s="309">
        <f t="shared" si="33"/>
        <v>31576.77419</v>
      </c>
      <c r="AL181" s="312"/>
      <c r="AM181" s="334">
        <f t="shared" si="5"/>
        <v>0.04531677508</v>
      </c>
      <c r="AN181" s="231">
        <f t="shared" si="6"/>
        <v>26800.03846</v>
      </c>
      <c r="AO181" s="314" t="str">
        <f t="shared" si="7"/>
        <v/>
      </c>
      <c r="AP181" s="356">
        <v>0.0</v>
      </c>
      <c r="AQ181" s="356">
        <v>33.0</v>
      </c>
      <c r="AR181" s="356">
        <v>279.0</v>
      </c>
      <c r="AS181" s="356">
        <v>3691.08</v>
      </c>
      <c r="AT181" s="356">
        <v>17.0</v>
      </c>
      <c r="AU181" s="356">
        <v>82.0</v>
      </c>
      <c r="AV181" s="356">
        <v>26.0</v>
      </c>
      <c r="AW181" s="356">
        <v>19.0</v>
      </c>
      <c r="AX181" s="356">
        <v>2.0</v>
      </c>
      <c r="AY181" s="357">
        <v>150280.0</v>
      </c>
      <c r="BA181" s="307" t="str">
        <f t="shared" si="8"/>
        <v>Active</v>
      </c>
      <c r="BB181" s="307" t="str">
        <f t="shared" si="9"/>
        <v>New</v>
      </c>
      <c r="BC181" s="307" t="str">
        <f t="shared" si="10"/>
        <v>Below 50%</v>
      </c>
      <c r="BD181" s="347">
        <f t="shared" ref="BD181:BD183" si="43">7/31+1</f>
        <v>1.225806452</v>
      </c>
      <c r="BE181" s="356"/>
      <c r="BG181" s="159" t="s">
        <v>488</v>
      </c>
      <c r="BH181" s="356"/>
      <c r="BI181" s="356"/>
      <c r="BJ181" s="356">
        <f>31-24</f>
        <v>7</v>
      </c>
      <c r="BM181" s="319">
        <f t="shared" si="14"/>
        <v>0</v>
      </c>
      <c r="BO181" s="311" t="str">
        <f>IFERROR(__xludf.DUMMYFUNCTION("IFERROR(ArrayFormula(SUM(VLOOKUP($C181,importrange(""1PTkkEa_ENkSqsGnpqoXy9kt0Fe1hCtlmU6kVFBNaonY"",""ORDER BOOKING REPORT 2025-26!C:CV""),{16,23,30},0))))"),"")</f>
        <v/>
      </c>
      <c r="BP181" s="311" t="str">
        <f>IFERROR(__xludf.DUMMYFUNCTION("IFERROR(ArrayFormula(SUM(VLOOKUP($C181,importrange(""1PTkkEa_ENkSqsGnpqoXy9kt0Fe1hCtlmU6kVFBNaonY"",""ORDER BOOKING REPORT 2025-26!C:CV""),{37,44,51},0))))"),"")</f>
        <v/>
      </c>
      <c r="BQ181" s="311" t="str">
        <f>IFERROR(__xludf.DUMMYFUNCTION("IFERROR(ArrayFormula(SUM(VLOOKUP($C181,importrange(""1PTkkEa_ENkSqsGnpqoXy9kt0Fe1hCtlmU6kVFBNaonY"",""ORDER BOOKING REPORT 2025-26!C:CV""),{58,65,72},0))))"),"")</f>
        <v/>
      </c>
      <c r="BR181" s="311" t="str">
        <f>IFERROR(__xludf.DUMMYFUNCTION("IFERROR(ArrayFormula(SUM(VLOOKUP($C181,importrange(""1PTkkEa_ENkSqsGnpqoXy9kt0Fe1hCtlmU6kVFBNaonY"",""ORDER BOOKING REPORT 2025-26!C:CV""),{79,86,93},0))))"),"")</f>
        <v/>
      </c>
      <c r="CW181" s="327">
        <f t="shared" si="27"/>
        <v>0</v>
      </c>
    </row>
    <row r="182" hidden="1">
      <c r="A182" s="338" t="s">
        <v>358</v>
      </c>
      <c r="B182" s="338" t="s">
        <v>545</v>
      </c>
      <c r="C182" s="338" t="s">
        <v>360</v>
      </c>
      <c r="D182" s="338" t="s">
        <v>545</v>
      </c>
      <c r="E182" s="338" t="s">
        <v>361</v>
      </c>
      <c r="F182" s="365">
        <v>46167.0</v>
      </c>
      <c r="G182" s="356">
        <v>0.0</v>
      </c>
      <c r="H182" s="356" t="s">
        <v>485</v>
      </c>
      <c r="I182" s="356">
        <v>0.0</v>
      </c>
      <c r="J182" s="356">
        <v>0.0</v>
      </c>
      <c r="K182" s="356">
        <v>5.0</v>
      </c>
      <c r="L182" s="356">
        <v>5.0</v>
      </c>
      <c r="M182" s="356">
        <v>0.0</v>
      </c>
      <c r="N182" s="356">
        <v>5.0</v>
      </c>
      <c r="O182" s="356">
        <v>0.0</v>
      </c>
      <c r="P182" s="356">
        <v>0.0</v>
      </c>
      <c r="Q182" s="356">
        <v>0.0</v>
      </c>
      <c r="R182" s="356">
        <v>0.0</v>
      </c>
      <c r="S182" s="356">
        <v>0.0</v>
      </c>
      <c r="T182" s="356">
        <v>0.0</v>
      </c>
      <c r="U182" s="356">
        <v>0.0</v>
      </c>
      <c r="V182" s="356">
        <v>43.0</v>
      </c>
      <c r="W182" s="356">
        <v>72.0</v>
      </c>
      <c r="X182" s="356">
        <v>1.0</v>
      </c>
      <c r="Y182" s="356">
        <v>0.0</v>
      </c>
      <c r="Z182" s="356">
        <v>0.0</v>
      </c>
      <c r="AA182" s="356">
        <v>0.0</v>
      </c>
      <c r="AB182" s="356">
        <v>0.0</v>
      </c>
      <c r="AC182" s="356">
        <v>2.0</v>
      </c>
      <c r="AD182" s="356">
        <v>12.0</v>
      </c>
      <c r="AE182" s="356">
        <v>8.0</v>
      </c>
      <c r="AF182" s="356">
        <v>92.0</v>
      </c>
      <c r="AG182" s="356">
        <v>27.0</v>
      </c>
      <c r="AH182" s="309">
        <f t="shared" si="2"/>
        <v>0</v>
      </c>
      <c r="AI182" s="309">
        <f t="shared" si="3"/>
        <v>3.407407407</v>
      </c>
      <c r="AJ182" s="356">
        <v>52100.0</v>
      </c>
      <c r="AK182" s="309">
        <f t="shared" si="33"/>
        <v>63864.51613</v>
      </c>
      <c r="AL182" s="312"/>
      <c r="AM182" s="334" t="str">
        <f t="shared" si="5"/>
        <v/>
      </c>
      <c r="AN182" s="231" t="str">
        <f t="shared" si="6"/>
        <v/>
      </c>
      <c r="AO182" s="314" t="str">
        <f t="shared" si="7"/>
        <v/>
      </c>
      <c r="AP182" s="356">
        <v>0.0</v>
      </c>
      <c r="AQ182" s="356">
        <v>0.0</v>
      </c>
      <c r="AR182" s="356">
        <v>290.0</v>
      </c>
      <c r="AS182" s="356">
        <v>2530.96</v>
      </c>
      <c r="AT182" s="356">
        <v>0.0</v>
      </c>
      <c r="AU182" s="356">
        <v>506.0</v>
      </c>
      <c r="AV182" s="356">
        <v>0.0</v>
      </c>
      <c r="AW182" s="356">
        <v>5.0</v>
      </c>
      <c r="AX182" s="356">
        <v>0.0</v>
      </c>
      <c r="AY182" s="357"/>
      <c r="BA182" s="307" t="str">
        <f t="shared" si="8"/>
        <v>Active</v>
      </c>
      <c r="BB182" s="307" t="str">
        <f t="shared" si="9"/>
        <v>New</v>
      </c>
      <c r="BC182" s="307" t="str">
        <f t="shared" si="10"/>
        <v>Below 50%</v>
      </c>
      <c r="BD182" s="347">
        <f t="shared" si="43"/>
        <v>1.225806452</v>
      </c>
      <c r="BE182" s="356"/>
      <c r="BG182" s="356" t="s">
        <v>485</v>
      </c>
      <c r="BH182" s="356"/>
      <c r="BI182" s="356"/>
      <c r="BM182" s="319" t="str">
        <f t="shared" si="14"/>
        <v/>
      </c>
      <c r="BO182" s="311" t="str">
        <f>IFERROR(__xludf.DUMMYFUNCTION("IFERROR(ArrayFormula(SUM(VLOOKUP($C182,importrange(""1PTkkEa_ENkSqsGnpqoXy9kt0Fe1hCtlmU6kVFBNaonY"",""ORDER BOOKING REPORT 2025-26!C:CV""),{16,23,30},0))))"),"")</f>
        <v/>
      </c>
      <c r="BP182" s="311" t="str">
        <f>IFERROR(__xludf.DUMMYFUNCTION("IFERROR(ArrayFormula(SUM(VLOOKUP($C182,importrange(""1PTkkEa_ENkSqsGnpqoXy9kt0Fe1hCtlmU6kVFBNaonY"",""ORDER BOOKING REPORT 2025-26!C:CV""),{37,44,51},0))))"),"")</f>
        <v/>
      </c>
      <c r="BQ182" s="311" t="str">
        <f>IFERROR(__xludf.DUMMYFUNCTION("IFERROR(ArrayFormula(SUM(VLOOKUP($C182,importrange(""1PTkkEa_ENkSqsGnpqoXy9kt0Fe1hCtlmU6kVFBNaonY"",""ORDER BOOKING REPORT 2025-26!C:CV""),{58,65,72},0))))"),"")</f>
        <v/>
      </c>
      <c r="BR182" s="311" t="str">
        <f>IFERROR(__xludf.DUMMYFUNCTION("IFERROR(ArrayFormula(SUM(VLOOKUP($C182,importrange(""1PTkkEa_ENkSqsGnpqoXy9kt0Fe1hCtlmU6kVFBNaonY"",""ORDER BOOKING REPORT 2025-26!C:CV""),{79,86,93},0))))"),"")</f>
        <v/>
      </c>
      <c r="CW182" s="327">
        <f t="shared" si="27"/>
        <v>0</v>
      </c>
    </row>
    <row r="183">
      <c r="A183" s="338" t="s">
        <v>358</v>
      </c>
      <c r="B183" s="338" t="s">
        <v>545</v>
      </c>
      <c r="C183" s="338" t="s">
        <v>615</v>
      </c>
      <c r="D183" s="338" t="s">
        <v>545</v>
      </c>
      <c r="E183" s="338" t="s">
        <v>616</v>
      </c>
      <c r="F183" s="365">
        <v>46167.0</v>
      </c>
      <c r="G183" s="356">
        <v>0.0</v>
      </c>
      <c r="H183" s="356">
        <v>0.0</v>
      </c>
      <c r="I183" s="356">
        <v>0.0</v>
      </c>
      <c r="J183" s="356">
        <v>0.0</v>
      </c>
      <c r="K183" s="356">
        <v>0.0</v>
      </c>
      <c r="L183" s="356">
        <v>0.0</v>
      </c>
      <c r="M183" s="356">
        <v>0.0</v>
      </c>
      <c r="N183" s="356">
        <v>0.0</v>
      </c>
      <c r="O183" s="356">
        <v>0.0</v>
      </c>
      <c r="P183" s="356">
        <v>0.0</v>
      </c>
      <c r="Q183" s="356">
        <v>0.0</v>
      </c>
      <c r="R183" s="356">
        <v>0.0</v>
      </c>
      <c r="S183" s="356">
        <v>0.0</v>
      </c>
      <c r="T183" s="356">
        <v>0.0</v>
      </c>
      <c r="U183" s="356">
        <v>0.0</v>
      </c>
      <c r="V183" s="356">
        <v>10.0</v>
      </c>
      <c r="W183" s="356">
        <v>10.0</v>
      </c>
      <c r="X183" s="356">
        <v>7.0</v>
      </c>
      <c r="Y183" s="356">
        <v>0.0</v>
      </c>
      <c r="Z183" s="356">
        <v>0.0</v>
      </c>
      <c r="AA183" s="356">
        <v>0.0</v>
      </c>
      <c r="AB183" s="356">
        <v>0.0</v>
      </c>
      <c r="AC183" s="356">
        <v>2.0</v>
      </c>
      <c r="AD183" s="356">
        <v>6.0</v>
      </c>
      <c r="AE183" s="356">
        <v>0.0</v>
      </c>
      <c r="AF183" s="356">
        <v>16.0</v>
      </c>
      <c r="AG183" s="356">
        <v>8.0</v>
      </c>
      <c r="AH183" s="309">
        <f t="shared" si="2"/>
        <v>0</v>
      </c>
      <c r="AI183" s="309">
        <f t="shared" si="3"/>
        <v>2</v>
      </c>
      <c r="AJ183" s="356">
        <v>40000.0</v>
      </c>
      <c r="AK183" s="309">
        <f t="shared" si="33"/>
        <v>49032.25806</v>
      </c>
      <c r="AL183" s="312"/>
      <c r="AM183" s="334" t="str">
        <f t="shared" si="5"/>
        <v/>
      </c>
      <c r="AN183" s="231" t="str">
        <f t="shared" si="6"/>
        <v/>
      </c>
      <c r="AO183" s="314" t="str">
        <f t="shared" si="7"/>
        <v/>
      </c>
      <c r="AP183" s="356">
        <v>0.0</v>
      </c>
      <c r="AQ183" s="356">
        <v>0.0</v>
      </c>
      <c r="AR183" s="356">
        <v>84.0</v>
      </c>
      <c r="AS183" s="356">
        <v>618.95</v>
      </c>
      <c r="AT183" s="356">
        <v>0.0</v>
      </c>
      <c r="AU183" s="356">
        <v>0.0</v>
      </c>
      <c r="AV183" s="356">
        <v>0.0</v>
      </c>
      <c r="AW183" s="356">
        <v>0.0</v>
      </c>
      <c r="AX183" s="356">
        <v>0.0</v>
      </c>
      <c r="AY183" s="357"/>
      <c r="BA183" s="307" t="str">
        <f t="shared" si="8"/>
        <v>Active</v>
      </c>
      <c r="BB183" s="307" t="str">
        <f t="shared" si="9"/>
        <v>New</v>
      </c>
      <c r="BC183" s="307" t="str">
        <f t="shared" si="10"/>
        <v>Below 50%</v>
      </c>
      <c r="BD183" s="347">
        <f t="shared" si="43"/>
        <v>1.225806452</v>
      </c>
      <c r="BE183" s="356"/>
      <c r="BG183" s="159" t="s">
        <v>488</v>
      </c>
      <c r="BH183" s="356">
        <f>IFERROR(__xludf.DUMMYFUNCTION("""COMPUTED_VALUE"""),383564.0)</f>
        <v>383564</v>
      </c>
      <c r="BI183" s="356">
        <f>IFERROR(__xludf.DUMMYFUNCTION("""COMPUTED_VALUE"""),383734.0)</f>
        <v>383734</v>
      </c>
      <c r="BM183" s="319">
        <f t="shared" si="14"/>
        <v>0</v>
      </c>
      <c r="BO183" s="311">
        <f>IFERROR(__xludf.DUMMYFUNCTION("IFERROR(ArrayFormula(SUM(VLOOKUP($C183,importrange(""1PTkkEa_ENkSqsGnpqoXy9kt0Fe1hCtlmU6kVFBNaonY"",""ORDER BOOKING REPORT 2025-26!C:CV""),{16,23,30},0))))"),383734.0)</f>
        <v>383734</v>
      </c>
      <c r="BP183" s="311">
        <f>IFERROR(__xludf.DUMMYFUNCTION("IFERROR(ArrayFormula(SUM(VLOOKUP($C183,importrange(""1PTkkEa_ENkSqsGnpqoXy9kt0Fe1hCtlmU6kVFBNaonY"",""ORDER BOOKING REPORT 2025-26!C:CV""),{37,44,51},0))))"),0.0)</f>
        <v>0</v>
      </c>
      <c r="BQ183" s="311">
        <f>IFERROR(__xludf.DUMMYFUNCTION("IFERROR(ArrayFormula(SUM(VLOOKUP($C183,importrange(""1PTkkEa_ENkSqsGnpqoXy9kt0Fe1hCtlmU6kVFBNaonY"",""ORDER BOOKING REPORT 2025-26!C:CV""),{58,65,72},0))))"),0.0)</f>
        <v>0</v>
      </c>
      <c r="BR183" s="311">
        <f>IFERROR(__xludf.DUMMYFUNCTION("IFERROR(ArrayFormula(SUM(VLOOKUP($C183,importrange(""1PTkkEa_ENkSqsGnpqoXy9kt0Fe1hCtlmU6kVFBNaonY"",""ORDER BOOKING REPORT 2025-26!C:CV""),{79,86,93},0))))"),0.0)</f>
        <v>0</v>
      </c>
      <c r="CW183" s="327">
        <f t="shared" si="27"/>
        <v>0</v>
      </c>
    </row>
    <row r="184" hidden="1">
      <c r="A184" s="307" t="s">
        <v>160</v>
      </c>
      <c r="B184" s="307" t="s">
        <v>534</v>
      </c>
      <c r="C184" s="338" t="s">
        <v>363</v>
      </c>
      <c r="D184" s="338" t="s">
        <v>617</v>
      </c>
      <c r="E184" s="338" t="s">
        <v>364</v>
      </c>
      <c r="F184" s="339">
        <v>46178.0</v>
      </c>
      <c r="G184" s="356">
        <v>0.0</v>
      </c>
      <c r="H184" s="356" t="s">
        <v>485</v>
      </c>
      <c r="I184" s="356">
        <v>0.0</v>
      </c>
      <c r="J184" s="356">
        <v>0.0</v>
      </c>
      <c r="K184" s="356">
        <v>15.0</v>
      </c>
      <c r="L184" s="356">
        <v>15.0</v>
      </c>
      <c r="M184" s="356">
        <v>0.0</v>
      </c>
      <c r="N184" s="356">
        <v>15.0</v>
      </c>
      <c r="O184" s="356">
        <v>0.0</v>
      </c>
      <c r="P184" s="356">
        <v>0.0</v>
      </c>
      <c r="Q184" s="356">
        <v>0.0</v>
      </c>
      <c r="R184" s="356">
        <v>0.0</v>
      </c>
      <c r="S184" s="356">
        <v>0.0</v>
      </c>
      <c r="T184" s="356">
        <v>0.0</v>
      </c>
      <c r="U184" s="356">
        <v>0.0</v>
      </c>
      <c r="V184" s="356">
        <v>8.0</v>
      </c>
      <c r="W184" s="356">
        <v>9.0</v>
      </c>
      <c r="X184" s="356">
        <v>3.0</v>
      </c>
      <c r="Y184" s="356">
        <v>3.0</v>
      </c>
      <c r="Z184" s="356">
        <v>7.0</v>
      </c>
      <c r="AA184" s="356">
        <v>0.0</v>
      </c>
      <c r="AB184" s="356">
        <v>0.0</v>
      </c>
      <c r="AC184" s="356">
        <v>7.0</v>
      </c>
      <c r="AD184" s="356">
        <v>13.0</v>
      </c>
      <c r="AE184" s="356">
        <v>16.0</v>
      </c>
      <c r="AF184" s="356">
        <v>45.0</v>
      </c>
      <c r="AG184" s="356">
        <v>13.0</v>
      </c>
      <c r="AH184" s="309">
        <f t="shared" si="2"/>
        <v>0</v>
      </c>
      <c r="AI184" s="309">
        <f t="shared" si="3"/>
        <v>3.461538462</v>
      </c>
      <c r="AJ184" s="356">
        <v>94500.0</v>
      </c>
      <c r="AK184" s="309">
        <f t="shared" si="33"/>
        <v>81900</v>
      </c>
      <c r="AL184" s="312"/>
      <c r="AM184" s="334" t="str">
        <f t="shared" si="5"/>
        <v/>
      </c>
      <c r="AN184" s="231" t="str">
        <f t="shared" si="6"/>
        <v/>
      </c>
      <c r="AO184" s="314" t="str">
        <f t="shared" si="7"/>
        <v/>
      </c>
      <c r="AP184" s="356">
        <v>0.0</v>
      </c>
      <c r="AQ184" s="356">
        <v>0.0</v>
      </c>
      <c r="AR184" s="356">
        <v>133.0</v>
      </c>
      <c r="AS184" s="356">
        <v>1501.82</v>
      </c>
      <c r="AT184" s="356">
        <v>0.0</v>
      </c>
      <c r="AU184" s="356">
        <v>100.0</v>
      </c>
      <c r="AV184" s="356">
        <v>0.0</v>
      </c>
      <c r="AW184" s="356">
        <v>15.0</v>
      </c>
      <c r="AX184" s="356">
        <v>0.0</v>
      </c>
      <c r="AY184" s="357"/>
      <c r="BA184" s="307" t="str">
        <f t="shared" si="8"/>
        <v>Active</v>
      </c>
      <c r="BB184" s="307" t="str">
        <f t="shared" si="9"/>
        <v>New</v>
      </c>
      <c r="BC184" s="307" t="str">
        <f t="shared" si="10"/>
        <v>Below 50%</v>
      </c>
      <c r="BD184" s="347">
        <f>26/30</f>
        <v>0.8666666667</v>
      </c>
      <c r="BE184" s="356"/>
      <c r="BG184" s="356" t="s">
        <v>485</v>
      </c>
      <c r="BH184" s="356"/>
      <c r="BI184" s="356"/>
      <c r="BJ184" s="356">
        <f>30-4</f>
        <v>26</v>
      </c>
      <c r="BM184" s="319" t="str">
        <f t="shared" si="14"/>
        <v/>
      </c>
      <c r="BO184" s="311" t="str">
        <f>IFERROR(__xludf.DUMMYFUNCTION("IFERROR(ArrayFormula(SUM(VLOOKUP($C184,importrange(""1PTkkEa_ENkSqsGnpqoXy9kt0Fe1hCtlmU6kVFBNaonY"",""ORDER BOOKING REPORT 2025-26!C:CV""),{16,23,30},0))))"),"")</f>
        <v/>
      </c>
      <c r="BP184" s="311" t="str">
        <f>IFERROR(__xludf.DUMMYFUNCTION("IFERROR(ArrayFormula(SUM(VLOOKUP($C184,importrange(""1PTkkEa_ENkSqsGnpqoXy9kt0Fe1hCtlmU6kVFBNaonY"",""ORDER BOOKING REPORT 2025-26!C:CV""),{37,44,51},0))))"),"")</f>
        <v/>
      </c>
      <c r="BQ184" s="311" t="str">
        <f>IFERROR(__xludf.DUMMYFUNCTION("IFERROR(ArrayFormula(SUM(VLOOKUP($C184,importrange(""1PTkkEa_ENkSqsGnpqoXy9kt0Fe1hCtlmU6kVFBNaonY"",""ORDER BOOKING REPORT 2025-26!C:CV""),{58,65,72},0))))"),"")</f>
        <v/>
      </c>
      <c r="BR184" s="311" t="str">
        <f>IFERROR(__xludf.DUMMYFUNCTION("IFERROR(ArrayFormula(SUM(VLOOKUP($C184,importrange(""1PTkkEa_ENkSqsGnpqoXy9kt0Fe1hCtlmU6kVFBNaonY"",""ORDER BOOKING REPORT 2025-26!C:CV""),{79,86,93},0))))"),"")</f>
        <v/>
      </c>
      <c r="CW184" s="327">
        <f t="shared" si="27"/>
        <v>0</v>
      </c>
    </row>
    <row r="185" hidden="1">
      <c r="A185" s="307" t="s">
        <v>160</v>
      </c>
      <c r="B185" s="307" t="s">
        <v>523</v>
      </c>
      <c r="C185" s="338" t="s">
        <v>272</v>
      </c>
      <c r="D185" s="338" t="s">
        <v>536</v>
      </c>
      <c r="E185" s="338" t="s">
        <v>271</v>
      </c>
      <c r="F185" s="339">
        <v>46181.0</v>
      </c>
      <c r="G185" s="356">
        <v>0.0</v>
      </c>
      <c r="H185" s="356">
        <v>1500000.0</v>
      </c>
      <c r="I185" s="356">
        <v>653967.0</v>
      </c>
      <c r="J185" s="356">
        <v>0.0</v>
      </c>
      <c r="K185" s="356">
        <v>15.0</v>
      </c>
      <c r="L185" s="356">
        <v>23.0</v>
      </c>
      <c r="M185" s="356">
        <v>12.0</v>
      </c>
      <c r="N185" s="356">
        <v>27.0</v>
      </c>
      <c r="O185" s="356">
        <v>4.0</v>
      </c>
      <c r="P185" s="356">
        <v>46860.0</v>
      </c>
      <c r="Q185" s="356">
        <v>607107.05</v>
      </c>
      <c r="R185" s="356">
        <v>1.0</v>
      </c>
      <c r="S185" s="356">
        <v>12.0</v>
      </c>
      <c r="T185" s="356">
        <v>13.0</v>
      </c>
      <c r="U185" s="356">
        <v>0.0</v>
      </c>
      <c r="V185" s="356">
        <v>49.0</v>
      </c>
      <c r="W185" s="356">
        <v>58.0</v>
      </c>
      <c r="X185" s="356">
        <v>13.0</v>
      </c>
      <c r="Y185" s="356">
        <v>2.0</v>
      </c>
      <c r="Z185" s="356">
        <v>3.0</v>
      </c>
      <c r="AA185" s="356">
        <v>0.0</v>
      </c>
      <c r="AB185" s="356">
        <v>0.0</v>
      </c>
      <c r="AC185" s="356">
        <v>0.0</v>
      </c>
      <c r="AD185" s="356">
        <v>0.0</v>
      </c>
      <c r="AE185" s="356">
        <v>36.0</v>
      </c>
      <c r="AF185" s="356">
        <v>97.0</v>
      </c>
      <c r="AG185" s="356">
        <v>17.0</v>
      </c>
      <c r="AH185" s="309">
        <f t="shared" si="2"/>
        <v>38468.64706</v>
      </c>
      <c r="AI185" s="309">
        <f t="shared" si="3"/>
        <v>5.705882353</v>
      </c>
      <c r="AJ185" s="356">
        <v>51000.0</v>
      </c>
      <c r="AK185" s="309">
        <f t="shared" si="33"/>
        <v>39100</v>
      </c>
      <c r="AL185" s="312"/>
      <c r="AM185" s="334">
        <f t="shared" si="5"/>
        <v>0.0597889496</v>
      </c>
      <c r="AN185" s="231">
        <f t="shared" si="6"/>
        <v>50305.15385</v>
      </c>
      <c r="AO185" s="314">
        <f t="shared" si="7"/>
        <v>0.435978</v>
      </c>
      <c r="AP185" s="356">
        <v>0.0</v>
      </c>
      <c r="AQ185" s="356">
        <v>15.0</v>
      </c>
      <c r="AR185" s="356">
        <v>164.0</v>
      </c>
      <c r="AS185" s="356">
        <v>1286.02</v>
      </c>
      <c r="AT185" s="356">
        <v>12.0</v>
      </c>
      <c r="AU185" s="356">
        <v>56.0</v>
      </c>
      <c r="AV185" s="356">
        <v>13.0</v>
      </c>
      <c r="AW185" s="356">
        <v>11.0</v>
      </c>
      <c r="AX185" s="356">
        <v>3.0</v>
      </c>
      <c r="AY185" s="357"/>
      <c r="BA185" s="307" t="str">
        <f t="shared" si="8"/>
        <v>Active</v>
      </c>
      <c r="BB185" s="307" t="str">
        <f t="shared" si="9"/>
        <v>New</v>
      </c>
      <c r="BC185" s="307" t="str">
        <f t="shared" si="10"/>
        <v>Below 50%</v>
      </c>
      <c r="BD185" s="347">
        <f>23/30</f>
        <v>0.7666666667</v>
      </c>
      <c r="BE185" s="356">
        <v>1500000.0</v>
      </c>
      <c r="BG185" s="159" t="s">
        <v>488</v>
      </c>
      <c r="BH185" s="356"/>
      <c r="BI185" s="356"/>
      <c r="BJ185" s="159">
        <f>30-7</f>
        <v>23</v>
      </c>
      <c r="BM185" s="319">
        <f t="shared" si="14"/>
        <v>1500000</v>
      </c>
      <c r="BO185" s="311" t="str">
        <f>IFERROR(__xludf.DUMMYFUNCTION("IFERROR(ArrayFormula(SUM(VLOOKUP($C185,importrange(""1PTkkEa_ENkSqsGnpqoXy9kt0Fe1hCtlmU6kVFBNaonY"",""ORDER BOOKING REPORT 2025-26!C:CV""),{16,23,30},0))))"),"")</f>
        <v/>
      </c>
      <c r="BP185" s="311" t="str">
        <f>IFERROR(__xludf.DUMMYFUNCTION("IFERROR(ArrayFormula(SUM(VLOOKUP($C185,importrange(""1PTkkEa_ENkSqsGnpqoXy9kt0Fe1hCtlmU6kVFBNaonY"",""ORDER BOOKING REPORT 2025-26!C:CV""),{37,44,51},0))))"),"")</f>
        <v/>
      </c>
      <c r="BQ185" s="311" t="str">
        <f>IFERROR(__xludf.DUMMYFUNCTION("IFERROR(ArrayFormula(SUM(VLOOKUP($C185,importrange(""1PTkkEa_ENkSqsGnpqoXy9kt0Fe1hCtlmU6kVFBNaonY"",""ORDER BOOKING REPORT 2025-26!C:CV""),{58,65,72},0))))"),"")</f>
        <v/>
      </c>
      <c r="BR185" s="311" t="str">
        <f>IFERROR(__xludf.DUMMYFUNCTION("IFERROR(ArrayFormula(SUM(VLOOKUP($C185,importrange(""1PTkkEa_ENkSqsGnpqoXy9kt0Fe1hCtlmU6kVFBNaonY"",""ORDER BOOKING REPORT 2025-26!C:CV""),{79,86,93},0))))"),"")</f>
        <v/>
      </c>
      <c r="CW185" s="327">
        <f t="shared" si="27"/>
        <v>0</v>
      </c>
    </row>
    <row r="186" hidden="1">
      <c r="A186" s="307" t="s">
        <v>23</v>
      </c>
      <c r="B186" s="307" t="s">
        <v>545</v>
      </c>
      <c r="C186" s="338" t="s">
        <v>42</v>
      </c>
      <c r="D186" s="338" t="s">
        <v>545</v>
      </c>
      <c r="E186" s="338" t="s">
        <v>321</v>
      </c>
      <c r="F186" s="358">
        <v>46190.0</v>
      </c>
      <c r="G186" s="356">
        <v>0.0</v>
      </c>
      <c r="H186" s="356">
        <v>606667.0</v>
      </c>
      <c r="I186" s="356">
        <v>321482.0</v>
      </c>
      <c r="J186" s="356">
        <v>0.0</v>
      </c>
      <c r="K186" s="356">
        <v>65.0</v>
      </c>
      <c r="L186" s="356">
        <v>60.0</v>
      </c>
      <c r="M186" s="356">
        <v>2.0</v>
      </c>
      <c r="N186" s="356">
        <v>67.0</v>
      </c>
      <c r="O186" s="356">
        <v>7.0</v>
      </c>
      <c r="P186" s="356">
        <v>321481.5</v>
      </c>
      <c r="Q186" s="356">
        <v>0.0</v>
      </c>
      <c r="R186" s="356">
        <v>5.0</v>
      </c>
      <c r="S186" s="356">
        <v>0.0</v>
      </c>
      <c r="T186" s="356">
        <v>5.0</v>
      </c>
      <c r="U186" s="356">
        <v>0.0</v>
      </c>
      <c r="V186" s="356">
        <v>27.0</v>
      </c>
      <c r="W186" s="356">
        <v>28.0</v>
      </c>
      <c r="X186" s="356">
        <v>9.0</v>
      </c>
      <c r="Y186" s="356">
        <v>1.0</v>
      </c>
      <c r="Z186" s="356">
        <v>11.0</v>
      </c>
      <c r="AA186" s="356">
        <v>1.0</v>
      </c>
      <c r="AB186" s="356">
        <v>1.0</v>
      </c>
      <c r="AC186" s="356">
        <v>0.0</v>
      </c>
      <c r="AD186" s="356">
        <v>0.0</v>
      </c>
      <c r="AE186" s="356">
        <v>69.0</v>
      </c>
      <c r="AF186" s="356">
        <v>109.0</v>
      </c>
      <c r="AG186" s="356">
        <v>11.0</v>
      </c>
      <c r="AH186" s="309">
        <f t="shared" si="2"/>
        <v>29225.63636</v>
      </c>
      <c r="AI186" s="309">
        <f t="shared" si="3"/>
        <v>9.909090909</v>
      </c>
      <c r="AJ186" s="356">
        <v>25212.0</v>
      </c>
      <c r="AK186" s="309">
        <f t="shared" si="33"/>
        <v>11765.6</v>
      </c>
      <c r="AL186" s="312"/>
      <c r="AM186" s="334">
        <f t="shared" si="5"/>
        <v>0.03659800549</v>
      </c>
      <c r="AN186" s="231">
        <f t="shared" si="6"/>
        <v>64296.4</v>
      </c>
      <c r="AO186" s="314">
        <f t="shared" si="7"/>
        <v>0.5299150935</v>
      </c>
      <c r="AP186" s="356">
        <v>0.0</v>
      </c>
      <c r="AQ186" s="356">
        <v>5.0</v>
      </c>
      <c r="AR186" s="356">
        <v>113.0</v>
      </c>
      <c r="AS186" s="356">
        <v>1108.42</v>
      </c>
      <c r="AT186" s="356">
        <v>0.0</v>
      </c>
      <c r="AU186" s="356">
        <v>18.0</v>
      </c>
      <c r="AV186" s="356">
        <v>5.0</v>
      </c>
      <c r="AW186" s="356">
        <v>55.0</v>
      </c>
      <c r="AX186" s="356">
        <v>7.0</v>
      </c>
      <c r="AY186" s="357"/>
      <c r="BA186" s="307" t="str">
        <f t="shared" si="8"/>
        <v>Active</v>
      </c>
      <c r="BB186" s="307" t="str">
        <f t="shared" si="9"/>
        <v>New</v>
      </c>
      <c r="BC186" s="307" t="str">
        <f t="shared" si="10"/>
        <v>50%-70%</v>
      </c>
      <c r="BD186" s="347">
        <f>14/30</f>
        <v>0.4666666667</v>
      </c>
      <c r="BE186" s="356">
        <v>1300000.0</v>
      </c>
      <c r="BG186" s="159" t="s">
        <v>488</v>
      </c>
      <c r="BH186" s="356"/>
      <c r="BI186" s="356"/>
      <c r="BJ186" s="356">
        <f>30-16</f>
        <v>14</v>
      </c>
      <c r="BM186" s="319">
        <f t="shared" si="14"/>
        <v>606667</v>
      </c>
      <c r="BO186" s="311" t="str">
        <f>IFERROR(__xludf.DUMMYFUNCTION("IFERROR(ArrayFormula(SUM(VLOOKUP($C186,importrange(""1PTkkEa_ENkSqsGnpqoXy9kt0Fe1hCtlmU6kVFBNaonY"",""ORDER BOOKING REPORT 2025-26!C:CV""),{16,23,30},0))))"),"")</f>
        <v/>
      </c>
      <c r="BP186" s="311" t="str">
        <f>IFERROR(__xludf.DUMMYFUNCTION("IFERROR(ArrayFormula(SUM(VLOOKUP($C186,importrange(""1PTkkEa_ENkSqsGnpqoXy9kt0Fe1hCtlmU6kVFBNaonY"",""ORDER BOOKING REPORT 2025-26!C:CV""),{37,44,51},0))))"),"")</f>
        <v/>
      </c>
      <c r="BQ186" s="311" t="str">
        <f>IFERROR(__xludf.DUMMYFUNCTION("IFERROR(ArrayFormula(SUM(VLOOKUP($C186,importrange(""1PTkkEa_ENkSqsGnpqoXy9kt0Fe1hCtlmU6kVFBNaonY"",""ORDER BOOKING REPORT 2025-26!C:CV""),{58,65,72},0))))"),"")</f>
        <v/>
      </c>
      <c r="BR186" s="311" t="str">
        <f>IFERROR(__xludf.DUMMYFUNCTION("IFERROR(ArrayFormula(SUM(VLOOKUP($C186,importrange(""1PTkkEa_ENkSqsGnpqoXy9kt0Fe1hCtlmU6kVFBNaonY"",""ORDER BOOKING REPORT 2025-26!C:CV""),{79,86,93},0))))"),"")</f>
        <v/>
      </c>
      <c r="CW186" s="327">
        <f t="shared" si="27"/>
        <v>0</v>
      </c>
    </row>
  </sheetData>
  <autoFilter ref="$A$3:$CZ$186">
    <filterColumn colId="7">
      <filters>
        <filter val="0"/>
      </filters>
    </filterColumn>
  </autoFilter>
  <mergeCells count="2">
    <mergeCell ref="BO2:BR2"/>
    <mergeCell ref="CD2:CE2"/>
  </mergeCells>
  <conditionalFormatting sqref="C2:C186 A166 A168 A179 A182:A183">
    <cfRule type="expression" dxfId="0" priority="1">
      <formula>countif(C:C,C2)&gt;1</formula>
    </cfRule>
  </conditionalFormatting>
  <drawing r:id="rId2"/>
  <legacyDrawing r:id="rId3"/>
</worksheet>
</file>